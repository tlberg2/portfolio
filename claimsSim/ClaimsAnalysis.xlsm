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2001_{BDAE6497-783A-DF45-B523-6C90D8D0E238}" xr6:coauthVersionLast="47" xr6:coauthVersionMax="47" xr10:uidLastSave="{00000000-0000-0000-0000-000000000000}"/>
  <bookViews>
    <workbookView xWindow="29000" yWindow="500" windowWidth="35000" windowHeight="3550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PolicyLosses!$C$1</definedName>
    <definedName name="_xlchart.v1.1" hidden="1">PolicyLosses!$C$2:$C$501</definedName>
    <definedName name="_xlchart.v1.2" hidden="1">'claimSimResults'!$F$1</definedName>
    <definedName name="_xlchart.v1.3" hidden="1">'claimSimResults'!$F$2:$F$489</definedName>
    <definedName name="_xlchart.v1.4" hidden="1">PolicyLosses!$C$1</definedName>
    <definedName name="_xlchart.v1.5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ClaimsByPolicy">'claimSimResults'!$J$7:$L$462</definedName>
    <definedName name="claimSimResults_" localSheetId="3" hidden="1">'claimSimResults'!$A$1:$F$489</definedName>
    <definedName name="ExternalData_3" localSheetId="2" hidden="1">PolicyLosses!$A$1:$C$501</definedName>
    <definedName name="frequency_distribution">Dashboard!$C$5</definedName>
    <definedName name="frequency_lambda">Dashboard!$C$6</definedName>
    <definedName name="frequency_prob">Dashboard!$C$7</definedName>
    <definedName name="frequency_trials">Dashboard!$C$8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Dashboard!$F$6</definedName>
    <definedName name="severity_distribution">Dashboard!$F$5</definedName>
    <definedName name="severity_mu">Dashboard!$F$8</definedName>
    <definedName name="severity_sigma">Dashboard!$F$9</definedName>
    <definedName name="severity_theta">Dashboard!$F$7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00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C30" i="1"/>
  <c r="C26" i="1"/>
  <c r="M7" i="1"/>
  <c r="M11" i="1"/>
  <c r="M30" i="1"/>
  <c r="M29" i="1"/>
  <c r="M26" i="1"/>
  <c r="C27" i="1"/>
  <c r="B2" i="16" a="1"/>
  <c r="B2" i="16" s="1"/>
  <c r="C2" i="16" s="1" a="1"/>
  <c r="C2" i="16" s="1"/>
  <c r="R26" i="1" a="1"/>
  <c r="R26" i="1" s="1"/>
  <c r="P26" i="1"/>
  <c r="P27" i="1"/>
  <c r="P28" i="1"/>
  <c r="P29" i="1"/>
  <c r="P25" i="1"/>
  <c r="M28" i="1"/>
  <c r="M27" i="1"/>
  <c r="M25" i="1"/>
  <c r="M8" i="1"/>
  <c r="M6" i="1"/>
  <c r="C28" i="1"/>
  <c r="H26" i="1" a="1"/>
  <c r="H26" i="1" s="1"/>
  <c r="B4" i="15" a="1"/>
  <c r="B4" i="15" s="1"/>
  <c r="M10" i="1"/>
  <c r="M9" i="1"/>
  <c r="C29" i="1"/>
  <c r="M16" i="1"/>
  <c r="M17" i="1"/>
  <c r="M18" i="1"/>
  <c r="M19" i="1"/>
  <c r="M15" i="1"/>
  <c r="F29" i="1"/>
  <c r="F28" i="1"/>
  <c r="F27" i="1"/>
  <c r="F26" i="1"/>
  <c r="F25" i="1"/>
  <c r="C25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<sst xmlns="http://schemas.openxmlformats.org/spreadsheetml/2006/main" count="1058" uniqueCount="548">
  <si>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</si>
  <si>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</si>
  <si>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</si>
  <si>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</si>
  <si>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</si>
  <si>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</si>
  <si>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</si>
  <si>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</si>
  <si>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</si>
  <si>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</si>
  <si>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</si>
  <si>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</si>
  <si>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</si>
  <si>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</si>
  <si>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</si>
  <si>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</si>
  <si>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</si>
  <si>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</si>
  <si>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</si>
  <si>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</si>
  <si>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</si>
  <si>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</si>
  <si>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</si>
  <si>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</si>
  <si>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</si>
  <si>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</si>
  <si>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</si>
  <si>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</si>
  <si>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</si>
  <si>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</si>
  <si>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</si>
  <si>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</si>
  <si>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</si>
  <si>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</si>
  <si>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Gamma</t>
  </si>
  <si>
    <t>0.0545244544044502</t>
  </si>
  <si>
    <t>0.301307812557326</t>
  </si>
  <si>
    <t>0.11369465997944</t>
  </si>
  <si>
    <t>0.252121659121382</t>
  </si>
  <si>
    <t>0.752419087299</t>
  </si>
  <si>
    <t>0.107061646291556</t>
  </si>
  <si>
    <t>0.144242060475907</t>
  </si>
  <si>
    <t>0.181900420670437</t>
  </si>
  <si>
    <t>0.221981842106652</t>
  </si>
  <si>
    <t>0.0344275978259638</t>
  </si>
  <si>
    <t>0.064692541525284</t>
  </si>
  <si>
    <t>0.382611646327536</t>
  </si>
  <si>
    <t>0.187129400944608</t>
  </si>
  <si>
    <t>0.116045158237533</t>
  </si>
  <si>
    <t>0.119454650580445</t>
  </si>
  <si>
    <t>0.0892407947738763</t>
  </si>
  <si>
    <t>0.285799763197803</t>
  </si>
  <si>
    <t>0.171106252925999</t>
  </si>
  <si>
    <t>0.135176144193925</t>
  </si>
  <si>
    <t>0.30325138366186</t>
  </si>
  <si>
    <t>0.024007438671223</t>
  </si>
  <si>
    <t>0.750099669302895</t>
  </si>
  <si>
    <t>0.216386645153851</t>
  </si>
  <si>
    <t>0.271446400650782</t>
  </si>
  <si>
    <t>0.0580101994413566</t>
  </si>
  <si>
    <t>0.251261118008413</t>
  </si>
  <si>
    <t>0.277578149022313</t>
  </si>
  <si>
    <t>0.374798338061224</t>
  </si>
  <si>
    <t>0.176559473158921</t>
  </si>
  <si>
    <t>0.125939230300291</t>
  </si>
  <si>
    <t>0.154325706305157</t>
  </si>
  <si>
    <t>0.241896123942574</t>
  </si>
  <si>
    <t>0.234543732719859</t>
  </si>
  <si>
    <t>0.161778195054347</t>
  </si>
  <si>
    <t>0.204622386167699</t>
  </si>
  <si>
    <t>Percentiles</t>
  </si>
  <si>
    <t>Min</t>
  </si>
  <si>
    <t>Max</t>
  </si>
  <si>
    <t>Total Claims</t>
  </si>
  <si>
    <t>Largest Claims</t>
  </si>
  <si>
    <t>TotalClaimAmount</t>
  </si>
  <si>
    <t xml:space="preserve"> </t>
  </si>
  <si>
    <t>Most Expensive Policies</t>
  </si>
  <si>
    <t>0.164217295799289</t>
  </si>
  <si>
    <t>0.14259025875719</t>
  </si>
  <si>
    <t>0.160235418331441</t>
  </si>
  <si>
    <t>0.381773112214249</t>
  </si>
  <si>
    <t>0.195525415822038</t>
  </si>
  <si>
    <t>0.280095613964902</t>
  </si>
  <si>
    <t>0.262201234923209</t>
  </si>
  <si>
    <t>0.0346130393207359</t>
  </si>
  <si>
    <t>0.0666642445818743</t>
  </si>
  <si>
    <t>0.142417403386908</t>
  </si>
  <si>
    <t>0.13657082912417</t>
  </si>
  <si>
    <t>0.142546089504274</t>
  </si>
  <si>
    <t>0.122428608852819</t>
  </si>
  <si>
    <t>0.186481078830316</t>
  </si>
  <si>
    <t>0.132436710240947</t>
  </si>
  <si>
    <t>0.313182862473085</t>
  </si>
  <si>
    <t>0.0508906036808902</t>
  </si>
  <si>
    <t>0.172849164453086</t>
  </si>
  <si>
    <t>0.213120370705001</t>
  </si>
  <si>
    <t>0.118043640342131</t>
  </si>
  <si>
    <t>0.0918086082311043</t>
  </si>
  <si>
    <t>0.306787359218118</t>
  </si>
  <si>
    <t>0.422066672012914</t>
  </si>
  <si>
    <t>0.262726190110716</t>
  </si>
  <si>
    <t>0.189696062999592</t>
  </si>
  <si>
    <t>0.0255135616153632</t>
  </si>
  <si>
    <t>0.263478185814358</t>
  </si>
  <si>
    <t>0.0992767259872455</t>
  </si>
  <si>
    <t>0.356739411300461</t>
  </si>
  <si>
    <t>0.0335117612884459</t>
  </si>
  <si>
    <t>0.273142709948556</t>
  </si>
  <si>
    <t>0.2563322577928</t>
  </si>
  <si>
    <t>0.157145007123487</t>
  </si>
  <si>
    <t>0.0411593115071288</t>
  </si>
  <si>
    <t>0.222844577105727</t>
  </si>
  <si>
    <t>0.749815483952616</t>
  </si>
  <si>
    <t>Poisson</t>
  </si>
  <si>
    <t>0.641854376935804</t>
  </si>
  <si>
    <t>0.125811025172103</t>
  </si>
  <si>
    <t>0.116428168787847</t>
  </si>
  <si>
    <t>0.294207857410745</t>
  </si>
  <si>
    <t>0.283861602969851</t>
  </si>
  <si>
    <t>0.51259175638871</t>
  </si>
  <si>
    <t>0.154369103334844</t>
  </si>
  <si>
    <t>0.147329564616172</t>
  </si>
  <si>
    <t>0.145401818773355</t>
  </si>
  <si>
    <t>0.175762251774048</t>
  </si>
  <si>
    <t>0.257779205999533</t>
  </si>
  <si>
    <t>0.0700863564742157</t>
  </si>
  <si>
    <t>0.125455374065253</t>
  </si>
  <si>
    <t>0.215562141803272</t>
  </si>
  <si>
    <t>0.226993016888128</t>
  </si>
  <si>
    <t>0.358995716173642</t>
  </si>
  <si>
    <t>0.172316755714017</t>
  </si>
  <si>
    <t>0.218087868249906</t>
  </si>
  <si>
    <t>0.0977501535040124</t>
  </si>
  <si>
    <t>0.0512858907707528</t>
  </si>
  <si>
    <t>0.352960239639484</t>
  </si>
  <si>
    <t>0.216981589551034</t>
  </si>
  <si>
    <t>0.262835252632523</t>
  </si>
  <si>
    <t>0.0778149160429504</t>
  </si>
  <si>
    <t>0.24736993535466</t>
  </si>
  <si>
    <t>0.0911758796621512</t>
  </si>
  <si>
    <t>0.0590374601267526</t>
  </si>
  <si>
    <t>0.108389748260627</t>
  </si>
  <si>
    <t>0.225234903155361</t>
  </si>
  <si>
    <t>0.286822890213163</t>
  </si>
  <si>
    <t>0.305710856357449</t>
  </si>
  <si>
    <t>0.212860709867898</t>
  </si>
  <si>
    <t>0.243744793938763</t>
  </si>
  <si>
    <t>0.0597314031619775</t>
  </si>
  <si>
    <t>0.0392349216735808</t>
  </si>
  <si>
    <t>0.0738364721580574</t>
  </si>
  <si>
    <t>0.148515620405257</t>
  </si>
  <si>
    <t>0.133428670731237</t>
  </si>
  <si>
    <t>0.221262701689898</t>
  </si>
  <si>
    <t>0.354481751212833</t>
  </si>
  <si>
    <t>0.290386285253159</t>
  </si>
  <si>
    <t>0.111016153532811</t>
  </si>
  <si>
    <t>0.138650132568377</t>
  </si>
  <si>
    <t>0.114561779316934</t>
  </si>
  <si>
    <t>0.318507810567131</t>
  </si>
  <si>
    <t>0.155334648682992</t>
  </si>
  <si>
    <t>0.278528267750102</t>
  </si>
  <si>
    <t>0.130258823828041</t>
  </si>
  <si>
    <t>0.0200956302435496</t>
  </si>
  <si>
    <t>0.127686771732027</t>
  </si>
  <si>
    <t>0.122126085136939</t>
  </si>
  <si>
    <t>0.150986752555635</t>
  </si>
  <si>
    <t>0.154279728031508</t>
  </si>
  <si>
    <t>0.29696290717306</t>
  </si>
  <si>
    <t>0.0222983617632588</t>
  </si>
  <si>
    <t>0.1551321688667</t>
  </si>
  <si>
    <t>0.175281858283396</t>
  </si>
  <si>
    <t>0.0422999923213374</t>
  </si>
  <si>
    <t>0.172532722778996</t>
  </si>
  <si>
    <t>0.282160599218278</t>
  </si>
  <si>
    <t>0.133335809752696</t>
  </si>
  <si>
    <t>0.68915475418598</t>
  </si>
  <si>
    <t>0.0244620783592886</t>
  </si>
  <si>
    <t>0.0563230345910406</t>
  </si>
  <si>
    <t>0.0702252783232729</t>
  </si>
  <si>
    <t>0.168214265162618</t>
  </si>
  <si>
    <t>0.154446156724484</t>
  </si>
  <si>
    <t>0.215488223017969</t>
  </si>
  <si>
    <t>0.0595481628446013</t>
  </si>
  <si>
    <t>0.132518610661624</t>
  </si>
  <si>
    <t>0.212568358519543</t>
  </si>
  <si>
    <t>0.20290853017078</t>
  </si>
  <si>
    <t>0.081982075992533</t>
  </si>
  <si>
    <t>0.264636383846612</t>
  </si>
  <si>
    <t>0.0479589598114938</t>
  </si>
  <si>
    <t>0.126373308785173</t>
  </si>
  <si>
    <t>0.600726726322401</t>
  </si>
  <si>
    <t>0.0879171151400206</t>
  </si>
  <si>
    <t>0.0964902870933051</t>
  </si>
  <si>
    <t>0.244659089535931</t>
  </si>
  <si>
    <t>0.0915085157722859</t>
  </si>
  <si>
    <t>0.133077535838604</t>
  </si>
  <si>
    <t>0.0263980394218712</t>
  </si>
  <si>
    <t>0.273017601570766</t>
  </si>
  <si>
    <t>0.139920718233281</t>
  </si>
  <si>
    <t>0.359953222596198</t>
  </si>
  <si>
    <t>0.0483779273649969</t>
  </si>
  <si>
    <t>0.139248088111926</t>
  </si>
  <si>
    <t>0.131009625479288</t>
  </si>
  <si>
    <t>0.57386402372842</t>
  </si>
  <si>
    <t>0.313694141733872</t>
  </si>
  <si>
    <t>0.362229359492954</t>
  </si>
  <si>
    <t>0.197810505251761</t>
  </si>
  <si>
    <t>0.112834385956631</t>
  </si>
  <si>
    <t>0.278182650275495</t>
  </si>
  <si>
    <t>0.189144536006373</t>
  </si>
  <si>
    <t>0.126529747538375</t>
  </si>
  <si>
    <t>0.634011850913488</t>
  </si>
  <si>
    <t>0.170014975073703</t>
  </si>
  <si>
    <t>0.0143540623955644</t>
  </si>
  <si>
    <t>0.0464158137419942</t>
  </si>
  <si>
    <t>0.170568010496793</t>
  </si>
  <si>
    <t>0.0658991960570895</t>
  </si>
  <si>
    <t>0.295633608579814</t>
  </si>
  <si>
    <t>0.310940799649851</t>
  </si>
  <si>
    <t>0.207743950027211</t>
  </si>
  <si>
    <t>0.340132217857464</t>
  </si>
  <si>
    <t>0.477566784151075</t>
  </si>
  <si>
    <t>0.181044302561332</t>
  </si>
  <si>
    <t>0.240884598113073</t>
  </si>
  <si>
    <t>0.123362918329042</t>
  </si>
  <si>
    <t>0.13648873520865</t>
  </si>
  <si>
    <t>0.252397802014613</t>
  </si>
  <si>
    <t>0.288218100542274</t>
  </si>
  <si>
    <t>0.128814710059162</t>
  </si>
  <si>
    <t>0.0865242210160198</t>
  </si>
  <si>
    <t>0.10842626614299</t>
  </si>
  <si>
    <t>0.0321931570609509</t>
  </si>
  <si>
    <t>0.195031524656417</t>
  </si>
  <si>
    <t>0.121249735714367</t>
  </si>
  <si>
    <t>0.210701515123602</t>
  </si>
  <si>
    <t>0.228984760207579</t>
  </si>
  <si>
    <t>0.0866900281152519</t>
  </si>
  <si>
    <t>0.0430216882972059</t>
  </si>
  <si>
    <t>0.160982209684571</t>
  </si>
  <si>
    <t>0.034221384895547</t>
  </si>
  <si>
    <t>0.294535461220707</t>
  </si>
  <si>
    <t>0.0925371006839744</t>
  </si>
  <si>
    <t>0.106903450854341</t>
  </si>
  <si>
    <t>0.208392332693694</t>
  </si>
  <si>
    <t>Policy-Level Loss Distribution</t>
  </si>
  <si>
    <t>Empirical CDF of policy losses - sorted for a sanity check</t>
  </si>
  <si>
    <t>Loss</t>
  </si>
  <si>
    <t>CDF(Loss)</t>
  </si>
  <si>
    <t>CDF(Amount)</t>
  </si>
  <si>
    <t>0.458855245396317</t>
  </si>
  <si>
    <t>0.188202431286753</t>
  </si>
  <si>
    <t>0.29368745625744</t>
  </si>
  <si>
    <t>0.0796469409428623</t>
  </si>
  <si>
    <t>0.256716393831676</t>
  </si>
  <si>
    <t>0.0361423067672571</t>
  </si>
  <si>
    <t>0.260439786029275</t>
  </si>
  <si>
    <t>0.214715718654642</t>
  </si>
  <si>
    <t>0.508421923757872</t>
  </si>
  <si>
    <t>0.103562781039526</t>
  </si>
  <si>
    <t>0.112798970622592</t>
  </si>
  <si>
    <t>0.333046419156671</t>
  </si>
  <si>
    <t>0.238353186852029</t>
  </si>
  <si>
    <t>0.0598230374084094</t>
  </si>
  <si>
    <t>0.143714382137285</t>
  </si>
  <si>
    <t>0.0799086812228802</t>
  </si>
  <si>
    <t>0.204770169457386</t>
  </si>
  <si>
    <t>0.252316443260894</t>
  </si>
  <si>
    <t>0.160215642968126</t>
  </si>
  <si>
    <t>0.243023461118382</t>
  </si>
  <si>
    <t>0.0421544591470819</t>
  </si>
  <si>
    <t>0.221625627947178</t>
  </si>
  <si>
    <t>0.0630788457872836</t>
  </si>
  <si>
    <t>0.508457405358533</t>
  </si>
  <si>
    <t>0.0509171624081632</t>
  </si>
  <si>
    <t>0.127029558524224</t>
  </si>
  <si>
    <t>0.0267442787791515</t>
  </si>
  <si>
    <t>0.118855827349563</t>
  </si>
  <si>
    <t>0.165649611708698</t>
  </si>
  <si>
    <t>0.058953716139653</t>
  </si>
  <si>
    <t>0.104586815388059</t>
  </si>
  <si>
    <t>0.728336795073678</t>
  </si>
  <si>
    <t>0.192053838551062</t>
  </si>
  <si>
    <t>0.0157216242514928</t>
  </si>
  <si>
    <t>0.0530471336829493</t>
  </si>
  <si>
    <t>0.17891733225805</t>
  </si>
  <si>
    <t>0.168863963563093</t>
  </si>
  <si>
    <t>0.0804239128397639</t>
  </si>
  <si>
    <t>0.554063272674979</t>
  </si>
  <si>
    <t>0.45130579394148</t>
  </si>
  <si>
    <t>0.107734012377205</t>
  </si>
  <si>
    <t>0.153153016928135</t>
  </si>
  <si>
    <t>0.123064284019373</t>
  </si>
  <si>
    <t>0.310195386501077</t>
  </si>
  <si>
    <t>0.538068373272368</t>
  </si>
  <si>
    <t>0.0145816561117635</t>
  </si>
  <si>
    <t>0.11371551685023</t>
  </si>
  <si>
    <t>0.276838364198075</t>
  </si>
  <si>
    <t>0.110461078525918</t>
  </si>
  <si>
    <t>0.207641111703069</t>
  </si>
  <si>
    <t>0.12383652844482</t>
  </si>
  <si>
    <t>0.151923664307208</t>
  </si>
  <si>
    <t>0.551188074902486</t>
  </si>
  <si>
    <t>0.0585398791333869</t>
  </si>
  <si>
    <t>0.0684385364359441</t>
  </si>
  <si>
    <t>0.124493560405193</t>
  </si>
  <si>
    <t>0.0567518550334612</t>
  </si>
  <si>
    <t>0.13913234259288</t>
  </si>
  <si>
    <t>0.641627837990894</t>
  </si>
  <si>
    <t>0.167317587764376</t>
  </si>
  <si>
    <t>0.198854848774755</t>
  </si>
  <si>
    <t>0.170882490454842</t>
  </si>
  <si>
    <t>0.0255963588888772</t>
  </si>
  <si>
    <t>0.41061580411659</t>
  </si>
  <si>
    <t>0.00217102370678619</t>
  </si>
  <si>
    <t>0.302872409855417</t>
  </si>
  <si>
    <t>0.204554453567526</t>
  </si>
  <si>
    <t>0.155718064571479</t>
  </si>
  <si>
    <t>0.253224836507664</t>
  </si>
  <si>
    <t>0.175729991340334</t>
  </si>
  <si>
    <t>0.388394082577523</t>
  </si>
  <si>
    <t>0.174395526538995</t>
  </si>
  <si>
    <t>0.170716882619442</t>
  </si>
  <si>
    <t>0.334261251645658</t>
  </si>
  <si>
    <t>0.155834668938463</t>
  </si>
  <si>
    <t>0.281345821695966</t>
  </si>
  <si>
    <t>0.357969064927166</t>
  </si>
  <si>
    <t>0.249795670859779</t>
  </si>
  <si>
    <t>0.264041795158099</t>
  </si>
  <si>
    <t>0.385883808339143</t>
  </si>
  <si>
    <t>0.177429744003491</t>
  </si>
  <si>
    <t>0.0426341241569942</t>
  </si>
  <si>
    <t>0.117068393562324</t>
  </si>
  <si>
    <t>0.715946800365949</t>
  </si>
  <si>
    <t>0.0714544323084635</t>
  </si>
  <si>
    <t>0.133541714392693</t>
  </si>
  <si>
    <t>0.13145536059108</t>
  </si>
  <si>
    <t>0.177621414716852</t>
  </si>
  <si>
    <t>0.00310478366502322</t>
  </si>
  <si>
    <t>0.0739487877093164</t>
  </si>
  <si>
    <t>0.0372851544949149</t>
  </si>
  <si>
    <t>0.199108931404344</t>
  </si>
  <si>
    <t>0.233585689214948</t>
  </si>
  <si>
    <t>0.162844547253829</t>
  </si>
  <si>
    <t>0.196675150730522</t>
  </si>
  <si>
    <t>0.0118033216867853</t>
  </si>
  <si>
    <t>0.200204215170812</t>
  </si>
  <si>
    <t>0.0125495297394771</t>
  </si>
  <si>
    <t>0.181056241592299</t>
  </si>
  <si>
    <t>0.15653910249819</t>
  </si>
  <si>
    <t>0.130390703582056</t>
  </si>
  <si>
    <t>0.0462748002233719</t>
  </si>
  <si>
    <t>0.0649114096715285</t>
  </si>
  <si>
    <t>0.164089389554202</t>
  </si>
  <si>
    <t>0.153590261292027</t>
  </si>
  <si>
    <t>0.0668218972602776</t>
  </si>
  <si>
    <t>0.17306539521352</t>
  </si>
  <si>
    <t>0.153554554576033</t>
  </si>
  <si>
    <t>0.0770234706117017</t>
  </si>
  <si>
    <t>0.098213941854022</t>
  </si>
  <si>
    <t>0.0891711108528605</t>
  </si>
  <si>
    <t>0.455507650807177</t>
  </si>
  <si>
    <t>0.382307365375789</t>
  </si>
  <si>
    <t>0.0701585097050975</t>
  </si>
  <si>
    <t>0.0752744556426066</t>
  </si>
  <si>
    <t>0.209515062450267</t>
  </si>
  <si>
    <t>0.104836371205341</t>
  </si>
  <si>
    <t>0.074050355837289</t>
  </si>
  <si>
    <t>0.279181372033032</t>
  </si>
  <si>
    <t>0.0606728958880831</t>
  </si>
  <si>
    <t>0.182138249479999</t>
  </si>
  <si>
    <t>0.0614917975288589</t>
  </si>
  <si>
    <t>0.0412004875783878</t>
  </si>
  <si>
    <t>0.122574280721828</t>
  </si>
  <si>
    <t>0.0582129938308482</t>
  </si>
  <si>
    <t>0.0897006307850306</t>
  </si>
  <si>
    <t>0.246889281464542</t>
  </si>
  <si>
    <t>0.156018359251966</t>
  </si>
  <si>
    <t>0.287553935391309</t>
  </si>
  <si>
    <t>0.214588452736652</t>
  </si>
  <si>
    <t>0.195126725483685</t>
  </si>
  <si>
    <t>0.100893757452711</t>
  </si>
  <si>
    <t>0.133801303447787</t>
  </si>
  <si>
    <t>0.0893499574630145</t>
  </si>
  <si>
    <t>0.146249781295572</t>
  </si>
  <si>
    <t>0.105584661066281</t>
  </si>
  <si>
    <t>0.29025310115463</t>
  </si>
  <si>
    <t>0.0677599420440754</t>
  </si>
  <si>
    <t>0.247161751632104</t>
  </si>
  <si>
    <t>0.0701119056449104</t>
  </si>
  <si>
    <t>0.170482055192261</t>
  </si>
  <si>
    <t>0.213206796694854</t>
  </si>
  <si>
    <t>0.24644162523072</t>
  </si>
  <si>
    <t>0.104879167374598</t>
  </si>
  <si>
    <t>0.035898045232595</t>
  </si>
  <si>
    <t>0.210979524099244</t>
  </si>
  <si>
    <t>0.398644966645756</t>
  </si>
  <si>
    <t>0.336711557261893</t>
  </si>
  <si>
    <t>0.130193757697552</t>
  </si>
  <si>
    <t>0.263742042359405</t>
  </si>
  <si>
    <t>0.272447455123711</t>
  </si>
  <si>
    <t>0.107122638364737</t>
  </si>
  <si>
    <t>0.0641733663501882</t>
  </si>
  <si>
    <t>0.314093233131908</t>
  </si>
  <si>
    <t>0.286876011080049</t>
  </si>
  <si>
    <t>0.220066062928871</t>
  </si>
  <si>
    <t>0.0732857752201463</t>
  </si>
  <si>
    <t>0.0536150362656722</t>
  </si>
  <si>
    <t>0.176007004133986</t>
  </si>
  <si>
    <t>0.183032283301192</t>
  </si>
  <si>
    <t>0.248204292503801</t>
  </si>
  <si>
    <t>0.29494256494053</t>
  </si>
  <si>
    <t>0.168858886715522</t>
  </si>
  <si>
    <t>0.507743453199763</t>
  </si>
  <si>
    <t>0.319727189042813</t>
  </si>
  <si>
    <t>0.055313920154667</t>
  </si>
  <si>
    <t>0.137508312975419</t>
  </si>
  <si>
    <t>0.308922520471663</t>
  </si>
  <si>
    <t>0.20989060990799</t>
  </si>
  <si>
    <t>0.0230674038934581</t>
  </si>
  <si>
    <t>0.179902471943651</t>
  </si>
  <si>
    <t>0.109630807457716</t>
  </si>
  <si>
    <t>0.169802367547204</t>
  </si>
  <si>
    <t>0.521626582615622</t>
  </si>
  <si>
    <t>0.165017364881582</t>
  </si>
  <si>
    <t>0.0258357508925071</t>
  </si>
  <si>
    <t>0.0223038240941741</t>
  </si>
  <si>
    <t>0.373391991767554</t>
  </si>
  <si>
    <t>0.0877178551712564</t>
  </si>
  <si>
    <t>0.325154425313566</t>
  </si>
  <si>
    <t>0.178888197089128</t>
  </si>
  <si>
    <t>0.0728536233247627</t>
  </si>
  <si>
    <t>0.170323558722065</t>
  </si>
  <si>
    <t>0.27345400977506</t>
  </si>
  <si>
    <t>0.00929541539257509</t>
  </si>
  <si>
    <t>0.180818114750139</t>
  </si>
  <si>
    <t>0.273387109594787</t>
  </si>
  <si>
    <t>0.165198016412749</t>
  </si>
  <si>
    <t>0.166893038813828</t>
  </si>
  <si>
    <t>0.147831571293941</t>
  </si>
  <si>
    <t>0.0101874301625718</t>
  </si>
  <si>
    <t>0.131287638119457</t>
  </si>
  <si>
    <t>0.132325906058314</t>
  </si>
  <si>
    <t>0.0798215054924011</t>
  </si>
  <si>
    <t>0.0679195316432553</t>
  </si>
  <si>
    <t>0.331232743609719</t>
  </si>
  <si>
    <t>0.184273068389555</t>
  </si>
  <si>
    <t>0.166700975651247</t>
  </si>
  <si>
    <t>0.0473968166840039</t>
  </si>
  <si>
    <t>0.150917783831714</t>
  </si>
  <si>
    <t>0.212211601139024</t>
  </si>
  <si>
    <t>0.170680398352948</t>
  </si>
  <si>
    <t>0.048376843543225</t>
  </si>
  <si>
    <t>0.142526118194156</t>
  </si>
  <si>
    <t>0.0412982044364622</t>
  </si>
  <si>
    <t>0.227960456819757</t>
  </si>
  <si>
    <t>0.0701936651947132</t>
  </si>
  <si>
    <t>0.127377186412286</t>
  </si>
  <si>
    <t>0.0429864476502205</t>
  </si>
  <si>
    <t>0.110029908535503</t>
  </si>
  <si>
    <t>0.0438634564580156</t>
  </si>
  <si>
    <t>0.134369055893649</t>
  </si>
  <si>
    <t>0.487853383182512</t>
  </si>
  <si>
    <t>0.157985178662431</t>
  </si>
  <si>
    <t>0.0520972742849249</t>
  </si>
  <si>
    <t>0.336535891478305</t>
  </si>
  <si>
    <t>0.0356566557298362</t>
  </si>
  <si>
    <t>0.050798795826713</t>
  </si>
  <si>
    <t>0.0765876495183913</t>
  </si>
  <si>
    <t>0.0391570435444127</t>
  </si>
  <si>
    <t>0.0868649925277425</t>
  </si>
  <si>
    <t>0.0794583641057566</t>
  </si>
  <si>
    <t>0.227782384042795</t>
  </si>
  <si>
    <t>0.270135489052185</t>
  </si>
  <si>
    <t>0.186898190721365</t>
  </si>
  <si>
    <t>0.0634840699882555</t>
  </si>
  <si>
    <t>0.104162111072632</t>
  </si>
  <si>
    <t>0.14069936399427</t>
  </si>
  <si>
    <t>0.0537231367507218</t>
  </si>
  <si>
    <t>0.0460824196928082</t>
  </si>
  <si>
    <t>0.106382130341129</t>
  </si>
  <si>
    <t>0.0847846977253462</t>
  </si>
  <si>
    <t>0.430953647772258</t>
  </si>
  <si>
    <t>0.202511214244798</t>
  </si>
  <si>
    <t>0.602289052507637</t>
  </si>
  <si>
    <t>0.190316912150453</t>
  </si>
  <si>
    <t>0.16560100010067</t>
  </si>
  <si>
    <t>0.154792847051134</t>
  </si>
  <si>
    <t>0.190734367504455</t>
  </si>
  <si>
    <t>0.0906621752793196</t>
  </si>
  <si>
    <t>0.178385244528363</t>
  </si>
  <si>
    <t>0.101795842580063</t>
  </si>
  <si>
    <t>0.0225995371258914</t>
  </si>
  <si>
    <t>0.351358598335681</t>
  </si>
  <si>
    <t>0.155565320644748</t>
  </si>
  <si>
    <t>0.0709866020668428</t>
  </si>
  <si>
    <t>0.287629499697811</t>
  </si>
  <si>
    <t>0.263093781347037</t>
  </si>
  <si>
    <t>0.221969163060645</t>
  </si>
  <si>
    <t>0.179692156203418</t>
  </si>
  <si>
    <t>0.168007711829294</t>
  </si>
  <si>
    <t>0.111289965749525</t>
  </si>
  <si>
    <t>0.0449260840162111</t>
  </si>
  <si>
    <t>0.218446871106576</t>
  </si>
  <si>
    <t>0.332666155378861</t>
  </si>
  <si>
    <t>0.272397869441528</t>
  </si>
  <si>
    <t>0.0430983387487262</t>
  </si>
  <si>
    <t>0.188916455378519</t>
  </si>
  <si>
    <t>0.238778805636379</t>
  </si>
  <si>
    <t>0.144126246348309</t>
  </si>
  <si>
    <t>0.150547017521179</t>
  </si>
  <si>
    <t>0.0285352550227671</t>
  </si>
  <si>
    <t>0.29049431961333</t>
  </si>
  <si>
    <t>0.112943786595968</t>
  </si>
  <si>
    <t>0.0656635796791401</t>
  </si>
  <si>
    <t>0.303593200119675</t>
  </si>
  <si>
    <t>0.139741087606466</t>
  </si>
  <si>
    <t>0.0934254643387492</t>
  </si>
  <si>
    <t>0.200338725536628</t>
  </si>
  <si>
    <t>0.0666833146100483</t>
  </si>
  <si>
    <t>0.124119152702706</t>
  </si>
  <si>
    <t>0.0496476270189738</t>
  </si>
  <si>
    <t>0.114130012856241</t>
  </si>
  <si>
    <t>0.063110517905019</t>
  </si>
  <si>
    <t>0.061410250575872</t>
  </si>
  <si>
    <t>0.161072324179888</t>
  </si>
  <si>
    <t>0.0625429397150184</t>
  </si>
  <si>
    <t>0.255447673545909</t>
  </si>
  <si>
    <t>0.136186097737371</t>
  </si>
  <si>
    <t>0.203386088622377</t>
  </si>
  <si>
    <t>0.183933706609231</t>
  </si>
  <si>
    <t>0.308857852604465</t>
  </si>
  <si>
    <t>0.0227291442060373</t>
  </si>
  <si>
    <t>0.374744075732911</t>
  </si>
  <si>
    <t>0.101166730100262</t>
  </si>
  <si>
    <t>0.172736053093387</t>
  </si>
  <si>
    <t>0.111143617919181</t>
  </si>
  <si>
    <t>Claim Frequency</t>
  </si>
  <si>
    <t>Note: this is the distribution of the number of claims per policy</t>
  </si>
  <si>
    <t>Claim Severity</t>
  </si>
  <si>
    <t>Note: this is the distribution of claim amounts</t>
  </si>
  <si>
    <t>Note: this is the distribution of total claims for each policy</t>
  </si>
  <si>
    <t>Total Losses</t>
  </si>
  <si>
    <t>Inputs</t>
  </si>
  <si>
    <t>Policies With Claims</t>
  </si>
  <si>
    <t>Median</t>
  </si>
  <si>
    <t>Total Claims (Frequency)</t>
  </si>
  <si>
    <t>Total Losses (Severity)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</si>
</sst>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9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2"/>
      <color rgb="FF00000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4" fontId="5" fillId="0" borderId="0" applyFont="0" applyFill="0" applyBorder="0" applyAlignment="0" applyProtection="0"/>
    <xf numFmtId="0" fontId="7" fillId="0" borderId="2" applyNumberFormat="0" applyFill="0" applyAlignment="0" applyProtection="0"/>
  </cellStyleXfs>
  <cellXfs count="18">
    <xf numFmtId="0" fontId="0" fillId="0" borderId="0" xfId="0"/>
    <xf numFmtId="14" fontId="0" fillId="0" borderId="0" xfId="0" applyNumberFormat="1"/>
    <xf numFmtId="0" fontId="1" fillId="2" borderId="1" xfId="1"/>
    <xf numFmtId="0" fontId="0" fillId="4" borderId="0" xfId="0" applyFill="1"/>
    <xf numFmtId="0" fontId="1" fillId="2" borderId="1" xfId="1" applyAlignment="1">
      <alignment horizontal="right"/>
    </xf>
    <xf numFmtId="11" fontId="0" fillId="0" borderId="0" xfId="0" applyNumberFormat="1"/>
    <xf numFmtId="0" fontId="3" fillId="0" borderId="0" xfId="0" applyFont="1"/>
    <xf numFmtId="44" fontId="0" fillId="0" borderId="0" xfId="2" applyFon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0" borderId="2" xfId="3" applyAlignment="1">
      <alignment horizontal="center"/>
    </xf>
    <xf numFmtId="0" fontId="0" fillId="0" borderId="0" xfId="0" applyNumberFormat="1"/>
    <xf numFmtId="164" fontId="0" fillId="0" borderId="0" xfId="0" applyNumberFormat="1"/>
    <xf numFmtId="164" fontId="0" fillId="0" borderId="0" xfId="2" applyNumberFormat="1" applyFont="1"/>
    <xf numFmtId="0" fontId="0" fillId="0" borderId="2" xfId="0" applyBorder="1" applyAlignment="1">
      <alignment horizontal="center"/>
    </xf>
  </cellXfs>
  <cellStyles count="4">
    <cellStyle name="Currency" xfId="2" builtinId="4"/>
    <cellStyle name="Heading 1" xfId="3" builtinId="16"/>
    <cellStyle name="Input" xfId="1" builtinId="20"/>
    <cellStyle name="Normal" xfId="0" builtinId="0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0" formatCode="General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489"/>
                <c:pt idx="0">
                  <c:v>0.75241908729899998</c:v>
                </c:pt>
                <c:pt idx="1">
                  <c:v>0.75009966930289496</c:v>
                </c:pt>
                <c:pt idx="2">
                  <c:v>0.74981548395261599</c:v>
                </c:pt>
                <c:pt idx="3">
                  <c:v>0.72833679507367799</c:v>
                </c:pt>
                <c:pt idx="4">
                  <c:v>0.71594680036594904</c:v>
                </c:pt>
                <c:pt idx="5">
                  <c:v>0.68915475418598005</c:v>
                </c:pt>
                <c:pt idx="6">
                  <c:v>0.64185437693580405</c:v>
                </c:pt>
                <c:pt idx="7">
                  <c:v>0.64162783799089396</c:v>
                </c:pt>
                <c:pt idx="8">
                  <c:v>0.634011850913488</c:v>
                </c:pt>
                <c:pt idx="9">
                  <c:v>0.60228905250763698</c:v>
                </c:pt>
                <c:pt idx="10">
                  <c:v>0.60072672632240098</c:v>
                </c:pt>
                <c:pt idx="11">
                  <c:v>0.57386402372842005</c:v>
                </c:pt>
                <c:pt idx="12">
                  <c:v>0.55406327267497901</c:v>
                </c:pt>
                <c:pt idx="13">
                  <c:v>0.551188074902486</c:v>
                </c:pt>
                <c:pt idx="14">
                  <c:v>0.53806837327236801</c:v>
                </c:pt>
                <c:pt idx="15">
                  <c:v>0.521626582615622</c:v>
                </c:pt>
                <c:pt idx="16">
                  <c:v>0.51259175638871002</c:v>
                </c:pt>
                <c:pt idx="17">
                  <c:v>0.50845740535853301</c:v>
                </c:pt>
                <c:pt idx="18">
                  <c:v>0.50842192375787199</c:v>
                </c:pt>
                <c:pt idx="19">
                  <c:v>0.507743453199763</c:v>
                </c:pt>
                <c:pt idx="20">
                  <c:v>0.48785338318251198</c:v>
                </c:pt>
                <c:pt idx="21">
                  <c:v>0.47756678415107501</c:v>
                </c:pt>
                <c:pt idx="22">
                  <c:v>0.458855245396317</c:v>
                </c:pt>
                <c:pt idx="23">
                  <c:v>0.45550765080717698</c:v>
                </c:pt>
                <c:pt idx="24">
                  <c:v>0.45130579394148002</c:v>
                </c:pt>
                <c:pt idx="25">
                  <c:v>0.43095364777225798</c:v>
                </c:pt>
                <c:pt idx="26">
                  <c:v>0.42206667201291398</c:v>
                </c:pt>
                <c:pt idx="27">
                  <c:v>0.41061580411658999</c:v>
                </c:pt>
                <c:pt idx="28">
                  <c:v>0.39864496664575599</c:v>
                </c:pt>
                <c:pt idx="29">
                  <c:v>0.388394082577523</c:v>
                </c:pt>
                <c:pt idx="30">
                  <c:v>0.38588380833914299</c:v>
                </c:pt>
                <c:pt idx="31">
                  <c:v>0.38261164632753603</c:v>
                </c:pt>
                <c:pt idx="32">
                  <c:v>0.38230736537578902</c:v>
                </c:pt>
                <c:pt idx="33">
                  <c:v>0.38177311221424898</c:v>
                </c:pt>
                <c:pt idx="34">
                  <c:v>0.37479833806122398</c:v>
                </c:pt>
                <c:pt idx="35">
                  <c:v>0.37474407573291102</c:v>
                </c:pt>
                <c:pt idx="36">
                  <c:v>0.373391991767554</c:v>
                </c:pt>
                <c:pt idx="37">
                  <c:v>0.36222935949295398</c:v>
                </c:pt>
                <c:pt idx="38">
                  <c:v>0.359953222596198</c:v>
                </c:pt>
                <c:pt idx="39">
                  <c:v>0.35899571617364201</c:v>
                </c:pt>
                <c:pt idx="40">
                  <c:v>0.35796906492716601</c:v>
                </c:pt>
                <c:pt idx="41">
                  <c:v>0.356739411300461</c:v>
                </c:pt>
                <c:pt idx="42">
                  <c:v>0.35448175121283299</c:v>
                </c:pt>
                <c:pt idx="43">
                  <c:v>0.35296023963948397</c:v>
                </c:pt>
                <c:pt idx="44">
                  <c:v>0.351358598335681</c:v>
                </c:pt>
                <c:pt idx="45">
                  <c:v>0.340132217857464</c:v>
                </c:pt>
                <c:pt idx="46">
                  <c:v>0.336711557261893</c:v>
                </c:pt>
                <c:pt idx="47">
                  <c:v>0.33653589147830498</c:v>
                </c:pt>
                <c:pt idx="48">
                  <c:v>0.33426125164565801</c:v>
                </c:pt>
                <c:pt idx="49">
                  <c:v>0.33304641915667099</c:v>
                </c:pt>
                <c:pt idx="50">
                  <c:v>0.33266615537886102</c:v>
                </c:pt>
                <c:pt idx="51">
                  <c:v>0.33123274360971899</c:v>
                </c:pt>
                <c:pt idx="52">
                  <c:v>0.32515442531356598</c:v>
                </c:pt>
                <c:pt idx="53">
                  <c:v>0.319727189042813</c:v>
                </c:pt>
                <c:pt idx="54">
                  <c:v>0.31850781056713101</c:v>
                </c:pt>
                <c:pt idx="55">
                  <c:v>0.31409323313190801</c:v>
                </c:pt>
                <c:pt idx="56">
                  <c:v>0.313694141733872</c:v>
                </c:pt>
                <c:pt idx="57">
                  <c:v>0.31318286247308502</c:v>
                </c:pt>
                <c:pt idx="58">
                  <c:v>0.310940799649851</c:v>
                </c:pt>
                <c:pt idx="59">
                  <c:v>0.31019538650107698</c:v>
                </c:pt>
                <c:pt idx="60">
                  <c:v>0.30892252047166302</c:v>
                </c:pt>
                <c:pt idx="61">
                  <c:v>0.30885785260446502</c:v>
                </c:pt>
                <c:pt idx="62">
                  <c:v>0.30678735921811801</c:v>
                </c:pt>
                <c:pt idx="63">
                  <c:v>0.30571085635744899</c:v>
                </c:pt>
                <c:pt idx="64">
                  <c:v>0.303593200119675</c:v>
                </c:pt>
                <c:pt idx="65">
                  <c:v>0.30325138366186</c:v>
                </c:pt>
                <c:pt idx="66">
                  <c:v>0.30287240985541702</c:v>
                </c:pt>
                <c:pt idx="67">
                  <c:v>0.30130781255732603</c:v>
                </c:pt>
                <c:pt idx="68">
                  <c:v>0.29696290717306001</c:v>
                </c:pt>
                <c:pt idx="69">
                  <c:v>0.29563360857981402</c:v>
                </c:pt>
                <c:pt idx="70">
                  <c:v>0.29494256494053001</c:v>
                </c:pt>
                <c:pt idx="71">
                  <c:v>0.29453546122070701</c:v>
                </c:pt>
                <c:pt idx="72">
                  <c:v>0.29420785741074501</c:v>
                </c:pt>
                <c:pt idx="73">
                  <c:v>0.29368745625744003</c:v>
                </c:pt>
                <c:pt idx="74">
                  <c:v>0.29049431961333</c:v>
                </c:pt>
                <c:pt idx="75">
                  <c:v>0.29038628525315902</c:v>
                </c:pt>
                <c:pt idx="76">
                  <c:v>0.29025310115462999</c:v>
                </c:pt>
                <c:pt idx="77">
                  <c:v>0.28821810054227398</c:v>
                </c:pt>
                <c:pt idx="78">
                  <c:v>0.28762949969781099</c:v>
                </c:pt>
                <c:pt idx="79">
                  <c:v>0.28755393539130902</c:v>
                </c:pt>
                <c:pt idx="80">
                  <c:v>0.28687601108004901</c:v>
                </c:pt>
                <c:pt idx="81">
                  <c:v>0.28682289021316298</c:v>
                </c:pt>
                <c:pt idx="82">
                  <c:v>0.28579976319780298</c:v>
                </c:pt>
                <c:pt idx="83">
                  <c:v>0.28386160296985102</c:v>
                </c:pt>
                <c:pt idx="84">
                  <c:v>0.28216059921827802</c:v>
                </c:pt>
                <c:pt idx="85">
                  <c:v>0.281345821695966</c:v>
                </c:pt>
                <c:pt idx="86">
                  <c:v>0.28009561396490201</c:v>
                </c:pt>
                <c:pt idx="87">
                  <c:v>0.279181372033032</c:v>
                </c:pt>
                <c:pt idx="88">
                  <c:v>0.27852826775010198</c:v>
                </c:pt>
                <c:pt idx="89">
                  <c:v>0.27818265027549499</c:v>
                </c:pt>
                <c:pt idx="90">
                  <c:v>0.27757814902231298</c:v>
                </c:pt>
                <c:pt idx="91">
                  <c:v>0.276838364198075</c:v>
                </c:pt>
                <c:pt idx="92">
                  <c:v>0.27345400977506001</c:v>
                </c:pt>
                <c:pt idx="93">
                  <c:v>0.27338710959478701</c:v>
                </c:pt>
                <c:pt idx="94">
                  <c:v>0.273142709948556</c:v>
                </c:pt>
                <c:pt idx="95">
                  <c:v>0.27301760157076599</c:v>
                </c:pt>
                <c:pt idx="96">
                  <c:v>0.27244745512371099</c:v>
                </c:pt>
                <c:pt idx="97">
                  <c:v>0.272397869441528</c:v>
                </c:pt>
                <c:pt idx="98">
                  <c:v>0.27144640065078202</c:v>
                </c:pt>
                <c:pt idx="99">
                  <c:v>0.27013548905218498</c:v>
                </c:pt>
                <c:pt idx="100">
                  <c:v>0.26463638384661198</c:v>
                </c:pt>
                <c:pt idx="101">
                  <c:v>0.264041795158099</c:v>
                </c:pt>
                <c:pt idx="102">
                  <c:v>0.26374204235940502</c:v>
                </c:pt>
                <c:pt idx="103">
                  <c:v>0.263478185814358</c:v>
                </c:pt>
                <c:pt idx="104">
                  <c:v>0.26309378134703698</c:v>
                </c:pt>
                <c:pt idx="105">
                  <c:v>0.262835252632523</c:v>
                </c:pt>
                <c:pt idx="106">
                  <c:v>0.26272619011071602</c:v>
                </c:pt>
                <c:pt idx="107">
                  <c:v>0.26220123492320901</c:v>
                </c:pt>
                <c:pt idx="108">
                  <c:v>0.26043978602927498</c:v>
                </c:pt>
                <c:pt idx="109">
                  <c:v>0.25777920599953302</c:v>
                </c:pt>
                <c:pt idx="110">
                  <c:v>0.25671639383167599</c:v>
                </c:pt>
                <c:pt idx="111">
                  <c:v>0.2563322577928</c:v>
                </c:pt>
                <c:pt idx="112">
                  <c:v>0.25544767354590903</c:v>
                </c:pt>
                <c:pt idx="113">
                  <c:v>0.25322483650766398</c:v>
                </c:pt>
                <c:pt idx="114">
                  <c:v>0.25239780201461298</c:v>
                </c:pt>
                <c:pt idx="115">
                  <c:v>0.25231644326089397</c:v>
                </c:pt>
                <c:pt idx="116">
                  <c:v>0.25212165912138201</c:v>
                </c:pt>
                <c:pt idx="117">
                  <c:v>0.251261118008413</c:v>
                </c:pt>
                <c:pt idx="118">
                  <c:v>0.249795670859779</c:v>
                </c:pt>
                <c:pt idx="119">
                  <c:v>0.24820429250380099</c:v>
                </c:pt>
                <c:pt idx="120">
                  <c:v>0.24736993535466001</c:v>
                </c:pt>
                <c:pt idx="121">
                  <c:v>0.24716175163210399</c:v>
                </c:pt>
                <c:pt idx="122">
                  <c:v>0.246889281464542</c:v>
                </c:pt>
                <c:pt idx="123">
                  <c:v>0.24644162523072</c:v>
                </c:pt>
                <c:pt idx="124">
                  <c:v>0.24465908953593099</c:v>
                </c:pt>
                <c:pt idx="125">
                  <c:v>0.243744793938763</c:v>
                </c:pt>
                <c:pt idx="126">
                  <c:v>0.24302346111838199</c:v>
                </c:pt>
                <c:pt idx="127">
                  <c:v>0.24189612394257401</c:v>
                </c:pt>
                <c:pt idx="128">
                  <c:v>0.240884598113073</c:v>
                </c:pt>
                <c:pt idx="129">
                  <c:v>0.23877880563637899</c:v>
                </c:pt>
                <c:pt idx="130">
                  <c:v>0.238353186852029</c:v>
                </c:pt>
                <c:pt idx="131">
                  <c:v>0.23454373271985901</c:v>
                </c:pt>
                <c:pt idx="132">
                  <c:v>0.23358568921494799</c:v>
                </c:pt>
                <c:pt idx="133">
                  <c:v>0.22898476020757899</c:v>
                </c:pt>
                <c:pt idx="134">
                  <c:v>0.22796045681975699</c:v>
                </c:pt>
                <c:pt idx="135">
                  <c:v>0.22778238404279499</c:v>
                </c:pt>
                <c:pt idx="136">
                  <c:v>0.22699301688812801</c:v>
                </c:pt>
                <c:pt idx="137">
                  <c:v>0.22523490315536099</c:v>
                </c:pt>
                <c:pt idx="138">
                  <c:v>0.222844577105727</c:v>
                </c:pt>
                <c:pt idx="139">
                  <c:v>0.22198184210665201</c:v>
                </c:pt>
                <c:pt idx="140">
                  <c:v>0.22196916306064499</c:v>
                </c:pt>
                <c:pt idx="141">
                  <c:v>0.22162562794717799</c:v>
                </c:pt>
                <c:pt idx="142">
                  <c:v>0.22126270168989801</c:v>
                </c:pt>
                <c:pt idx="143">
                  <c:v>0.22006606292887099</c:v>
                </c:pt>
                <c:pt idx="144">
                  <c:v>0.21844687110657601</c:v>
                </c:pt>
                <c:pt idx="145">
                  <c:v>0.218087868249906</c:v>
                </c:pt>
                <c:pt idx="146">
                  <c:v>0.216981589551034</c:v>
                </c:pt>
                <c:pt idx="147">
                  <c:v>0.216386645153851</c:v>
                </c:pt>
                <c:pt idx="148">
                  <c:v>0.21556214180327199</c:v>
                </c:pt>
                <c:pt idx="149">
                  <c:v>0.21548822301796899</c:v>
                </c:pt>
                <c:pt idx="150">
                  <c:v>0.21471571865464201</c:v>
                </c:pt>
                <c:pt idx="151">
                  <c:v>0.214588452736652</c:v>
                </c:pt>
                <c:pt idx="152">
                  <c:v>0.21320679669485401</c:v>
                </c:pt>
                <c:pt idx="153">
                  <c:v>0.21312037070500101</c:v>
                </c:pt>
                <c:pt idx="154">
                  <c:v>0.21286070986789801</c:v>
                </c:pt>
                <c:pt idx="155">
                  <c:v>0.212568358519543</c:v>
                </c:pt>
                <c:pt idx="156">
                  <c:v>0.21221160113902399</c:v>
                </c:pt>
                <c:pt idx="157">
                  <c:v>0.210979524099244</c:v>
                </c:pt>
                <c:pt idx="158">
                  <c:v>0.210701515123602</c:v>
                </c:pt>
                <c:pt idx="159">
                  <c:v>0.20989060990798999</c:v>
                </c:pt>
                <c:pt idx="160">
                  <c:v>0.20951506245026699</c:v>
                </c:pt>
                <c:pt idx="161">
                  <c:v>0.208392332693694</c:v>
                </c:pt>
                <c:pt idx="162">
                  <c:v>0.20774395002721099</c:v>
                </c:pt>
                <c:pt idx="163">
                  <c:v>0.20764111170306901</c:v>
                </c:pt>
                <c:pt idx="164">
                  <c:v>0.20477016945738599</c:v>
                </c:pt>
                <c:pt idx="165">
                  <c:v>0.20462238616769901</c:v>
                </c:pt>
                <c:pt idx="166">
                  <c:v>0.204554453567526</c:v>
                </c:pt>
                <c:pt idx="167">
                  <c:v>0.203386088622377</c:v>
                </c:pt>
                <c:pt idx="168">
                  <c:v>0.20290853017078</c:v>
                </c:pt>
                <c:pt idx="169">
                  <c:v>0.20251121424479801</c:v>
                </c:pt>
                <c:pt idx="170">
                  <c:v>0.20033872553662799</c:v>
                </c:pt>
                <c:pt idx="171">
                  <c:v>0.20020421517081199</c:v>
                </c:pt>
                <c:pt idx="172">
                  <c:v>0.19910893140434399</c:v>
                </c:pt>
                <c:pt idx="173">
                  <c:v>0.19885484877475501</c:v>
                </c:pt>
                <c:pt idx="174">
                  <c:v>0.197810505251761</c:v>
                </c:pt>
                <c:pt idx="175">
                  <c:v>0.196675150730522</c:v>
                </c:pt>
                <c:pt idx="176">
                  <c:v>0.195525415822038</c:v>
                </c:pt>
                <c:pt idx="177">
                  <c:v>0.19512672548368501</c:v>
                </c:pt>
                <c:pt idx="178">
                  <c:v>0.19503152465641699</c:v>
                </c:pt>
                <c:pt idx="179">
                  <c:v>0.19205383855106201</c:v>
                </c:pt>
                <c:pt idx="180">
                  <c:v>0.19073436750445499</c:v>
                </c:pt>
                <c:pt idx="181">
                  <c:v>0.19031691215045299</c:v>
                </c:pt>
                <c:pt idx="182">
                  <c:v>0.18969606299959199</c:v>
                </c:pt>
                <c:pt idx="183">
                  <c:v>0.18914453600637299</c:v>
                </c:pt>
                <c:pt idx="184">
                  <c:v>0.188916455378519</c:v>
                </c:pt>
                <c:pt idx="185">
                  <c:v>0.18820243128675301</c:v>
                </c:pt>
                <c:pt idx="186">
                  <c:v>0.187129400944608</c:v>
                </c:pt>
                <c:pt idx="187">
                  <c:v>0.18689819072136499</c:v>
                </c:pt>
                <c:pt idx="188">
                  <c:v>0.186481078830316</c:v>
                </c:pt>
                <c:pt idx="189">
                  <c:v>0.18427306838955501</c:v>
                </c:pt>
                <c:pt idx="190">
                  <c:v>0.183933706609231</c:v>
                </c:pt>
                <c:pt idx="191">
                  <c:v>0.18303228330119201</c:v>
                </c:pt>
                <c:pt idx="192">
                  <c:v>0.18213824947999899</c:v>
                </c:pt>
                <c:pt idx="193">
                  <c:v>0.18190042067043699</c:v>
                </c:pt>
                <c:pt idx="194">
                  <c:v>0.18105624159229899</c:v>
                </c:pt>
                <c:pt idx="195">
                  <c:v>0.181044302561332</c:v>
                </c:pt>
                <c:pt idx="196">
                  <c:v>0.18081811475013901</c:v>
                </c:pt>
                <c:pt idx="197">
                  <c:v>0.179902471943651</c:v>
                </c:pt>
                <c:pt idx="198">
                  <c:v>0.179692156203418</c:v>
                </c:pt>
                <c:pt idx="199">
                  <c:v>0.17891733225805001</c:v>
                </c:pt>
                <c:pt idx="200">
                  <c:v>0.17888819708912801</c:v>
                </c:pt>
                <c:pt idx="201">
                  <c:v>0.17838524452836299</c:v>
                </c:pt>
                <c:pt idx="202">
                  <c:v>0.177621414716852</c:v>
                </c:pt>
                <c:pt idx="203">
                  <c:v>0.17742974400349101</c:v>
                </c:pt>
                <c:pt idx="204">
                  <c:v>0.17655947315892101</c:v>
                </c:pt>
                <c:pt idx="205">
                  <c:v>0.17600700413398601</c:v>
                </c:pt>
                <c:pt idx="206">
                  <c:v>0.175762251774048</c:v>
                </c:pt>
                <c:pt idx="207">
                  <c:v>0.17572999134033401</c:v>
                </c:pt>
                <c:pt idx="208">
                  <c:v>0.17528185828339601</c:v>
                </c:pt>
                <c:pt idx="209">
                  <c:v>0.17439552653899501</c:v>
                </c:pt>
                <c:pt idx="210">
                  <c:v>0.17306539521351999</c:v>
                </c:pt>
                <c:pt idx="211">
                  <c:v>0.17284916445308601</c:v>
                </c:pt>
                <c:pt idx="212">
                  <c:v>0.17273605309338699</c:v>
                </c:pt>
                <c:pt idx="213">
                  <c:v>0.17253272277899601</c:v>
                </c:pt>
                <c:pt idx="214">
                  <c:v>0.172316755714017</c:v>
                </c:pt>
                <c:pt idx="215">
                  <c:v>0.17110625292599899</c:v>
                </c:pt>
                <c:pt idx="216">
                  <c:v>0.170882490454842</c:v>
                </c:pt>
                <c:pt idx="217">
                  <c:v>0.17071688261944201</c:v>
                </c:pt>
                <c:pt idx="218">
                  <c:v>0.17068039835294799</c:v>
                </c:pt>
                <c:pt idx="219">
                  <c:v>0.17056801049679299</c:v>
                </c:pt>
                <c:pt idx="220">
                  <c:v>0.17048205519226101</c:v>
                </c:pt>
                <c:pt idx="221">
                  <c:v>0.170323558722065</c:v>
                </c:pt>
                <c:pt idx="222">
                  <c:v>0.170014975073703</c:v>
                </c:pt>
                <c:pt idx="223">
                  <c:v>0.16980236754720399</c:v>
                </c:pt>
                <c:pt idx="224">
                  <c:v>0.16886396356309299</c:v>
                </c:pt>
                <c:pt idx="225">
                  <c:v>0.16885888671552199</c:v>
                </c:pt>
                <c:pt idx="226">
                  <c:v>0.168214265162618</c:v>
                </c:pt>
                <c:pt idx="227">
                  <c:v>0.168007711829294</c:v>
                </c:pt>
                <c:pt idx="228">
                  <c:v>0.167317587764376</c:v>
                </c:pt>
                <c:pt idx="229">
                  <c:v>0.166893038813828</c:v>
                </c:pt>
                <c:pt idx="230">
                  <c:v>0.166700975651247</c:v>
                </c:pt>
                <c:pt idx="231">
                  <c:v>0.16564961170869799</c:v>
                </c:pt>
                <c:pt idx="232">
                  <c:v>0.16560100010067</c:v>
                </c:pt>
                <c:pt idx="233">
                  <c:v>0.165198016412749</c:v>
                </c:pt>
                <c:pt idx="234">
                  <c:v>0.165017364881582</c:v>
                </c:pt>
                <c:pt idx="235">
                  <c:v>0.16421729579928901</c:v>
                </c:pt>
                <c:pt idx="236">
                  <c:v>0.16408938955420199</c:v>
                </c:pt>
                <c:pt idx="237">
                  <c:v>0.16284454725382899</c:v>
                </c:pt>
                <c:pt idx="238">
                  <c:v>0.16177819505434701</c:v>
                </c:pt>
                <c:pt idx="239">
                  <c:v>0.16107232417988801</c:v>
                </c:pt>
                <c:pt idx="240">
                  <c:v>0.160982209684571</c:v>
                </c:pt>
                <c:pt idx="241">
                  <c:v>0.160235418331441</c:v>
                </c:pt>
                <c:pt idx="242">
                  <c:v>0.16021564296812599</c:v>
                </c:pt>
                <c:pt idx="243">
                  <c:v>0.157985178662431</c:v>
                </c:pt>
                <c:pt idx="244">
                  <c:v>0.157145007123487</c:v>
                </c:pt>
                <c:pt idx="245">
                  <c:v>0.15653910249819</c:v>
                </c:pt>
                <c:pt idx="246">
                  <c:v>0.156018359251966</c:v>
                </c:pt>
                <c:pt idx="247">
                  <c:v>0.15583466893846301</c:v>
                </c:pt>
                <c:pt idx="248">
                  <c:v>0.15571806457147899</c:v>
                </c:pt>
                <c:pt idx="249">
                  <c:v>0.15556532064474801</c:v>
                </c:pt>
                <c:pt idx="250">
                  <c:v>0.15533464868299199</c:v>
                </c:pt>
                <c:pt idx="251">
                  <c:v>0.1551321688667</c:v>
                </c:pt>
                <c:pt idx="252">
                  <c:v>0.154792847051134</c:v>
                </c:pt>
                <c:pt idx="253">
                  <c:v>0.154446156724484</c:v>
                </c:pt>
                <c:pt idx="254">
                  <c:v>0.15436910333484399</c:v>
                </c:pt>
                <c:pt idx="255">
                  <c:v>0.15432570630515699</c:v>
                </c:pt>
                <c:pt idx="256">
                  <c:v>0.154279728031508</c:v>
                </c:pt>
                <c:pt idx="257">
                  <c:v>0.15359026129202699</c:v>
                </c:pt>
                <c:pt idx="258">
                  <c:v>0.15355455457603301</c:v>
                </c:pt>
                <c:pt idx="259">
                  <c:v>0.15315301692813499</c:v>
                </c:pt>
                <c:pt idx="260">
                  <c:v>0.151923664307208</c:v>
                </c:pt>
                <c:pt idx="261">
                  <c:v>0.15098675255563501</c:v>
                </c:pt>
                <c:pt idx="262">
                  <c:v>0.150917783831714</c:v>
                </c:pt>
                <c:pt idx="263">
                  <c:v>0.15054701752117899</c:v>
                </c:pt>
                <c:pt idx="264">
                  <c:v>0.14851562040525701</c:v>
                </c:pt>
                <c:pt idx="265">
                  <c:v>0.14783157129394101</c:v>
                </c:pt>
                <c:pt idx="266">
                  <c:v>0.147329564616172</c:v>
                </c:pt>
                <c:pt idx="267">
                  <c:v>0.14624978129557201</c:v>
                </c:pt>
                <c:pt idx="268">
                  <c:v>0.14540181877335501</c:v>
                </c:pt>
                <c:pt idx="269">
                  <c:v>0.14424206047590701</c:v>
                </c:pt>
                <c:pt idx="270">
                  <c:v>0.14412624634830901</c:v>
                </c:pt>
                <c:pt idx="271">
                  <c:v>0.14371438213728499</c:v>
                </c:pt>
                <c:pt idx="272">
                  <c:v>0.14259025875719</c:v>
                </c:pt>
                <c:pt idx="273">
                  <c:v>0.142546089504274</c:v>
                </c:pt>
                <c:pt idx="274">
                  <c:v>0.142526118194156</c:v>
                </c:pt>
                <c:pt idx="275">
                  <c:v>0.142417403386908</c:v>
                </c:pt>
                <c:pt idx="276">
                  <c:v>0.14069936399426999</c:v>
                </c:pt>
                <c:pt idx="277">
                  <c:v>0.13992071823328101</c:v>
                </c:pt>
                <c:pt idx="278">
                  <c:v>0.139741087606466</c:v>
                </c:pt>
                <c:pt idx="279">
                  <c:v>0.13924808811192599</c:v>
                </c:pt>
                <c:pt idx="280">
                  <c:v>0.13913234259287999</c:v>
                </c:pt>
                <c:pt idx="281">
                  <c:v>0.13865013256837699</c:v>
                </c:pt>
                <c:pt idx="282">
                  <c:v>0.13750831297541899</c:v>
                </c:pt>
                <c:pt idx="283">
                  <c:v>0.13657082912417001</c:v>
                </c:pt>
                <c:pt idx="284">
                  <c:v>0.13648873520865001</c:v>
                </c:pt>
                <c:pt idx="285">
                  <c:v>0.136186097737371</c:v>
                </c:pt>
                <c:pt idx="286">
                  <c:v>0.13517614419392501</c:v>
                </c:pt>
                <c:pt idx="287">
                  <c:v>0.134369055893649</c:v>
                </c:pt>
                <c:pt idx="288">
                  <c:v>0.13380130344778701</c:v>
                </c:pt>
                <c:pt idx="289">
                  <c:v>0.133541714392693</c:v>
                </c:pt>
                <c:pt idx="290">
                  <c:v>0.13342867073123699</c:v>
                </c:pt>
                <c:pt idx="291">
                  <c:v>0.13333580975269599</c:v>
                </c:pt>
                <c:pt idx="292">
                  <c:v>0.13307753583860399</c:v>
                </c:pt>
                <c:pt idx="293">
                  <c:v>0.13251861066162399</c:v>
                </c:pt>
                <c:pt idx="294">
                  <c:v>0.132436710240947</c:v>
                </c:pt>
                <c:pt idx="295">
                  <c:v>0.13232590605831401</c:v>
                </c:pt>
                <c:pt idx="296">
                  <c:v>0.13145536059108001</c:v>
                </c:pt>
                <c:pt idx="297">
                  <c:v>0.13128763811945701</c:v>
                </c:pt>
                <c:pt idx="298">
                  <c:v>0.13100962547928799</c:v>
                </c:pt>
                <c:pt idx="299">
                  <c:v>0.13039070358205601</c:v>
                </c:pt>
                <c:pt idx="300">
                  <c:v>0.13025882382804099</c:v>
                </c:pt>
                <c:pt idx="301">
                  <c:v>0.13019375769755201</c:v>
                </c:pt>
                <c:pt idx="302">
                  <c:v>0.12881471005916201</c:v>
                </c:pt>
                <c:pt idx="303">
                  <c:v>0.127686771732027</c:v>
                </c:pt>
                <c:pt idx="304">
                  <c:v>0.12737718641228599</c:v>
                </c:pt>
                <c:pt idx="305">
                  <c:v>0.12702955852422401</c:v>
                </c:pt>
                <c:pt idx="306">
                  <c:v>0.12652974753837501</c:v>
                </c:pt>
                <c:pt idx="307">
                  <c:v>0.126373308785173</c:v>
                </c:pt>
                <c:pt idx="308">
                  <c:v>0.125939230300291</c:v>
                </c:pt>
                <c:pt idx="309">
                  <c:v>0.12581102517210299</c:v>
                </c:pt>
                <c:pt idx="310">
                  <c:v>0.12545537406525301</c:v>
                </c:pt>
                <c:pt idx="311">
                  <c:v>0.12449356040519299</c:v>
                </c:pt>
                <c:pt idx="312">
                  <c:v>0.124119152702706</c:v>
                </c:pt>
                <c:pt idx="313">
                  <c:v>0.12383652844482</c:v>
                </c:pt>
                <c:pt idx="314">
                  <c:v>0.123362918329042</c:v>
                </c:pt>
                <c:pt idx="315">
                  <c:v>0.123064284019373</c:v>
                </c:pt>
                <c:pt idx="316">
                  <c:v>0.12257428072182799</c:v>
                </c:pt>
                <c:pt idx="317">
                  <c:v>0.122428608852819</c:v>
                </c:pt>
                <c:pt idx="318">
                  <c:v>0.122126085136939</c:v>
                </c:pt>
                <c:pt idx="319">
                  <c:v>0.12124973571436699</c:v>
                </c:pt>
                <c:pt idx="320">
                  <c:v>0.11945465058044499</c:v>
                </c:pt>
                <c:pt idx="321">
                  <c:v>0.118855827349563</c:v>
                </c:pt>
                <c:pt idx="322">
                  <c:v>0.118043640342131</c:v>
                </c:pt>
                <c:pt idx="323">
                  <c:v>0.117068393562324</c:v>
                </c:pt>
                <c:pt idx="324">
                  <c:v>0.11642816878784699</c:v>
                </c:pt>
                <c:pt idx="325">
                  <c:v>0.116045158237533</c:v>
                </c:pt>
                <c:pt idx="326">
                  <c:v>0.114561779316934</c:v>
                </c:pt>
                <c:pt idx="327">
                  <c:v>0.114130012856241</c:v>
                </c:pt>
                <c:pt idx="328">
                  <c:v>0.11371551685023</c:v>
                </c:pt>
                <c:pt idx="329">
                  <c:v>0.11369465997944</c:v>
                </c:pt>
                <c:pt idx="330">
                  <c:v>0.112943786595968</c:v>
                </c:pt>
                <c:pt idx="331">
                  <c:v>0.11283438595663101</c:v>
                </c:pt>
                <c:pt idx="332">
                  <c:v>0.112798970622592</c:v>
                </c:pt>
                <c:pt idx="333">
                  <c:v>0.111289965749525</c:v>
                </c:pt>
                <c:pt idx="334">
                  <c:v>0.111143617919181</c:v>
                </c:pt>
                <c:pt idx="335">
                  <c:v>0.111016153532811</c:v>
                </c:pt>
                <c:pt idx="336">
                  <c:v>0.11046107852591799</c:v>
                </c:pt>
                <c:pt idx="337">
                  <c:v>0.110029908535503</c:v>
                </c:pt>
                <c:pt idx="338">
                  <c:v>0.109630807457716</c:v>
                </c:pt>
                <c:pt idx="339">
                  <c:v>0.10842626614299</c:v>
                </c:pt>
                <c:pt idx="340">
                  <c:v>0.108389748260627</c:v>
                </c:pt>
                <c:pt idx="341">
                  <c:v>0.10773401237720499</c:v>
                </c:pt>
                <c:pt idx="342">
                  <c:v>0.107122638364737</c:v>
                </c:pt>
                <c:pt idx="343">
                  <c:v>0.107061646291556</c:v>
                </c:pt>
                <c:pt idx="344">
                  <c:v>0.106903450854341</c:v>
                </c:pt>
                <c:pt idx="345">
                  <c:v>0.10638213034112901</c:v>
                </c:pt>
                <c:pt idx="346">
                  <c:v>0.105584661066281</c:v>
                </c:pt>
                <c:pt idx="347">
                  <c:v>0.104879167374598</c:v>
                </c:pt>
                <c:pt idx="348">
                  <c:v>0.10483637120534101</c:v>
                </c:pt>
                <c:pt idx="349">
                  <c:v>0.104586815388059</c:v>
                </c:pt>
                <c:pt idx="350">
                  <c:v>0.104162111072632</c:v>
                </c:pt>
                <c:pt idx="351">
                  <c:v>0.103562781039526</c:v>
                </c:pt>
                <c:pt idx="352">
                  <c:v>0.101795842580063</c:v>
                </c:pt>
                <c:pt idx="353">
                  <c:v>0.101166730100262</c:v>
                </c:pt>
                <c:pt idx="354">
                  <c:v>0.10089375745271099</c:v>
                </c:pt>
                <c:pt idx="355">
                  <c:v>9.9276725987245504E-2</c:v>
                </c:pt>
                <c:pt idx="356">
                  <c:v>9.8213941854022005E-2</c:v>
                </c:pt>
                <c:pt idx="357">
                  <c:v>9.7750153504012394E-2</c:v>
                </c:pt>
                <c:pt idx="358">
                  <c:v>9.6490287093305094E-2</c:v>
                </c:pt>
                <c:pt idx="359">
                  <c:v>9.3425464338749195E-2</c:v>
                </c:pt>
                <c:pt idx="360">
                  <c:v>9.2537100683974402E-2</c:v>
                </c:pt>
                <c:pt idx="361">
                  <c:v>9.1808608231104302E-2</c:v>
                </c:pt>
                <c:pt idx="362">
                  <c:v>9.1508515772285901E-2</c:v>
                </c:pt>
                <c:pt idx="363">
                  <c:v>9.1175879662151196E-2</c:v>
                </c:pt>
                <c:pt idx="364">
                  <c:v>9.0662175279319607E-2</c:v>
                </c:pt>
                <c:pt idx="365">
                  <c:v>8.97006307850306E-2</c:v>
                </c:pt>
                <c:pt idx="366">
                  <c:v>8.9349957463014495E-2</c:v>
                </c:pt>
                <c:pt idx="367">
                  <c:v>8.9240794773876295E-2</c:v>
                </c:pt>
                <c:pt idx="368">
                  <c:v>8.9171110852860502E-2</c:v>
                </c:pt>
                <c:pt idx="369">
                  <c:v>8.7917115140020596E-2</c:v>
                </c:pt>
                <c:pt idx="370">
                  <c:v>8.7717855171256395E-2</c:v>
                </c:pt>
                <c:pt idx="371">
                  <c:v>8.6864992527742504E-2</c:v>
                </c:pt>
                <c:pt idx="372">
                  <c:v>8.6690028115251894E-2</c:v>
                </c:pt>
                <c:pt idx="373">
                  <c:v>8.6524221016019795E-2</c:v>
                </c:pt>
                <c:pt idx="374">
                  <c:v>8.4784697725346206E-2</c:v>
                </c:pt>
                <c:pt idx="375">
                  <c:v>8.1982075992533002E-2</c:v>
                </c:pt>
                <c:pt idx="376">
                  <c:v>8.0423912839763897E-2</c:v>
                </c:pt>
                <c:pt idx="377">
                  <c:v>7.9908681222880196E-2</c:v>
                </c:pt>
                <c:pt idx="378">
                  <c:v>7.9821505492401107E-2</c:v>
                </c:pt>
                <c:pt idx="379">
                  <c:v>7.9646940942862302E-2</c:v>
                </c:pt>
                <c:pt idx="380">
                  <c:v>7.9458364105756601E-2</c:v>
                </c:pt>
                <c:pt idx="381">
                  <c:v>7.7814916042950405E-2</c:v>
                </c:pt>
                <c:pt idx="382">
                  <c:v>7.70234706117017E-2</c:v>
                </c:pt>
                <c:pt idx="383">
                  <c:v>7.6587649518391296E-2</c:v>
                </c:pt>
                <c:pt idx="384">
                  <c:v>7.5274455642606597E-2</c:v>
                </c:pt>
                <c:pt idx="385">
                  <c:v>7.4050355837289E-2</c:v>
                </c:pt>
                <c:pt idx="386">
                  <c:v>7.3948787709316399E-2</c:v>
                </c:pt>
                <c:pt idx="387">
                  <c:v>7.3836472158057401E-2</c:v>
                </c:pt>
                <c:pt idx="388">
                  <c:v>7.3285775220146301E-2</c:v>
                </c:pt>
                <c:pt idx="389">
                  <c:v>7.2853623324762695E-2</c:v>
                </c:pt>
                <c:pt idx="390">
                  <c:v>7.1454432308463503E-2</c:v>
                </c:pt>
                <c:pt idx="391">
                  <c:v>7.0986602066842805E-2</c:v>
                </c:pt>
                <c:pt idx="392">
                  <c:v>7.0225278323272897E-2</c:v>
                </c:pt>
                <c:pt idx="393">
                  <c:v>7.0193665194713206E-2</c:v>
                </c:pt>
                <c:pt idx="394">
                  <c:v>7.0158509705097502E-2</c:v>
                </c:pt>
                <c:pt idx="395">
                  <c:v>7.0111905644910405E-2</c:v>
                </c:pt>
                <c:pt idx="396">
                  <c:v>7.0086356474215697E-2</c:v>
                </c:pt>
                <c:pt idx="397">
                  <c:v>6.8438536435944095E-2</c:v>
                </c:pt>
                <c:pt idx="398">
                  <c:v>6.7919531643255301E-2</c:v>
                </c:pt>
                <c:pt idx="399">
                  <c:v>6.77599420440754E-2</c:v>
                </c:pt>
                <c:pt idx="400">
                  <c:v>6.6821897260277596E-2</c:v>
                </c:pt>
                <c:pt idx="401">
                  <c:v>6.6683314610048297E-2</c:v>
                </c:pt>
                <c:pt idx="402">
                  <c:v>6.6664244581874296E-2</c:v>
                </c:pt>
                <c:pt idx="403">
                  <c:v>6.5899196057089507E-2</c:v>
                </c:pt>
                <c:pt idx="404">
                  <c:v>6.5663579679140105E-2</c:v>
                </c:pt>
                <c:pt idx="405">
                  <c:v>6.4911409671528503E-2</c:v>
                </c:pt>
                <c:pt idx="406">
                  <c:v>6.4692541525284003E-2</c:v>
                </c:pt>
                <c:pt idx="407">
                  <c:v>6.4173366350188193E-2</c:v>
                </c:pt>
                <c:pt idx="408">
                  <c:v>6.3484069988255495E-2</c:v>
                </c:pt>
                <c:pt idx="409">
                  <c:v>6.3110517905018995E-2</c:v>
                </c:pt>
                <c:pt idx="410">
                  <c:v>6.3078845787283594E-2</c:v>
                </c:pt>
                <c:pt idx="411">
                  <c:v>6.2542939715018397E-2</c:v>
                </c:pt>
                <c:pt idx="412">
                  <c:v>6.1491797528858902E-2</c:v>
                </c:pt>
                <c:pt idx="413">
                  <c:v>6.1410250575872002E-2</c:v>
                </c:pt>
                <c:pt idx="414">
                  <c:v>6.0672895888083098E-2</c:v>
                </c:pt>
                <c:pt idx="415">
                  <c:v>5.9823037408409399E-2</c:v>
                </c:pt>
                <c:pt idx="416">
                  <c:v>5.9731403161977503E-2</c:v>
                </c:pt>
                <c:pt idx="417">
                  <c:v>5.95481628446013E-2</c:v>
                </c:pt>
                <c:pt idx="418">
                  <c:v>5.9037460126752601E-2</c:v>
                </c:pt>
                <c:pt idx="419">
                  <c:v>5.8953716139653001E-2</c:v>
                </c:pt>
                <c:pt idx="420">
                  <c:v>5.8539879133386902E-2</c:v>
                </c:pt>
                <c:pt idx="421">
                  <c:v>5.82129938308482E-2</c:v>
                </c:pt>
                <c:pt idx="422">
                  <c:v>5.8010199441356602E-2</c:v>
                </c:pt>
                <c:pt idx="423">
                  <c:v>5.6751855033461203E-2</c:v>
                </c:pt>
                <c:pt idx="424">
                  <c:v>5.6323034591040599E-2</c:v>
                </c:pt>
                <c:pt idx="425">
                  <c:v>5.5313920154666997E-2</c:v>
                </c:pt>
                <c:pt idx="426">
                  <c:v>5.4524454404450202E-2</c:v>
                </c:pt>
                <c:pt idx="427">
                  <c:v>5.3723136750721802E-2</c:v>
                </c:pt>
                <c:pt idx="428">
                  <c:v>5.3615036265672197E-2</c:v>
                </c:pt>
                <c:pt idx="429">
                  <c:v>5.3047133682949298E-2</c:v>
                </c:pt>
                <c:pt idx="430">
                  <c:v>5.2097274284924902E-2</c:v>
                </c:pt>
                <c:pt idx="431">
                  <c:v>5.1285890770752803E-2</c:v>
                </c:pt>
                <c:pt idx="432">
                  <c:v>5.09171624081632E-2</c:v>
                </c:pt>
                <c:pt idx="433">
                  <c:v>5.0890603680890198E-2</c:v>
                </c:pt>
                <c:pt idx="434">
                  <c:v>5.0798795826712997E-2</c:v>
                </c:pt>
                <c:pt idx="435">
                  <c:v>4.9647627018973801E-2</c:v>
                </c:pt>
                <c:pt idx="436">
                  <c:v>4.8377927364996902E-2</c:v>
                </c:pt>
                <c:pt idx="437">
                  <c:v>4.8376843543225002E-2</c:v>
                </c:pt>
                <c:pt idx="438">
                  <c:v>4.7958959811493798E-2</c:v>
                </c:pt>
                <c:pt idx="439">
                  <c:v>4.7396816684003903E-2</c:v>
                </c:pt>
                <c:pt idx="440">
                  <c:v>4.6415813741994202E-2</c:v>
                </c:pt>
                <c:pt idx="441">
                  <c:v>4.6274800223371902E-2</c:v>
                </c:pt>
                <c:pt idx="442">
                  <c:v>4.6082419692808199E-2</c:v>
                </c:pt>
                <c:pt idx="443">
                  <c:v>4.49260840162111E-2</c:v>
                </c:pt>
                <c:pt idx="444">
                  <c:v>4.38634564580156E-2</c:v>
                </c:pt>
                <c:pt idx="445">
                  <c:v>4.3098338748726199E-2</c:v>
                </c:pt>
                <c:pt idx="446">
                  <c:v>4.3021688297205901E-2</c:v>
                </c:pt>
                <c:pt idx="447">
                  <c:v>4.29864476502205E-2</c:v>
                </c:pt>
                <c:pt idx="448">
                  <c:v>4.2634124156994198E-2</c:v>
                </c:pt>
                <c:pt idx="449">
                  <c:v>4.2299992321337403E-2</c:v>
                </c:pt>
                <c:pt idx="450">
                  <c:v>4.2154459147081901E-2</c:v>
                </c:pt>
                <c:pt idx="451">
                  <c:v>4.1298204436462198E-2</c:v>
                </c:pt>
                <c:pt idx="452">
                  <c:v>4.1200487578387797E-2</c:v>
                </c:pt>
                <c:pt idx="453">
                  <c:v>4.1159311507128801E-2</c:v>
                </c:pt>
                <c:pt idx="454">
                  <c:v>3.9234921673580801E-2</c:v>
                </c:pt>
                <c:pt idx="455">
                  <c:v>3.9157043544412698E-2</c:v>
                </c:pt>
                <c:pt idx="456">
                  <c:v>3.7285154494914902E-2</c:v>
                </c:pt>
                <c:pt idx="457">
                  <c:v>3.6142306767257097E-2</c:v>
                </c:pt>
                <c:pt idx="458">
                  <c:v>3.5898045232595002E-2</c:v>
                </c:pt>
                <c:pt idx="459">
                  <c:v>3.5656655729836201E-2</c:v>
                </c:pt>
                <c:pt idx="460">
                  <c:v>3.4613039320735901E-2</c:v>
                </c:pt>
                <c:pt idx="461">
                  <c:v>3.4427597825963802E-2</c:v>
                </c:pt>
                <c:pt idx="462">
                  <c:v>3.4221384895546998E-2</c:v>
                </c:pt>
                <c:pt idx="463">
                  <c:v>3.35117612884459E-2</c:v>
                </c:pt>
                <c:pt idx="464">
                  <c:v>3.2193157060950897E-2</c:v>
                </c:pt>
                <c:pt idx="465">
                  <c:v>2.85352550227671E-2</c:v>
                </c:pt>
                <c:pt idx="466">
                  <c:v>2.67442787791515E-2</c:v>
                </c:pt>
                <c:pt idx="467">
                  <c:v>2.6398039421871199E-2</c:v>
                </c:pt>
                <c:pt idx="468">
                  <c:v>2.5835750892507101E-2</c:v>
                </c:pt>
                <c:pt idx="469">
                  <c:v>2.5596358888877201E-2</c:v>
                </c:pt>
                <c:pt idx="470">
                  <c:v>2.5513561615363198E-2</c:v>
                </c:pt>
                <c:pt idx="471">
                  <c:v>2.4462078359288601E-2</c:v>
                </c:pt>
                <c:pt idx="472">
                  <c:v>2.4007438671223E-2</c:v>
                </c:pt>
                <c:pt idx="473">
                  <c:v>2.3067403893458099E-2</c:v>
                </c:pt>
                <c:pt idx="474">
                  <c:v>2.2729144206037302E-2</c:v>
                </c:pt>
                <c:pt idx="475">
                  <c:v>2.2599537125891401E-2</c:v>
                </c:pt>
                <c:pt idx="476">
                  <c:v>2.2303824094174099E-2</c:v>
                </c:pt>
                <c:pt idx="477">
                  <c:v>2.2298361763258799E-2</c:v>
                </c:pt>
                <c:pt idx="478">
                  <c:v>2.00956302435496E-2</c:v>
                </c:pt>
                <c:pt idx="479">
                  <c:v>1.5721624251492799E-2</c:v>
                </c:pt>
                <c:pt idx="480">
                  <c:v>1.45816561117635E-2</c:v>
                </c:pt>
                <c:pt idx="481">
                  <c:v>1.43540623955644E-2</c:v>
                </c:pt>
                <c:pt idx="482">
                  <c:v>1.25495297394771E-2</c:v>
                </c:pt>
                <c:pt idx="483">
                  <c:v>1.1803321686785301E-2</c:v>
                </c:pt>
                <c:pt idx="484">
                  <c:v>1.0187430162571801E-2</c:v>
                </c:pt>
                <c:pt idx="485">
                  <c:v>9.2954153925750901E-3</c:v>
                </c:pt>
                <c:pt idx="486">
                  <c:v>3.1047836650232199E-3</c:v>
                </c:pt>
                <c:pt idx="487">
                  <c:v>2.1710237067861901E-3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488"/>
                <c:pt idx="0">
                  <c:v>1</c:v>
                </c:pt>
                <c:pt idx="1">
                  <c:v>0.99795081967213117</c:v>
                </c:pt>
                <c:pt idx="2">
                  <c:v>0.99590163934426235</c:v>
                </c:pt>
                <c:pt idx="3">
                  <c:v>0.99385245901639341</c:v>
                </c:pt>
                <c:pt idx="4">
                  <c:v>0.99180327868852458</c:v>
                </c:pt>
                <c:pt idx="5">
                  <c:v>0.98975409836065575</c:v>
                </c:pt>
                <c:pt idx="6">
                  <c:v>0.98770491803278693</c:v>
                </c:pt>
                <c:pt idx="7">
                  <c:v>0.98565573770491799</c:v>
                </c:pt>
                <c:pt idx="8">
                  <c:v>0.98360655737704916</c:v>
                </c:pt>
                <c:pt idx="9">
                  <c:v>0.98155737704918034</c:v>
                </c:pt>
                <c:pt idx="10">
                  <c:v>0.97950819672131151</c:v>
                </c:pt>
                <c:pt idx="11">
                  <c:v>0.97745901639344257</c:v>
                </c:pt>
                <c:pt idx="12">
                  <c:v>0.97540983606557374</c:v>
                </c:pt>
                <c:pt idx="13">
                  <c:v>0.97336065573770492</c:v>
                </c:pt>
                <c:pt idx="14">
                  <c:v>0.97131147540983609</c:v>
                </c:pt>
                <c:pt idx="15">
                  <c:v>0.96926229508196726</c:v>
                </c:pt>
                <c:pt idx="16">
                  <c:v>0.96721311475409832</c:v>
                </c:pt>
                <c:pt idx="17">
                  <c:v>0.9651639344262295</c:v>
                </c:pt>
                <c:pt idx="18">
                  <c:v>0.96311475409836067</c:v>
                </c:pt>
                <c:pt idx="19">
                  <c:v>0.96106557377049184</c:v>
                </c:pt>
                <c:pt idx="20">
                  <c:v>0.95901639344262291</c:v>
                </c:pt>
                <c:pt idx="21">
                  <c:v>0.95696721311475408</c:v>
                </c:pt>
                <c:pt idx="22">
                  <c:v>0.95491803278688525</c:v>
                </c:pt>
                <c:pt idx="23">
                  <c:v>0.95286885245901642</c:v>
                </c:pt>
                <c:pt idx="24">
                  <c:v>0.95081967213114749</c:v>
                </c:pt>
                <c:pt idx="25">
                  <c:v>0.94877049180327866</c:v>
                </c:pt>
                <c:pt idx="26">
                  <c:v>0.94672131147540983</c:v>
                </c:pt>
                <c:pt idx="27">
                  <c:v>0.94467213114754101</c:v>
                </c:pt>
                <c:pt idx="28">
                  <c:v>0.94262295081967218</c:v>
                </c:pt>
                <c:pt idx="29">
                  <c:v>0.94057377049180324</c:v>
                </c:pt>
                <c:pt idx="30">
                  <c:v>0.93852459016393441</c:v>
                </c:pt>
                <c:pt idx="31">
                  <c:v>0.93647540983606559</c:v>
                </c:pt>
                <c:pt idx="32">
                  <c:v>0.93442622950819676</c:v>
                </c:pt>
                <c:pt idx="33">
                  <c:v>0.93237704918032782</c:v>
                </c:pt>
                <c:pt idx="34">
                  <c:v>0.93032786885245899</c:v>
                </c:pt>
                <c:pt idx="35">
                  <c:v>0.92827868852459017</c:v>
                </c:pt>
                <c:pt idx="36">
                  <c:v>0.92622950819672134</c:v>
                </c:pt>
                <c:pt idx="37">
                  <c:v>0.92418032786885251</c:v>
                </c:pt>
                <c:pt idx="38">
                  <c:v>0.92213114754098358</c:v>
                </c:pt>
                <c:pt idx="39">
                  <c:v>0.92008196721311475</c:v>
                </c:pt>
                <c:pt idx="40">
                  <c:v>0.91803278688524592</c:v>
                </c:pt>
                <c:pt idx="41">
                  <c:v>0.91598360655737709</c:v>
                </c:pt>
                <c:pt idx="42">
                  <c:v>0.91393442622950816</c:v>
                </c:pt>
                <c:pt idx="43">
                  <c:v>0.91188524590163933</c:v>
                </c:pt>
                <c:pt idx="44">
                  <c:v>0.9098360655737705</c:v>
                </c:pt>
                <c:pt idx="45">
                  <c:v>0.90778688524590168</c:v>
                </c:pt>
                <c:pt idx="46">
                  <c:v>0.90573770491803274</c:v>
                </c:pt>
                <c:pt idx="47">
                  <c:v>0.90368852459016391</c:v>
                </c:pt>
                <c:pt idx="48">
                  <c:v>0.90163934426229508</c:v>
                </c:pt>
                <c:pt idx="49">
                  <c:v>0.89959016393442626</c:v>
                </c:pt>
                <c:pt idx="50">
                  <c:v>0.89754098360655743</c:v>
                </c:pt>
                <c:pt idx="51">
                  <c:v>0.89549180327868849</c:v>
                </c:pt>
                <c:pt idx="52">
                  <c:v>0.89344262295081966</c:v>
                </c:pt>
                <c:pt idx="53">
                  <c:v>0.89139344262295084</c:v>
                </c:pt>
                <c:pt idx="54">
                  <c:v>0.88934426229508201</c:v>
                </c:pt>
                <c:pt idx="55">
                  <c:v>0.88729508196721307</c:v>
                </c:pt>
                <c:pt idx="56">
                  <c:v>0.88524590163934425</c:v>
                </c:pt>
                <c:pt idx="57">
                  <c:v>0.88319672131147542</c:v>
                </c:pt>
                <c:pt idx="58">
                  <c:v>0.88114754098360659</c:v>
                </c:pt>
                <c:pt idx="59">
                  <c:v>0.87909836065573765</c:v>
                </c:pt>
                <c:pt idx="60">
                  <c:v>0.87704918032786883</c:v>
                </c:pt>
                <c:pt idx="61">
                  <c:v>0.875</c:v>
                </c:pt>
                <c:pt idx="62">
                  <c:v>0.87295081967213117</c:v>
                </c:pt>
                <c:pt idx="63">
                  <c:v>0.87090163934426235</c:v>
                </c:pt>
                <c:pt idx="64">
                  <c:v>0.86885245901639341</c:v>
                </c:pt>
                <c:pt idx="65">
                  <c:v>0.86680327868852458</c:v>
                </c:pt>
                <c:pt idx="66">
                  <c:v>0.86475409836065575</c:v>
                </c:pt>
                <c:pt idx="67">
                  <c:v>0.86270491803278693</c:v>
                </c:pt>
                <c:pt idx="68">
                  <c:v>0.86065573770491799</c:v>
                </c:pt>
                <c:pt idx="69">
                  <c:v>0.85860655737704916</c:v>
                </c:pt>
                <c:pt idx="70">
                  <c:v>0.85655737704918034</c:v>
                </c:pt>
                <c:pt idx="71">
                  <c:v>0.85450819672131151</c:v>
                </c:pt>
                <c:pt idx="72">
                  <c:v>0.85245901639344257</c:v>
                </c:pt>
                <c:pt idx="73">
                  <c:v>0.85040983606557374</c:v>
                </c:pt>
                <c:pt idx="74">
                  <c:v>0.84836065573770492</c:v>
                </c:pt>
                <c:pt idx="75">
                  <c:v>0.84631147540983609</c:v>
                </c:pt>
                <c:pt idx="76">
                  <c:v>0.84426229508196726</c:v>
                </c:pt>
                <c:pt idx="77">
                  <c:v>0.84221311475409832</c:v>
                </c:pt>
                <c:pt idx="78">
                  <c:v>0.8401639344262295</c:v>
                </c:pt>
                <c:pt idx="79">
                  <c:v>0.83811475409836067</c:v>
                </c:pt>
                <c:pt idx="80">
                  <c:v>0.83606557377049184</c:v>
                </c:pt>
                <c:pt idx="81">
                  <c:v>0.83401639344262291</c:v>
                </c:pt>
                <c:pt idx="82">
                  <c:v>0.83196721311475408</c:v>
                </c:pt>
                <c:pt idx="83">
                  <c:v>0.82991803278688525</c:v>
                </c:pt>
                <c:pt idx="84">
                  <c:v>0.82786885245901642</c:v>
                </c:pt>
                <c:pt idx="85">
                  <c:v>0.82581967213114749</c:v>
                </c:pt>
                <c:pt idx="86">
                  <c:v>0.82377049180327866</c:v>
                </c:pt>
                <c:pt idx="87">
                  <c:v>0.82172131147540983</c:v>
                </c:pt>
                <c:pt idx="88">
                  <c:v>0.81967213114754101</c:v>
                </c:pt>
                <c:pt idx="89">
                  <c:v>0.81762295081967218</c:v>
                </c:pt>
                <c:pt idx="90">
                  <c:v>0.81557377049180324</c:v>
                </c:pt>
                <c:pt idx="91">
                  <c:v>0.81352459016393441</c:v>
                </c:pt>
                <c:pt idx="92">
                  <c:v>0.81147540983606559</c:v>
                </c:pt>
                <c:pt idx="93">
                  <c:v>0.80942622950819676</c:v>
                </c:pt>
                <c:pt idx="94">
                  <c:v>0.80737704918032782</c:v>
                </c:pt>
                <c:pt idx="95">
                  <c:v>0.80532786885245899</c:v>
                </c:pt>
                <c:pt idx="96">
                  <c:v>0.80327868852459017</c:v>
                </c:pt>
                <c:pt idx="97">
                  <c:v>0.80122950819672134</c:v>
                </c:pt>
                <c:pt idx="98">
                  <c:v>0.79918032786885251</c:v>
                </c:pt>
                <c:pt idx="99">
                  <c:v>0.79713114754098358</c:v>
                </c:pt>
                <c:pt idx="100">
                  <c:v>0.79508196721311475</c:v>
                </c:pt>
                <c:pt idx="101">
                  <c:v>0.79303278688524592</c:v>
                </c:pt>
                <c:pt idx="102">
                  <c:v>0.79098360655737709</c:v>
                </c:pt>
                <c:pt idx="103">
                  <c:v>0.78893442622950816</c:v>
                </c:pt>
                <c:pt idx="104">
                  <c:v>0.78688524590163933</c:v>
                </c:pt>
                <c:pt idx="105">
                  <c:v>0.7848360655737705</c:v>
                </c:pt>
                <c:pt idx="106">
                  <c:v>0.78278688524590168</c:v>
                </c:pt>
                <c:pt idx="107">
                  <c:v>0.78073770491803274</c:v>
                </c:pt>
                <c:pt idx="108">
                  <c:v>0.77868852459016391</c:v>
                </c:pt>
                <c:pt idx="109">
                  <c:v>0.77663934426229508</c:v>
                </c:pt>
                <c:pt idx="110">
                  <c:v>0.77459016393442626</c:v>
                </c:pt>
                <c:pt idx="111">
                  <c:v>0.77254098360655743</c:v>
                </c:pt>
                <c:pt idx="112">
                  <c:v>0.77049180327868849</c:v>
                </c:pt>
                <c:pt idx="113">
                  <c:v>0.76844262295081966</c:v>
                </c:pt>
                <c:pt idx="114">
                  <c:v>0.76639344262295084</c:v>
                </c:pt>
                <c:pt idx="115">
                  <c:v>0.76434426229508201</c:v>
                </c:pt>
                <c:pt idx="116">
                  <c:v>0.76229508196721307</c:v>
                </c:pt>
                <c:pt idx="117">
                  <c:v>0.76024590163934425</c:v>
                </c:pt>
                <c:pt idx="118">
                  <c:v>0.75819672131147542</c:v>
                </c:pt>
                <c:pt idx="119">
                  <c:v>0.75614754098360659</c:v>
                </c:pt>
                <c:pt idx="120">
                  <c:v>0.75409836065573765</c:v>
                </c:pt>
                <c:pt idx="121">
                  <c:v>0.75204918032786883</c:v>
                </c:pt>
                <c:pt idx="122">
                  <c:v>0.75</c:v>
                </c:pt>
                <c:pt idx="123">
                  <c:v>0.74795081967213117</c:v>
                </c:pt>
                <c:pt idx="124">
                  <c:v>0.74590163934426235</c:v>
                </c:pt>
                <c:pt idx="125">
                  <c:v>0.74385245901639341</c:v>
                </c:pt>
                <c:pt idx="126">
                  <c:v>0.74180327868852458</c:v>
                </c:pt>
                <c:pt idx="127">
                  <c:v>0.73975409836065575</c:v>
                </c:pt>
                <c:pt idx="128">
                  <c:v>0.73770491803278693</c:v>
                </c:pt>
                <c:pt idx="129">
                  <c:v>0.73565573770491799</c:v>
                </c:pt>
                <c:pt idx="130">
                  <c:v>0.73360655737704916</c:v>
                </c:pt>
                <c:pt idx="131">
                  <c:v>0.73155737704918034</c:v>
                </c:pt>
                <c:pt idx="132">
                  <c:v>0.72950819672131151</c:v>
                </c:pt>
                <c:pt idx="133">
                  <c:v>0.72745901639344257</c:v>
                </c:pt>
                <c:pt idx="134">
                  <c:v>0.72540983606557374</c:v>
                </c:pt>
                <c:pt idx="135">
                  <c:v>0.72336065573770492</c:v>
                </c:pt>
                <c:pt idx="136">
                  <c:v>0.72131147540983609</c:v>
                </c:pt>
                <c:pt idx="137">
                  <c:v>0.71926229508196726</c:v>
                </c:pt>
                <c:pt idx="138">
                  <c:v>0.71721311475409832</c:v>
                </c:pt>
                <c:pt idx="139">
                  <c:v>0.7151639344262295</c:v>
                </c:pt>
                <c:pt idx="140">
                  <c:v>0.71311475409836067</c:v>
                </c:pt>
                <c:pt idx="141">
                  <c:v>0.71106557377049184</c:v>
                </c:pt>
                <c:pt idx="142">
                  <c:v>0.70901639344262291</c:v>
                </c:pt>
                <c:pt idx="143">
                  <c:v>0.70696721311475408</c:v>
                </c:pt>
                <c:pt idx="144">
                  <c:v>0.70491803278688525</c:v>
                </c:pt>
                <c:pt idx="145">
                  <c:v>0.70286885245901642</c:v>
                </c:pt>
                <c:pt idx="146">
                  <c:v>0.70081967213114749</c:v>
                </c:pt>
                <c:pt idx="147">
                  <c:v>0.69877049180327866</c:v>
                </c:pt>
                <c:pt idx="148">
                  <c:v>0.69672131147540983</c:v>
                </c:pt>
                <c:pt idx="149">
                  <c:v>0.69467213114754101</c:v>
                </c:pt>
                <c:pt idx="150">
                  <c:v>0.69262295081967218</c:v>
                </c:pt>
                <c:pt idx="151">
                  <c:v>0.69057377049180324</c:v>
                </c:pt>
                <c:pt idx="152">
                  <c:v>0.68852459016393441</c:v>
                </c:pt>
                <c:pt idx="153">
                  <c:v>0.68647540983606559</c:v>
                </c:pt>
                <c:pt idx="154">
                  <c:v>0.68442622950819676</c:v>
                </c:pt>
                <c:pt idx="155">
                  <c:v>0.68237704918032782</c:v>
                </c:pt>
                <c:pt idx="156">
                  <c:v>0.68032786885245899</c:v>
                </c:pt>
                <c:pt idx="157">
                  <c:v>0.67827868852459017</c:v>
                </c:pt>
                <c:pt idx="158">
                  <c:v>0.67622950819672134</c:v>
                </c:pt>
                <c:pt idx="159">
                  <c:v>0.67418032786885251</c:v>
                </c:pt>
                <c:pt idx="160">
                  <c:v>0.67213114754098358</c:v>
                </c:pt>
                <c:pt idx="161">
                  <c:v>0.67008196721311475</c:v>
                </c:pt>
                <c:pt idx="162">
                  <c:v>0.66803278688524592</c:v>
                </c:pt>
                <c:pt idx="163">
                  <c:v>0.66598360655737709</c:v>
                </c:pt>
                <c:pt idx="164">
                  <c:v>0.66393442622950816</c:v>
                </c:pt>
                <c:pt idx="165">
                  <c:v>0.66188524590163933</c:v>
                </c:pt>
                <c:pt idx="166">
                  <c:v>0.6598360655737705</c:v>
                </c:pt>
                <c:pt idx="167">
                  <c:v>0.65778688524590168</c:v>
                </c:pt>
                <c:pt idx="168">
                  <c:v>0.65573770491803274</c:v>
                </c:pt>
                <c:pt idx="169">
                  <c:v>0.65368852459016391</c:v>
                </c:pt>
                <c:pt idx="170">
                  <c:v>0.65163934426229508</c:v>
                </c:pt>
                <c:pt idx="171">
                  <c:v>0.64959016393442626</c:v>
                </c:pt>
                <c:pt idx="172">
                  <c:v>0.64754098360655743</c:v>
                </c:pt>
                <c:pt idx="173">
                  <c:v>0.64549180327868849</c:v>
                </c:pt>
                <c:pt idx="174">
                  <c:v>0.64344262295081966</c:v>
                </c:pt>
                <c:pt idx="175">
                  <c:v>0.64139344262295084</c:v>
                </c:pt>
                <c:pt idx="176">
                  <c:v>0.63934426229508201</c:v>
                </c:pt>
                <c:pt idx="177">
                  <c:v>0.63729508196721307</c:v>
                </c:pt>
                <c:pt idx="178">
                  <c:v>0.63524590163934425</c:v>
                </c:pt>
                <c:pt idx="179">
                  <c:v>0.63319672131147542</c:v>
                </c:pt>
                <c:pt idx="180">
                  <c:v>0.63114754098360659</c:v>
                </c:pt>
                <c:pt idx="181">
                  <c:v>0.62909836065573765</c:v>
                </c:pt>
                <c:pt idx="182">
                  <c:v>0.62704918032786883</c:v>
                </c:pt>
                <c:pt idx="183">
                  <c:v>0.625</c:v>
                </c:pt>
                <c:pt idx="184">
                  <c:v>0.62295081967213117</c:v>
                </c:pt>
                <c:pt idx="185">
                  <c:v>0.62090163934426235</c:v>
                </c:pt>
                <c:pt idx="186">
                  <c:v>0.61885245901639341</c:v>
                </c:pt>
                <c:pt idx="187">
                  <c:v>0.61680327868852458</c:v>
                </c:pt>
                <c:pt idx="188">
                  <c:v>0.61475409836065575</c:v>
                </c:pt>
                <c:pt idx="189">
                  <c:v>0.61270491803278693</c:v>
                </c:pt>
                <c:pt idx="190">
                  <c:v>0.61065573770491799</c:v>
                </c:pt>
                <c:pt idx="191">
                  <c:v>0.60860655737704916</c:v>
                </c:pt>
                <c:pt idx="192">
                  <c:v>0.60655737704918034</c:v>
                </c:pt>
                <c:pt idx="193">
                  <c:v>0.60450819672131151</c:v>
                </c:pt>
                <c:pt idx="194">
                  <c:v>0.60245901639344257</c:v>
                </c:pt>
                <c:pt idx="195">
                  <c:v>0.60040983606557374</c:v>
                </c:pt>
                <c:pt idx="196">
                  <c:v>0.59836065573770492</c:v>
                </c:pt>
                <c:pt idx="197">
                  <c:v>0.59631147540983609</c:v>
                </c:pt>
                <c:pt idx="198">
                  <c:v>0.59426229508196726</c:v>
                </c:pt>
                <c:pt idx="199">
                  <c:v>0.59221311475409832</c:v>
                </c:pt>
                <c:pt idx="200">
                  <c:v>0.5901639344262295</c:v>
                </c:pt>
                <c:pt idx="201">
                  <c:v>0.58811475409836067</c:v>
                </c:pt>
                <c:pt idx="202">
                  <c:v>0.58606557377049184</c:v>
                </c:pt>
                <c:pt idx="203">
                  <c:v>0.58401639344262291</c:v>
                </c:pt>
                <c:pt idx="204">
                  <c:v>0.58196721311475408</c:v>
                </c:pt>
                <c:pt idx="205">
                  <c:v>0.57991803278688525</c:v>
                </c:pt>
                <c:pt idx="206">
                  <c:v>0.57786885245901642</c:v>
                </c:pt>
                <c:pt idx="207">
                  <c:v>0.57581967213114749</c:v>
                </c:pt>
                <c:pt idx="208">
                  <c:v>0.57377049180327866</c:v>
                </c:pt>
                <c:pt idx="209">
                  <c:v>0.57172131147540983</c:v>
                </c:pt>
                <c:pt idx="210">
                  <c:v>0.56967213114754101</c:v>
                </c:pt>
                <c:pt idx="211">
                  <c:v>0.56762295081967218</c:v>
                </c:pt>
                <c:pt idx="212">
                  <c:v>0.56557377049180324</c:v>
                </c:pt>
                <c:pt idx="213">
                  <c:v>0.56352459016393441</c:v>
                </c:pt>
                <c:pt idx="214">
                  <c:v>0.56147540983606559</c:v>
                </c:pt>
                <c:pt idx="215">
                  <c:v>0.55942622950819676</c:v>
                </c:pt>
                <c:pt idx="216">
                  <c:v>0.55737704918032782</c:v>
                </c:pt>
                <c:pt idx="217">
                  <c:v>0.55532786885245899</c:v>
                </c:pt>
                <c:pt idx="218">
                  <c:v>0.55327868852459017</c:v>
                </c:pt>
                <c:pt idx="219">
                  <c:v>0.55122950819672134</c:v>
                </c:pt>
                <c:pt idx="220">
                  <c:v>0.54918032786885251</c:v>
                </c:pt>
                <c:pt idx="221">
                  <c:v>0.54713114754098358</c:v>
                </c:pt>
                <c:pt idx="222">
                  <c:v>0.54508196721311475</c:v>
                </c:pt>
                <c:pt idx="223">
                  <c:v>0.54303278688524592</c:v>
                </c:pt>
                <c:pt idx="224">
                  <c:v>0.54098360655737709</c:v>
                </c:pt>
                <c:pt idx="225">
                  <c:v>0.53893442622950816</c:v>
                </c:pt>
                <c:pt idx="226">
                  <c:v>0.53688524590163933</c:v>
                </c:pt>
                <c:pt idx="227">
                  <c:v>0.5348360655737705</c:v>
                </c:pt>
                <c:pt idx="228">
                  <c:v>0.53278688524590168</c:v>
                </c:pt>
                <c:pt idx="229">
                  <c:v>0.53073770491803274</c:v>
                </c:pt>
                <c:pt idx="230">
                  <c:v>0.52868852459016391</c:v>
                </c:pt>
                <c:pt idx="231">
                  <c:v>0.52663934426229508</c:v>
                </c:pt>
                <c:pt idx="232">
                  <c:v>0.52459016393442626</c:v>
                </c:pt>
                <c:pt idx="233">
                  <c:v>0.52254098360655743</c:v>
                </c:pt>
                <c:pt idx="234">
                  <c:v>0.52049180327868849</c:v>
                </c:pt>
                <c:pt idx="235">
                  <c:v>0.51844262295081966</c:v>
                </c:pt>
                <c:pt idx="236">
                  <c:v>0.51639344262295084</c:v>
                </c:pt>
                <c:pt idx="237">
                  <c:v>0.51434426229508201</c:v>
                </c:pt>
                <c:pt idx="238">
                  <c:v>0.51229508196721307</c:v>
                </c:pt>
                <c:pt idx="239">
                  <c:v>0.51024590163934425</c:v>
                </c:pt>
                <c:pt idx="240">
                  <c:v>0.50819672131147542</c:v>
                </c:pt>
                <c:pt idx="241">
                  <c:v>0.50614754098360659</c:v>
                </c:pt>
                <c:pt idx="242">
                  <c:v>0.50409836065573765</c:v>
                </c:pt>
                <c:pt idx="243">
                  <c:v>0.50204918032786883</c:v>
                </c:pt>
                <c:pt idx="244">
                  <c:v>0.5</c:v>
                </c:pt>
                <c:pt idx="245">
                  <c:v>0.49795081967213117</c:v>
                </c:pt>
                <c:pt idx="246">
                  <c:v>0.49590163934426229</c:v>
                </c:pt>
                <c:pt idx="247">
                  <c:v>0.49385245901639346</c:v>
                </c:pt>
                <c:pt idx="248">
                  <c:v>0.49180327868852458</c:v>
                </c:pt>
                <c:pt idx="249">
                  <c:v>0.48975409836065575</c:v>
                </c:pt>
                <c:pt idx="250">
                  <c:v>0.48770491803278687</c:v>
                </c:pt>
                <c:pt idx="251">
                  <c:v>0.48565573770491804</c:v>
                </c:pt>
                <c:pt idx="252">
                  <c:v>0.48360655737704916</c:v>
                </c:pt>
                <c:pt idx="253">
                  <c:v>0.48155737704918034</c:v>
                </c:pt>
                <c:pt idx="254">
                  <c:v>0.47950819672131145</c:v>
                </c:pt>
                <c:pt idx="255">
                  <c:v>0.47745901639344263</c:v>
                </c:pt>
                <c:pt idx="256">
                  <c:v>0.47540983606557374</c:v>
                </c:pt>
                <c:pt idx="257">
                  <c:v>0.47336065573770492</c:v>
                </c:pt>
                <c:pt idx="258">
                  <c:v>0.47131147540983609</c:v>
                </c:pt>
                <c:pt idx="259">
                  <c:v>0.46926229508196721</c:v>
                </c:pt>
                <c:pt idx="260">
                  <c:v>0.46721311475409838</c:v>
                </c:pt>
                <c:pt idx="261">
                  <c:v>0.4651639344262295</c:v>
                </c:pt>
                <c:pt idx="262">
                  <c:v>0.46311475409836067</c:v>
                </c:pt>
                <c:pt idx="263">
                  <c:v>0.46106557377049179</c:v>
                </c:pt>
                <c:pt idx="264">
                  <c:v>0.45901639344262296</c:v>
                </c:pt>
                <c:pt idx="265">
                  <c:v>0.45696721311475408</c:v>
                </c:pt>
                <c:pt idx="266">
                  <c:v>0.45491803278688525</c:v>
                </c:pt>
                <c:pt idx="267">
                  <c:v>0.45286885245901637</c:v>
                </c:pt>
                <c:pt idx="268">
                  <c:v>0.45081967213114754</c:v>
                </c:pt>
                <c:pt idx="269">
                  <c:v>0.44877049180327871</c:v>
                </c:pt>
                <c:pt idx="270">
                  <c:v>0.44672131147540983</c:v>
                </c:pt>
                <c:pt idx="271">
                  <c:v>0.44467213114754101</c:v>
                </c:pt>
                <c:pt idx="272">
                  <c:v>0.44262295081967212</c:v>
                </c:pt>
                <c:pt idx="273">
                  <c:v>0.4405737704918033</c:v>
                </c:pt>
                <c:pt idx="274">
                  <c:v>0.43852459016393441</c:v>
                </c:pt>
                <c:pt idx="275">
                  <c:v>0.43647540983606559</c:v>
                </c:pt>
                <c:pt idx="276">
                  <c:v>0.4344262295081967</c:v>
                </c:pt>
                <c:pt idx="277">
                  <c:v>0.43237704918032788</c:v>
                </c:pt>
                <c:pt idx="278">
                  <c:v>0.43032786885245899</c:v>
                </c:pt>
                <c:pt idx="279">
                  <c:v>0.42827868852459017</c:v>
                </c:pt>
                <c:pt idx="280">
                  <c:v>0.42622950819672129</c:v>
                </c:pt>
                <c:pt idx="281">
                  <c:v>0.42418032786885246</c:v>
                </c:pt>
                <c:pt idx="282">
                  <c:v>0.42213114754098363</c:v>
                </c:pt>
                <c:pt idx="283">
                  <c:v>0.42008196721311475</c:v>
                </c:pt>
                <c:pt idx="284">
                  <c:v>0.41803278688524592</c:v>
                </c:pt>
                <c:pt idx="285">
                  <c:v>0.41598360655737704</c:v>
                </c:pt>
                <c:pt idx="286">
                  <c:v>0.41393442622950821</c:v>
                </c:pt>
                <c:pt idx="287">
                  <c:v>0.41188524590163933</c:v>
                </c:pt>
                <c:pt idx="288">
                  <c:v>0.4098360655737705</c:v>
                </c:pt>
                <c:pt idx="289">
                  <c:v>0.40778688524590162</c:v>
                </c:pt>
                <c:pt idx="290">
                  <c:v>0.40573770491803279</c:v>
                </c:pt>
                <c:pt idx="291">
                  <c:v>0.40368852459016391</c:v>
                </c:pt>
                <c:pt idx="292">
                  <c:v>0.40163934426229508</c:v>
                </c:pt>
                <c:pt idx="293">
                  <c:v>0.39959016393442626</c:v>
                </c:pt>
                <c:pt idx="294">
                  <c:v>0.39754098360655737</c:v>
                </c:pt>
                <c:pt idx="295">
                  <c:v>0.39549180327868855</c:v>
                </c:pt>
                <c:pt idx="296">
                  <c:v>0.39344262295081966</c:v>
                </c:pt>
                <c:pt idx="297">
                  <c:v>0.39139344262295084</c:v>
                </c:pt>
                <c:pt idx="298">
                  <c:v>0.38934426229508196</c:v>
                </c:pt>
                <c:pt idx="299">
                  <c:v>0.38729508196721313</c:v>
                </c:pt>
                <c:pt idx="300">
                  <c:v>0.38524590163934425</c:v>
                </c:pt>
                <c:pt idx="301">
                  <c:v>0.38319672131147542</c:v>
                </c:pt>
                <c:pt idx="302">
                  <c:v>0.38114754098360654</c:v>
                </c:pt>
                <c:pt idx="303">
                  <c:v>0.37909836065573771</c:v>
                </c:pt>
                <c:pt idx="304">
                  <c:v>0.37704918032786883</c:v>
                </c:pt>
                <c:pt idx="305">
                  <c:v>0.375</c:v>
                </c:pt>
                <c:pt idx="306">
                  <c:v>0.37295081967213117</c:v>
                </c:pt>
                <c:pt idx="307">
                  <c:v>0.37090163934426229</c:v>
                </c:pt>
                <c:pt idx="308">
                  <c:v>0.36885245901639346</c:v>
                </c:pt>
                <c:pt idx="309">
                  <c:v>0.36680327868852458</c:v>
                </c:pt>
                <c:pt idx="310">
                  <c:v>0.36475409836065575</c:v>
                </c:pt>
                <c:pt idx="311">
                  <c:v>0.36270491803278687</c:v>
                </c:pt>
                <c:pt idx="312">
                  <c:v>0.36065573770491804</c:v>
                </c:pt>
                <c:pt idx="313">
                  <c:v>0.35860655737704916</c:v>
                </c:pt>
                <c:pt idx="314">
                  <c:v>0.35655737704918034</c:v>
                </c:pt>
                <c:pt idx="315">
                  <c:v>0.35450819672131145</c:v>
                </c:pt>
                <c:pt idx="316">
                  <c:v>0.35245901639344263</c:v>
                </c:pt>
                <c:pt idx="317">
                  <c:v>0.35040983606557374</c:v>
                </c:pt>
                <c:pt idx="318">
                  <c:v>0.34836065573770492</c:v>
                </c:pt>
                <c:pt idx="319">
                  <c:v>0.34631147540983609</c:v>
                </c:pt>
                <c:pt idx="320">
                  <c:v>0.34426229508196721</c:v>
                </c:pt>
                <c:pt idx="321">
                  <c:v>0.34221311475409838</c:v>
                </c:pt>
                <c:pt idx="322">
                  <c:v>0.3401639344262295</c:v>
                </c:pt>
                <c:pt idx="323">
                  <c:v>0.33811475409836067</c:v>
                </c:pt>
                <c:pt idx="324">
                  <c:v>0.33606557377049179</c:v>
                </c:pt>
                <c:pt idx="325">
                  <c:v>0.33401639344262296</c:v>
                </c:pt>
                <c:pt idx="326">
                  <c:v>0.33196721311475408</c:v>
                </c:pt>
                <c:pt idx="327">
                  <c:v>0.32991803278688525</c:v>
                </c:pt>
                <c:pt idx="328">
                  <c:v>0.32786885245901637</c:v>
                </c:pt>
                <c:pt idx="329">
                  <c:v>0.32581967213114754</c:v>
                </c:pt>
                <c:pt idx="330">
                  <c:v>0.32377049180327871</c:v>
                </c:pt>
                <c:pt idx="331">
                  <c:v>0.32172131147540983</c:v>
                </c:pt>
                <c:pt idx="332">
                  <c:v>0.31967213114754101</c:v>
                </c:pt>
                <c:pt idx="333">
                  <c:v>0.31762295081967212</c:v>
                </c:pt>
                <c:pt idx="334">
                  <c:v>0.3155737704918033</c:v>
                </c:pt>
                <c:pt idx="335">
                  <c:v>0.31352459016393441</c:v>
                </c:pt>
                <c:pt idx="336">
                  <c:v>0.31147540983606559</c:v>
                </c:pt>
                <c:pt idx="337">
                  <c:v>0.3094262295081967</c:v>
                </c:pt>
                <c:pt idx="338">
                  <c:v>0.30737704918032788</c:v>
                </c:pt>
                <c:pt idx="339">
                  <c:v>0.30532786885245899</c:v>
                </c:pt>
                <c:pt idx="340">
                  <c:v>0.30327868852459017</c:v>
                </c:pt>
                <c:pt idx="341">
                  <c:v>0.30122950819672129</c:v>
                </c:pt>
                <c:pt idx="342">
                  <c:v>0.29918032786885246</c:v>
                </c:pt>
                <c:pt idx="343">
                  <c:v>0.29713114754098363</c:v>
                </c:pt>
                <c:pt idx="344">
                  <c:v>0.29508196721311475</c:v>
                </c:pt>
                <c:pt idx="345">
                  <c:v>0.29303278688524592</c:v>
                </c:pt>
                <c:pt idx="346">
                  <c:v>0.29098360655737704</c:v>
                </c:pt>
                <c:pt idx="347">
                  <c:v>0.28893442622950821</c:v>
                </c:pt>
                <c:pt idx="348">
                  <c:v>0.28688524590163933</c:v>
                </c:pt>
                <c:pt idx="349">
                  <c:v>0.2848360655737705</c:v>
                </c:pt>
                <c:pt idx="350">
                  <c:v>0.28278688524590162</c:v>
                </c:pt>
                <c:pt idx="351">
                  <c:v>0.28073770491803279</c:v>
                </c:pt>
                <c:pt idx="352">
                  <c:v>0.27868852459016391</c:v>
                </c:pt>
                <c:pt idx="353">
                  <c:v>0.27663934426229508</c:v>
                </c:pt>
                <c:pt idx="354">
                  <c:v>0.27459016393442626</c:v>
                </c:pt>
                <c:pt idx="355">
                  <c:v>0.27254098360655737</c:v>
                </c:pt>
                <c:pt idx="356">
                  <c:v>0.27049180327868855</c:v>
                </c:pt>
                <c:pt idx="357">
                  <c:v>0.26844262295081966</c:v>
                </c:pt>
                <c:pt idx="358">
                  <c:v>0.26639344262295084</c:v>
                </c:pt>
                <c:pt idx="359">
                  <c:v>0.26434426229508196</c:v>
                </c:pt>
                <c:pt idx="360">
                  <c:v>0.26229508196721313</c:v>
                </c:pt>
                <c:pt idx="361">
                  <c:v>0.26024590163934425</c:v>
                </c:pt>
                <c:pt idx="362">
                  <c:v>0.25819672131147542</c:v>
                </c:pt>
                <c:pt idx="363">
                  <c:v>0.25614754098360654</c:v>
                </c:pt>
                <c:pt idx="364">
                  <c:v>0.25409836065573771</c:v>
                </c:pt>
                <c:pt idx="365">
                  <c:v>0.25204918032786883</c:v>
                </c:pt>
                <c:pt idx="366">
                  <c:v>0.25</c:v>
                </c:pt>
                <c:pt idx="367">
                  <c:v>0.24795081967213115</c:v>
                </c:pt>
                <c:pt idx="368">
                  <c:v>0.24590163934426229</c:v>
                </c:pt>
                <c:pt idx="369">
                  <c:v>0.24385245901639344</c:v>
                </c:pt>
                <c:pt idx="370">
                  <c:v>0.24180327868852458</c:v>
                </c:pt>
                <c:pt idx="371">
                  <c:v>0.23975409836065573</c:v>
                </c:pt>
                <c:pt idx="372">
                  <c:v>0.23770491803278687</c:v>
                </c:pt>
                <c:pt idx="373">
                  <c:v>0.23565573770491804</c:v>
                </c:pt>
                <c:pt idx="374">
                  <c:v>0.23360655737704919</c:v>
                </c:pt>
                <c:pt idx="375">
                  <c:v>0.23155737704918034</c:v>
                </c:pt>
                <c:pt idx="376">
                  <c:v>0.22950819672131148</c:v>
                </c:pt>
                <c:pt idx="377">
                  <c:v>0.22745901639344263</c:v>
                </c:pt>
                <c:pt idx="378">
                  <c:v>0.22540983606557377</c:v>
                </c:pt>
                <c:pt idx="379">
                  <c:v>0.22336065573770492</c:v>
                </c:pt>
                <c:pt idx="380">
                  <c:v>0.22131147540983606</c:v>
                </c:pt>
                <c:pt idx="381">
                  <c:v>0.21926229508196721</c:v>
                </c:pt>
                <c:pt idx="382">
                  <c:v>0.21721311475409835</c:v>
                </c:pt>
                <c:pt idx="383">
                  <c:v>0.2151639344262295</c:v>
                </c:pt>
                <c:pt idx="384">
                  <c:v>0.21311475409836064</c:v>
                </c:pt>
                <c:pt idx="385">
                  <c:v>0.21106557377049182</c:v>
                </c:pt>
                <c:pt idx="386">
                  <c:v>0.20901639344262296</c:v>
                </c:pt>
                <c:pt idx="387">
                  <c:v>0.20696721311475411</c:v>
                </c:pt>
                <c:pt idx="388">
                  <c:v>0.20491803278688525</c:v>
                </c:pt>
                <c:pt idx="389">
                  <c:v>0.2028688524590164</c:v>
                </c:pt>
                <c:pt idx="390">
                  <c:v>0.20081967213114754</c:v>
                </c:pt>
                <c:pt idx="391">
                  <c:v>0.19877049180327869</c:v>
                </c:pt>
                <c:pt idx="392">
                  <c:v>0.19672131147540983</c:v>
                </c:pt>
                <c:pt idx="393">
                  <c:v>0.19467213114754098</c:v>
                </c:pt>
                <c:pt idx="394">
                  <c:v>0.19262295081967212</c:v>
                </c:pt>
                <c:pt idx="395">
                  <c:v>0.19057377049180327</c:v>
                </c:pt>
                <c:pt idx="396">
                  <c:v>0.18852459016393441</c:v>
                </c:pt>
                <c:pt idx="397">
                  <c:v>0.18647540983606559</c:v>
                </c:pt>
                <c:pt idx="398">
                  <c:v>0.18442622950819673</c:v>
                </c:pt>
                <c:pt idx="399">
                  <c:v>0.18237704918032788</c:v>
                </c:pt>
                <c:pt idx="400">
                  <c:v>0.18032786885245902</c:v>
                </c:pt>
                <c:pt idx="401">
                  <c:v>0.17827868852459017</c:v>
                </c:pt>
                <c:pt idx="402">
                  <c:v>0.17622950819672131</c:v>
                </c:pt>
                <c:pt idx="403">
                  <c:v>0.17418032786885246</c:v>
                </c:pt>
                <c:pt idx="404">
                  <c:v>0.1721311475409836</c:v>
                </c:pt>
                <c:pt idx="405">
                  <c:v>0.17008196721311475</c:v>
                </c:pt>
                <c:pt idx="406">
                  <c:v>0.16803278688524589</c:v>
                </c:pt>
                <c:pt idx="407">
                  <c:v>0.16598360655737704</c:v>
                </c:pt>
                <c:pt idx="408">
                  <c:v>0.16393442622950818</c:v>
                </c:pt>
                <c:pt idx="409">
                  <c:v>0.16188524590163936</c:v>
                </c:pt>
                <c:pt idx="410">
                  <c:v>0.1598360655737705</c:v>
                </c:pt>
                <c:pt idx="411">
                  <c:v>0.15778688524590165</c:v>
                </c:pt>
                <c:pt idx="412">
                  <c:v>0.15573770491803279</c:v>
                </c:pt>
                <c:pt idx="413">
                  <c:v>0.15368852459016394</c:v>
                </c:pt>
                <c:pt idx="414">
                  <c:v>0.15163934426229508</c:v>
                </c:pt>
                <c:pt idx="415">
                  <c:v>0.14959016393442623</c:v>
                </c:pt>
                <c:pt idx="416">
                  <c:v>0.14754098360655737</c:v>
                </c:pt>
                <c:pt idx="417">
                  <c:v>0.14549180327868852</c:v>
                </c:pt>
                <c:pt idx="418">
                  <c:v>0.14344262295081966</c:v>
                </c:pt>
                <c:pt idx="419">
                  <c:v>0.14139344262295081</c:v>
                </c:pt>
                <c:pt idx="420">
                  <c:v>0.13934426229508196</c:v>
                </c:pt>
                <c:pt idx="421">
                  <c:v>0.13729508196721313</c:v>
                </c:pt>
                <c:pt idx="422">
                  <c:v>0.13524590163934427</c:v>
                </c:pt>
                <c:pt idx="423">
                  <c:v>0.13319672131147542</c:v>
                </c:pt>
                <c:pt idx="424">
                  <c:v>0.13114754098360656</c:v>
                </c:pt>
                <c:pt idx="425">
                  <c:v>0.12909836065573771</c:v>
                </c:pt>
                <c:pt idx="426">
                  <c:v>0.12704918032786885</c:v>
                </c:pt>
                <c:pt idx="427">
                  <c:v>0.125</c:v>
                </c:pt>
                <c:pt idx="428">
                  <c:v>0.12295081967213115</c:v>
                </c:pt>
                <c:pt idx="429">
                  <c:v>0.12090163934426229</c:v>
                </c:pt>
                <c:pt idx="430">
                  <c:v>0.11885245901639344</c:v>
                </c:pt>
                <c:pt idx="431">
                  <c:v>0.11680327868852459</c:v>
                </c:pt>
                <c:pt idx="432">
                  <c:v>0.11475409836065574</c:v>
                </c:pt>
                <c:pt idx="433">
                  <c:v>0.11270491803278689</c:v>
                </c:pt>
                <c:pt idx="434">
                  <c:v>0.11065573770491803</c:v>
                </c:pt>
                <c:pt idx="435">
                  <c:v>0.10860655737704918</c:v>
                </c:pt>
                <c:pt idx="436">
                  <c:v>0.10655737704918032</c:v>
                </c:pt>
                <c:pt idx="437">
                  <c:v>0.10450819672131148</c:v>
                </c:pt>
                <c:pt idx="438">
                  <c:v>0.10245901639344263</c:v>
                </c:pt>
                <c:pt idx="439">
                  <c:v>0.10040983606557377</c:v>
                </c:pt>
                <c:pt idx="440">
                  <c:v>9.8360655737704916E-2</c:v>
                </c:pt>
                <c:pt idx="441">
                  <c:v>9.6311475409836061E-2</c:v>
                </c:pt>
                <c:pt idx="442">
                  <c:v>9.4262295081967207E-2</c:v>
                </c:pt>
                <c:pt idx="443">
                  <c:v>9.2213114754098366E-2</c:v>
                </c:pt>
                <c:pt idx="444">
                  <c:v>9.0163934426229511E-2</c:v>
                </c:pt>
                <c:pt idx="445">
                  <c:v>8.8114754098360656E-2</c:v>
                </c:pt>
                <c:pt idx="446">
                  <c:v>8.6065573770491802E-2</c:v>
                </c:pt>
                <c:pt idx="447">
                  <c:v>8.4016393442622947E-2</c:v>
                </c:pt>
                <c:pt idx="448">
                  <c:v>8.1967213114754092E-2</c:v>
                </c:pt>
                <c:pt idx="449">
                  <c:v>7.9918032786885251E-2</c:v>
                </c:pt>
                <c:pt idx="450">
                  <c:v>7.7868852459016397E-2</c:v>
                </c:pt>
                <c:pt idx="451">
                  <c:v>7.5819672131147542E-2</c:v>
                </c:pt>
                <c:pt idx="452">
                  <c:v>7.3770491803278687E-2</c:v>
                </c:pt>
                <c:pt idx="453">
                  <c:v>7.1721311475409832E-2</c:v>
                </c:pt>
                <c:pt idx="454">
                  <c:v>6.9672131147540978E-2</c:v>
                </c:pt>
                <c:pt idx="455">
                  <c:v>6.7622950819672137E-2</c:v>
                </c:pt>
                <c:pt idx="456">
                  <c:v>6.5573770491803282E-2</c:v>
                </c:pt>
                <c:pt idx="457">
                  <c:v>6.3524590163934427E-2</c:v>
                </c:pt>
                <c:pt idx="458">
                  <c:v>6.1475409836065573E-2</c:v>
                </c:pt>
                <c:pt idx="459">
                  <c:v>5.9426229508196718E-2</c:v>
                </c:pt>
                <c:pt idx="460">
                  <c:v>5.737704918032787E-2</c:v>
                </c:pt>
                <c:pt idx="461">
                  <c:v>5.5327868852459015E-2</c:v>
                </c:pt>
                <c:pt idx="462">
                  <c:v>5.3278688524590161E-2</c:v>
                </c:pt>
                <c:pt idx="463">
                  <c:v>5.1229508196721313E-2</c:v>
                </c:pt>
                <c:pt idx="464">
                  <c:v>4.9180327868852458E-2</c:v>
                </c:pt>
                <c:pt idx="465">
                  <c:v>4.7131147540983603E-2</c:v>
                </c:pt>
                <c:pt idx="466">
                  <c:v>4.5081967213114756E-2</c:v>
                </c:pt>
                <c:pt idx="467">
                  <c:v>4.3032786885245901E-2</c:v>
                </c:pt>
                <c:pt idx="468">
                  <c:v>4.0983606557377046E-2</c:v>
                </c:pt>
                <c:pt idx="469">
                  <c:v>3.8934426229508198E-2</c:v>
                </c:pt>
                <c:pt idx="470">
                  <c:v>3.6885245901639344E-2</c:v>
                </c:pt>
                <c:pt idx="471">
                  <c:v>3.4836065573770489E-2</c:v>
                </c:pt>
                <c:pt idx="472">
                  <c:v>3.2786885245901641E-2</c:v>
                </c:pt>
                <c:pt idx="473">
                  <c:v>3.0737704918032786E-2</c:v>
                </c:pt>
                <c:pt idx="474">
                  <c:v>2.8688524590163935E-2</c:v>
                </c:pt>
                <c:pt idx="475">
                  <c:v>2.663934426229508E-2</c:v>
                </c:pt>
                <c:pt idx="476">
                  <c:v>2.4590163934426229E-2</c:v>
                </c:pt>
                <c:pt idx="477">
                  <c:v>2.2540983606557378E-2</c:v>
                </c:pt>
                <c:pt idx="478">
                  <c:v>2.0491803278688523E-2</c:v>
                </c:pt>
                <c:pt idx="479">
                  <c:v>1.8442622950819672E-2</c:v>
                </c:pt>
                <c:pt idx="480">
                  <c:v>1.6393442622950821E-2</c:v>
                </c:pt>
                <c:pt idx="481">
                  <c:v>1.4344262295081968E-2</c:v>
                </c:pt>
                <c:pt idx="482">
                  <c:v>1.2295081967213115E-2</c:v>
                </c:pt>
                <c:pt idx="483">
                  <c:v>1.0245901639344262E-2</c:v>
                </c:pt>
                <c:pt idx="484">
                  <c:v>8.1967213114754103E-3</c:v>
                </c:pt>
                <c:pt idx="485">
                  <c:v>6.1475409836065573E-3</c:v>
                </c:pt>
                <c:pt idx="486">
                  <c:v>4.0983606557377051E-3</c:v>
                </c:pt>
                <c:pt idx="487">
                  <c:v>2.0491803278688526E-3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752419087298999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PolicyLosses!$H$5:$H$11</c:f>
              <c:numCache>
                <c:formatCode>General</c:formatCode>
                <c:ptCount val="6"/>
                <c:pt idx="0">
                  <c:v>189</c:v>
                </c:pt>
                <c:pt idx="1">
                  <c:v>187</c:v>
                </c:pt>
                <c:pt idx="2">
                  <c:v>85</c:v>
                </c:pt>
                <c:pt idx="3">
                  <c:v>27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Policies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Empirical 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1.346020486342421</c:v>
                </c:pt>
                <c:pt idx="1">
                  <c:v>1.3141841773420477</c:v>
                </c:pt>
                <c:pt idx="2">
                  <c:v>1.2807857636817359</c:v>
                </c:pt>
                <c:pt idx="3">
                  <c:v>1.175044386715048</c:v>
                </c:pt>
                <c:pt idx="4">
                  <c:v>0.98109890612040196</c:v>
                </c:pt>
                <c:pt idx="5">
                  <c:v>0.976808500840744</c:v>
                </c:pt>
                <c:pt idx="6">
                  <c:v>0.96648631445674593</c:v>
                </c:pt>
                <c:pt idx="7">
                  <c:v>0.95969159430471207</c:v>
                </c:pt>
                <c:pt idx="8">
                  <c:v>0.94215862489952906</c:v>
                </c:pt>
                <c:pt idx="9">
                  <c:v>0.93611225787623287</c:v>
                </c:pt>
                <c:pt idx="10">
                  <c:v>0.86464132215188405</c:v>
                </c:pt>
                <c:pt idx="11">
                  <c:v>0.85846312938053915</c:v>
                </c:pt>
                <c:pt idx="12">
                  <c:v>0.80480026675243499</c:v>
                </c:pt>
                <c:pt idx="13">
                  <c:v>0.74759755760207458</c:v>
                </c:pt>
                <c:pt idx="14">
                  <c:v>0.74075706254224805</c:v>
                </c:pt>
                <c:pt idx="15">
                  <c:v>0.71200574415985296</c:v>
                </c:pt>
                <c:pt idx="16">
                  <c:v>0.69142895016282602</c:v>
                </c:pt>
                <c:pt idx="17">
                  <c:v>0.68915475418598005</c:v>
                </c:pt>
                <c:pt idx="18">
                  <c:v>0.68778778470885804</c:v>
                </c:pt>
                <c:pt idx="19">
                  <c:v>0.66843944873945182</c:v>
                </c:pt>
                <c:pt idx="20">
                  <c:v>0.66696085972355401</c:v>
                </c:pt>
                <c:pt idx="21">
                  <c:v>0.65076662576713806</c:v>
                </c:pt>
                <c:pt idx="22">
                  <c:v>0.64511047640919905</c:v>
                </c:pt>
                <c:pt idx="23">
                  <c:v>0.64185437693580405</c:v>
                </c:pt>
                <c:pt idx="24">
                  <c:v>0.64007521973278003</c:v>
                </c:pt>
                <c:pt idx="25">
                  <c:v>0.61198470479739797</c:v>
                </c:pt>
                <c:pt idx="26">
                  <c:v>0.60941539388521404</c:v>
                </c:pt>
                <c:pt idx="27">
                  <c:v>0.60506402482038901</c:v>
                </c:pt>
                <c:pt idx="28">
                  <c:v>0.60233126070630494</c:v>
                </c:pt>
                <c:pt idx="29">
                  <c:v>0.60096924421195697</c:v>
                </c:pt>
                <c:pt idx="30">
                  <c:v>0.59297211137589456</c:v>
                </c:pt>
                <c:pt idx="31">
                  <c:v>0.58170208548878344</c:v>
                </c:pt>
                <c:pt idx="32">
                  <c:v>0.58120660000768987</c:v>
                </c:pt>
                <c:pt idx="33">
                  <c:v>0.57754981294449537</c:v>
                </c:pt>
                <c:pt idx="34">
                  <c:v>0.57730768591164305</c:v>
                </c:pt>
                <c:pt idx="35">
                  <c:v>0.56003986474471501</c:v>
                </c:pt>
                <c:pt idx="36">
                  <c:v>0.559039806318685</c:v>
                </c:pt>
                <c:pt idx="37">
                  <c:v>0.55763175822650746</c:v>
                </c:pt>
                <c:pt idx="38">
                  <c:v>0.55660539890032945</c:v>
                </c:pt>
                <c:pt idx="39">
                  <c:v>0.55406327267497901</c:v>
                </c:pt>
                <c:pt idx="40">
                  <c:v>0.53814864490507097</c:v>
                </c:pt>
                <c:pt idx="41">
                  <c:v>0.53561653409500909</c:v>
                </c:pt>
                <c:pt idx="42">
                  <c:v>0.52883926703072603</c:v>
                </c:pt>
                <c:pt idx="43">
                  <c:v>0.52077391122798899</c:v>
                </c:pt>
                <c:pt idx="44">
                  <c:v>0.52051774976180543</c:v>
                </c:pt>
                <c:pt idx="45">
                  <c:v>0.507743453199763</c:v>
                </c:pt>
                <c:pt idx="46">
                  <c:v>0.50738527964664704</c:v>
                </c:pt>
                <c:pt idx="47">
                  <c:v>0.50404262240269393</c:v>
                </c:pt>
                <c:pt idx="48">
                  <c:v>0.50136190500107491</c:v>
                </c:pt>
                <c:pt idx="49">
                  <c:v>0.492791559213696</c:v>
                </c:pt>
                <c:pt idx="50">
                  <c:v>0.49238791938955351</c:v>
                </c:pt>
                <c:pt idx="51">
                  <c:v>0.49001032062292271</c:v>
                </c:pt>
                <c:pt idx="52">
                  <c:v>0.48378996410293701</c:v>
                </c:pt>
                <c:pt idx="53">
                  <c:v>0.47029961824279665</c:v>
                </c:pt>
                <c:pt idx="54">
                  <c:v>0.46690531495944498</c:v>
                </c:pt>
                <c:pt idx="55">
                  <c:v>0.45601613728770651</c:v>
                </c:pt>
                <c:pt idx="56">
                  <c:v>0.45550765080717698</c:v>
                </c:pt>
                <c:pt idx="57">
                  <c:v>0.44584538977926302</c:v>
                </c:pt>
                <c:pt idx="58">
                  <c:v>0.43920747855191145</c:v>
                </c:pt>
                <c:pt idx="59">
                  <c:v>0.43471750232116302</c:v>
                </c:pt>
                <c:pt idx="60">
                  <c:v>0.43410066739044401</c:v>
                </c:pt>
                <c:pt idx="61">
                  <c:v>0.43263751305353004</c:v>
                </c:pt>
                <c:pt idx="62">
                  <c:v>0.43249317683124117</c:v>
                </c:pt>
                <c:pt idx="63">
                  <c:v>0.43095364777225798</c:v>
                </c:pt>
                <c:pt idx="64">
                  <c:v>0.42837720277289004</c:v>
                </c:pt>
                <c:pt idx="65">
                  <c:v>0.41774981804627864</c:v>
                </c:pt>
                <c:pt idx="66">
                  <c:v>0.41253208622901993</c:v>
                </c:pt>
                <c:pt idx="67">
                  <c:v>0.41061580411658999</c:v>
                </c:pt>
                <c:pt idx="68">
                  <c:v>0.4046057271390478</c:v>
                </c:pt>
                <c:pt idx="69">
                  <c:v>0.40424613041023677</c:v>
                </c:pt>
                <c:pt idx="70">
                  <c:v>0.39379027394434202</c:v>
                </c:pt>
                <c:pt idx="71">
                  <c:v>0.39325743421961767</c:v>
                </c:pt>
                <c:pt idx="72">
                  <c:v>0.38863316576322987</c:v>
                </c:pt>
                <c:pt idx="73">
                  <c:v>0.38840178949289705</c:v>
                </c:pt>
                <c:pt idx="74">
                  <c:v>0.38290505198468799</c:v>
                </c:pt>
                <c:pt idx="75">
                  <c:v>0.38261164632753603</c:v>
                </c:pt>
                <c:pt idx="76">
                  <c:v>0.38177311221424898</c:v>
                </c:pt>
                <c:pt idx="77">
                  <c:v>0.380207814852352</c:v>
                </c:pt>
                <c:pt idx="78">
                  <c:v>0.37479833806122398</c:v>
                </c:pt>
                <c:pt idx="79">
                  <c:v>0.37419131015632801</c:v>
                </c:pt>
                <c:pt idx="80">
                  <c:v>0.37333439720030231</c:v>
                </c:pt>
                <c:pt idx="81">
                  <c:v>0.3692567797988151</c:v>
                </c:pt>
                <c:pt idx="82">
                  <c:v>0.359953222596198</c:v>
                </c:pt>
                <c:pt idx="83">
                  <c:v>0.35951969798435102</c:v>
                </c:pt>
                <c:pt idx="84">
                  <c:v>0.35801304319870542</c:v>
                </c:pt>
                <c:pt idx="85">
                  <c:v>0.35796906492716601</c:v>
                </c:pt>
                <c:pt idx="86">
                  <c:v>0.35777921371458193</c:v>
                </c:pt>
                <c:pt idx="87">
                  <c:v>0.35448175121283299</c:v>
                </c:pt>
                <c:pt idx="88">
                  <c:v>0.35132079260531801</c:v>
                </c:pt>
                <c:pt idx="89">
                  <c:v>0.35097404404080201</c:v>
                </c:pt>
                <c:pt idx="90">
                  <c:v>0.34688705077892901</c:v>
                </c:pt>
                <c:pt idx="91">
                  <c:v>0.34508696918116699</c:v>
                </c:pt>
                <c:pt idx="92">
                  <c:v>0.34441069516898881</c:v>
                </c:pt>
                <c:pt idx="93">
                  <c:v>0.340132217857464</c:v>
                </c:pt>
                <c:pt idx="94">
                  <c:v>0.33957218635974801</c:v>
                </c:pt>
                <c:pt idx="95">
                  <c:v>0.33854581501681119</c:v>
                </c:pt>
                <c:pt idx="96">
                  <c:v>0.33783755671220589</c:v>
                </c:pt>
                <c:pt idx="97">
                  <c:v>0.33658991224957258</c:v>
                </c:pt>
                <c:pt idx="98">
                  <c:v>0.319727189042813</c:v>
                </c:pt>
                <c:pt idx="99">
                  <c:v>0.31850781056713101</c:v>
                </c:pt>
                <c:pt idx="100">
                  <c:v>0.318102190228987</c:v>
                </c:pt>
                <c:pt idx="101">
                  <c:v>0.31019538650107698</c:v>
                </c:pt>
                <c:pt idx="102">
                  <c:v>0.30927760708272301</c:v>
                </c:pt>
                <c:pt idx="103">
                  <c:v>0.30892252047166302</c:v>
                </c:pt>
                <c:pt idx="104">
                  <c:v>0.30678735921811801</c:v>
                </c:pt>
                <c:pt idx="105">
                  <c:v>0.30571085635744899</c:v>
                </c:pt>
                <c:pt idx="106">
                  <c:v>0.30380228762349099</c:v>
                </c:pt>
                <c:pt idx="107">
                  <c:v>0.30130781255732603</c:v>
                </c:pt>
                <c:pt idx="108">
                  <c:v>0.29817622426043838</c:v>
                </c:pt>
                <c:pt idx="109">
                  <c:v>0.29696290717306001</c:v>
                </c:pt>
                <c:pt idx="110">
                  <c:v>0.29563360857981402</c:v>
                </c:pt>
                <c:pt idx="111">
                  <c:v>0.29453546122070701</c:v>
                </c:pt>
                <c:pt idx="112">
                  <c:v>0.29420785741074501</c:v>
                </c:pt>
                <c:pt idx="113">
                  <c:v>0.29157162509207901</c:v>
                </c:pt>
                <c:pt idx="114">
                  <c:v>0.29155510941182461</c:v>
                </c:pt>
                <c:pt idx="115">
                  <c:v>0.29069392609702882</c:v>
                </c:pt>
                <c:pt idx="116">
                  <c:v>0.28953327940136697</c:v>
                </c:pt>
                <c:pt idx="117">
                  <c:v>0.28899174742972122</c:v>
                </c:pt>
                <c:pt idx="118">
                  <c:v>0.28821810054227398</c:v>
                </c:pt>
                <c:pt idx="119">
                  <c:v>0.28762949969781099</c:v>
                </c:pt>
                <c:pt idx="120">
                  <c:v>0.28735781023477269</c:v>
                </c:pt>
                <c:pt idx="121">
                  <c:v>0.28386160296985102</c:v>
                </c:pt>
                <c:pt idx="122">
                  <c:v>0.28361006299609043</c:v>
                </c:pt>
                <c:pt idx="123">
                  <c:v>0.28274942516763513</c:v>
                </c:pt>
                <c:pt idx="124">
                  <c:v>0.28202610837402298</c:v>
                </c:pt>
                <c:pt idx="125">
                  <c:v>0.281944291136494</c:v>
                </c:pt>
                <c:pt idx="126">
                  <c:v>0.28127703302405399</c:v>
                </c:pt>
                <c:pt idx="127">
                  <c:v>0.28102069471000102</c:v>
                </c:pt>
                <c:pt idx="128">
                  <c:v>0.27952257039449713</c:v>
                </c:pt>
                <c:pt idx="129">
                  <c:v>0.279181372033032</c:v>
                </c:pt>
                <c:pt idx="130">
                  <c:v>0.276838364198075</c:v>
                </c:pt>
                <c:pt idx="131">
                  <c:v>0.27576019275202801</c:v>
                </c:pt>
                <c:pt idx="132">
                  <c:v>0.27568063971297202</c:v>
                </c:pt>
                <c:pt idx="133">
                  <c:v>0.273142709948556</c:v>
                </c:pt>
                <c:pt idx="134">
                  <c:v>0.27244745512371099</c:v>
                </c:pt>
                <c:pt idx="135">
                  <c:v>0.27144640065078202</c:v>
                </c:pt>
                <c:pt idx="136">
                  <c:v>0.26496828975687248</c:v>
                </c:pt>
                <c:pt idx="137">
                  <c:v>0.26463638384661198</c:v>
                </c:pt>
                <c:pt idx="138">
                  <c:v>0.26440852331858422</c:v>
                </c:pt>
                <c:pt idx="139">
                  <c:v>0.26374204235940502</c:v>
                </c:pt>
                <c:pt idx="140">
                  <c:v>0.26309378134703698</c:v>
                </c:pt>
                <c:pt idx="141">
                  <c:v>0.26043978602927498</c:v>
                </c:pt>
                <c:pt idx="142">
                  <c:v>0.25544767354590903</c:v>
                </c:pt>
                <c:pt idx="143">
                  <c:v>0.25322483650766398</c:v>
                </c:pt>
                <c:pt idx="144">
                  <c:v>0.25145788687490939</c:v>
                </c:pt>
                <c:pt idx="145">
                  <c:v>0.25004987022648822</c:v>
                </c:pt>
                <c:pt idx="146">
                  <c:v>0.249795670859779</c:v>
                </c:pt>
                <c:pt idx="147">
                  <c:v>0.24959403155774801</c:v>
                </c:pt>
                <c:pt idx="148">
                  <c:v>0.24302346111838199</c:v>
                </c:pt>
                <c:pt idx="149">
                  <c:v>0.240884598113073</c:v>
                </c:pt>
                <c:pt idx="150">
                  <c:v>0.23537974857060801</c:v>
                </c:pt>
                <c:pt idx="151">
                  <c:v>0.234707516598987</c:v>
                </c:pt>
                <c:pt idx="152">
                  <c:v>0.23454373271985901</c:v>
                </c:pt>
                <c:pt idx="153">
                  <c:v>0.23358568921494799</c:v>
                </c:pt>
                <c:pt idx="154">
                  <c:v>0.23316655194521518</c:v>
                </c:pt>
                <c:pt idx="155">
                  <c:v>0.23196446594099931</c:v>
                </c:pt>
                <c:pt idx="156">
                  <c:v>0.22898476020757899</c:v>
                </c:pt>
                <c:pt idx="157">
                  <c:v>0.22796045681975699</c:v>
                </c:pt>
                <c:pt idx="158">
                  <c:v>0.22778238404279499</c:v>
                </c:pt>
                <c:pt idx="159">
                  <c:v>0.222844577105727</c:v>
                </c:pt>
                <c:pt idx="160">
                  <c:v>0.22248257475576</c:v>
                </c:pt>
                <c:pt idx="161">
                  <c:v>0.22196916306064499</c:v>
                </c:pt>
                <c:pt idx="162">
                  <c:v>0.22126270168989801</c:v>
                </c:pt>
                <c:pt idx="163">
                  <c:v>0.22024605835452049</c:v>
                </c:pt>
                <c:pt idx="164">
                  <c:v>0.22006606292887099</c:v>
                </c:pt>
                <c:pt idx="165">
                  <c:v>0.2200638681604852</c:v>
                </c:pt>
                <c:pt idx="166">
                  <c:v>0.21844687110657601</c:v>
                </c:pt>
                <c:pt idx="167">
                  <c:v>0.218087868249906</c:v>
                </c:pt>
                <c:pt idx="168">
                  <c:v>0.21533893107518182</c:v>
                </c:pt>
                <c:pt idx="169">
                  <c:v>0.214588452736652</c:v>
                </c:pt>
                <c:pt idx="170">
                  <c:v>0.21320679669485401</c:v>
                </c:pt>
                <c:pt idx="171">
                  <c:v>0.21286070986789801</c:v>
                </c:pt>
                <c:pt idx="172">
                  <c:v>0.2120075368575973</c:v>
                </c:pt>
                <c:pt idx="173">
                  <c:v>0.210979524099244</c:v>
                </c:pt>
                <c:pt idx="174">
                  <c:v>0.210701515123602</c:v>
                </c:pt>
                <c:pt idx="175">
                  <c:v>0.20989060990798999</c:v>
                </c:pt>
                <c:pt idx="176">
                  <c:v>0.208392332693694</c:v>
                </c:pt>
                <c:pt idx="177">
                  <c:v>0.20477016945738599</c:v>
                </c:pt>
                <c:pt idx="178">
                  <c:v>0.20462238616769901</c:v>
                </c:pt>
                <c:pt idx="179">
                  <c:v>0.204554453567526</c:v>
                </c:pt>
                <c:pt idx="180">
                  <c:v>0.20080325258803822</c:v>
                </c:pt>
                <c:pt idx="181">
                  <c:v>0.19910893140434399</c:v>
                </c:pt>
                <c:pt idx="182">
                  <c:v>0.19512672548368501</c:v>
                </c:pt>
                <c:pt idx="183">
                  <c:v>0.19503152465641699</c:v>
                </c:pt>
                <c:pt idx="184">
                  <c:v>0.19360577133177609</c:v>
                </c:pt>
                <c:pt idx="185">
                  <c:v>0.19031691215045299</c:v>
                </c:pt>
                <c:pt idx="186">
                  <c:v>0.18914453600637299</c:v>
                </c:pt>
                <c:pt idx="187">
                  <c:v>0.188916455378519</c:v>
                </c:pt>
                <c:pt idx="188">
                  <c:v>0.18820243128675301</c:v>
                </c:pt>
                <c:pt idx="189">
                  <c:v>0.187129400944608</c:v>
                </c:pt>
                <c:pt idx="190">
                  <c:v>0.18081811475013901</c:v>
                </c:pt>
                <c:pt idx="191">
                  <c:v>0.179692156203418</c:v>
                </c:pt>
                <c:pt idx="192">
                  <c:v>0.17655947315892101</c:v>
                </c:pt>
                <c:pt idx="193">
                  <c:v>0.17600700413398601</c:v>
                </c:pt>
                <c:pt idx="194">
                  <c:v>0.17439552653899501</c:v>
                </c:pt>
                <c:pt idx="195">
                  <c:v>0.17376677972167981</c:v>
                </c:pt>
                <c:pt idx="196">
                  <c:v>0.17306539521351999</c:v>
                </c:pt>
                <c:pt idx="197">
                  <c:v>0.172316755714017</c:v>
                </c:pt>
                <c:pt idx="198">
                  <c:v>0.17110625292599899</c:v>
                </c:pt>
                <c:pt idx="199">
                  <c:v>0.17048205519226101</c:v>
                </c:pt>
                <c:pt idx="200">
                  <c:v>0.16886396356309299</c:v>
                </c:pt>
                <c:pt idx="201">
                  <c:v>0.16654348888951698</c:v>
                </c:pt>
                <c:pt idx="202">
                  <c:v>0.16564961170869799</c:v>
                </c:pt>
                <c:pt idx="203">
                  <c:v>0.16560100010067</c:v>
                </c:pt>
                <c:pt idx="204">
                  <c:v>0.165198016412749</c:v>
                </c:pt>
                <c:pt idx="205">
                  <c:v>0.165017364881582</c:v>
                </c:pt>
                <c:pt idx="206">
                  <c:v>0.16421729579928901</c:v>
                </c:pt>
                <c:pt idx="207">
                  <c:v>0.160235418331441</c:v>
                </c:pt>
                <c:pt idx="208">
                  <c:v>0.15801900145651282</c:v>
                </c:pt>
                <c:pt idx="209">
                  <c:v>0.157985178662431</c:v>
                </c:pt>
                <c:pt idx="210">
                  <c:v>0.15653910249819</c:v>
                </c:pt>
                <c:pt idx="211">
                  <c:v>0.156018359251966</c:v>
                </c:pt>
                <c:pt idx="212">
                  <c:v>0.15571806457147899</c:v>
                </c:pt>
                <c:pt idx="213">
                  <c:v>0.1551321688667</c:v>
                </c:pt>
                <c:pt idx="214">
                  <c:v>0.154792847051134</c:v>
                </c:pt>
                <c:pt idx="215">
                  <c:v>0.15432570630515699</c:v>
                </c:pt>
                <c:pt idx="216">
                  <c:v>0.154279728031508</c:v>
                </c:pt>
                <c:pt idx="217">
                  <c:v>0.15315301692813499</c:v>
                </c:pt>
                <c:pt idx="218">
                  <c:v>0.15098675255563501</c:v>
                </c:pt>
                <c:pt idx="219">
                  <c:v>0.14624978129557201</c:v>
                </c:pt>
                <c:pt idx="220">
                  <c:v>0.14543296534770411</c:v>
                </c:pt>
                <c:pt idx="221">
                  <c:v>0.14540181877335501</c:v>
                </c:pt>
                <c:pt idx="222">
                  <c:v>0.142546089504274</c:v>
                </c:pt>
                <c:pt idx="223">
                  <c:v>0.142526118194156</c:v>
                </c:pt>
                <c:pt idx="224">
                  <c:v>0.142417403386908</c:v>
                </c:pt>
                <c:pt idx="225">
                  <c:v>0.13865013256837699</c:v>
                </c:pt>
                <c:pt idx="226">
                  <c:v>0.13750831297541899</c:v>
                </c:pt>
                <c:pt idx="227">
                  <c:v>0.13657082912417001</c:v>
                </c:pt>
                <c:pt idx="228">
                  <c:v>0.13517614419392501</c:v>
                </c:pt>
                <c:pt idx="229">
                  <c:v>0.13380130344778701</c:v>
                </c:pt>
                <c:pt idx="230">
                  <c:v>0.133541714392693</c:v>
                </c:pt>
                <c:pt idx="231">
                  <c:v>0.13145536059108001</c:v>
                </c:pt>
                <c:pt idx="232">
                  <c:v>0.13100962547928799</c:v>
                </c:pt>
                <c:pt idx="233">
                  <c:v>0.13039070358205601</c:v>
                </c:pt>
                <c:pt idx="234">
                  <c:v>0.126373308785173</c:v>
                </c:pt>
                <c:pt idx="235">
                  <c:v>0.125939230300291</c:v>
                </c:pt>
                <c:pt idx="236">
                  <c:v>0.12449356040519299</c:v>
                </c:pt>
                <c:pt idx="237">
                  <c:v>0.12257428072182799</c:v>
                </c:pt>
                <c:pt idx="238">
                  <c:v>0.118855827349563</c:v>
                </c:pt>
                <c:pt idx="239">
                  <c:v>0.117068393562324</c:v>
                </c:pt>
                <c:pt idx="240">
                  <c:v>0.11642816878784699</c:v>
                </c:pt>
                <c:pt idx="241">
                  <c:v>0.114561779316934</c:v>
                </c:pt>
                <c:pt idx="242">
                  <c:v>0.112943786595968</c:v>
                </c:pt>
                <c:pt idx="243">
                  <c:v>0.11283438595663101</c:v>
                </c:pt>
                <c:pt idx="244">
                  <c:v>0.1112339422042313</c:v>
                </c:pt>
                <c:pt idx="245">
                  <c:v>0.111016153532811</c:v>
                </c:pt>
                <c:pt idx="246">
                  <c:v>0.10842626614299</c:v>
                </c:pt>
                <c:pt idx="247">
                  <c:v>0.107122638364737</c:v>
                </c:pt>
                <c:pt idx="248">
                  <c:v>0.107061646291556</c:v>
                </c:pt>
                <c:pt idx="249">
                  <c:v>0.106903450854341</c:v>
                </c:pt>
                <c:pt idx="250">
                  <c:v>0.105584661066281</c:v>
                </c:pt>
                <c:pt idx="251">
                  <c:v>0.104586815388059</c:v>
                </c:pt>
                <c:pt idx="252">
                  <c:v>0.104162111072632</c:v>
                </c:pt>
                <c:pt idx="253">
                  <c:v>0.101795842580063</c:v>
                </c:pt>
                <c:pt idx="254">
                  <c:v>9.1508515772285901E-2</c:v>
                </c:pt>
                <c:pt idx="255">
                  <c:v>9.0662175279319607E-2</c:v>
                </c:pt>
                <c:pt idx="256">
                  <c:v>8.9349957463014495E-2</c:v>
                </c:pt>
                <c:pt idx="257">
                  <c:v>8.7717855171256395E-2</c:v>
                </c:pt>
                <c:pt idx="258">
                  <c:v>8.4784697725346206E-2</c:v>
                </c:pt>
                <c:pt idx="259">
                  <c:v>8.1982075992533002E-2</c:v>
                </c:pt>
                <c:pt idx="260">
                  <c:v>8.0423912839763897E-2</c:v>
                </c:pt>
                <c:pt idx="261">
                  <c:v>7.9908681222880196E-2</c:v>
                </c:pt>
                <c:pt idx="262">
                  <c:v>7.9821505492401107E-2</c:v>
                </c:pt>
                <c:pt idx="263">
                  <c:v>7.9458364105756601E-2</c:v>
                </c:pt>
                <c:pt idx="264">
                  <c:v>7.3285775220146301E-2</c:v>
                </c:pt>
                <c:pt idx="265">
                  <c:v>7.1454432308463503E-2</c:v>
                </c:pt>
                <c:pt idx="266">
                  <c:v>7.0193665194713206E-2</c:v>
                </c:pt>
                <c:pt idx="267">
                  <c:v>7.0111905644910405E-2</c:v>
                </c:pt>
                <c:pt idx="268">
                  <c:v>6.7919531643255301E-2</c:v>
                </c:pt>
                <c:pt idx="269">
                  <c:v>6.6821897260277596E-2</c:v>
                </c:pt>
                <c:pt idx="270">
                  <c:v>6.6683314610048297E-2</c:v>
                </c:pt>
                <c:pt idx="271">
                  <c:v>6.6664244581874296E-2</c:v>
                </c:pt>
                <c:pt idx="272">
                  <c:v>6.4173366350188193E-2</c:v>
                </c:pt>
                <c:pt idx="273">
                  <c:v>6.3110517905018995E-2</c:v>
                </c:pt>
                <c:pt idx="274">
                  <c:v>6.2542939715018397E-2</c:v>
                </c:pt>
                <c:pt idx="275">
                  <c:v>6.1491797528858902E-2</c:v>
                </c:pt>
                <c:pt idx="276">
                  <c:v>6.0672895888083098E-2</c:v>
                </c:pt>
                <c:pt idx="277">
                  <c:v>5.9731403161977503E-2</c:v>
                </c:pt>
                <c:pt idx="278">
                  <c:v>5.95481628446013E-2</c:v>
                </c:pt>
                <c:pt idx="279">
                  <c:v>5.8010199441356602E-2</c:v>
                </c:pt>
                <c:pt idx="280">
                  <c:v>5.6751855033461203E-2</c:v>
                </c:pt>
                <c:pt idx="281">
                  <c:v>5.6323034591040599E-2</c:v>
                </c:pt>
                <c:pt idx="282">
                  <c:v>5.5313920154666997E-2</c:v>
                </c:pt>
                <c:pt idx="283">
                  <c:v>5.3615036265672197E-2</c:v>
                </c:pt>
                <c:pt idx="284">
                  <c:v>5.09171624081632E-2</c:v>
                </c:pt>
                <c:pt idx="285">
                  <c:v>4.8376843543225002E-2</c:v>
                </c:pt>
                <c:pt idx="286">
                  <c:v>4.7958959811493798E-2</c:v>
                </c:pt>
                <c:pt idx="287">
                  <c:v>4.6415813741994202E-2</c:v>
                </c:pt>
                <c:pt idx="288">
                  <c:v>4.6274800223371902E-2</c:v>
                </c:pt>
                <c:pt idx="289">
                  <c:v>4.49260840162111E-2</c:v>
                </c:pt>
                <c:pt idx="290">
                  <c:v>4.3098338748726199E-2</c:v>
                </c:pt>
                <c:pt idx="291">
                  <c:v>4.2154459147081901E-2</c:v>
                </c:pt>
                <c:pt idx="292">
                  <c:v>4.1298204436462198E-2</c:v>
                </c:pt>
                <c:pt idx="293">
                  <c:v>4.1200487578387797E-2</c:v>
                </c:pt>
                <c:pt idx="294">
                  <c:v>3.9234921673580801E-2</c:v>
                </c:pt>
                <c:pt idx="295">
                  <c:v>3.6142306767257097E-2</c:v>
                </c:pt>
                <c:pt idx="296">
                  <c:v>3.5898045232595002E-2</c:v>
                </c:pt>
                <c:pt idx="297">
                  <c:v>3.5656655729836201E-2</c:v>
                </c:pt>
                <c:pt idx="298">
                  <c:v>3.4221384895546998E-2</c:v>
                </c:pt>
                <c:pt idx="299">
                  <c:v>3.35117612884459E-2</c:v>
                </c:pt>
                <c:pt idx="300">
                  <c:v>3.2193157060950897E-2</c:v>
                </c:pt>
                <c:pt idx="301">
                  <c:v>2.67442787791515E-2</c:v>
                </c:pt>
                <c:pt idx="302">
                  <c:v>2.5835750892507101E-2</c:v>
                </c:pt>
                <c:pt idx="303">
                  <c:v>2.5596358888877201E-2</c:v>
                </c:pt>
                <c:pt idx="304">
                  <c:v>2.4462078359288601E-2</c:v>
                </c:pt>
                <c:pt idx="305">
                  <c:v>2.4007438671223E-2</c:v>
                </c:pt>
                <c:pt idx="306">
                  <c:v>2.3067403893458099E-2</c:v>
                </c:pt>
                <c:pt idx="307">
                  <c:v>1.45816561117635E-2</c:v>
                </c:pt>
                <c:pt idx="308">
                  <c:v>1.43540623955644E-2</c:v>
                </c:pt>
                <c:pt idx="309">
                  <c:v>3.1047836650232199E-3</c:v>
                </c:pt>
                <c:pt idx="310">
                  <c:v>2.1710237067861901E-3</c:v>
                </c:pt>
                <c:pt idx="311">
                  <c:v>0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.3460204863424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Policies With</a:t>
                </a:r>
                <a:r>
                  <a:rPr lang="en-US" baseline="0"/>
                  <a:t> Losses &lt;= Amount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solidFill>
      <a:schemeClr val="bg2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_xlchart.v1.2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solidFill>
      <a:schemeClr val="bg2"/>
    </a:solidFill>
    <a:ln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_xlchart.v1.4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solidFill>
      <a:schemeClr val="bg2"/>
    </a:solidFill>
    <a:ln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1291716</xdr:colOff>
          <xdr:row>3</xdr:row>
          <xdr:rowOff>193893</xdr:rowOff>
        </xdr:from>
        <xdr:to>
          <xdr:col>9</xdr:col>
          <xdr:colOff>420845</xdr:colOff>
          <xdr:row>5</xdr:row>
          <xdr:rowOff>168106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5</xdr:col>
      <xdr:colOff>483705</xdr:colOff>
      <xdr:row>31</xdr:row>
      <xdr:rowOff>0</xdr:rowOff>
    </xdr:from>
    <xdr:to>
      <xdr:col>10</xdr:col>
      <xdr:colOff>0</xdr:colOff>
      <xdr:row>44</xdr:row>
      <xdr:rowOff>159027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15068</xdr:colOff>
      <xdr:row>31</xdr:row>
      <xdr:rowOff>0</xdr:rowOff>
    </xdr:from>
    <xdr:to>
      <xdr:col>4</xdr:col>
      <xdr:colOff>456366</xdr:colOff>
      <xdr:row>44</xdr:row>
      <xdr:rowOff>159027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3329" y="6537739"/>
              <a:ext cx="2926080" cy="2743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31805</xdr:colOff>
      <xdr:row>4</xdr:row>
      <xdr:rowOff>0</xdr:rowOff>
    </xdr:from>
    <xdr:to>
      <xdr:col>20</xdr:col>
      <xdr:colOff>0</xdr:colOff>
      <xdr:row>17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28483</xdr:colOff>
      <xdr:row>31</xdr:row>
      <xdr:rowOff>0</xdr:rowOff>
    </xdr:from>
    <xdr:to>
      <xdr:col>14</xdr:col>
      <xdr:colOff>469780</xdr:colOff>
      <xdr:row>44</xdr:row>
      <xdr:rowOff>159026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9353" y="6537739"/>
              <a:ext cx="2926079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483704</xdr:colOff>
      <xdr:row>31</xdr:row>
      <xdr:rowOff>0</xdr:rowOff>
    </xdr:from>
    <xdr:to>
      <xdr:col>20</xdr:col>
      <xdr:colOff>0</xdr:colOff>
      <xdr:row>44</xdr:row>
      <xdr:rowOff>159026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2.963743518521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20" count="20">
        <n v="0"/>
        <n v="2"/>
        <n v="1"/>
        <n v="3"/>
        <n v="4"/>
        <n v="5"/>
        <n v="6" u="1"/>
        <n v="8" u="1"/>
        <n v="7" u="1"/>
        <n v="9" u="1"/>
        <n v="14" u="1"/>
        <n v="10" u="1"/>
        <n v="15" u="1"/>
        <n v="11" u="1"/>
        <n v="13" u="1"/>
        <n v="12" u="1"/>
        <n v="16" u="1"/>
        <n v="17" u="1"/>
        <n v="18" u="1"/>
        <n v="20" u="1"/>
      </sharedItems>
    </cacheField>
    <cacheField name="TotalClaimAmount" numFmtId="0">
      <sharedItems containsSemiMixedTypes="0" containsString="0" containsNumber="1" minValue="0" maxValue="1.3460204863424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0"/>
  </r>
  <r>
    <n v="2"/>
    <x v="1"/>
    <n v="0.55660539890032945"/>
  </r>
  <r>
    <n v="3"/>
    <x v="2"/>
    <n v="2.5596358888877201E-2"/>
  </r>
  <r>
    <n v="4"/>
    <x v="1"/>
    <n v="0.40424613041023677"/>
  </r>
  <r>
    <n v="5"/>
    <x v="3"/>
    <n v="0.55763175822650746"/>
  </r>
  <r>
    <n v="6"/>
    <x v="0"/>
    <n v="0"/>
  </r>
  <r>
    <n v="7"/>
    <x v="2"/>
    <n v="0.41061580411658999"/>
  </r>
  <r>
    <n v="8"/>
    <x v="1"/>
    <n v="0.33854581501681119"/>
  </r>
  <r>
    <n v="9"/>
    <x v="2"/>
    <n v="0.18820243128675301"/>
  </r>
  <r>
    <n v="10"/>
    <x v="2"/>
    <n v="2.1710237067861901E-3"/>
  </r>
  <r>
    <n v="11"/>
    <x v="3"/>
    <n v="0.47029961824279665"/>
  </r>
  <r>
    <n v="12"/>
    <x v="2"/>
    <n v="0.204554453567526"/>
  </r>
  <r>
    <n v="13"/>
    <x v="2"/>
    <n v="0.15571806457147899"/>
  </r>
  <r>
    <n v="14"/>
    <x v="2"/>
    <n v="0.25322483650766398"/>
  </r>
  <r>
    <n v="15"/>
    <x v="0"/>
    <n v="0"/>
  </r>
  <r>
    <n v="16"/>
    <x v="1"/>
    <n v="0.37333439720030231"/>
  </r>
  <r>
    <n v="17"/>
    <x v="0"/>
    <n v="0"/>
  </r>
  <r>
    <n v="18"/>
    <x v="0"/>
    <n v="0"/>
  </r>
  <r>
    <n v="19"/>
    <x v="0"/>
    <n v="0"/>
  </r>
  <r>
    <n v="20"/>
    <x v="3"/>
    <n v="0.68778778470885804"/>
  </r>
  <r>
    <n v="21"/>
    <x v="1"/>
    <n v="0.64511047640919905"/>
  </r>
  <r>
    <n v="22"/>
    <x v="2"/>
    <n v="0.30571085635744899"/>
  </r>
  <r>
    <n v="23"/>
    <x v="2"/>
    <n v="0.17439552653899501"/>
  </r>
  <r>
    <n v="24"/>
    <x v="4"/>
    <n v="0.94215862489952906"/>
  </r>
  <r>
    <n v="25"/>
    <x v="2"/>
    <n v="3.6142306767257097E-2"/>
  </r>
  <r>
    <n v="26"/>
    <x v="2"/>
    <n v="0.35796906492716601"/>
  </r>
  <r>
    <n v="27"/>
    <x v="2"/>
    <n v="0.26043978602927498"/>
  </r>
  <r>
    <n v="28"/>
    <x v="2"/>
    <n v="0.249795670859779"/>
  </r>
  <r>
    <n v="29"/>
    <x v="0"/>
    <n v="0"/>
  </r>
  <r>
    <n v="30"/>
    <x v="0"/>
    <n v="0"/>
  </r>
  <r>
    <n v="31"/>
    <x v="3"/>
    <n v="0.86464132215188405"/>
  </r>
  <r>
    <n v="32"/>
    <x v="1"/>
    <n v="0.2200638681604852"/>
  </r>
  <r>
    <n v="33"/>
    <x v="2"/>
    <n v="0.117068393562324"/>
  </r>
  <r>
    <n v="34"/>
    <x v="1"/>
    <n v="0.61198470479739797"/>
  </r>
  <r>
    <n v="35"/>
    <x v="0"/>
    <n v="0"/>
  </r>
  <r>
    <n v="36"/>
    <x v="2"/>
    <n v="0.21286070986789801"/>
  </r>
  <r>
    <n v="37"/>
    <x v="1"/>
    <n v="0.95969159430471207"/>
  </r>
  <r>
    <n v="38"/>
    <x v="0"/>
    <n v="0"/>
  </r>
  <r>
    <n v="39"/>
    <x v="0"/>
    <n v="0"/>
  </r>
  <r>
    <n v="40"/>
    <x v="0"/>
    <n v="0"/>
  </r>
  <r>
    <n v="41"/>
    <x v="0"/>
    <n v="0"/>
  </r>
  <r>
    <n v="42"/>
    <x v="2"/>
    <n v="7.1454432308463503E-2"/>
  </r>
  <r>
    <n v="43"/>
    <x v="2"/>
    <n v="0.133541714392693"/>
  </r>
  <r>
    <n v="44"/>
    <x v="2"/>
    <n v="5.9731403161977503E-2"/>
  </r>
  <r>
    <n v="45"/>
    <x v="0"/>
    <n v="0"/>
  </r>
  <r>
    <n v="46"/>
    <x v="0"/>
    <n v="0"/>
  </r>
  <r>
    <n v="47"/>
    <x v="0"/>
    <n v="0"/>
  </r>
  <r>
    <n v="48"/>
    <x v="2"/>
    <n v="0.13145536059108001"/>
  </r>
  <r>
    <n v="49"/>
    <x v="0"/>
    <n v="0"/>
  </r>
  <r>
    <n v="50"/>
    <x v="1"/>
    <n v="0.44584538977926302"/>
  </r>
  <r>
    <n v="51"/>
    <x v="0"/>
    <n v="0"/>
  </r>
  <r>
    <n v="52"/>
    <x v="2"/>
    <n v="3.9234921673580801E-2"/>
  </r>
  <r>
    <n v="53"/>
    <x v="1"/>
    <n v="0.25145788687490939"/>
  </r>
  <r>
    <n v="54"/>
    <x v="0"/>
    <n v="0"/>
  </r>
  <r>
    <n v="55"/>
    <x v="2"/>
    <n v="3.1047836650232199E-3"/>
  </r>
  <r>
    <n v="56"/>
    <x v="0"/>
    <n v="0"/>
  </r>
  <r>
    <n v="57"/>
    <x v="0"/>
    <n v="0"/>
  </r>
  <r>
    <n v="58"/>
    <x v="1"/>
    <n v="0.281944291136494"/>
  </r>
  <r>
    <n v="59"/>
    <x v="1"/>
    <n v="0.1112339422042313"/>
  </r>
  <r>
    <n v="60"/>
    <x v="2"/>
    <n v="0.22126270168989801"/>
  </r>
  <r>
    <n v="61"/>
    <x v="2"/>
    <n v="0.19910893140434399"/>
  </r>
  <r>
    <n v="62"/>
    <x v="0"/>
    <n v="0"/>
  </r>
  <r>
    <n v="63"/>
    <x v="2"/>
    <n v="0.23358568921494799"/>
  </r>
  <r>
    <n v="64"/>
    <x v="0"/>
    <n v="0"/>
  </r>
  <r>
    <n v="65"/>
    <x v="1"/>
    <n v="0.35951969798435102"/>
  </r>
  <r>
    <n v="66"/>
    <x v="2"/>
    <n v="0.35448175121283299"/>
  </r>
  <r>
    <n v="67"/>
    <x v="1"/>
    <n v="0.2120075368575973"/>
  </r>
  <r>
    <n v="68"/>
    <x v="1"/>
    <n v="0.29817622426043838"/>
  </r>
  <r>
    <n v="69"/>
    <x v="1"/>
    <n v="0.43410066739044401"/>
  </r>
  <r>
    <n v="70"/>
    <x v="2"/>
    <n v="0.111016153532811"/>
  </r>
  <r>
    <n v="71"/>
    <x v="1"/>
    <n v="0.19360577133177609"/>
  </r>
  <r>
    <n v="72"/>
    <x v="2"/>
    <n v="0.13865013256837699"/>
  </r>
  <r>
    <n v="73"/>
    <x v="2"/>
    <n v="0.15653910249819"/>
  </r>
  <r>
    <n v="74"/>
    <x v="0"/>
    <n v="0"/>
  </r>
  <r>
    <n v="75"/>
    <x v="2"/>
    <n v="0.13039070358205601"/>
  </r>
  <r>
    <n v="76"/>
    <x v="0"/>
    <n v="0"/>
  </r>
  <r>
    <n v="77"/>
    <x v="2"/>
    <n v="7.9908681222880196E-2"/>
  </r>
  <r>
    <n v="78"/>
    <x v="2"/>
    <n v="0.114561779316934"/>
  </r>
  <r>
    <n v="79"/>
    <x v="0"/>
    <n v="0"/>
  </r>
  <r>
    <n v="80"/>
    <x v="0"/>
    <n v="0"/>
  </r>
  <r>
    <n v="81"/>
    <x v="0"/>
    <n v="0"/>
  </r>
  <r>
    <n v="82"/>
    <x v="2"/>
    <n v="0.31850781056713101"/>
  </r>
  <r>
    <n v="83"/>
    <x v="2"/>
    <n v="4.6274800223371902E-2"/>
  </r>
  <r>
    <n v="84"/>
    <x v="1"/>
    <n v="0.22024605835452049"/>
  </r>
  <r>
    <n v="85"/>
    <x v="0"/>
    <n v="0"/>
  </r>
  <r>
    <n v="86"/>
    <x v="2"/>
    <n v="0.20477016945738599"/>
  </r>
  <r>
    <n v="87"/>
    <x v="4"/>
    <n v="0.59297211137589456"/>
  </r>
  <r>
    <n v="88"/>
    <x v="1"/>
    <n v="0.28127703302405399"/>
  </r>
  <r>
    <n v="89"/>
    <x v="1"/>
    <n v="0.41253208622901993"/>
  </r>
  <r>
    <n v="90"/>
    <x v="0"/>
    <n v="0"/>
  </r>
  <r>
    <n v="91"/>
    <x v="0"/>
    <n v="0"/>
  </r>
  <r>
    <n v="92"/>
    <x v="2"/>
    <n v="6.6821897260277596E-2"/>
  </r>
  <r>
    <n v="93"/>
    <x v="0"/>
    <n v="0"/>
  </r>
  <r>
    <n v="94"/>
    <x v="2"/>
    <n v="0.17306539521351999"/>
  </r>
  <r>
    <n v="95"/>
    <x v="0"/>
    <n v="0"/>
  </r>
  <r>
    <n v="96"/>
    <x v="0"/>
    <n v="0"/>
  </r>
  <r>
    <n v="97"/>
    <x v="1"/>
    <n v="0.27568063971297202"/>
  </r>
  <r>
    <n v="98"/>
    <x v="0"/>
    <n v="0"/>
  </r>
  <r>
    <n v="99"/>
    <x v="2"/>
    <n v="0.24302346111838199"/>
  </r>
  <r>
    <n v="100"/>
    <x v="2"/>
    <n v="0.15098675255563501"/>
  </r>
  <r>
    <n v="101"/>
    <x v="2"/>
    <n v="0.154279728031508"/>
  </r>
  <r>
    <n v="102"/>
    <x v="0"/>
    <n v="0"/>
  </r>
  <r>
    <n v="103"/>
    <x v="2"/>
    <n v="0.29696290717306001"/>
  </r>
  <r>
    <n v="104"/>
    <x v="3"/>
    <n v="0.26440852331858422"/>
  </r>
  <r>
    <n v="105"/>
    <x v="2"/>
    <n v="0.45550765080717698"/>
  </r>
  <r>
    <n v="106"/>
    <x v="1"/>
    <n v="0.4046057271390478"/>
  </r>
  <r>
    <n v="107"/>
    <x v="1"/>
    <n v="0.14543296534770411"/>
  </r>
  <r>
    <n v="108"/>
    <x v="2"/>
    <n v="4.2154459147081901E-2"/>
  </r>
  <r>
    <n v="109"/>
    <x v="2"/>
    <n v="0.1551321688667"/>
  </r>
  <r>
    <n v="110"/>
    <x v="0"/>
    <n v="0"/>
  </r>
  <r>
    <n v="111"/>
    <x v="3"/>
    <n v="0.38840178949289705"/>
  </r>
  <r>
    <n v="112"/>
    <x v="0"/>
    <n v="0"/>
  </r>
  <r>
    <n v="113"/>
    <x v="0"/>
    <n v="0"/>
  </r>
  <r>
    <n v="114"/>
    <x v="3"/>
    <n v="0.43920747855191145"/>
  </r>
  <r>
    <n v="115"/>
    <x v="2"/>
    <n v="0.279181372033032"/>
  </r>
  <r>
    <n v="116"/>
    <x v="0"/>
    <n v="0"/>
  </r>
  <r>
    <n v="117"/>
    <x v="2"/>
    <n v="6.0672895888083098E-2"/>
  </r>
  <r>
    <n v="118"/>
    <x v="3"/>
    <n v="0.41774981804627864"/>
  </r>
  <r>
    <n v="119"/>
    <x v="2"/>
    <n v="6.1491797528858902E-2"/>
  </r>
  <r>
    <n v="120"/>
    <x v="2"/>
    <n v="4.1200487578387797E-2"/>
  </r>
  <r>
    <n v="121"/>
    <x v="2"/>
    <n v="0.16421729579928901"/>
  </r>
  <r>
    <n v="122"/>
    <x v="0"/>
    <n v="0"/>
  </r>
  <r>
    <n v="123"/>
    <x v="0"/>
    <n v="0"/>
  </r>
  <r>
    <n v="124"/>
    <x v="0"/>
    <n v="0"/>
  </r>
  <r>
    <n v="125"/>
    <x v="2"/>
    <n v="0.12257428072182799"/>
  </r>
  <r>
    <n v="126"/>
    <x v="4"/>
    <n v="1.346020486342421"/>
  </r>
  <r>
    <n v="127"/>
    <x v="0"/>
    <n v="0"/>
  </r>
  <r>
    <n v="128"/>
    <x v="0"/>
    <n v="0"/>
  </r>
  <r>
    <n v="129"/>
    <x v="0"/>
    <n v="0"/>
  </r>
  <r>
    <n v="130"/>
    <x v="2"/>
    <n v="0.68915475418598005"/>
  </r>
  <r>
    <n v="131"/>
    <x v="2"/>
    <n v="2.4462078359288601E-2"/>
  </r>
  <r>
    <n v="132"/>
    <x v="1"/>
    <n v="0.20080325258803822"/>
  </r>
  <r>
    <n v="133"/>
    <x v="2"/>
    <n v="0.160235418331441"/>
  </r>
  <r>
    <n v="134"/>
    <x v="1"/>
    <n v="0.33658991224957258"/>
  </r>
  <r>
    <n v="135"/>
    <x v="2"/>
    <n v="5.6323034591040599E-2"/>
  </r>
  <r>
    <n v="136"/>
    <x v="2"/>
    <n v="0.156018359251966"/>
  </r>
  <r>
    <n v="137"/>
    <x v="1"/>
    <n v="0.35777921371458193"/>
  </r>
  <r>
    <n v="138"/>
    <x v="1"/>
    <n v="0.96648631445674593"/>
  </r>
  <r>
    <n v="139"/>
    <x v="3"/>
    <n v="0.53814864490507097"/>
  </r>
  <r>
    <n v="140"/>
    <x v="2"/>
    <n v="5.95481628446013E-2"/>
  </r>
  <r>
    <n v="141"/>
    <x v="0"/>
    <n v="0"/>
  </r>
  <r>
    <n v="142"/>
    <x v="2"/>
    <n v="0.214588452736652"/>
  </r>
  <r>
    <n v="143"/>
    <x v="0"/>
    <n v="0"/>
  </r>
  <r>
    <n v="144"/>
    <x v="0"/>
    <n v="0"/>
  </r>
  <r>
    <n v="145"/>
    <x v="1"/>
    <n v="0.34508696918116699"/>
  </r>
  <r>
    <n v="146"/>
    <x v="0"/>
    <n v="0"/>
  </r>
  <r>
    <n v="147"/>
    <x v="0"/>
    <n v="0"/>
  </r>
  <r>
    <n v="148"/>
    <x v="0"/>
    <n v="0"/>
  </r>
  <r>
    <n v="149"/>
    <x v="0"/>
    <n v="0"/>
  </r>
  <r>
    <n v="150"/>
    <x v="2"/>
    <n v="0.19512672548368501"/>
  </r>
  <r>
    <n v="151"/>
    <x v="1"/>
    <n v="0.30380228762349099"/>
  </r>
  <r>
    <n v="152"/>
    <x v="2"/>
    <n v="0.38177311221424898"/>
  </r>
  <r>
    <n v="153"/>
    <x v="2"/>
    <n v="0.13380130344778701"/>
  </r>
  <r>
    <n v="154"/>
    <x v="0"/>
    <n v="0"/>
  </r>
  <r>
    <n v="155"/>
    <x v="0"/>
    <n v="0"/>
  </r>
  <r>
    <n v="156"/>
    <x v="2"/>
    <n v="8.9349957463014495E-2"/>
  </r>
  <r>
    <n v="157"/>
    <x v="2"/>
    <n v="5.09171624081632E-2"/>
  </r>
  <r>
    <n v="158"/>
    <x v="0"/>
    <n v="0"/>
  </r>
  <r>
    <n v="159"/>
    <x v="2"/>
    <n v="0.14624978129557201"/>
  </r>
  <r>
    <n v="160"/>
    <x v="0"/>
    <n v="0"/>
  </r>
  <r>
    <n v="161"/>
    <x v="2"/>
    <n v="0.105584661066281"/>
  </r>
  <r>
    <n v="163"/>
    <x v="2"/>
    <n v="8.1982075992533002E-2"/>
  </r>
  <r>
    <n v="162"/>
    <x v="0"/>
    <n v="0"/>
  </r>
  <r>
    <n v="164"/>
    <x v="2"/>
    <n v="0.26463638384661198"/>
  </r>
  <r>
    <n v="166"/>
    <x v="2"/>
    <n v="4.7958959811493798E-2"/>
  </r>
  <r>
    <n v="167"/>
    <x v="1"/>
    <n v="0.25004987022648822"/>
  </r>
  <r>
    <n v="165"/>
    <x v="0"/>
    <n v="0"/>
  </r>
  <r>
    <n v="169"/>
    <x v="2"/>
    <n v="0.126373308785173"/>
  </r>
  <r>
    <n v="171"/>
    <x v="2"/>
    <n v="0.30130781255732603"/>
  </r>
  <r>
    <n v="168"/>
    <x v="0"/>
    <n v="0"/>
  </r>
  <r>
    <n v="173"/>
    <x v="1"/>
    <n v="0.35801304319870542"/>
  </r>
  <r>
    <n v="170"/>
    <x v="0"/>
    <n v="0"/>
  </r>
  <r>
    <n v="174"/>
    <x v="1"/>
    <n v="0.37419131015632801"/>
  </r>
  <r>
    <n v="172"/>
    <x v="0"/>
    <n v="0"/>
  </r>
  <r>
    <n v="175"/>
    <x v="2"/>
    <n v="7.0111905644910405E-2"/>
  </r>
  <r>
    <n v="176"/>
    <x v="2"/>
    <n v="2.67442787791515E-2"/>
  </r>
  <r>
    <n v="177"/>
    <x v="2"/>
    <n v="0.17048205519226101"/>
  </r>
  <r>
    <n v="178"/>
    <x v="2"/>
    <n v="0.21320679669485401"/>
  </r>
  <r>
    <n v="179"/>
    <x v="1"/>
    <n v="0.39379027394434202"/>
  </r>
  <r>
    <n v="180"/>
    <x v="2"/>
    <n v="0.118855827349563"/>
  </r>
  <r>
    <n v="181"/>
    <x v="1"/>
    <n v="0.35132079260531801"/>
  </r>
  <r>
    <n v="183"/>
    <x v="2"/>
    <n v="0.64185437693580405"/>
  </r>
  <r>
    <n v="182"/>
    <x v="0"/>
    <n v="0"/>
  </r>
  <r>
    <n v="185"/>
    <x v="2"/>
    <n v="0.16564961170869799"/>
  </r>
  <r>
    <n v="186"/>
    <x v="2"/>
    <n v="3.5898045232595002E-2"/>
  </r>
  <r>
    <n v="184"/>
    <x v="0"/>
    <n v="0"/>
  </r>
  <r>
    <n v="188"/>
    <x v="2"/>
    <n v="0.210979524099244"/>
  </r>
  <r>
    <n v="189"/>
    <x v="1"/>
    <n v="0.65076662576713806"/>
  </r>
  <r>
    <n v="187"/>
    <x v="0"/>
    <n v="0"/>
  </r>
  <r>
    <n v="190"/>
    <x v="1"/>
    <n v="0.46690531495944498"/>
  </r>
  <r>
    <n v="193"/>
    <x v="4"/>
    <n v="1.175044386715048"/>
  </r>
  <r>
    <n v="191"/>
    <x v="0"/>
    <n v="0"/>
  </r>
  <r>
    <n v="192"/>
    <x v="0"/>
    <n v="0"/>
  </r>
  <r>
    <n v="194"/>
    <x v="2"/>
    <n v="0.26374204235940502"/>
  </r>
  <r>
    <n v="195"/>
    <x v="3"/>
    <n v="0.74759755760207458"/>
  </r>
  <r>
    <n v="196"/>
    <x v="2"/>
    <n v="6.6664244581874296E-2"/>
  </r>
  <r>
    <n v="197"/>
    <x v="2"/>
    <n v="0.11642816878784699"/>
  </r>
  <r>
    <n v="198"/>
    <x v="2"/>
    <n v="0.27244745512371099"/>
  </r>
  <r>
    <n v="199"/>
    <x v="0"/>
    <n v="0"/>
  </r>
  <r>
    <n v="200"/>
    <x v="2"/>
    <n v="0.104586815388059"/>
  </r>
  <r>
    <n v="201"/>
    <x v="0"/>
    <n v="0"/>
  </r>
  <r>
    <n v="202"/>
    <x v="3"/>
    <n v="0.93611225787623287"/>
  </r>
  <r>
    <n v="203"/>
    <x v="2"/>
    <n v="0.107122638364737"/>
  </r>
  <r>
    <n v="204"/>
    <x v="2"/>
    <n v="0.107061646291556"/>
  </r>
  <r>
    <n v="205"/>
    <x v="2"/>
    <n v="6.4173366350188193E-2"/>
  </r>
  <r>
    <n v="206"/>
    <x v="1"/>
    <n v="0.60096924421195697"/>
  </r>
  <r>
    <n v="207"/>
    <x v="0"/>
    <n v="0"/>
  </r>
  <r>
    <n v="208"/>
    <x v="0"/>
    <n v="0"/>
  </r>
  <r>
    <n v="209"/>
    <x v="0"/>
    <n v="0"/>
  </r>
  <r>
    <n v="211"/>
    <x v="2"/>
    <n v="0.22006606292887099"/>
  </r>
  <r>
    <n v="210"/>
    <x v="0"/>
    <n v="0"/>
  </r>
  <r>
    <n v="214"/>
    <x v="2"/>
    <n v="7.3285775220146301E-2"/>
  </r>
  <r>
    <n v="216"/>
    <x v="2"/>
    <n v="5.3615036265672197E-2"/>
  </r>
  <r>
    <n v="212"/>
    <x v="0"/>
    <n v="0"/>
  </r>
  <r>
    <n v="218"/>
    <x v="2"/>
    <n v="0.17600700413398601"/>
  </r>
  <r>
    <n v="213"/>
    <x v="0"/>
    <n v="0"/>
  </r>
  <r>
    <n v="219"/>
    <x v="1"/>
    <n v="0.27952257039449713"/>
  </r>
  <r>
    <n v="215"/>
    <x v="0"/>
    <n v="0"/>
  </r>
  <r>
    <n v="220"/>
    <x v="1"/>
    <n v="0.23196446594099931"/>
  </r>
  <r>
    <n v="217"/>
    <x v="0"/>
    <n v="0"/>
  </r>
  <r>
    <n v="222"/>
    <x v="3"/>
    <n v="0.71200574415985296"/>
  </r>
  <r>
    <n v="223"/>
    <x v="2"/>
    <n v="0.507743453199763"/>
  </r>
  <r>
    <n v="221"/>
    <x v="0"/>
    <n v="0"/>
  </r>
  <r>
    <n v="224"/>
    <x v="2"/>
    <n v="0.16886396356309299"/>
  </r>
  <r>
    <n v="226"/>
    <x v="2"/>
    <n v="0.319727189042813"/>
  </r>
  <r>
    <n v="227"/>
    <x v="2"/>
    <n v="5.5313920154666997E-2"/>
  </r>
  <r>
    <n v="228"/>
    <x v="2"/>
    <n v="0.13750831297541899"/>
  </r>
  <r>
    <n v="225"/>
    <x v="0"/>
    <n v="0"/>
  </r>
  <r>
    <n v="229"/>
    <x v="2"/>
    <n v="0.30892252047166302"/>
  </r>
  <r>
    <n v="230"/>
    <x v="1"/>
    <n v="0.50738527964664704"/>
  </r>
  <r>
    <n v="231"/>
    <x v="2"/>
    <n v="0.29420785741074501"/>
  </r>
  <r>
    <n v="232"/>
    <x v="2"/>
    <n v="0.20989060990798999"/>
  </r>
  <r>
    <n v="233"/>
    <x v="2"/>
    <n v="0.142417403386908"/>
  </r>
  <r>
    <n v="236"/>
    <x v="2"/>
    <n v="2.3067403893458099E-2"/>
  </r>
  <r>
    <n v="238"/>
    <x v="1"/>
    <n v="0.28953327940136697"/>
  </r>
  <r>
    <n v="234"/>
    <x v="0"/>
    <n v="0"/>
  </r>
  <r>
    <n v="240"/>
    <x v="1"/>
    <n v="0.69142895016282602"/>
  </r>
  <r>
    <n v="235"/>
    <x v="0"/>
    <n v="0"/>
  </r>
  <r>
    <n v="241"/>
    <x v="2"/>
    <n v="8.0423912839763897E-2"/>
  </r>
  <r>
    <n v="237"/>
    <x v="0"/>
    <n v="0"/>
  </r>
  <r>
    <n v="242"/>
    <x v="2"/>
    <n v="9.1508515772285901E-2"/>
  </r>
  <r>
    <n v="244"/>
    <x v="2"/>
    <n v="0.165017364881582"/>
  </r>
  <r>
    <n v="239"/>
    <x v="0"/>
    <n v="0"/>
  </r>
  <r>
    <n v="246"/>
    <x v="2"/>
    <n v="2.5835750892507101E-2"/>
  </r>
  <r>
    <n v="247"/>
    <x v="2"/>
    <n v="0.27144640065078202"/>
  </r>
  <r>
    <n v="248"/>
    <x v="3"/>
    <n v="0.43249317683124117"/>
  </r>
  <r>
    <n v="243"/>
    <x v="0"/>
    <n v="0"/>
  </r>
  <r>
    <n v="249"/>
    <x v="3"/>
    <n v="0.53561653409500909"/>
  </r>
  <r>
    <n v="245"/>
    <x v="0"/>
    <n v="0"/>
  </r>
  <r>
    <n v="250"/>
    <x v="2"/>
    <n v="8.7717855171256395E-2"/>
  </r>
  <r>
    <n v="253"/>
    <x v="2"/>
    <n v="5.8010199441356602E-2"/>
  </r>
  <r>
    <n v="255"/>
    <x v="2"/>
    <n v="0.359953222596198"/>
  </r>
  <r>
    <n v="256"/>
    <x v="1"/>
    <n v="0.52883926703072603"/>
  </r>
  <r>
    <n v="251"/>
    <x v="0"/>
    <n v="0"/>
  </r>
  <r>
    <n v="252"/>
    <x v="0"/>
    <n v="0"/>
  </r>
  <r>
    <n v="258"/>
    <x v="2"/>
    <n v="0.37479833806122398"/>
  </r>
  <r>
    <n v="259"/>
    <x v="2"/>
    <n v="0.17655947315892101"/>
  </r>
  <r>
    <n v="254"/>
    <x v="0"/>
    <n v="0"/>
  </r>
  <r>
    <n v="260"/>
    <x v="1"/>
    <n v="0.50404262240269393"/>
  </r>
  <r>
    <n v="261"/>
    <x v="3"/>
    <n v="0.29155510941182461"/>
  </r>
  <r>
    <n v="257"/>
    <x v="0"/>
    <n v="0"/>
  </r>
  <r>
    <n v="262"/>
    <x v="1"/>
    <n v="0.28274942516763513"/>
  </r>
  <r>
    <n v="263"/>
    <x v="2"/>
    <n v="0.18081811475013901"/>
  </r>
  <r>
    <n v="264"/>
    <x v="3"/>
    <n v="0.60233126070630494"/>
  </r>
  <r>
    <n v="265"/>
    <x v="2"/>
    <n v="0.28386160296985102"/>
  </r>
  <r>
    <n v="266"/>
    <x v="2"/>
    <n v="0.165198016412749"/>
  </r>
  <r>
    <n v="267"/>
    <x v="0"/>
    <n v="0"/>
  </r>
  <r>
    <n v="270"/>
    <x v="2"/>
    <n v="0.13100962547928799"/>
  </r>
  <r>
    <n v="268"/>
    <x v="0"/>
    <n v="0"/>
  </r>
  <r>
    <n v="271"/>
    <x v="1"/>
    <n v="0.74075706254224805"/>
  </r>
  <r>
    <n v="269"/>
    <x v="0"/>
    <n v="0"/>
  </r>
  <r>
    <n v="275"/>
    <x v="1"/>
    <n v="0.15801900145651282"/>
  </r>
  <r>
    <n v="272"/>
    <x v="0"/>
    <n v="0"/>
  </r>
  <r>
    <n v="276"/>
    <x v="2"/>
    <n v="0.13657082912417001"/>
  </r>
  <r>
    <n v="273"/>
    <x v="0"/>
    <n v="0"/>
  </r>
  <r>
    <n v="277"/>
    <x v="3"/>
    <n v="0.57730768591164305"/>
  </r>
  <r>
    <n v="274"/>
    <x v="0"/>
    <n v="0"/>
  </r>
  <r>
    <n v="278"/>
    <x v="2"/>
    <n v="0.125939230300291"/>
  </r>
  <r>
    <n v="280"/>
    <x v="2"/>
    <n v="0.55406327267497901"/>
  </r>
  <r>
    <n v="281"/>
    <x v="1"/>
    <n v="0.56003986474471501"/>
  </r>
  <r>
    <n v="279"/>
    <x v="0"/>
    <n v="0"/>
  </r>
  <r>
    <n v="283"/>
    <x v="2"/>
    <n v="0.11283438595663101"/>
  </r>
  <r>
    <n v="286"/>
    <x v="2"/>
    <n v="7.9821505492401107E-2"/>
  </r>
  <r>
    <n v="282"/>
    <x v="0"/>
    <n v="0"/>
  </r>
  <r>
    <n v="290"/>
    <x v="2"/>
    <n v="6.7919531643255301E-2"/>
  </r>
  <r>
    <n v="294"/>
    <x v="1"/>
    <n v="0.60941539388521404"/>
  </r>
  <r>
    <n v="284"/>
    <x v="0"/>
    <n v="0"/>
  </r>
  <r>
    <n v="285"/>
    <x v="0"/>
    <n v="0"/>
  </r>
  <r>
    <n v="295"/>
    <x v="1"/>
    <n v="0.35097404404080201"/>
  </r>
  <r>
    <n v="287"/>
    <x v="0"/>
    <n v="0"/>
  </r>
  <r>
    <n v="296"/>
    <x v="1"/>
    <n v="0.559039806318685"/>
  </r>
  <r>
    <n v="288"/>
    <x v="0"/>
    <n v="0"/>
  </r>
  <r>
    <n v="289"/>
    <x v="0"/>
    <n v="0"/>
  </r>
  <r>
    <n v="297"/>
    <x v="4"/>
    <n v="0.58120660000768987"/>
  </r>
  <r>
    <n v="291"/>
    <x v="0"/>
    <n v="0"/>
  </r>
  <r>
    <n v="292"/>
    <x v="0"/>
    <n v="0"/>
  </r>
  <r>
    <n v="293"/>
    <x v="0"/>
    <n v="0"/>
  </r>
  <r>
    <n v="300"/>
    <x v="1"/>
    <n v="0.28899174742972122"/>
  </r>
  <r>
    <n v="301"/>
    <x v="1"/>
    <n v="0.66696085972355401"/>
  </r>
  <r>
    <n v="303"/>
    <x v="1"/>
    <n v="0.29157162509207901"/>
  </r>
  <r>
    <n v="298"/>
    <x v="0"/>
    <n v="0"/>
  </r>
  <r>
    <n v="299"/>
    <x v="0"/>
    <n v="0"/>
  </r>
  <r>
    <n v="304"/>
    <x v="2"/>
    <n v="4.8376843543225002E-2"/>
  </r>
  <r>
    <n v="305"/>
    <x v="2"/>
    <n v="0.142526118194156"/>
  </r>
  <r>
    <n v="306"/>
    <x v="2"/>
    <n v="0.18914453600637299"/>
  </r>
  <r>
    <n v="302"/>
    <x v="0"/>
    <n v="0"/>
  </r>
  <r>
    <n v="309"/>
    <x v="2"/>
    <n v="4.1298204436462198E-2"/>
  </r>
  <r>
    <n v="310"/>
    <x v="2"/>
    <n v="0.22796045681975699"/>
  </r>
  <r>
    <n v="311"/>
    <x v="2"/>
    <n v="0.14540181877335501"/>
  </r>
  <r>
    <n v="312"/>
    <x v="2"/>
    <n v="0.15315301692813499"/>
  </r>
  <r>
    <n v="313"/>
    <x v="2"/>
    <n v="7.0193665194713206E-2"/>
  </r>
  <r>
    <n v="307"/>
    <x v="0"/>
    <n v="0"/>
  </r>
  <r>
    <n v="316"/>
    <x v="1"/>
    <n v="0.45601613728770651"/>
  </r>
  <r>
    <n v="308"/>
    <x v="0"/>
    <n v="0"/>
  </r>
  <r>
    <n v="317"/>
    <x v="1"/>
    <n v="0.30927760708272301"/>
  </r>
  <r>
    <n v="320"/>
    <x v="1"/>
    <n v="0.26496828975687248"/>
  </r>
  <r>
    <n v="321"/>
    <x v="1"/>
    <n v="0.24959403155774801"/>
  </r>
  <r>
    <n v="314"/>
    <x v="0"/>
    <n v="0"/>
  </r>
  <r>
    <n v="315"/>
    <x v="0"/>
    <n v="0"/>
  </r>
  <r>
    <n v="324"/>
    <x v="2"/>
    <n v="0.31019538650107698"/>
  </r>
  <r>
    <n v="327"/>
    <x v="5"/>
    <n v="1.3141841773420477"/>
  </r>
  <r>
    <n v="318"/>
    <x v="0"/>
    <n v="0"/>
  </r>
  <r>
    <n v="319"/>
    <x v="0"/>
    <n v="0"/>
  </r>
  <r>
    <n v="330"/>
    <x v="1"/>
    <n v="0.66843944873945182"/>
  </r>
  <r>
    <n v="322"/>
    <x v="0"/>
    <n v="0"/>
  </r>
  <r>
    <n v="323"/>
    <x v="0"/>
    <n v="0"/>
  </r>
  <r>
    <n v="331"/>
    <x v="2"/>
    <n v="0.157985178662431"/>
  </r>
  <r>
    <n v="333"/>
    <x v="1"/>
    <n v="0.234707516598987"/>
  </r>
  <r>
    <n v="325"/>
    <x v="0"/>
    <n v="0"/>
  </r>
  <r>
    <n v="326"/>
    <x v="0"/>
    <n v="0"/>
  </r>
  <r>
    <n v="334"/>
    <x v="1"/>
    <n v="0.38863316576322987"/>
  </r>
  <r>
    <n v="328"/>
    <x v="0"/>
    <n v="0"/>
  </r>
  <r>
    <n v="336"/>
    <x v="2"/>
    <n v="1.45816561117635E-2"/>
  </r>
  <r>
    <n v="329"/>
    <x v="0"/>
    <n v="0"/>
  </r>
  <r>
    <n v="337"/>
    <x v="2"/>
    <n v="0.38261164632753603"/>
  </r>
  <r>
    <n v="338"/>
    <x v="2"/>
    <n v="0.187129400944608"/>
  </r>
  <r>
    <n v="339"/>
    <x v="2"/>
    <n v="3.5656655729836201E-2"/>
  </r>
  <r>
    <n v="332"/>
    <x v="0"/>
    <n v="0"/>
  </r>
  <r>
    <n v="340"/>
    <x v="3"/>
    <n v="0.16654348888951698"/>
  </r>
  <r>
    <n v="335"/>
    <x v="0"/>
    <n v="0"/>
  </r>
  <r>
    <n v="341"/>
    <x v="2"/>
    <n v="0.142546089504274"/>
  </r>
  <r>
    <n v="343"/>
    <x v="2"/>
    <n v="1.43540623955644E-2"/>
  </r>
  <r>
    <n v="345"/>
    <x v="2"/>
    <n v="3.35117612884459E-2"/>
  </r>
  <r>
    <n v="346"/>
    <x v="2"/>
    <n v="4.6415813741994202E-2"/>
  </r>
  <r>
    <n v="347"/>
    <x v="4"/>
    <n v="0.49238791938955351"/>
  </r>
  <r>
    <n v="342"/>
    <x v="0"/>
    <n v="0"/>
  </r>
  <r>
    <n v="348"/>
    <x v="2"/>
    <n v="7.9458364105756601E-2"/>
  </r>
  <r>
    <n v="344"/>
    <x v="0"/>
    <n v="0"/>
  </r>
  <r>
    <n v="350"/>
    <x v="2"/>
    <n v="0.22778238404279499"/>
  </r>
  <r>
    <n v="352"/>
    <x v="3"/>
    <n v="0.52051774976180543"/>
  </r>
  <r>
    <n v="353"/>
    <x v="2"/>
    <n v="0.104162111072632"/>
  </r>
  <r>
    <n v="349"/>
    <x v="0"/>
    <n v="0"/>
  </r>
  <r>
    <n v="355"/>
    <x v="2"/>
    <n v="0.15432570630515699"/>
  </r>
  <r>
    <n v="356"/>
    <x v="4"/>
    <n v="0.34688705077892901"/>
  </r>
  <r>
    <n v="351"/>
    <x v="0"/>
    <n v="0"/>
  </r>
  <r>
    <n v="354"/>
    <x v="0"/>
    <n v="0"/>
  </r>
  <r>
    <n v="357"/>
    <x v="2"/>
    <n v="8.4784697725346206E-2"/>
  </r>
  <r>
    <n v="358"/>
    <x v="2"/>
    <n v="0.43095364777225798"/>
  </r>
  <r>
    <n v="360"/>
    <x v="1"/>
    <n v="0.80480026675243499"/>
  </r>
  <r>
    <n v="363"/>
    <x v="1"/>
    <n v="0.380207814852352"/>
  </r>
  <r>
    <n v="359"/>
    <x v="0"/>
    <n v="0"/>
  </r>
  <r>
    <n v="366"/>
    <x v="1"/>
    <n v="0.42837720277289004"/>
  </r>
  <r>
    <n v="361"/>
    <x v="0"/>
    <n v="0"/>
  </r>
  <r>
    <n v="362"/>
    <x v="0"/>
    <n v="0"/>
  </r>
  <r>
    <n v="369"/>
    <x v="2"/>
    <n v="0.273142709948556"/>
  </r>
  <r>
    <n v="370"/>
    <x v="2"/>
    <n v="0.19031691215045299"/>
  </r>
  <r>
    <n v="364"/>
    <x v="0"/>
    <n v="0"/>
  </r>
  <r>
    <n v="371"/>
    <x v="2"/>
    <n v="0.276838364198075"/>
  </r>
  <r>
    <n v="365"/>
    <x v="0"/>
    <n v="0"/>
  </r>
  <r>
    <n v="373"/>
    <x v="1"/>
    <n v="0.318102190228987"/>
  </r>
  <r>
    <n v="367"/>
    <x v="0"/>
    <n v="0"/>
  </r>
  <r>
    <n v="374"/>
    <x v="2"/>
    <n v="0.16560100010067"/>
  </r>
  <r>
    <n v="368"/>
    <x v="0"/>
    <n v="0"/>
  </r>
  <r>
    <n v="375"/>
    <x v="2"/>
    <n v="0.154792847051134"/>
  </r>
  <r>
    <n v="376"/>
    <x v="3"/>
    <n v="0.39325743421961767"/>
  </r>
  <r>
    <n v="372"/>
    <x v="0"/>
    <n v="0"/>
  </r>
  <r>
    <n v="377"/>
    <x v="1"/>
    <n v="0.43263751305353004"/>
  </r>
  <r>
    <n v="380"/>
    <x v="3"/>
    <n v="0.28735781023477269"/>
  </r>
  <r>
    <n v="381"/>
    <x v="2"/>
    <n v="0.29563360857981402"/>
  </r>
  <r>
    <n v="378"/>
    <x v="0"/>
    <n v="0"/>
  </r>
  <r>
    <n v="382"/>
    <x v="1"/>
    <n v="0.48378996410293701"/>
  </r>
  <r>
    <n v="379"/>
    <x v="0"/>
    <n v="0"/>
  </r>
  <r>
    <n v="383"/>
    <x v="2"/>
    <n v="9.0662175279319607E-2"/>
  </r>
  <r>
    <n v="384"/>
    <x v="1"/>
    <n v="0.43471750232116302"/>
  </r>
  <r>
    <n v="385"/>
    <x v="2"/>
    <n v="0.101795842580063"/>
  </r>
  <r>
    <n v="386"/>
    <x v="1"/>
    <n v="0.27576019275202801"/>
  </r>
  <r>
    <n v="391"/>
    <x v="3"/>
    <n v="0.58170208548878344"/>
  </r>
  <r>
    <n v="387"/>
    <x v="0"/>
    <n v="0"/>
  </r>
  <r>
    <n v="388"/>
    <x v="0"/>
    <n v="0"/>
  </r>
  <r>
    <n v="389"/>
    <x v="0"/>
    <n v="0"/>
  </r>
  <r>
    <n v="393"/>
    <x v="2"/>
    <n v="0.340132217857464"/>
  </r>
  <r>
    <n v="390"/>
    <x v="0"/>
    <n v="0"/>
  </r>
  <r>
    <n v="394"/>
    <x v="1"/>
    <n v="0.28102069471000102"/>
  </r>
  <r>
    <n v="392"/>
    <x v="0"/>
    <n v="0"/>
  </r>
  <r>
    <n v="400"/>
    <x v="4"/>
    <n v="0.57754981294449537"/>
  </r>
  <r>
    <n v="395"/>
    <x v="0"/>
    <n v="0"/>
  </r>
  <r>
    <n v="396"/>
    <x v="0"/>
    <n v="0"/>
  </r>
  <r>
    <n v="401"/>
    <x v="4"/>
    <n v="1.2807857636817359"/>
  </r>
  <r>
    <n v="397"/>
    <x v="0"/>
    <n v="0"/>
  </r>
  <r>
    <n v="398"/>
    <x v="0"/>
    <n v="0"/>
  </r>
  <r>
    <n v="399"/>
    <x v="0"/>
    <n v="0"/>
  </r>
  <r>
    <n v="403"/>
    <x v="1"/>
    <n v="0.50136190500107491"/>
  </r>
  <r>
    <n v="402"/>
    <x v="0"/>
    <n v="0"/>
  </r>
  <r>
    <n v="404"/>
    <x v="2"/>
    <n v="0.28762949969781099"/>
  </r>
  <r>
    <n v="405"/>
    <x v="2"/>
    <n v="0.17110625292599899"/>
  </r>
  <r>
    <n v="406"/>
    <x v="2"/>
    <n v="0.26309378134703698"/>
  </r>
  <r>
    <n v="407"/>
    <x v="2"/>
    <n v="0.13517614419392501"/>
  </r>
  <r>
    <n v="410"/>
    <x v="2"/>
    <n v="0.22196916306064499"/>
  </r>
  <r>
    <n v="412"/>
    <x v="1"/>
    <n v="0.34441069516898881"/>
  </r>
  <r>
    <n v="408"/>
    <x v="0"/>
    <n v="0"/>
  </r>
  <r>
    <n v="409"/>
    <x v="0"/>
    <n v="0"/>
  </r>
  <r>
    <n v="414"/>
    <x v="2"/>
    <n v="0.179692156203418"/>
  </r>
  <r>
    <n v="417"/>
    <x v="3"/>
    <n v="0.33783755671220589"/>
  </r>
  <r>
    <n v="411"/>
    <x v="0"/>
    <n v="0"/>
  </r>
  <r>
    <n v="413"/>
    <x v="0"/>
    <n v="0"/>
  </r>
  <r>
    <n v="419"/>
    <x v="2"/>
    <n v="0.222844577105727"/>
  </r>
  <r>
    <n v="421"/>
    <x v="2"/>
    <n v="0.240884598113073"/>
  </r>
  <r>
    <n v="415"/>
    <x v="0"/>
    <n v="0"/>
  </r>
  <r>
    <n v="422"/>
    <x v="2"/>
    <n v="4.49260840162111E-2"/>
  </r>
  <r>
    <n v="416"/>
    <x v="0"/>
    <n v="0"/>
  </r>
  <r>
    <n v="423"/>
    <x v="2"/>
    <n v="0.21844687110657601"/>
  </r>
  <r>
    <n v="425"/>
    <x v="1"/>
    <n v="0.60506402482038901"/>
  </r>
  <r>
    <n v="418"/>
    <x v="0"/>
    <n v="0"/>
  </r>
  <r>
    <n v="426"/>
    <x v="2"/>
    <n v="4.3098338748726199E-2"/>
  </r>
  <r>
    <n v="420"/>
    <x v="0"/>
    <n v="0"/>
  </r>
  <r>
    <n v="428"/>
    <x v="2"/>
    <n v="0.188916455378519"/>
  </r>
  <r>
    <n v="430"/>
    <x v="1"/>
    <n v="0.38290505198468799"/>
  </r>
  <r>
    <n v="431"/>
    <x v="3"/>
    <n v="0.28361006299609043"/>
  </r>
  <r>
    <n v="424"/>
    <x v="0"/>
    <n v="0"/>
  </r>
  <r>
    <n v="432"/>
    <x v="2"/>
    <n v="2.4007438671223E-2"/>
  </r>
  <r>
    <n v="427"/>
    <x v="0"/>
    <n v="0"/>
  </r>
  <r>
    <n v="434"/>
    <x v="5"/>
    <n v="0.85846312938053915"/>
  </r>
  <r>
    <n v="429"/>
    <x v="0"/>
    <n v="0"/>
  </r>
  <r>
    <n v="436"/>
    <x v="2"/>
    <n v="0.12449356040519299"/>
  </r>
  <r>
    <n v="433"/>
    <x v="0"/>
    <n v="0"/>
  </r>
  <r>
    <n v="438"/>
    <x v="2"/>
    <n v="0.112943786595968"/>
  </r>
  <r>
    <n v="442"/>
    <x v="2"/>
    <n v="5.6751855033461203E-2"/>
  </r>
  <r>
    <n v="435"/>
    <x v="0"/>
    <n v="0"/>
  </r>
  <r>
    <n v="443"/>
    <x v="2"/>
    <n v="0.28821810054227398"/>
  </r>
  <r>
    <n v="445"/>
    <x v="1"/>
    <n v="0.21533893107518182"/>
  </r>
  <r>
    <n v="437"/>
    <x v="0"/>
    <n v="0"/>
  </r>
  <r>
    <n v="446"/>
    <x v="2"/>
    <n v="0.10842626614299"/>
  </r>
  <r>
    <n v="439"/>
    <x v="0"/>
    <n v="0"/>
  </r>
  <r>
    <n v="447"/>
    <x v="1"/>
    <n v="0.976808500840744"/>
  </r>
  <r>
    <n v="440"/>
    <x v="0"/>
    <n v="0"/>
  </r>
  <r>
    <n v="441"/>
    <x v="0"/>
    <n v="0"/>
  </r>
  <r>
    <n v="450"/>
    <x v="2"/>
    <n v="3.2193157060950897E-2"/>
  </r>
  <r>
    <n v="451"/>
    <x v="2"/>
    <n v="0.23454373271985901"/>
  </r>
  <r>
    <n v="456"/>
    <x v="1"/>
    <n v="0.3692567797988151"/>
  </r>
  <r>
    <n v="444"/>
    <x v="0"/>
    <n v="0"/>
  </r>
  <r>
    <n v="457"/>
    <x v="1"/>
    <n v="0.23316655194521518"/>
  </r>
  <r>
    <n v="458"/>
    <x v="1"/>
    <n v="0.52077391122798899"/>
  </r>
  <r>
    <n v="448"/>
    <x v="0"/>
    <n v="0"/>
  </r>
  <r>
    <n v="449"/>
    <x v="0"/>
    <n v="0"/>
  </r>
  <r>
    <n v="461"/>
    <x v="3"/>
    <n v="0.98109890612040196"/>
  </r>
  <r>
    <n v="452"/>
    <x v="0"/>
    <n v="0"/>
  </r>
  <r>
    <n v="462"/>
    <x v="2"/>
    <n v="0.30678735921811801"/>
  </r>
  <r>
    <n v="453"/>
    <x v="0"/>
    <n v="0"/>
  </r>
  <r>
    <n v="463"/>
    <x v="2"/>
    <n v="0.20462238616769901"/>
  </r>
  <r>
    <n v="454"/>
    <x v="0"/>
    <n v="0"/>
  </r>
  <r>
    <n v="465"/>
    <x v="2"/>
    <n v="6.6683314610048297E-2"/>
  </r>
  <r>
    <n v="455"/>
    <x v="0"/>
    <n v="0"/>
  </r>
  <r>
    <n v="468"/>
    <x v="2"/>
    <n v="0.19503152465641699"/>
  </r>
  <r>
    <n v="470"/>
    <x v="1"/>
    <n v="0.17376677972167981"/>
  </r>
  <r>
    <n v="472"/>
    <x v="1"/>
    <n v="0.23537974857060801"/>
  </r>
  <r>
    <n v="459"/>
    <x v="0"/>
    <n v="0"/>
  </r>
  <r>
    <n v="460"/>
    <x v="0"/>
    <n v="0"/>
  </r>
  <r>
    <n v="473"/>
    <x v="2"/>
    <n v="6.3110517905018995E-2"/>
  </r>
  <r>
    <n v="474"/>
    <x v="1"/>
    <n v="0.22248257475576"/>
  </r>
  <r>
    <n v="475"/>
    <x v="2"/>
    <n v="0.172316755714017"/>
  </r>
  <r>
    <n v="464"/>
    <x v="0"/>
    <n v="0"/>
  </r>
  <r>
    <n v="476"/>
    <x v="2"/>
    <n v="0.210701515123602"/>
  </r>
  <r>
    <n v="477"/>
    <x v="2"/>
    <n v="6.2542939715018397E-2"/>
  </r>
  <r>
    <n v="466"/>
    <x v="0"/>
    <n v="0"/>
  </r>
  <r>
    <n v="480"/>
    <x v="2"/>
    <n v="0.25544767354590903"/>
  </r>
  <r>
    <n v="467"/>
    <x v="0"/>
    <n v="0"/>
  </r>
  <r>
    <n v="482"/>
    <x v="1"/>
    <n v="0.33957218635974801"/>
  </r>
  <r>
    <n v="469"/>
    <x v="0"/>
    <n v="0"/>
  </r>
  <r>
    <n v="484"/>
    <x v="2"/>
    <n v="0.22898476020757899"/>
  </r>
  <r>
    <n v="485"/>
    <x v="3"/>
    <n v="0.29069392609702882"/>
  </r>
  <r>
    <n v="471"/>
    <x v="0"/>
    <n v="0"/>
  </r>
  <r>
    <n v="488"/>
    <x v="2"/>
    <n v="3.4221384895546998E-2"/>
  </r>
  <r>
    <n v="489"/>
    <x v="2"/>
    <n v="0.29453546122070701"/>
  </r>
  <r>
    <n v="478"/>
    <x v="0"/>
    <n v="0"/>
  </r>
  <r>
    <n v="479"/>
    <x v="0"/>
    <n v="0"/>
  </r>
  <r>
    <n v="481"/>
    <x v="0"/>
    <n v="0"/>
  </r>
  <r>
    <n v="483"/>
    <x v="0"/>
    <n v="0"/>
  </r>
  <r>
    <n v="486"/>
    <x v="0"/>
    <n v="0"/>
  </r>
  <r>
    <n v="487"/>
    <x v="0"/>
    <n v="0"/>
  </r>
  <r>
    <n v="490"/>
    <x v="1"/>
    <n v="0.492791559213696"/>
  </r>
  <r>
    <n v="491"/>
    <x v="3"/>
    <n v="0.49001032062292271"/>
  </r>
  <r>
    <n v="492"/>
    <x v="0"/>
    <n v="0"/>
  </r>
  <r>
    <n v="493"/>
    <x v="2"/>
    <n v="0.106903450854341"/>
  </r>
  <r>
    <n v="494"/>
    <x v="2"/>
    <n v="0.208392332693694"/>
  </r>
  <r>
    <n v="495"/>
    <x v="0"/>
    <n v="0"/>
  </r>
  <r>
    <n v="496"/>
    <x v="4"/>
    <n v="0.64007521973278003"/>
  </r>
  <r>
    <n v="497"/>
    <x v="0"/>
    <n v="0"/>
  </r>
  <r>
    <n v="498"/>
    <x v="0"/>
    <n v="0"/>
  </r>
  <r>
    <n v="499"/>
    <x v="2"/>
    <n v="0.218087868249906"/>
  </r>
  <r>
    <n v="500"/>
    <x v="1"/>
    <n v="0.28202610837402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10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0" rowHeaderCaption="ClaimCount">
  <location ref="G4:H11" firstHeaderRow="1" firstDataRow="1" firstDataCol="1"/>
  <pivotFields count="3">
    <pivotField dataField="1" showAll="0"/>
    <pivotField axis="axisRow" showAll="0">
      <items count="21">
        <item x="0"/>
        <item x="2"/>
        <item x="1"/>
        <item x="3"/>
        <item x="4"/>
        <item m="1" x="7"/>
        <item m="1" x="9"/>
        <item m="1" x="10"/>
        <item m="1" x="11"/>
        <item m="1" x="12"/>
        <item m="1" x="13"/>
        <item x="5"/>
        <item m="1" x="14"/>
        <item m="1" x="8"/>
        <item m="1" x="6"/>
        <item m="1" x="15"/>
        <item m="1" x="16"/>
        <item m="1" x="17"/>
        <item m="1" x="18"/>
        <item m="1" x="19"/>
        <item t="default"/>
      </items>
    </pivotField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11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489" tableType="queryTable" totalsRowShown="0">
  <autoFilter ref="A1:F489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9"/>
    <tableColumn id="9" xr3:uid="{6E1BE1DB-73BF-114D-B4CD-11D91104C0BA}" uniqueName="9" name="ClaimDate" queryTableFieldId="9" dataDxfId="8"/>
    <tableColumn id="10" xr3:uid="{57B99380-2615-4C46-8D84-866206D505EC}" uniqueName="10" name="CleanedClaimAmountText" queryTableFieldId="10" dataDxfId="7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T30"/>
  <sheetViews>
    <sheetView tabSelected="1" zoomScale="115" zoomScaleNormal="100" workbookViewId="0">
      <selection activeCell="J51" sqref="J51"/>
    </sheetView>
  </sheetViews>
  <sheetFormatPr baseColWidth="10" defaultRowHeight="16" x14ac:dyDescent="0.2"/>
  <cols>
    <col min="1" max="4" width="10.83203125" customWidth="1"/>
    <col min="6" max="7" width="10.83203125" customWidth="1"/>
    <col min="9" max="13" width="10.83203125" customWidth="1"/>
    <col min="16" max="16" width="10.83203125" customWidth="1"/>
    <col min="25" max="26" width="10.83203125" customWidth="1"/>
    <col min="29" max="29" width="10.83203125" customWidth="1"/>
    <col min="31" max="32" width="10.83203125" customWidth="1"/>
  </cols>
  <sheetData>
    <row r="2" spans="2:20" ht="21" thickBot="1" x14ac:dyDescent="0.3">
      <c r="B2" s="13" t="s">
        <v>543</v>
      </c>
      <c r="C2" s="17"/>
      <c r="D2" s="17"/>
      <c r="E2" s="17"/>
      <c r="F2" s="17"/>
      <c r="G2" s="17"/>
      <c r="H2" s="17"/>
      <c r="I2" s="17"/>
      <c r="J2" s="17"/>
      <c r="L2" s="13" t="s">
        <v>537</v>
      </c>
      <c r="M2" s="17"/>
      <c r="N2" s="17"/>
      <c r="O2" s="17"/>
      <c r="P2" s="17"/>
      <c r="Q2" s="17"/>
      <c r="R2" s="17"/>
      <c r="S2" s="17"/>
      <c r="T2" s="17"/>
    </row>
    <row r="3" spans="2:20" ht="17" thickTop="1" x14ac:dyDescent="0.2">
      <c r="L3" t="s">
        <v>538</v>
      </c>
    </row>
    <row r="4" spans="2:20" x14ac:dyDescent="0.2">
      <c r="B4" s="11" t="s">
        <v>3</v>
      </c>
      <c r="C4" s="12"/>
      <c r="E4" s="11" t="s">
        <v>4</v>
      </c>
      <c r="F4" s="12"/>
    </row>
    <row r="5" spans="2:20" x14ac:dyDescent="0.2">
      <c r="B5" s="3" t="s">
        <v>5</v>
      </c>
      <c r="C5" s="3" t="s">
        <v>114</v>
      </c>
      <c r="E5" s="3" t="s">
        <v>5</v>
      </c>
      <c r="F5" s="3" t="s">
        <v>34</v>
      </c>
      <c r="L5" s="11" t="s">
        <v>18</v>
      </c>
      <c r="M5" s="12"/>
      <c r="N5" s="8"/>
    </row>
    <row r="6" spans="2:20" x14ac:dyDescent="0.2">
      <c r="B6" s="4" t="s">
        <v>6</v>
      </c>
      <c r="C6" s="2">
        <v>1</v>
      </c>
      <c r="E6" s="4" t="s">
        <v>8</v>
      </c>
      <c r="F6" s="2">
        <v>2</v>
      </c>
      <c r="L6" t="s">
        <v>19</v>
      </c>
      <c r="M6">
        <f>AVERAGE(TblPolicyLevelAggregate[ClaimCount])</f>
        <v>0.97599999999999998</v>
      </c>
    </row>
    <row r="7" spans="2:20" x14ac:dyDescent="0.2">
      <c r="B7" s="4" t="s">
        <v>7</v>
      </c>
      <c r="C7" s="2">
        <v>0.54</v>
      </c>
      <c r="E7" s="4" t="s">
        <v>9</v>
      </c>
      <c r="F7" s="2">
        <v>11</v>
      </c>
      <c r="L7" t="s">
        <v>545</v>
      </c>
      <c r="M7">
        <f>MEDIAN(TblPolicyLevelAggregate[ClaimCount])</f>
        <v>1</v>
      </c>
    </row>
    <row r="8" spans="2:20" x14ac:dyDescent="0.2">
      <c r="B8" s="4" t="s">
        <v>17</v>
      </c>
      <c r="C8" s="2">
        <v>2</v>
      </c>
      <c r="E8" s="4" t="s">
        <v>10</v>
      </c>
      <c r="F8" s="2">
        <v>10</v>
      </c>
      <c r="L8" t="s">
        <v>20</v>
      </c>
      <c r="M8">
        <f>_xlfn.STDEV.S(TblPolicyLevelAggregate[ClaimCount])</f>
        <v>1.004710349191021</v>
      </c>
    </row>
    <row r="9" spans="2:20" x14ac:dyDescent="0.2">
      <c r="E9" s="4" t="s">
        <v>11</v>
      </c>
      <c r="F9" s="2">
        <v>1.5</v>
      </c>
      <c r="L9" t="s">
        <v>71</v>
      </c>
      <c r="M9">
        <f>MIN(TblPolicyLevelAggregate[ClaimCount])</f>
        <v>0</v>
      </c>
    </row>
    <row r="10" spans="2:20" x14ac:dyDescent="0.2">
      <c r="L10" t="s">
        <v>72</v>
      </c>
      <c r="M10">
        <f>MAX(TblPolicyLevelAggregate[ClaimCount])</f>
        <v>5</v>
      </c>
    </row>
    <row r="11" spans="2:20" x14ac:dyDescent="0.2">
      <c r="L11" t="s">
        <v>544</v>
      </c>
      <c r="M11">
        <f>COUNTIF(TblPolicyLevelAggregate[ClaimCount], "=0")</f>
        <v>189</v>
      </c>
    </row>
    <row r="12" spans="2:20" x14ac:dyDescent="0.2">
      <c r="L12" t="s">
        <v>73</v>
      </c>
      <c r="M12">
        <f>COUNT(claimSimResults[PolicyID])</f>
        <v>488</v>
      </c>
    </row>
    <row r="14" spans="2:20" x14ac:dyDescent="0.2">
      <c r="L14" s="11" t="s">
        <v>70</v>
      </c>
      <c r="M14" s="12"/>
    </row>
    <row r="15" spans="2:20" x14ac:dyDescent="0.2">
      <c r="L15">
        <v>25</v>
      </c>
      <c r="M15">
        <f>_xlfn.PERCENTILE.EXC(TblPolicyLevelAggregate[ClaimCount], L15/100)</f>
        <v>0</v>
      </c>
    </row>
    <row r="16" spans="2:20" x14ac:dyDescent="0.2">
      <c r="L16">
        <v>50</v>
      </c>
      <c r="M16">
        <f>_xlfn.PERCENTILE.EXC(TblPolicyLevelAggregate[ClaimCount], L16/100)</f>
        <v>1</v>
      </c>
    </row>
    <row r="17" spans="2:20" x14ac:dyDescent="0.2">
      <c r="L17">
        <v>75</v>
      </c>
      <c r="M17">
        <f>_xlfn.PERCENTILE.EXC(TblPolicyLevelAggregate[ClaimCount], L17/100)</f>
        <v>1</v>
      </c>
    </row>
    <row r="18" spans="2:20" x14ac:dyDescent="0.2">
      <c r="L18">
        <v>90</v>
      </c>
      <c r="M18">
        <f>_xlfn.PERCENTILE.EXC(TblPolicyLevelAggregate[ClaimCount], L18/100)</f>
        <v>2</v>
      </c>
    </row>
    <row r="19" spans="2:20" x14ac:dyDescent="0.2">
      <c r="L19">
        <v>99</v>
      </c>
      <c r="M19">
        <f>_xlfn.PERCENTILE.EXC(TblPolicyLevelAggregate[ClaimCount], L19/100)</f>
        <v>4</v>
      </c>
    </row>
    <row r="21" spans="2:20" ht="21" thickBot="1" x14ac:dyDescent="0.3">
      <c r="B21" s="13" t="s">
        <v>539</v>
      </c>
      <c r="C21" s="17"/>
      <c r="D21" s="17"/>
      <c r="E21" s="17"/>
      <c r="F21" s="17"/>
      <c r="G21" s="17"/>
      <c r="H21" s="17"/>
      <c r="I21" s="17"/>
      <c r="J21" s="17"/>
      <c r="L21" s="13" t="s">
        <v>245</v>
      </c>
      <c r="M21" s="17"/>
      <c r="N21" s="17"/>
      <c r="O21" s="17"/>
      <c r="P21" s="17"/>
      <c r="Q21" s="17"/>
      <c r="R21" s="17"/>
      <c r="S21" s="17"/>
      <c r="T21" s="17"/>
    </row>
    <row r="22" spans="2:20" ht="17" thickTop="1" x14ac:dyDescent="0.2">
      <c r="B22" t="s">
        <v>540</v>
      </c>
      <c r="L22" t="s">
        <v>541</v>
      </c>
    </row>
    <row r="24" spans="2:20" x14ac:dyDescent="0.2">
      <c r="B24" s="11" t="s">
        <v>18</v>
      </c>
      <c r="C24" s="12"/>
      <c r="E24" s="11" t="s">
        <v>70</v>
      </c>
      <c r="F24" s="12"/>
      <c r="H24" s="11" t="s">
        <v>74</v>
      </c>
      <c r="I24" s="11"/>
      <c r="J24" s="11"/>
      <c r="L24" s="11" t="s">
        <v>18</v>
      </c>
      <c r="M24" s="12"/>
      <c r="O24" s="11" t="s">
        <v>70</v>
      </c>
      <c r="P24" s="12"/>
      <c r="R24" s="11" t="s">
        <v>77</v>
      </c>
      <c r="S24" s="12"/>
      <c r="T24" s="12"/>
    </row>
    <row r="25" spans="2:20" x14ac:dyDescent="0.2">
      <c r="B25" t="s">
        <v>19</v>
      </c>
      <c r="C25" s="7">
        <f>AVERAGE(claimSimResults[ValidClaimAmount])</f>
        <v>0.18392760720475429</v>
      </c>
      <c r="E25">
        <v>25</v>
      </c>
      <c r="F25" s="7">
        <f>_xlfn.PERCENTILE.EXC(claimSimResults[ValidClaimAmount], E25/100)</f>
        <v>8.9437625793518521E-2</v>
      </c>
      <c r="H25" t="s">
        <v>0</v>
      </c>
      <c r="I25" t="s">
        <v>1</v>
      </c>
      <c r="J25" t="s">
        <v>2</v>
      </c>
      <c r="L25" t="s">
        <v>19</v>
      </c>
      <c r="M25" s="7">
        <f>AVERAGE(TblPolicyLevelAggregate[TotalClaimAmount])</f>
        <v>0.17951334463184032</v>
      </c>
      <c r="O25">
        <v>25</v>
      </c>
      <c r="P25" s="15">
        <f>_xlfn.PERCENTILE.EXC(TblPolicyLevelAggregate[TotalClaimAmount], O25/100)</f>
        <v>0</v>
      </c>
      <c r="R25" t="s">
        <v>0</v>
      </c>
      <c r="S25" t="s">
        <v>30</v>
      </c>
      <c r="T25" t="s">
        <v>75</v>
      </c>
    </row>
    <row r="26" spans="2:20" x14ac:dyDescent="0.2">
      <c r="B26" t="s">
        <v>545</v>
      </c>
      <c r="C26" s="7">
        <f>MEDIAN(claimSimResults[ValidClaimAmount])</f>
        <v>0.157565092892959</v>
      </c>
      <c r="E26">
        <v>50</v>
      </c>
      <c r="F26" s="7">
        <f>_xlfn.PERCENTILE.EXC(claimSimResults[ValidClaimAmount], E26/100)</f>
        <v>0.157565092892959</v>
      </c>
      <c r="H26" cm="1">
        <f t="array" ref="H26:J30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193</v>
      </c>
      <c r="I26" s="7">
        <v>0.75241908729899998</v>
      </c>
      <c r="J26" s="1">
        <v>45593</v>
      </c>
      <c r="L26" t="s">
        <v>20</v>
      </c>
      <c r="M26" s="7">
        <f>_xlfn.STDEV.S(TblPolicyLevelAggregate[TotalClaimAmount])</f>
        <v>0.23075063808295654</v>
      </c>
      <c r="O26">
        <v>50</v>
      </c>
      <c r="P26" s="15">
        <f>_xlfn.PERCENTILE.EXC(TblPolicyLevelAggregate[TotalClaimAmount], O26/100)</f>
        <v>0.106244055960311</v>
      </c>
      <c r="R26" cm="1">
        <f t="array" ref="R26:T30">INDEX(_xlfn._xlws.SORT(TblPolicyLevelAggregate[], 3, -1), _xlfn.SEQUENCE(5), {1,2,3})</f>
        <v>126</v>
      </c>
      <c r="S26">
        <v>4</v>
      </c>
      <c r="T26" s="15">
        <v>1.346020486342421</v>
      </c>
    </row>
    <row r="27" spans="2:20" x14ac:dyDescent="0.2">
      <c r="B27" t="s">
        <v>20</v>
      </c>
      <c r="C27" s="7">
        <f>_xlfn.STDEV.S(claimSimResults[ValidClaimAmount])</f>
        <v>0.13265231358875551</v>
      </c>
      <c r="E27">
        <v>75</v>
      </c>
      <c r="F27" s="7">
        <f>_xlfn.PERCENTILE.EXC(claimSimResults[ValidClaimAmount], E27/100)</f>
        <v>0.24709363409021351</v>
      </c>
      <c r="H27">
        <v>138</v>
      </c>
      <c r="I27" s="7">
        <v>0.75009966930289496</v>
      </c>
      <c r="J27" s="1">
        <v>45394</v>
      </c>
      <c r="L27" t="s">
        <v>71</v>
      </c>
      <c r="M27" s="16">
        <f>MIN(TblPolicyLevelAggregate[TotalClaimAmount])</f>
        <v>0</v>
      </c>
      <c r="O27">
        <v>75</v>
      </c>
      <c r="P27" s="15">
        <f>_xlfn.PERCENTILE.EXC(TblPolicyLevelAggregate[TotalClaimAmount], O27/100)</f>
        <v>0.28200565406464073</v>
      </c>
      <c r="R27">
        <v>327</v>
      </c>
      <c r="S27">
        <v>5</v>
      </c>
      <c r="T27" s="15">
        <v>1.3141841773420477</v>
      </c>
    </row>
    <row r="28" spans="2:20" x14ac:dyDescent="0.2">
      <c r="B28" t="s">
        <v>71</v>
      </c>
      <c r="C28" s="7">
        <f>MIN(claimSimResults[ValidClaimAmount])</f>
        <v>2.1710237067861901E-3</v>
      </c>
      <c r="E28">
        <v>90</v>
      </c>
      <c r="F28" s="7">
        <f>_xlfn.PERCENTILE.EXC(claimSimResults[ValidClaimAmount], E28/100)</f>
        <v>0.33448871562892274</v>
      </c>
      <c r="H28">
        <v>447</v>
      </c>
      <c r="I28" s="7">
        <v>0.74981548395261599</v>
      </c>
      <c r="J28" s="1">
        <v>45445</v>
      </c>
      <c r="L28" t="s">
        <v>72</v>
      </c>
      <c r="M28" s="7">
        <f>MAX(TblPolicyLevelAggregate[TotalClaimAmount])</f>
        <v>1.346020486342421</v>
      </c>
      <c r="O28">
        <v>90</v>
      </c>
      <c r="P28" s="15">
        <f>_xlfn.PERCENTILE.EXC(TblPolicyLevelAggregate[TotalClaimAmount], O28/100)</f>
        <v>0.49275119523128175</v>
      </c>
      <c r="R28">
        <v>401</v>
      </c>
      <c r="S28">
        <v>4</v>
      </c>
      <c r="T28" s="15">
        <v>1.2807857636817359</v>
      </c>
    </row>
    <row r="29" spans="2:20" x14ac:dyDescent="0.2">
      <c r="B29" t="s">
        <v>72</v>
      </c>
      <c r="C29" s="7">
        <f>MAX(claimSimResults[ValidClaimAmount])</f>
        <v>0.75241908729899998</v>
      </c>
      <c r="E29">
        <v>99</v>
      </c>
      <c r="F29" s="7">
        <f>_xlfn.PERCENTILE.EXC(claimSimResults[ValidClaimAmount], E29/100)</f>
        <v>0.71730969978379944</v>
      </c>
      <c r="H29">
        <v>202</v>
      </c>
      <c r="I29" s="7">
        <v>0.72833679507367799</v>
      </c>
      <c r="J29" s="1">
        <v>45360</v>
      </c>
      <c r="L29" t="s">
        <v>546</v>
      </c>
      <c r="M29">
        <f>SUM(TblPolicyLevelAggregate[ClaimCount])</f>
        <v>488</v>
      </c>
      <c r="O29">
        <v>99</v>
      </c>
      <c r="P29" s="15">
        <f>_xlfn.PERCENTILE.EXC(TblPolicyLevelAggregate[TotalClaimAmount], O29/100)</f>
        <v>0.98105600206760546</v>
      </c>
      <c r="R29">
        <v>193</v>
      </c>
      <c r="S29">
        <v>4</v>
      </c>
      <c r="T29" s="15">
        <v>1.175044386715048</v>
      </c>
    </row>
    <row r="30" spans="2:20" x14ac:dyDescent="0.2">
      <c r="B30" t="s">
        <v>542</v>
      </c>
      <c r="C30" s="7">
        <f>SUM(claimSimResults[ValidClaimAmount])</f>
        <v>89.756672315920099</v>
      </c>
      <c r="H30">
        <v>37</v>
      </c>
      <c r="I30" s="7">
        <v>0.71594680036594904</v>
      </c>
      <c r="J30" s="1">
        <v>45509</v>
      </c>
      <c r="L30" t="s">
        <v>547</v>
      </c>
      <c r="M30" s="7">
        <f>SUM(TblPolicyLevelAggregate[TotalClaimAmount])</f>
        <v>89.756672315920156</v>
      </c>
      <c r="R30">
        <v>461</v>
      </c>
      <c r="S30">
        <v>3</v>
      </c>
      <c r="T30" s="15">
        <v>0.98109890612040196</v>
      </c>
    </row>
  </sheetData>
  <mergeCells count="4">
    <mergeCell ref="L21:T21"/>
    <mergeCell ref="L2:T2"/>
    <mergeCell ref="B2:J2"/>
    <mergeCell ref="B21:J21"/>
  </mergeCells>
  <conditionalFormatting sqref="B6:C6">
    <cfRule type="expression" dxfId="6" priority="9">
      <formula>$C$5&lt;&gt;"Poisson"</formula>
    </cfRule>
  </conditionalFormatting>
  <conditionalFormatting sqref="B7:C7">
    <cfRule type="expression" dxfId="5" priority="7">
      <formula>AND($C$5&lt;&gt;"Binomial", $C$5&lt;&gt;"Negative Binomial")</formula>
    </cfRule>
  </conditionalFormatting>
  <conditionalFormatting sqref="B8:C8">
    <cfRule type="expression" dxfId="4" priority="5" stopIfTrue="1">
      <formula>$C$5&lt;&gt;"Binomial"</formula>
    </cfRule>
  </conditionalFormatting>
  <conditionalFormatting sqref="E6:F6">
    <cfRule type="expression" dxfId="3" priority="4" stopIfTrue="1">
      <formula>$F$5&lt;&gt;"Gamma"</formula>
    </cfRule>
  </conditionalFormatting>
  <conditionalFormatting sqref="E7:F7">
    <cfRule type="expression" dxfId="2" priority="3" stopIfTrue="1">
      <formula>$F$5&lt;&gt;"Gamma"</formula>
    </cfRule>
  </conditionalFormatting>
  <conditionalFormatting sqref="E8:F8">
    <cfRule type="expression" dxfId="1" priority="2" stopIfTrue="1">
      <formula>$F$5&lt;&gt;"Lognormal"</formula>
    </cfRule>
  </conditionalFormatting>
  <conditionalFormatting sqref="E9:F9">
    <cfRule type="expression" dxfId="0" priority="1">
      <formula>$F$5&lt;&gt;"Lognormal"</formula>
    </cfRule>
  </conditionalFormatting>
  <dataValidations disablePrompts="1" count="8">
    <dataValidation type="list" showInputMessage="1" showErrorMessage="1" promptTitle="Poisson by default" sqref="C5" xr:uid="{D1411DE7-65CB-C84B-88A4-5928A841D417}">
      <formula1>"Poisson,Binomial"</formula1>
    </dataValidation>
    <dataValidation type="decimal" operator="greaterThan" allowBlank="1" showInputMessage="1" showErrorMessage="1" sqref="C6 F7" xr:uid="{40CF4B19-1C35-7842-872E-420463E70408}">
      <formula1>0</formula1>
    </dataValidation>
    <dataValidation type="decimal" allowBlank="1" showInputMessage="1" showErrorMessage="1" sqref="C7" xr:uid="{AC114271-8CBC-9947-AE7E-F94CAAF79F4E}">
      <formula1>0</formula1>
      <formula2>1</formula2>
    </dataValidation>
    <dataValidation type="whole" operator="greaterThan" allowBlank="1" showInputMessage="1" showErrorMessage="1" sqref="C8 F6" xr:uid="{FDD9DCB0-02C3-E149-93F2-B1199E6C715A}">
      <formula1>0</formula1>
    </dataValidation>
    <dataValidation type="list" showInputMessage="1" showErrorMessage="1" promptTitle="Poisson by default" sqref="F5" xr:uid="{BC5627C4-B098-D145-8BA5-B12B31C0A91B}">
      <formula1>"Gamma,Lognormal"</formula1>
    </dataValidation>
    <dataValidation type="custom" operator="greaterThan" allowBlank="1" showInputMessage="1" showErrorMessage="1" sqref="F9" xr:uid="{40AC7D11-F594-3444-A2A0-3F1807C28FB0}">
      <formula1>ISNUMBER(F9)</formula1>
    </dataValidation>
    <dataValidation type="decimal" operator="greaterThanOrEqual" allowBlank="1" showInputMessage="1" showErrorMessage="1" sqref="F8" xr:uid="{A02B9B2D-5C86-944B-8804-F906AF4F2453}">
      <formula1>0</formula1>
    </dataValidation>
    <dataValidation type="decimal" allowBlank="1" showInputMessage="1" showErrorMessage="1" sqref="E25:E29 L15:L20 O25:O29" xr:uid="{0830D58D-9A76-A548-BD30-8712FA863F92}">
      <formula1>1</formula1>
      <formula2>99</formula2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6</xdr:col>
                    <xdr:colOff>1295400</xdr:colOff>
                    <xdr:row>3</xdr:row>
                    <xdr:rowOff>190500</xdr:rowOff>
                  </from>
                  <to>
                    <xdr:col>9</xdr:col>
                    <xdr:colOff>419100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B6" sqref="B6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28</v>
      </c>
    </row>
    <row r="6" spans="1:3" x14ac:dyDescent="0.2">
      <c r="A6" t="s">
        <v>21</v>
      </c>
      <c r="B6">
        <v>500</v>
      </c>
      <c r="C6" t="s">
        <v>22</v>
      </c>
    </row>
    <row r="7" spans="1:3" x14ac:dyDescent="0.2">
      <c r="A7" t="s">
        <v>23</v>
      </c>
      <c r="B7">
        <v>1000000</v>
      </c>
      <c r="C7" t="s">
        <v>24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9.33203125" bestFit="1" customWidth="1"/>
    <col min="4" max="4" width="12.6640625" bestFit="1" customWidth="1"/>
    <col min="5" max="5" width="19.5" bestFit="1" customWidth="1"/>
    <col min="6" max="6" width="10.5" bestFit="1" customWidth="1"/>
    <col min="7" max="7" width="13.6640625" bestFit="1" customWidth="1"/>
    <col min="8" max="8" width="16.6640625" bestFit="1" customWidth="1"/>
    <col min="9" max="10" width="13" bestFit="1" customWidth="1"/>
    <col min="11" max="11" width="15.33203125" bestFit="1" customWidth="1"/>
  </cols>
  <sheetData>
    <row r="1" spans="1:11" x14ac:dyDescent="0.2">
      <c r="A1" t="s">
        <v>0</v>
      </c>
      <c r="B1" t="s">
        <v>30</v>
      </c>
      <c r="C1" t="s">
        <v>75</v>
      </c>
    </row>
    <row r="2" spans="1:11" x14ac:dyDescent="0.2">
      <c r="A2">
        <v>1</v>
      </c>
      <c r="B2">
        <v>0</v>
      </c>
      <c r="C2">
        <v>0</v>
      </c>
    </row>
    <row r="3" spans="1:11" x14ac:dyDescent="0.2">
      <c r="A3">
        <v>2</v>
      </c>
      <c r="B3">
        <v>2</v>
      </c>
      <c r="C3">
        <v>0.55660539890032945</v>
      </c>
      <c r="J3" s="8"/>
      <c r="K3" s="8"/>
    </row>
    <row r="4" spans="1:11" x14ac:dyDescent="0.2">
      <c r="A4">
        <v>3</v>
      </c>
      <c r="B4">
        <v>1</v>
      </c>
      <c r="C4">
        <v>2.5596358888877201E-2</v>
      </c>
      <c r="G4" s="9" t="s">
        <v>30</v>
      </c>
      <c r="H4" t="s">
        <v>31</v>
      </c>
      <c r="J4" s="8"/>
      <c r="K4" s="8"/>
    </row>
    <row r="5" spans="1:11" x14ac:dyDescent="0.2">
      <c r="A5">
        <v>4</v>
      </c>
      <c r="B5">
        <v>2</v>
      </c>
      <c r="C5">
        <v>0.40424613041023677</v>
      </c>
      <c r="G5" s="10">
        <v>0</v>
      </c>
      <c r="H5" s="14">
        <v>189</v>
      </c>
      <c r="J5" s="8"/>
      <c r="K5" s="8"/>
    </row>
    <row r="6" spans="1:11" x14ac:dyDescent="0.2">
      <c r="A6">
        <v>5</v>
      </c>
      <c r="B6">
        <v>3</v>
      </c>
      <c r="C6">
        <v>0.55763175822650746</v>
      </c>
      <c r="G6" s="10">
        <v>1</v>
      </c>
      <c r="H6" s="14">
        <v>187</v>
      </c>
      <c r="J6" s="8"/>
      <c r="K6" s="8"/>
    </row>
    <row r="7" spans="1:11" x14ac:dyDescent="0.2">
      <c r="A7">
        <v>6</v>
      </c>
      <c r="B7">
        <v>0</v>
      </c>
      <c r="C7">
        <v>0</v>
      </c>
      <c r="G7" s="10">
        <v>2</v>
      </c>
      <c r="H7" s="14">
        <v>85</v>
      </c>
    </row>
    <row r="8" spans="1:11" x14ac:dyDescent="0.2">
      <c r="A8">
        <v>7</v>
      </c>
      <c r="B8">
        <v>1</v>
      </c>
      <c r="C8">
        <v>0.41061580411658999</v>
      </c>
      <c r="G8" s="10">
        <v>3</v>
      </c>
      <c r="H8" s="14">
        <v>27</v>
      </c>
    </row>
    <row r="9" spans="1:11" x14ac:dyDescent="0.2">
      <c r="A9">
        <v>8</v>
      </c>
      <c r="B9">
        <v>2</v>
      </c>
      <c r="C9">
        <v>0.33854581501681119</v>
      </c>
      <c r="G9" s="10">
        <v>4</v>
      </c>
      <c r="H9" s="14">
        <v>10</v>
      </c>
    </row>
    <row r="10" spans="1:11" x14ac:dyDescent="0.2">
      <c r="A10">
        <v>9</v>
      </c>
      <c r="B10">
        <v>1</v>
      </c>
      <c r="C10">
        <v>0.18820243128675301</v>
      </c>
      <c r="G10" s="10">
        <v>5</v>
      </c>
      <c r="H10" s="14">
        <v>2</v>
      </c>
    </row>
    <row r="11" spans="1:11" x14ac:dyDescent="0.2">
      <c r="A11">
        <v>10</v>
      </c>
      <c r="B11">
        <v>1</v>
      </c>
      <c r="C11">
        <v>2.1710237067861901E-3</v>
      </c>
      <c r="G11" s="10" t="s">
        <v>29</v>
      </c>
      <c r="H11" s="14">
        <v>500</v>
      </c>
    </row>
    <row r="12" spans="1:11" x14ac:dyDescent="0.2">
      <c r="A12">
        <v>11</v>
      </c>
      <c r="B12">
        <v>3</v>
      </c>
      <c r="C12">
        <v>0.47029961824279665</v>
      </c>
    </row>
    <row r="13" spans="1:11" x14ac:dyDescent="0.2">
      <c r="A13">
        <v>12</v>
      </c>
      <c r="B13">
        <v>1</v>
      </c>
      <c r="C13">
        <v>0.204554453567526</v>
      </c>
    </row>
    <row r="14" spans="1:11" x14ac:dyDescent="0.2">
      <c r="A14">
        <v>13</v>
      </c>
      <c r="B14">
        <v>1</v>
      </c>
      <c r="C14">
        <v>0.15571806457147899</v>
      </c>
    </row>
    <row r="15" spans="1:11" x14ac:dyDescent="0.2">
      <c r="A15">
        <v>14</v>
      </c>
      <c r="B15">
        <v>1</v>
      </c>
      <c r="C15">
        <v>0.25322483650766398</v>
      </c>
    </row>
    <row r="16" spans="1:11" x14ac:dyDescent="0.2">
      <c r="A16">
        <v>15</v>
      </c>
      <c r="B16">
        <v>0</v>
      </c>
      <c r="C16">
        <v>0</v>
      </c>
    </row>
    <row r="17" spans="1:3" x14ac:dyDescent="0.2">
      <c r="A17">
        <v>16</v>
      </c>
      <c r="B17">
        <v>2</v>
      </c>
      <c r="C17">
        <v>0.37333439720030231</v>
      </c>
    </row>
    <row r="18" spans="1:3" x14ac:dyDescent="0.2">
      <c r="A18">
        <v>17</v>
      </c>
      <c r="B18">
        <v>0</v>
      </c>
      <c r="C18">
        <v>0</v>
      </c>
    </row>
    <row r="19" spans="1:3" x14ac:dyDescent="0.2">
      <c r="A19">
        <v>18</v>
      </c>
      <c r="B19">
        <v>0</v>
      </c>
      <c r="C19">
        <v>0</v>
      </c>
    </row>
    <row r="20" spans="1:3" x14ac:dyDescent="0.2">
      <c r="A20">
        <v>19</v>
      </c>
      <c r="B20">
        <v>0</v>
      </c>
      <c r="C20">
        <v>0</v>
      </c>
    </row>
    <row r="21" spans="1:3" x14ac:dyDescent="0.2">
      <c r="A21">
        <v>20</v>
      </c>
      <c r="B21">
        <v>3</v>
      </c>
      <c r="C21">
        <v>0.68778778470885804</v>
      </c>
    </row>
    <row r="22" spans="1:3" x14ac:dyDescent="0.2">
      <c r="A22">
        <v>21</v>
      </c>
      <c r="B22">
        <v>2</v>
      </c>
      <c r="C22">
        <v>0.64511047640919905</v>
      </c>
    </row>
    <row r="23" spans="1:3" x14ac:dyDescent="0.2">
      <c r="A23">
        <v>22</v>
      </c>
      <c r="B23">
        <v>1</v>
      </c>
      <c r="C23">
        <v>0.30571085635744899</v>
      </c>
    </row>
    <row r="24" spans="1:3" x14ac:dyDescent="0.2">
      <c r="A24">
        <v>23</v>
      </c>
      <c r="B24">
        <v>1</v>
      </c>
      <c r="C24">
        <v>0.17439552653899501</v>
      </c>
    </row>
    <row r="25" spans="1:3" x14ac:dyDescent="0.2">
      <c r="A25">
        <v>24</v>
      </c>
      <c r="B25">
        <v>4</v>
      </c>
      <c r="C25">
        <v>0.94215862489952906</v>
      </c>
    </row>
    <row r="26" spans="1:3" x14ac:dyDescent="0.2">
      <c r="A26">
        <v>25</v>
      </c>
      <c r="B26">
        <v>1</v>
      </c>
      <c r="C26">
        <v>3.6142306767257097E-2</v>
      </c>
    </row>
    <row r="27" spans="1:3" x14ac:dyDescent="0.2">
      <c r="A27">
        <v>26</v>
      </c>
      <c r="B27">
        <v>1</v>
      </c>
      <c r="C27">
        <v>0.35796906492716601</v>
      </c>
    </row>
    <row r="28" spans="1:3" x14ac:dyDescent="0.2">
      <c r="A28">
        <v>27</v>
      </c>
      <c r="B28">
        <v>1</v>
      </c>
      <c r="C28">
        <v>0.26043978602927498</v>
      </c>
    </row>
    <row r="29" spans="1:3" x14ac:dyDescent="0.2">
      <c r="A29">
        <v>28</v>
      </c>
      <c r="B29">
        <v>1</v>
      </c>
      <c r="C29">
        <v>0.249795670859779</v>
      </c>
    </row>
    <row r="30" spans="1:3" x14ac:dyDescent="0.2">
      <c r="A30">
        <v>29</v>
      </c>
      <c r="B30">
        <v>0</v>
      </c>
      <c r="C30">
        <v>0</v>
      </c>
    </row>
    <row r="31" spans="1:3" x14ac:dyDescent="0.2">
      <c r="A31">
        <v>30</v>
      </c>
      <c r="B31">
        <v>0</v>
      </c>
      <c r="C31">
        <v>0</v>
      </c>
    </row>
    <row r="32" spans="1:3" x14ac:dyDescent="0.2">
      <c r="A32">
        <v>31</v>
      </c>
      <c r="B32">
        <v>3</v>
      </c>
      <c r="C32">
        <v>0.86464132215188405</v>
      </c>
    </row>
    <row r="33" spans="1:3" x14ac:dyDescent="0.2">
      <c r="A33">
        <v>32</v>
      </c>
      <c r="B33">
        <v>2</v>
      </c>
      <c r="C33">
        <v>0.2200638681604852</v>
      </c>
    </row>
    <row r="34" spans="1:3" x14ac:dyDescent="0.2">
      <c r="A34">
        <v>33</v>
      </c>
      <c r="B34">
        <v>1</v>
      </c>
      <c r="C34">
        <v>0.117068393562324</v>
      </c>
    </row>
    <row r="35" spans="1:3" x14ac:dyDescent="0.2">
      <c r="A35">
        <v>34</v>
      </c>
      <c r="B35">
        <v>2</v>
      </c>
      <c r="C35">
        <v>0.61198470479739797</v>
      </c>
    </row>
    <row r="36" spans="1:3" x14ac:dyDescent="0.2">
      <c r="A36">
        <v>35</v>
      </c>
      <c r="B36">
        <v>0</v>
      </c>
      <c r="C36">
        <v>0</v>
      </c>
    </row>
    <row r="37" spans="1:3" x14ac:dyDescent="0.2">
      <c r="A37">
        <v>36</v>
      </c>
      <c r="B37">
        <v>1</v>
      </c>
      <c r="C37">
        <v>0.21286070986789801</v>
      </c>
    </row>
    <row r="38" spans="1:3" x14ac:dyDescent="0.2">
      <c r="A38">
        <v>37</v>
      </c>
      <c r="B38">
        <v>2</v>
      </c>
      <c r="C38">
        <v>0.95969159430471207</v>
      </c>
    </row>
    <row r="39" spans="1:3" x14ac:dyDescent="0.2">
      <c r="A39">
        <v>38</v>
      </c>
      <c r="B39">
        <v>0</v>
      </c>
      <c r="C39">
        <v>0</v>
      </c>
    </row>
    <row r="40" spans="1:3" x14ac:dyDescent="0.2">
      <c r="A40">
        <v>39</v>
      </c>
      <c r="B40">
        <v>0</v>
      </c>
      <c r="C40">
        <v>0</v>
      </c>
    </row>
    <row r="41" spans="1:3" x14ac:dyDescent="0.2">
      <c r="A41">
        <v>40</v>
      </c>
      <c r="B41">
        <v>0</v>
      </c>
      <c r="C41">
        <v>0</v>
      </c>
    </row>
    <row r="42" spans="1:3" x14ac:dyDescent="0.2">
      <c r="A42">
        <v>41</v>
      </c>
      <c r="B42">
        <v>0</v>
      </c>
      <c r="C42">
        <v>0</v>
      </c>
    </row>
    <row r="43" spans="1:3" x14ac:dyDescent="0.2">
      <c r="A43">
        <v>42</v>
      </c>
      <c r="B43">
        <v>1</v>
      </c>
      <c r="C43">
        <v>7.1454432308463503E-2</v>
      </c>
    </row>
    <row r="44" spans="1:3" x14ac:dyDescent="0.2">
      <c r="A44">
        <v>43</v>
      </c>
      <c r="B44">
        <v>1</v>
      </c>
      <c r="C44">
        <v>0.133541714392693</v>
      </c>
    </row>
    <row r="45" spans="1:3" x14ac:dyDescent="0.2">
      <c r="A45">
        <v>44</v>
      </c>
      <c r="B45">
        <v>1</v>
      </c>
      <c r="C45">
        <v>5.9731403161977503E-2</v>
      </c>
    </row>
    <row r="46" spans="1:3" x14ac:dyDescent="0.2">
      <c r="A46">
        <v>45</v>
      </c>
      <c r="B46">
        <v>0</v>
      </c>
      <c r="C46">
        <v>0</v>
      </c>
    </row>
    <row r="47" spans="1:3" x14ac:dyDescent="0.2">
      <c r="A47">
        <v>46</v>
      </c>
      <c r="B47">
        <v>0</v>
      </c>
      <c r="C47">
        <v>0</v>
      </c>
    </row>
    <row r="48" spans="1:3" x14ac:dyDescent="0.2">
      <c r="A48">
        <v>47</v>
      </c>
      <c r="B48">
        <v>0</v>
      </c>
      <c r="C48">
        <v>0</v>
      </c>
    </row>
    <row r="49" spans="1:3" x14ac:dyDescent="0.2">
      <c r="A49">
        <v>48</v>
      </c>
      <c r="B49">
        <v>1</v>
      </c>
      <c r="C49">
        <v>0.13145536059108001</v>
      </c>
    </row>
    <row r="50" spans="1:3" x14ac:dyDescent="0.2">
      <c r="A50">
        <v>49</v>
      </c>
      <c r="B50">
        <v>0</v>
      </c>
      <c r="C50">
        <v>0</v>
      </c>
    </row>
    <row r="51" spans="1:3" x14ac:dyDescent="0.2">
      <c r="A51">
        <v>50</v>
      </c>
      <c r="B51">
        <v>2</v>
      </c>
      <c r="C51">
        <v>0.44584538977926302</v>
      </c>
    </row>
    <row r="52" spans="1:3" x14ac:dyDescent="0.2">
      <c r="A52">
        <v>51</v>
      </c>
      <c r="B52">
        <v>0</v>
      </c>
      <c r="C52">
        <v>0</v>
      </c>
    </row>
    <row r="53" spans="1:3" x14ac:dyDescent="0.2">
      <c r="A53">
        <v>52</v>
      </c>
      <c r="B53">
        <v>1</v>
      </c>
      <c r="C53">
        <v>3.9234921673580801E-2</v>
      </c>
    </row>
    <row r="54" spans="1:3" x14ac:dyDescent="0.2">
      <c r="A54">
        <v>53</v>
      </c>
      <c r="B54">
        <v>2</v>
      </c>
      <c r="C54">
        <v>0.25145788687490939</v>
      </c>
    </row>
    <row r="55" spans="1:3" x14ac:dyDescent="0.2">
      <c r="A55">
        <v>54</v>
      </c>
      <c r="B55">
        <v>0</v>
      </c>
      <c r="C55">
        <v>0</v>
      </c>
    </row>
    <row r="56" spans="1:3" x14ac:dyDescent="0.2">
      <c r="A56">
        <v>55</v>
      </c>
      <c r="B56">
        <v>1</v>
      </c>
      <c r="C56">
        <v>3.1047836650232199E-3</v>
      </c>
    </row>
    <row r="57" spans="1:3" x14ac:dyDescent="0.2">
      <c r="A57">
        <v>56</v>
      </c>
      <c r="B57">
        <v>0</v>
      </c>
      <c r="C57">
        <v>0</v>
      </c>
    </row>
    <row r="58" spans="1:3" x14ac:dyDescent="0.2">
      <c r="A58">
        <v>57</v>
      </c>
      <c r="B58">
        <v>0</v>
      </c>
      <c r="C58">
        <v>0</v>
      </c>
    </row>
    <row r="59" spans="1:3" x14ac:dyDescent="0.2">
      <c r="A59">
        <v>58</v>
      </c>
      <c r="B59">
        <v>2</v>
      </c>
      <c r="C59">
        <v>0.281944291136494</v>
      </c>
    </row>
    <row r="60" spans="1:3" x14ac:dyDescent="0.2">
      <c r="A60">
        <v>59</v>
      </c>
      <c r="B60">
        <v>2</v>
      </c>
      <c r="C60">
        <v>0.1112339422042313</v>
      </c>
    </row>
    <row r="61" spans="1:3" x14ac:dyDescent="0.2">
      <c r="A61">
        <v>60</v>
      </c>
      <c r="B61">
        <v>1</v>
      </c>
      <c r="C61">
        <v>0.22126270168989801</v>
      </c>
    </row>
    <row r="62" spans="1:3" x14ac:dyDescent="0.2">
      <c r="A62">
        <v>61</v>
      </c>
      <c r="B62">
        <v>1</v>
      </c>
      <c r="C62">
        <v>0.19910893140434399</v>
      </c>
    </row>
    <row r="63" spans="1:3" x14ac:dyDescent="0.2">
      <c r="A63">
        <v>62</v>
      </c>
      <c r="B63">
        <v>0</v>
      </c>
      <c r="C63">
        <v>0</v>
      </c>
    </row>
    <row r="64" spans="1:3" x14ac:dyDescent="0.2">
      <c r="A64">
        <v>63</v>
      </c>
      <c r="B64">
        <v>1</v>
      </c>
      <c r="C64">
        <v>0.23358568921494799</v>
      </c>
    </row>
    <row r="65" spans="1:3" x14ac:dyDescent="0.2">
      <c r="A65">
        <v>64</v>
      </c>
      <c r="B65">
        <v>0</v>
      </c>
      <c r="C65">
        <v>0</v>
      </c>
    </row>
    <row r="66" spans="1:3" x14ac:dyDescent="0.2">
      <c r="A66">
        <v>65</v>
      </c>
      <c r="B66">
        <v>2</v>
      </c>
      <c r="C66">
        <v>0.35951969798435102</v>
      </c>
    </row>
    <row r="67" spans="1:3" x14ac:dyDescent="0.2">
      <c r="A67">
        <v>66</v>
      </c>
      <c r="B67">
        <v>1</v>
      </c>
      <c r="C67">
        <v>0.35448175121283299</v>
      </c>
    </row>
    <row r="68" spans="1:3" x14ac:dyDescent="0.2">
      <c r="A68">
        <v>67</v>
      </c>
      <c r="B68">
        <v>2</v>
      </c>
      <c r="C68">
        <v>0.2120075368575973</v>
      </c>
    </row>
    <row r="69" spans="1:3" x14ac:dyDescent="0.2">
      <c r="A69">
        <v>68</v>
      </c>
      <c r="B69">
        <v>2</v>
      </c>
      <c r="C69">
        <v>0.29817622426043838</v>
      </c>
    </row>
    <row r="70" spans="1:3" x14ac:dyDescent="0.2">
      <c r="A70">
        <v>69</v>
      </c>
      <c r="B70">
        <v>2</v>
      </c>
      <c r="C70">
        <v>0.43410066739044401</v>
      </c>
    </row>
    <row r="71" spans="1:3" x14ac:dyDescent="0.2">
      <c r="A71">
        <v>70</v>
      </c>
      <c r="B71">
        <v>1</v>
      </c>
      <c r="C71">
        <v>0.111016153532811</v>
      </c>
    </row>
    <row r="72" spans="1:3" x14ac:dyDescent="0.2">
      <c r="A72">
        <v>71</v>
      </c>
      <c r="B72">
        <v>2</v>
      </c>
      <c r="C72">
        <v>0.19360577133177609</v>
      </c>
    </row>
    <row r="73" spans="1:3" x14ac:dyDescent="0.2">
      <c r="A73">
        <v>72</v>
      </c>
      <c r="B73">
        <v>1</v>
      </c>
      <c r="C73">
        <v>0.13865013256837699</v>
      </c>
    </row>
    <row r="74" spans="1:3" x14ac:dyDescent="0.2">
      <c r="A74">
        <v>73</v>
      </c>
      <c r="B74">
        <v>1</v>
      </c>
      <c r="C74">
        <v>0.15653910249819</v>
      </c>
    </row>
    <row r="75" spans="1:3" x14ac:dyDescent="0.2">
      <c r="A75">
        <v>74</v>
      </c>
      <c r="B75">
        <v>0</v>
      </c>
      <c r="C75">
        <v>0</v>
      </c>
    </row>
    <row r="76" spans="1:3" x14ac:dyDescent="0.2">
      <c r="A76">
        <v>75</v>
      </c>
      <c r="B76">
        <v>1</v>
      </c>
      <c r="C76">
        <v>0.13039070358205601</v>
      </c>
    </row>
    <row r="77" spans="1:3" x14ac:dyDescent="0.2">
      <c r="A77">
        <v>76</v>
      </c>
      <c r="B77">
        <v>0</v>
      </c>
      <c r="C77">
        <v>0</v>
      </c>
    </row>
    <row r="78" spans="1:3" x14ac:dyDescent="0.2">
      <c r="A78">
        <v>77</v>
      </c>
      <c r="B78">
        <v>1</v>
      </c>
      <c r="C78">
        <v>7.9908681222880196E-2</v>
      </c>
    </row>
    <row r="79" spans="1:3" x14ac:dyDescent="0.2">
      <c r="A79">
        <v>78</v>
      </c>
      <c r="B79">
        <v>1</v>
      </c>
      <c r="C79">
        <v>0.114561779316934</v>
      </c>
    </row>
    <row r="80" spans="1:3" x14ac:dyDescent="0.2">
      <c r="A80">
        <v>79</v>
      </c>
      <c r="B80">
        <v>0</v>
      </c>
      <c r="C80">
        <v>0</v>
      </c>
    </row>
    <row r="81" spans="1:3" x14ac:dyDescent="0.2">
      <c r="A81">
        <v>80</v>
      </c>
      <c r="B81">
        <v>0</v>
      </c>
      <c r="C81">
        <v>0</v>
      </c>
    </row>
    <row r="82" spans="1:3" x14ac:dyDescent="0.2">
      <c r="A82">
        <v>81</v>
      </c>
      <c r="B82">
        <v>0</v>
      </c>
      <c r="C82">
        <v>0</v>
      </c>
    </row>
    <row r="83" spans="1:3" x14ac:dyDescent="0.2">
      <c r="A83">
        <v>82</v>
      </c>
      <c r="B83">
        <v>1</v>
      </c>
      <c r="C83">
        <v>0.31850781056713101</v>
      </c>
    </row>
    <row r="84" spans="1:3" x14ac:dyDescent="0.2">
      <c r="A84">
        <v>83</v>
      </c>
      <c r="B84">
        <v>1</v>
      </c>
      <c r="C84">
        <v>4.6274800223371902E-2</v>
      </c>
    </row>
    <row r="85" spans="1:3" x14ac:dyDescent="0.2">
      <c r="A85">
        <v>84</v>
      </c>
      <c r="B85">
        <v>2</v>
      </c>
      <c r="C85">
        <v>0.22024605835452049</v>
      </c>
    </row>
    <row r="86" spans="1:3" x14ac:dyDescent="0.2">
      <c r="A86">
        <v>85</v>
      </c>
      <c r="B86">
        <v>0</v>
      </c>
      <c r="C86">
        <v>0</v>
      </c>
    </row>
    <row r="87" spans="1:3" x14ac:dyDescent="0.2">
      <c r="A87">
        <v>86</v>
      </c>
      <c r="B87">
        <v>1</v>
      </c>
      <c r="C87">
        <v>0.20477016945738599</v>
      </c>
    </row>
    <row r="88" spans="1:3" x14ac:dyDescent="0.2">
      <c r="A88">
        <v>87</v>
      </c>
      <c r="B88">
        <v>4</v>
      </c>
      <c r="C88">
        <v>0.59297211137589456</v>
      </c>
    </row>
    <row r="89" spans="1:3" x14ac:dyDescent="0.2">
      <c r="A89">
        <v>88</v>
      </c>
      <c r="B89">
        <v>2</v>
      </c>
      <c r="C89">
        <v>0.28127703302405399</v>
      </c>
    </row>
    <row r="90" spans="1:3" x14ac:dyDescent="0.2">
      <c r="A90">
        <v>89</v>
      </c>
      <c r="B90">
        <v>2</v>
      </c>
      <c r="C90">
        <v>0.41253208622901993</v>
      </c>
    </row>
    <row r="91" spans="1:3" x14ac:dyDescent="0.2">
      <c r="A91">
        <v>90</v>
      </c>
      <c r="B91">
        <v>0</v>
      </c>
      <c r="C91">
        <v>0</v>
      </c>
    </row>
    <row r="92" spans="1:3" x14ac:dyDescent="0.2">
      <c r="A92">
        <v>91</v>
      </c>
      <c r="B92">
        <v>0</v>
      </c>
      <c r="C92">
        <v>0</v>
      </c>
    </row>
    <row r="93" spans="1:3" x14ac:dyDescent="0.2">
      <c r="A93">
        <v>92</v>
      </c>
      <c r="B93">
        <v>1</v>
      </c>
      <c r="C93">
        <v>6.6821897260277596E-2</v>
      </c>
    </row>
    <row r="94" spans="1:3" x14ac:dyDescent="0.2">
      <c r="A94">
        <v>93</v>
      </c>
      <c r="B94">
        <v>0</v>
      </c>
      <c r="C94">
        <v>0</v>
      </c>
    </row>
    <row r="95" spans="1:3" x14ac:dyDescent="0.2">
      <c r="A95">
        <v>94</v>
      </c>
      <c r="B95">
        <v>1</v>
      </c>
      <c r="C95">
        <v>0.17306539521351999</v>
      </c>
    </row>
    <row r="96" spans="1:3" x14ac:dyDescent="0.2">
      <c r="A96">
        <v>95</v>
      </c>
      <c r="B96">
        <v>0</v>
      </c>
      <c r="C96">
        <v>0</v>
      </c>
    </row>
    <row r="97" spans="1:3" x14ac:dyDescent="0.2">
      <c r="A97">
        <v>96</v>
      </c>
      <c r="B97">
        <v>0</v>
      </c>
      <c r="C97">
        <v>0</v>
      </c>
    </row>
    <row r="98" spans="1:3" x14ac:dyDescent="0.2">
      <c r="A98">
        <v>97</v>
      </c>
      <c r="B98">
        <v>2</v>
      </c>
      <c r="C98">
        <v>0.27568063971297202</v>
      </c>
    </row>
    <row r="99" spans="1:3" x14ac:dyDescent="0.2">
      <c r="A99">
        <v>98</v>
      </c>
      <c r="B99">
        <v>0</v>
      </c>
      <c r="C99">
        <v>0</v>
      </c>
    </row>
    <row r="100" spans="1:3" x14ac:dyDescent="0.2">
      <c r="A100">
        <v>99</v>
      </c>
      <c r="B100">
        <v>1</v>
      </c>
      <c r="C100">
        <v>0.24302346111838199</v>
      </c>
    </row>
    <row r="101" spans="1:3" x14ac:dyDescent="0.2">
      <c r="A101">
        <v>100</v>
      </c>
      <c r="B101">
        <v>1</v>
      </c>
      <c r="C101">
        <v>0.15098675255563501</v>
      </c>
    </row>
    <row r="102" spans="1:3" x14ac:dyDescent="0.2">
      <c r="A102">
        <v>101</v>
      </c>
      <c r="B102">
        <v>1</v>
      </c>
      <c r="C102">
        <v>0.154279728031508</v>
      </c>
    </row>
    <row r="103" spans="1:3" x14ac:dyDescent="0.2">
      <c r="A103">
        <v>102</v>
      </c>
      <c r="B103">
        <v>0</v>
      </c>
      <c r="C103">
        <v>0</v>
      </c>
    </row>
    <row r="104" spans="1:3" x14ac:dyDescent="0.2">
      <c r="A104">
        <v>103</v>
      </c>
      <c r="B104">
        <v>1</v>
      </c>
      <c r="C104">
        <v>0.29696290717306001</v>
      </c>
    </row>
    <row r="105" spans="1:3" x14ac:dyDescent="0.2">
      <c r="A105">
        <v>104</v>
      </c>
      <c r="B105">
        <v>3</v>
      </c>
      <c r="C105">
        <v>0.26440852331858422</v>
      </c>
    </row>
    <row r="106" spans="1:3" x14ac:dyDescent="0.2">
      <c r="A106">
        <v>105</v>
      </c>
      <c r="B106">
        <v>1</v>
      </c>
      <c r="C106">
        <v>0.45550765080717698</v>
      </c>
    </row>
    <row r="107" spans="1:3" x14ac:dyDescent="0.2">
      <c r="A107">
        <v>106</v>
      </c>
      <c r="B107">
        <v>2</v>
      </c>
      <c r="C107">
        <v>0.4046057271390478</v>
      </c>
    </row>
    <row r="108" spans="1:3" x14ac:dyDescent="0.2">
      <c r="A108">
        <v>107</v>
      </c>
      <c r="B108">
        <v>2</v>
      </c>
      <c r="C108">
        <v>0.14543296534770411</v>
      </c>
    </row>
    <row r="109" spans="1:3" x14ac:dyDescent="0.2">
      <c r="A109">
        <v>108</v>
      </c>
      <c r="B109">
        <v>1</v>
      </c>
      <c r="C109">
        <v>4.2154459147081901E-2</v>
      </c>
    </row>
    <row r="110" spans="1:3" x14ac:dyDescent="0.2">
      <c r="A110">
        <v>109</v>
      </c>
      <c r="B110">
        <v>1</v>
      </c>
      <c r="C110">
        <v>0.1551321688667</v>
      </c>
    </row>
    <row r="111" spans="1:3" x14ac:dyDescent="0.2">
      <c r="A111">
        <v>110</v>
      </c>
      <c r="B111">
        <v>0</v>
      </c>
      <c r="C111">
        <v>0</v>
      </c>
    </row>
    <row r="112" spans="1:3" x14ac:dyDescent="0.2">
      <c r="A112">
        <v>111</v>
      </c>
      <c r="B112">
        <v>3</v>
      </c>
      <c r="C112">
        <v>0.38840178949289705</v>
      </c>
    </row>
    <row r="113" spans="1:3" x14ac:dyDescent="0.2">
      <c r="A113">
        <v>112</v>
      </c>
      <c r="B113">
        <v>0</v>
      </c>
      <c r="C113">
        <v>0</v>
      </c>
    </row>
    <row r="114" spans="1:3" x14ac:dyDescent="0.2">
      <c r="A114">
        <v>113</v>
      </c>
      <c r="B114">
        <v>0</v>
      </c>
      <c r="C114">
        <v>0</v>
      </c>
    </row>
    <row r="115" spans="1:3" x14ac:dyDescent="0.2">
      <c r="A115">
        <v>114</v>
      </c>
      <c r="B115">
        <v>3</v>
      </c>
      <c r="C115">
        <v>0.43920747855191145</v>
      </c>
    </row>
    <row r="116" spans="1:3" x14ac:dyDescent="0.2">
      <c r="A116">
        <v>115</v>
      </c>
      <c r="B116">
        <v>1</v>
      </c>
      <c r="C116">
        <v>0.279181372033032</v>
      </c>
    </row>
    <row r="117" spans="1:3" x14ac:dyDescent="0.2">
      <c r="A117">
        <v>116</v>
      </c>
      <c r="B117">
        <v>0</v>
      </c>
      <c r="C117">
        <v>0</v>
      </c>
    </row>
    <row r="118" spans="1:3" x14ac:dyDescent="0.2">
      <c r="A118">
        <v>117</v>
      </c>
      <c r="B118">
        <v>1</v>
      </c>
      <c r="C118">
        <v>6.0672895888083098E-2</v>
      </c>
    </row>
    <row r="119" spans="1:3" x14ac:dyDescent="0.2">
      <c r="A119">
        <v>118</v>
      </c>
      <c r="B119">
        <v>3</v>
      </c>
      <c r="C119">
        <v>0.41774981804627864</v>
      </c>
    </row>
    <row r="120" spans="1:3" x14ac:dyDescent="0.2">
      <c r="A120">
        <v>119</v>
      </c>
      <c r="B120">
        <v>1</v>
      </c>
      <c r="C120">
        <v>6.1491797528858902E-2</v>
      </c>
    </row>
    <row r="121" spans="1:3" x14ac:dyDescent="0.2">
      <c r="A121">
        <v>120</v>
      </c>
      <c r="B121">
        <v>1</v>
      </c>
      <c r="C121">
        <v>4.1200487578387797E-2</v>
      </c>
    </row>
    <row r="122" spans="1:3" x14ac:dyDescent="0.2">
      <c r="A122">
        <v>121</v>
      </c>
      <c r="B122">
        <v>1</v>
      </c>
      <c r="C122">
        <v>0.16421729579928901</v>
      </c>
    </row>
    <row r="123" spans="1:3" x14ac:dyDescent="0.2">
      <c r="A123">
        <v>122</v>
      </c>
      <c r="B123">
        <v>0</v>
      </c>
      <c r="C123">
        <v>0</v>
      </c>
    </row>
    <row r="124" spans="1:3" x14ac:dyDescent="0.2">
      <c r="A124">
        <v>123</v>
      </c>
      <c r="B124">
        <v>0</v>
      </c>
      <c r="C124">
        <v>0</v>
      </c>
    </row>
    <row r="125" spans="1:3" x14ac:dyDescent="0.2">
      <c r="A125">
        <v>124</v>
      </c>
      <c r="B125">
        <v>0</v>
      </c>
      <c r="C125">
        <v>0</v>
      </c>
    </row>
    <row r="126" spans="1:3" x14ac:dyDescent="0.2">
      <c r="A126">
        <v>125</v>
      </c>
      <c r="B126">
        <v>1</v>
      </c>
      <c r="C126">
        <v>0.12257428072182799</v>
      </c>
    </row>
    <row r="127" spans="1:3" x14ac:dyDescent="0.2">
      <c r="A127">
        <v>126</v>
      </c>
      <c r="B127">
        <v>4</v>
      </c>
      <c r="C127">
        <v>1.346020486342421</v>
      </c>
    </row>
    <row r="128" spans="1:3" x14ac:dyDescent="0.2">
      <c r="A128">
        <v>127</v>
      </c>
      <c r="B128">
        <v>0</v>
      </c>
      <c r="C128">
        <v>0</v>
      </c>
    </row>
    <row r="129" spans="1:3" x14ac:dyDescent="0.2">
      <c r="A129">
        <v>128</v>
      </c>
      <c r="B129">
        <v>0</v>
      </c>
      <c r="C129">
        <v>0</v>
      </c>
    </row>
    <row r="130" spans="1:3" x14ac:dyDescent="0.2">
      <c r="A130">
        <v>129</v>
      </c>
      <c r="B130">
        <v>0</v>
      </c>
      <c r="C130">
        <v>0</v>
      </c>
    </row>
    <row r="131" spans="1:3" x14ac:dyDescent="0.2">
      <c r="A131">
        <v>130</v>
      </c>
      <c r="B131">
        <v>1</v>
      </c>
      <c r="C131">
        <v>0.68915475418598005</v>
      </c>
    </row>
    <row r="132" spans="1:3" x14ac:dyDescent="0.2">
      <c r="A132">
        <v>131</v>
      </c>
      <c r="B132">
        <v>1</v>
      </c>
      <c r="C132">
        <v>2.4462078359288601E-2</v>
      </c>
    </row>
    <row r="133" spans="1:3" x14ac:dyDescent="0.2">
      <c r="A133">
        <v>132</v>
      </c>
      <c r="B133">
        <v>2</v>
      </c>
      <c r="C133">
        <v>0.20080325258803822</v>
      </c>
    </row>
    <row r="134" spans="1:3" x14ac:dyDescent="0.2">
      <c r="A134">
        <v>133</v>
      </c>
      <c r="B134">
        <v>1</v>
      </c>
      <c r="C134">
        <v>0.160235418331441</v>
      </c>
    </row>
    <row r="135" spans="1:3" x14ac:dyDescent="0.2">
      <c r="A135">
        <v>134</v>
      </c>
      <c r="B135">
        <v>2</v>
      </c>
      <c r="C135">
        <v>0.33658991224957258</v>
      </c>
    </row>
    <row r="136" spans="1:3" x14ac:dyDescent="0.2">
      <c r="A136">
        <v>135</v>
      </c>
      <c r="B136">
        <v>1</v>
      </c>
      <c r="C136">
        <v>5.6323034591040599E-2</v>
      </c>
    </row>
    <row r="137" spans="1:3" x14ac:dyDescent="0.2">
      <c r="A137">
        <v>136</v>
      </c>
      <c r="B137">
        <v>1</v>
      </c>
      <c r="C137">
        <v>0.156018359251966</v>
      </c>
    </row>
    <row r="138" spans="1:3" x14ac:dyDescent="0.2">
      <c r="A138">
        <v>137</v>
      </c>
      <c r="B138">
        <v>2</v>
      </c>
      <c r="C138">
        <v>0.35777921371458193</v>
      </c>
    </row>
    <row r="139" spans="1:3" x14ac:dyDescent="0.2">
      <c r="A139">
        <v>138</v>
      </c>
      <c r="B139">
        <v>2</v>
      </c>
      <c r="C139">
        <v>0.96648631445674593</v>
      </c>
    </row>
    <row r="140" spans="1:3" x14ac:dyDescent="0.2">
      <c r="A140">
        <v>139</v>
      </c>
      <c r="B140">
        <v>3</v>
      </c>
      <c r="C140">
        <v>0.53814864490507097</v>
      </c>
    </row>
    <row r="141" spans="1:3" x14ac:dyDescent="0.2">
      <c r="A141">
        <v>140</v>
      </c>
      <c r="B141">
        <v>1</v>
      </c>
      <c r="C141">
        <v>5.95481628446013E-2</v>
      </c>
    </row>
    <row r="142" spans="1:3" x14ac:dyDescent="0.2">
      <c r="A142">
        <v>141</v>
      </c>
      <c r="B142">
        <v>0</v>
      </c>
      <c r="C142">
        <v>0</v>
      </c>
    </row>
    <row r="143" spans="1:3" x14ac:dyDescent="0.2">
      <c r="A143">
        <v>142</v>
      </c>
      <c r="B143">
        <v>1</v>
      </c>
      <c r="C143">
        <v>0.214588452736652</v>
      </c>
    </row>
    <row r="144" spans="1:3" x14ac:dyDescent="0.2">
      <c r="A144">
        <v>143</v>
      </c>
      <c r="B144">
        <v>0</v>
      </c>
      <c r="C144">
        <v>0</v>
      </c>
    </row>
    <row r="145" spans="1:3" x14ac:dyDescent="0.2">
      <c r="A145">
        <v>144</v>
      </c>
      <c r="B145">
        <v>0</v>
      </c>
      <c r="C145">
        <v>0</v>
      </c>
    </row>
    <row r="146" spans="1:3" x14ac:dyDescent="0.2">
      <c r="A146">
        <v>145</v>
      </c>
      <c r="B146">
        <v>2</v>
      </c>
      <c r="C146">
        <v>0.34508696918116699</v>
      </c>
    </row>
    <row r="147" spans="1:3" x14ac:dyDescent="0.2">
      <c r="A147">
        <v>146</v>
      </c>
      <c r="B147">
        <v>0</v>
      </c>
      <c r="C147">
        <v>0</v>
      </c>
    </row>
    <row r="148" spans="1:3" x14ac:dyDescent="0.2">
      <c r="A148">
        <v>147</v>
      </c>
      <c r="B148">
        <v>0</v>
      </c>
      <c r="C148">
        <v>0</v>
      </c>
    </row>
    <row r="149" spans="1:3" x14ac:dyDescent="0.2">
      <c r="A149">
        <v>148</v>
      </c>
      <c r="B149">
        <v>0</v>
      </c>
      <c r="C149">
        <v>0</v>
      </c>
    </row>
    <row r="150" spans="1:3" x14ac:dyDescent="0.2">
      <c r="A150">
        <v>149</v>
      </c>
      <c r="B150">
        <v>0</v>
      </c>
      <c r="C150">
        <v>0</v>
      </c>
    </row>
    <row r="151" spans="1:3" x14ac:dyDescent="0.2">
      <c r="A151">
        <v>150</v>
      </c>
      <c r="B151">
        <v>1</v>
      </c>
      <c r="C151">
        <v>0.19512672548368501</v>
      </c>
    </row>
    <row r="152" spans="1:3" x14ac:dyDescent="0.2">
      <c r="A152">
        <v>151</v>
      </c>
      <c r="B152">
        <v>2</v>
      </c>
      <c r="C152">
        <v>0.30380228762349099</v>
      </c>
    </row>
    <row r="153" spans="1:3" x14ac:dyDescent="0.2">
      <c r="A153">
        <v>152</v>
      </c>
      <c r="B153">
        <v>1</v>
      </c>
      <c r="C153">
        <v>0.38177311221424898</v>
      </c>
    </row>
    <row r="154" spans="1:3" x14ac:dyDescent="0.2">
      <c r="A154">
        <v>153</v>
      </c>
      <c r="B154">
        <v>1</v>
      </c>
      <c r="C154">
        <v>0.13380130344778701</v>
      </c>
    </row>
    <row r="155" spans="1:3" x14ac:dyDescent="0.2">
      <c r="A155">
        <v>154</v>
      </c>
      <c r="B155">
        <v>0</v>
      </c>
      <c r="C155">
        <v>0</v>
      </c>
    </row>
    <row r="156" spans="1:3" x14ac:dyDescent="0.2">
      <c r="A156">
        <v>155</v>
      </c>
      <c r="B156">
        <v>0</v>
      </c>
      <c r="C156">
        <v>0</v>
      </c>
    </row>
    <row r="157" spans="1:3" x14ac:dyDescent="0.2">
      <c r="A157">
        <v>156</v>
      </c>
      <c r="B157">
        <v>1</v>
      </c>
      <c r="C157">
        <v>8.9349957463014495E-2</v>
      </c>
    </row>
    <row r="158" spans="1:3" x14ac:dyDescent="0.2">
      <c r="A158">
        <v>157</v>
      </c>
      <c r="B158">
        <v>1</v>
      </c>
      <c r="C158">
        <v>5.09171624081632E-2</v>
      </c>
    </row>
    <row r="159" spans="1:3" x14ac:dyDescent="0.2">
      <c r="A159">
        <v>158</v>
      </c>
      <c r="B159">
        <v>0</v>
      </c>
      <c r="C159">
        <v>0</v>
      </c>
    </row>
    <row r="160" spans="1:3" x14ac:dyDescent="0.2">
      <c r="A160">
        <v>159</v>
      </c>
      <c r="B160">
        <v>1</v>
      </c>
      <c r="C160">
        <v>0.14624978129557201</v>
      </c>
    </row>
    <row r="161" spans="1:3" x14ac:dyDescent="0.2">
      <c r="A161">
        <v>160</v>
      </c>
      <c r="B161">
        <v>0</v>
      </c>
      <c r="C161">
        <v>0</v>
      </c>
    </row>
    <row r="162" spans="1:3" x14ac:dyDescent="0.2">
      <c r="A162">
        <v>161</v>
      </c>
      <c r="B162">
        <v>1</v>
      </c>
      <c r="C162">
        <v>0.105584661066281</v>
      </c>
    </row>
    <row r="163" spans="1:3" x14ac:dyDescent="0.2">
      <c r="A163">
        <v>163</v>
      </c>
      <c r="B163">
        <v>1</v>
      </c>
      <c r="C163">
        <v>8.1982075992533002E-2</v>
      </c>
    </row>
    <row r="164" spans="1:3" x14ac:dyDescent="0.2">
      <c r="A164">
        <v>162</v>
      </c>
      <c r="B164">
        <v>0</v>
      </c>
      <c r="C164">
        <v>0</v>
      </c>
    </row>
    <row r="165" spans="1:3" x14ac:dyDescent="0.2">
      <c r="A165">
        <v>164</v>
      </c>
      <c r="B165">
        <v>1</v>
      </c>
      <c r="C165">
        <v>0.26463638384661198</v>
      </c>
    </row>
    <row r="166" spans="1:3" x14ac:dyDescent="0.2">
      <c r="A166">
        <v>166</v>
      </c>
      <c r="B166">
        <v>1</v>
      </c>
      <c r="C166">
        <v>4.7958959811493798E-2</v>
      </c>
    </row>
    <row r="167" spans="1:3" x14ac:dyDescent="0.2">
      <c r="A167">
        <v>167</v>
      </c>
      <c r="B167">
        <v>2</v>
      </c>
      <c r="C167">
        <v>0.25004987022648822</v>
      </c>
    </row>
    <row r="168" spans="1:3" x14ac:dyDescent="0.2">
      <c r="A168">
        <v>165</v>
      </c>
      <c r="B168">
        <v>0</v>
      </c>
      <c r="C168">
        <v>0</v>
      </c>
    </row>
    <row r="169" spans="1:3" x14ac:dyDescent="0.2">
      <c r="A169">
        <v>169</v>
      </c>
      <c r="B169">
        <v>1</v>
      </c>
      <c r="C169">
        <v>0.126373308785173</v>
      </c>
    </row>
    <row r="170" spans="1:3" x14ac:dyDescent="0.2">
      <c r="A170">
        <v>171</v>
      </c>
      <c r="B170">
        <v>1</v>
      </c>
      <c r="C170">
        <v>0.30130781255732603</v>
      </c>
    </row>
    <row r="171" spans="1:3" x14ac:dyDescent="0.2">
      <c r="A171">
        <v>168</v>
      </c>
      <c r="B171">
        <v>0</v>
      </c>
      <c r="C171">
        <v>0</v>
      </c>
    </row>
    <row r="172" spans="1:3" x14ac:dyDescent="0.2">
      <c r="A172">
        <v>173</v>
      </c>
      <c r="B172">
        <v>2</v>
      </c>
      <c r="C172">
        <v>0.35801304319870542</v>
      </c>
    </row>
    <row r="173" spans="1:3" x14ac:dyDescent="0.2">
      <c r="A173">
        <v>170</v>
      </c>
      <c r="B173">
        <v>0</v>
      </c>
      <c r="C173">
        <v>0</v>
      </c>
    </row>
    <row r="174" spans="1:3" x14ac:dyDescent="0.2">
      <c r="A174">
        <v>174</v>
      </c>
      <c r="B174">
        <v>2</v>
      </c>
      <c r="C174">
        <v>0.37419131015632801</v>
      </c>
    </row>
    <row r="175" spans="1:3" x14ac:dyDescent="0.2">
      <c r="A175">
        <v>172</v>
      </c>
      <c r="B175">
        <v>0</v>
      </c>
      <c r="C175">
        <v>0</v>
      </c>
    </row>
    <row r="176" spans="1:3" x14ac:dyDescent="0.2">
      <c r="A176">
        <v>175</v>
      </c>
      <c r="B176">
        <v>1</v>
      </c>
      <c r="C176">
        <v>7.0111905644910405E-2</v>
      </c>
    </row>
    <row r="177" spans="1:3" x14ac:dyDescent="0.2">
      <c r="A177">
        <v>176</v>
      </c>
      <c r="B177">
        <v>1</v>
      </c>
      <c r="C177">
        <v>2.67442787791515E-2</v>
      </c>
    </row>
    <row r="178" spans="1:3" x14ac:dyDescent="0.2">
      <c r="A178">
        <v>177</v>
      </c>
      <c r="B178">
        <v>1</v>
      </c>
      <c r="C178">
        <v>0.17048205519226101</v>
      </c>
    </row>
    <row r="179" spans="1:3" x14ac:dyDescent="0.2">
      <c r="A179">
        <v>178</v>
      </c>
      <c r="B179">
        <v>1</v>
      </c>
      <c r="C179">
        <v>0.21320679669485401</v>
      </c>
    </row>
    <row r="180" spans="1:3" x14ac:dyDescent="0.2">
      <c r="A180">
        <v>179</v>
      </c>
      <c r="B180">
        <v>2</v>
      </c>
      <c r="C180">
        <v>0.39379027394434202</v>
      </c>
    </row>
    <row r="181" spans="1:3" x14ac:dyDescent="0.2">
      <c r="A181">
        <v>180</v>
      </c>
      <c r="B181">
        <v>1</v>
      </c>
      <c r="C181">
        <v>0.118855827349563</v>
      </c>
    </row>
    <row r="182" spans="1:3" x14ac:dyDescent="0.2">
      <c r="A182">
        <v>181</v>
      </c>
      <c r="B182">
        <v>2</v>
      </c>
      <c r="C182">
        <v>0.35132079260531801</v>
      </c>
    </row>
    <row r="183" spans="1:3" x14ac:dyDescent="0.2">
      <c r="A183">
        <v>183</v>
      </c>
      <c r="B183">
        <v>1</v>
      </c>
      <c r="C183">
        <v>0.64185437693580405</v>
      </c>
    </row>
    <row r="184" spans="1:3" x14ac:dyDescent="0.2">
      <c r="A184">
        <v>182</v>
      </c>
      <c r="B184">
        <v>0</v>
      </c>
      <c r="C184">
        <v>0</v>
      </c>
    </row>
    <row r="185" spans="1:3" x14ac:dyDescent="0.2">
      <c r="A185">
        <v>185</v>
      </c>
      <c r="B185">
        <v>1</v>
      </c>
      <c r="C185">
        <v>0.16564961170869799</v>
      </c>
    </row>
    <row r="186" spans="1:3" x14ac:dyDescent="0.2">
      <c r="A186">
        <v>186</v>
      </c>
      <c r="B186">
        <v>1</v>
      </c>
      <c r="C186">
        <v>3.5898045232595002E-2</v>
      </c>
    </row>
    <row r="187" spans="1:3" x14ac:dyDescent="0.2">
      <c r="A187">
        <v>184</v>
      </c>
      <c r="B187">
        <v>0</v>
      </c>
      <c r="C187">
        <v>0</v>
      </c>
    </row>
    <row r="188" spans="1:3" x14ac:dyDescent="0.2">
      <c r="A188">
        <v>188</v>
      </c>
      <c r="B188">
        <v>1</v>
      </c>
      <c r="C188">
        <v>0.210979524099244</v>
      </c>
    </row>
    <row r="189" spans="1:3" x14ac:dyDescent="0.2">
      <c r="A189">
        <v>189</v>
      </c>
      <c r="B189">
        <v>2</v>
      </c>
      <c r="C189">
        <v>0.65076662576713806</v>
      </c>
    </row>
    <row r="190" spans="1:3" x14ac:dyDescent="0.2">
      <c r="A190">
        <v>187</v>
      </c>
      <c r="B190">
        <v>0</v>
      </c>
      <c r="C190">
        <v>0</v>
      </c>
    </row>
    <row r="191" spans="1:3" x14ac:dyDescent="0.2">
      <c r="A191">
        <v>190</v>
      </c>
      <c r="B191">
        <v>2</v>
      </c>
      <c r="C191">
        <v>0.46690531495944498</v>
      </c>
    </row>
    <row r="192" spans="1:3" x14ac:dyDescent="0.2">
      <c r="A192">
        <v>193</v>
      </c>
      <c r="B192">
        <v>4</v>
      </c>
      <c r="C192">
        <v>1.175044386715048</v>
      </c>
    </row>
    <row r="193" spans="1:3" x14ac:dyDescent="0.2">
      <c r="A193">
        <v>191</v>
      </c>
      <c r="B193">
        <v>0</v>
      </c>
      <c r="C193">
        <v>0</v>
      </c>
    </row>
    <row r="194" spans="1:3" x14ac:dyDescent="0.2">
      <c r="A194">
        <v>192</v>
      </c>
      <c r="B194">
        <v>0</v>
      </c>
      <c r="C194">
        <v>0</v>
      </c>
    </row>
    <row r="195" spans="1:3" x14ac:dyDescent="0.2">
      <c r="A195">
        <v>194</v>
      </c>
      <c r="B195">
        <v>1</v>
      </c>
      <c r="C195">
        <v>0.26374204235940502</v>
      </c>
    </row>
    <row r="196" spans="1:3" x14ac:dyDescent="0.2">
      <c r="A196">
        <v>195</v>
      </c>
      <c r="B196">
        <v>3</v>
      </c>
      <c r="C196">
        <v>0.74759755760207458</v>
      </c>
    </row>
    <row r="197" spans="1:3" x14ac:dyDescent="0.2">
      <c r="A197">
        <v>196</v>
      </c>
      <c r="B197">
        <v>1</v>
      </c>
      <c r="C197">
        <v>6.6664244581874296E-2</v>
      </c>
    </row>
    <row r="198" spans="1:3" x14ac:dyDescent="0.2">
      <c r="A198">
        <v>197</v>
      </c>
      <c r="B198">
        <v>1</v>
      </c>
      <c r="C198">
        <v>0.11642816878784699</v>
      </c>
    </row>
    <row r="199" spans="1:3" x14ac:dyDescent="0.2">
      <c r="A199">
        <v>198</v>
      </c>
      <c r="B199">
        <v>1</v>
      </c>
      <c r="C199">
        <v>0.27244745512371099</v>
      </c>
    </row>
    <row r="200" spans="1:3" x14ac:dyDescent="0.2">
      <c r="A200">
        <v>199</v>
      </c>
      <c r="B200">
        <v>0</v>
      </c>
      <c r="C200">
        <v>0</v>
      </c>
    </row>
    <row r="201" spans="1:3" x14ac:dyDescent="0.2">
      <c r="A201">
        <v>200</v>
      </c>
      <c r="B201">
        <v>1</v>
      </c>
      <c r="C201">
        <v>0.104586815388059</v>
      </c>
    </row>
    <row r="202" spans="1:3" x14ac:dyDescent="0.2">
      <c r="A202">
        <v>201</v>
      </c>
      <c r="B202">
        <v>0</v>
      </c>
      <c r="C202">
        <v>0</v>
      </c>
    </row>
    <row r="203" spans="1:3" x14ac:dyDescent="0.2">
      <c r="A203">
        <v>202</v>
      </c>
      <c r="B203">
        <v>3</v>
      </c>
      <c r="C203">
        <v>0.93611225787623287</v>
      </c>
    </row>
    <row r="204" spans="1:3" x14ac:dyDescent="0.2">
      <c r="A204">
        <v>203</v>
      </c>
      <c r="B204">
        <v>1</v>
      </c>
      <c r="C204">
        <v>0.107122638364737</v>
      </c>
    </row>
    <row r="205" spans="1:3" x14ac:dyDescent="0.2">
      <c r="A205">
        <v>204</v>
      </c>
      <c r="B205">
        <v>1</v>
      </c>
      <c r="C205">
        <v>0.107061646291556</v>
      </c>
    </row>
    <row r="206" spans="1:3" x14ac:dyDescent="0.2">
      <c r="A206">
        <v>205</v>
      </c>
      <c r="B206">
        <v>1</v>
      </c>
      <c r="C206">
        <v>6.4173366350188193E-2</v>
      </c>
    </row>
    <row r="207" spans="1:3" x14ac:dyDescent="0.2">
      <c r="A207">
        <v>206</v>
      </c>
      <c r="B207">
        <v>2</v>
      </c>
      <c r="C207">
        <v>0.60096924421195697</v>
      </c>
    </row>
    <row r="208" spans="1:3" x14ac:dyDescent="0.2">
      <c r="A208">
        <v>207</v>
      </c>
      <c r="B208">
        <v>0</v>
      </c>
      <c r="C208">
        <v>0</v>
      </c>
    </row>
    <row r="209" spans="1:3" x14ac:dyDescent="0.2">
      <c r="A209">
        <v>208</v>
      </c>
      <c r="B209">
        <v>0</v>
      </c>
      <c r="C209">
        <v>0</v>
      </c>
    </row>
    <row r="210" spans="1:3" x14ac:dyDescent="0.2">
      <c r="A210">
        <v>209</v>
      </c>
      <c r="B210">
        <v>0</v>
      </c>
      <c r="C210">
        <v>0</v>
      </c>
    </row>
    <row r="211" spans="1:3" x14ac:dyDescent="0.2">
      <c r="A211">
        <v>211</v>
      </c>
      <c r="B211">
        <v>1</v>
      </c>
      <c r="C211">
        <v>0.22006606292887099</v>
      </c>
    </row>
    <row r="212" spans="1:3" x14ac:dyDescent="0.2">
      <c r="A212">
        <v>210</v>
      </c>
      <c r="B212">
        <v>0</v>
      </c>
      <c r="C212">
        <v>0</v>
      </c>
    </row>
    <row r="213" spans="1:3" x14ac:dyDescent="0.2">
      <c r="A213">
        <v>214</v>
      </c>
      <c r="B213">
        <v>1</v>
      </c>
      <c r="C213">
        <v>7.3285775220146301E-2</v>
      </c>
    </row>
    <row r="214" spans="1:3" x14ac:dyDescent="0.2">
      <c r="A214">
        <v>216</v>
      </c>
      <c r="B214">
        <v>1</v>
      </c>
      <c r="C214">
        <v>5.3615036265672197E-2</v>
      </c>
    </row>
    <row r="215" spans="1:3" x14ac:dyDescent="0.2">
      <c r="A215">
        <v>212</v>
      </c>
      <c r="B215">
        <v>0</v>
      </c>
      <c r="C215">
        <v>0</v>
      </c>
    </row>
    <row r="216" spans="1:3" x14ac:dyDescent="0.2">
      <c r="A216">
        <v>218</v>
      </c>
      <c r="B216">
        <v>1</v>
      </c>
      <c r="C216">
        <v>0.17600700413398601</v>
      </c>
    </row>
    <row r="217" spans="1:3" x14ac:dyDescent="0.2">
      <c r="A217">
        <v>213</v>
      </c>
      <c r="B217">
        <v>0</v>
      </c>
      <c r="C217">
        <v>0</v>
      </c>
    </row>
    <row r="218" spans="1:3" x14ac:dyDescent="0.2">
      <c r="A218">
        <v>219</v>
      </c>
      <c r="B218">
        <v>2</v>
      </c>
      <c r="C218">
        <v>0.27952257039449713</v>
      </c>
    </row>
    <row r="219" spans="1:3" x14ac:dyDescent="0.2">
      <c r="A219">
        <v>215</v>
      </c>
      <c r="B219">
        <v>0</v>
      </c>
      <c r="C219">
        <v>0</v>
      </c>
    </row>
    <row r="220" spans="1:3" x14ac:dyDescent="0.2">
      <c r="A220">
        <v>220</v>
      </c>
      <c r="B220">
        <v>2</v>
      </c>
      <c r="C220">
        <v>0.23196446594099931</v>
      </c>
    </row>
    <row r="221" spans="1:3" x14ac:dyDescent="0.2">
      <c r="A221">
        <v>217</v>
      </c>
      <c r="B221">
        <v>0</v>
      </c>
      <c r="C221">
        <v>0</v>
      </c>
    </row>
    <row r="222" spans="1:3" x14ac:dyDescent="0.2">
      <c r="A222">
        <v>222</v>
      </c>
      <c r="B222">
        <v>3</v>
      </c>
      <c r="C222">
        <v>0.71200574415985296</v>
      </c>
    </row>
    <row r="223" spans="1:3" x14ac:dyDescent="0.2">
      <c r="A223">
        <v>223</v>
      </c>
      <c r="B223">
        <v>1</v>
      </c>
      <c r="C223">
        <v>0.507743453199763</v>
      </c>
    </row>
    <row r="224" spans="1:3" x14ac:dyDescent="0.2">
      <c r="A224">
        <v>221</v>
      </c>
      <c r="B224">
        <v>0</v>
      </c>
      <c r="C224">
        <v>0</v>
      </c>
    </row>
    <row r="225" spans="1:3" x14ac:dyDescent="0.2">
      <c r="A225">
        <v>224</v>
      </c>
      <c r="B225">
        <v>1</v>
      </c>
      <c r="C225">
        <v>0.16886396356309299</v>
      </c>
    </row>
    <row r="226" spans="1:3" x14ac:dyDescent="0.2">
      <c r="A226">
        <v>226</v>
      </c>
      <c r="B226">
        <v>1</v>
      </c>
      <c r="C226">
        <v>0.319727189042813</v>
      </c>
    </row>
    <row r="227" spans="1:3" x14ac:dyDescent="0.2">
      <c r="A227">
        <v>227</v>
      </c>
      <c r="B227">
        <v>1</v>
      </c>
      <c r="C227">
        <v>5.5313920154666997E-2</v>
      </c>
    </row>
    <row r="228" spans="1:3" x14ac:dyDescent="0.2">
      <c r="A228">
        <v>228</v>
      </c>
      <c r="B228">
        <v>1</v>
      </c>
      <c r="C228">
        <v>0.13750831297541899</v>
      </c>
    </row>
    <row r="229" spans="1:3" x14ac:dyDescent="0.2">
      <c r="A229">
        <v>225</v>
      </c>
      <c r="B229">
        <v>0</v>
      </c>
      <c r="C229">
        <v>0</v>
      </c>
    </row>
    <row r="230" spans="1:3" x14ac:dyDescent="0.2">
      <c r="A230">
        <v>229</v>
      </c>
      <c r="B230">
        <v>1</v>
      </c>
      <c r="C230">
        <v>0.30892252047166302</v>
      </c>
    </row>
    <row r="231" spans="1:3" x14ac:dyDescent="0.2">
      <c r="A231">
        <v>230</v>
      </c>
      <c r="B231">
        <v>2</v>
      </c>
      <c r="C231">
        <v>0.50738527964664704</v>
      </c>
    </row>
    <row r="232" spans="1:3" x14ac:dyDescent="0.2">
      <c r="A232">
        <v>231</v>
      </c>
      <c r="B232">
        <v>1</v>
      </c>
      <c r="C232">
        <v>0.29420785741074501</v>
      </c>
    </row>
    <row r="233" spans="1:3" x14ac:dyDescent="0.2">
      <c r="A233">
        <v>232</v>
      </c>
      <c r="B233">
        <v>1</v>
      </c>
      <c r="C233">
        <v>0.20989060990798999</v>
      </c>
    </row>
    <row r="234" spans="1:3" x14ac:dyDescent="0.2">
      <c r="A234">
        <v>233</v>
      </c>
      <c r="B234">
        <v>1</v>
      </c>
      <c r="C234">
        <v>0.142417403386908</v>
      </c>
    </row>
    <row r="235" spans="1:3" x14ac:dyDescent="0.2">
      <c r="A235">
        <v>236</v>
      </c>
      <c r="B235">
        <v>1</v>
      </c>
      <c r="C235">
        <v>2.3067403893458099E-2</v>
      </c>
    </row>
    <row r="236" spans="1:3" x14ac:dyDescent="0.2">
      <c r="A236">
        <v>238</v>
      </c>
      <c r="B236">
        <v>2</v>
      </c>
      <c r="C236">
        <v>0.28953327940136697</v>
      </c>
    </row>
    <row r="237" spans="1:3" x14ac:dyDescent="0.2">
      <c r="A237">
        <v>234</v>
      </c>
      <c r="B237">
        <v>0</v>
      </c>
      <c r="C237">
        <v>0</v>
      </c>
    </row>
    <row r="238" spans="1:3" x14ac:dyDescent="0.2">
      <c r="A238">
        <v>240</v>
      </c>
      <c r="B238">
        <v>2</v>
      </c>
      <c r="C238">
        <v>0.69142895016282602</v>
      </c>
    </row>
    <row r="239" spans="1:3" x14ac:dyDescent="0.2">
      <c r="A239">
        <v>235</v>
      </c>
      <c r="B239">
        <v>0</v>
      </c>
      <c r="C239">
        <v>0</v>
      </c>
    </row>
    <row r="240" spans="1:3" x14ac:dyDescent="0.2">
      <c r="A240">
        <v>241</v>
      </c>
      <c r="B240">
        <v>1</v>
      </c>
      <c r="C240">
        <v>8.0423912839763897E-2</v>
      </c>
    </row>
    <row r="241" spans="1:3" x14ac:dyDescent="0.2">
      <c r="A241">
        <v>237</v>
      </c>
      <c r="B241">
        <v>0</v>
      </c>
      <c r="C241">
        <v>0</v>
      </c>
    </row>
    <row r="242" spans="1:3" x14ac:dyDescent="0.2">
      <c r="A242">
        <v>242</v>
      </c>
      <c r="B242">
        <v>1</v>
      </c>
      <c r="C242">
        <v>9.1508515772285901E-2</v>
      </c>
    </row>
    <row r="243" spans="1:3" x14ac:dyDescent="0.2">
      <c r="A243">
        <v>244</v>
      </c>
      <c r="B243">
        <v>1</v>
      </c>
      <c r="C243">
        <v>0.165017364881582</v>
      </c>
    </row>
    <row r="244" spans="1:3" x14ac:dyDescent="0.2">
      <c r="A244">
        <v>239</v>
      </c>
      <c r="B244">
        <v>0</v>
      </c>
      <c r="C244">
        <v>0</v>
      </c>
    </row>
    <row r="245" spans="1:3" x14ac:dyDescent="0.2">
      <c r="A245">
        <v>246</v>
      </c>
      <c r="B245">
        <v>1</v>
      </c>
      <c r="C245">
        <v>2.5835750892507101E-2</v>
      </c>
    </row>
    <row r="246" spans="1:3" x14ac:dyDescent="0.2">
      <c r="A246">
        <v>247</v>
      </c>
      <c r="B246">
        <v>1</v>
      </c>
      <c r="C246">
        <v>0.27144640065078202</v>
      </c>
    </row>
    <row r="247" spans="1:3" x14ac:dyDescent="0.2">
      <c r="A247">
        <v>248</v>
      </c>
      <c r="B247">
        <v>3</v>
      </c>
      <c r="C247">
        <v>0.43249317683124117</v>
      </c>
    </row>
    <row r="248" spans="1:3" x14ac:dyDescent="0.2">
      <c r="A248">
        <v>243</v>
      </c>
      <c r="B248">
        <v>0</v>
      </c>
      <c r="C248">
        <v>0</v>
      </c>
    </row>
    <row r="249" spans="1:3" x14ac:dyDescent="0.2">
      <c r="A249">
        <v>249</v>
      </c>
      <c r="B249">
        <v>3</v>
      </c>
      <c r="C249">
        <v>0.53561653409500909</v>
      </c>
    </row>
    <row r="250" spans="1:3" x14ac:dyDescent="0.2">
      <c r="A250">
        <v>245</v>
      </c>
      <c r="B250">
        <v>0</v>
      </c>
      <c r="C250">
        <v>0</v>
      </c>
    </row>
    <row r="251" spans="1:3" x14ac:dyDescent="0.2">
      <c r="A251">
        <v>250</v>
      </c>
      <c r="B251">
        <v>1</v>
      </c>
      <c r="C251">
        <v>8.7717855171256395E-2</v>
      </c>
    </row>
    <row r="252" spans="1:3" x14ac:dyDescent="0.2">
      <c r="A252">
        <v>253</v>
      </c>
      <c r="B252">
        <v>1</v>
      </c>
      <c r="C252">
        <v>5.8010199441356602E-2</v>
      </c>
    </row>
    <row r="253" spans="1:3" x14ac:dyDescent="0.2">
      <c r="A253">
        <v>255</v>
      </c>
      <c r="B253">
        <v>1</v>
      </c>
      <c r="C253">
        <v>0.359953222596198</v>
      </c>
    </row>
    <row r="254" spans="1:3" x14ac:dyDescent="0.2">
      <c r="A254">
        <v>256</v>
      </c>
      <c r="B254">
        <v>2</v>
      </c>
      <c r="C254">
        <v>0.52883926703072603</v>
      </c>
    </row>
    <row r="255" spans="1:3" x14ac:dyDescent="0.2">
      <c r="A255">
        <v>251</v>
      </c>
      <c r="B255">
        <v>0</v>
      </c>
      <c r="C255">
        <v>0</v>
      </c>
    </row>
    <row r="256" spans="1:3" x14ac:dyDescent="0.2">
      <c r="A256">
        <v>252</v>
      </c>
      <c r="B256">
        <v>0</v>
      </c>
      <c r="C256">
        <v>0</v>
      </c>
    </row>
    <row r="257" spans="1:3" x14ac:dyDescent="0.2">
      <c r="A257">
        <v>258</v>
      </c>
      <c r="B257">
        <v>1</v>
      </c>
      <c r="C257">
        <v>0.37479833806122398</v>
      </c>
    </row>
    <row r="258" spans="1:3" x14ac:dyDescent="0.2">
      <c r="A258">
        <v>259</v>
      </c>
      <c r="B258">
        <v>1</v>
      </c>
      <c r="C258">
        <v>0.17655947315892101</v>
      </c>
    </row>
    <row r="259" spans="1:3" x14ac:dyDescent="0.2">
      <c r="A259">
        <v>254</v>
      </c>
      <c r="B259">
        <v>0</v>
      </c>
      <c r="C259">
        <v>0</v>
      </c>
    </row>
    <row r="260" spans="1:3" x14ac:dyDescent="0.2">
      <c r="A260">
        <v>260</v>
      </c>
      <c r="B260">
        <v>2</v>
      </c>
      <c r="C260">
        <v>0.50404262240269393</v>
      </c>
    </row>
    <row r="261" spans="1:3" x14ac:dyDescent="0.2">
      <c r="A261">
        <v>261</v>
      </c>
      <c r="B261">
        <v>3</v>
      </c>
      <c r="C261">
        <v>0.29155510941182461</v>
      </c>
    </row>
    <row r="262" spans="1:3" x14ac:dyDescent="0.2">
      <c r="A262">
        <v>257</v>
      </c>
      <c r="B262">
        <v>0</v>
      </c>
      <c r="C262">
        <v>0</v>
      </c>
    </row>
    <row r="263" spans="1:3" x14ac:dyDescent="0.2">
      <c r="A263">
        <v>262</v>
      </c>
      <c r="B263">
        <v>2</v>
      </c>
      <c r="C263">
        <v>0.28274942516763513</v>
      </c>
    </row>
    <row r="264" spans="1:3" x14ac:dyDescent="0.2">
      <c r="A264">
        <v>263</v>
      </c>
      <c r="B264">
        <v>1</v>
      </c>
      <c r="C264">
        <v>0.18081811475013901</v>
      </c>
    </row>
    <row r="265" spans="1:3" x14ac:dyDescent="0.2">
      <c r="A265">
        <v>264</v>
      </c>
      <c r="B265">
        <v>3</v>
      </c>
      <c r="C265">
        <v>0.60233126070630494</v>
      </c>
    </row>
    <row r="266" spans="1:3" x14ac:dyDescent="0.2">
      <c r="A266">
        <v>265</v>
      </c>
      <c r="B266">
        <v>1</v>
      </c>
      <c r="C266">
        <v>0.28386160296985102</v>
      </c>
    </row>
    <row r="267" spans="1:3" x14ac:dyDescent="0.2">
      <c r="A267">
        <v>266</v>
      </c>
      <c r="B267">
        <v>1</v>
      </c>
      <c r="C267">
        <v>0.165198016412749</v>
      </c>
    </row>
    <row r="268" spans="1:3" x14ac:dyDescent="0.2">
      <c r="A268">
        <v>267</v>
      </c>
      <c r="B268">
        <v>0</v>
      </c>
      <c r="C268">
        <v>0</v>
      </c>
    </row>
    <row r="269" spans="1:3" x14ac:dyDescent="0.2">
      <c r="A269">
        <v>270</v>
      </c>
      <c r="B269">
        <v>1</v>
      </c>
      <c r="C269">
        <v>0.13100962547928799</v>
      </c>
    </row>
    <row r="270" spans="1:3" x14ac:dyDescent="0.2">
      <c r="A270">
        <v>268</v>
      </c>
      <c r="B270">
        <v>0</v>
      </c>
      <c r="C270">
        <v>0</v>
      </c>
    </row>
    <row r="271" spans="1:3" x14ac:dyDescent="0.2">
      <c r="A271">
        <v>271</v>
      </c>
      <c r="B271">
        <v>2</v>
      </c>
      <c r="C271">
        <v>0.74075706254224805</v>
      </c>
    </row>
    <row r="272" spans="1:3" x14ac:dyDescent="0.2">
      <c r="A272">
        <v>269</v>
      </c>
      <c r="B272">
        <v>0</v>
      </c>
      <c r="C272">
        <v>0</v>
      </c>
    </row>
    <row r="273" spans="1:3" x14ac:dyDescent="0.2">
      <c r="A273">
        <v>275</v>
      </c>
      <c r="B273">
        <v>2</v>
      </c>
      <c r="C273">
        <v>0.15801900145651282</v>
      </c>
    </row>
    <row r="274" spans="1:3" x14ac:dyDescent="0.2">
      <c r="A274">
        <v>272</v>
      </c>
      <c r="B274">
        <v>0</v>
      </c>
      <c r="C274">
        <v>0</v>
      </c>
    </row>
    <row r="275" spans="1:3" x14ac:dyDescent="0.2">
      <c r="A275">
        <v>276</v>
      </c>
      <c r="B275">
        <v>1</v>
      </c>
      <c r="C275">
        <v>0.13657082912417001</v>
      </c>
    </row>
    <row r="276" spans="1:3" x14ac:dyDescent="0.2">
      <c r="A276">
        <v>273</v>
      </c>
      <c r="B276">
        <v>0</v>
      </c>
      <c r="C276">
        <v>0</v>
      </c>
    </row>
    <row r="277" spans="1:3" x14ac:dyDescent="0.2">
      <c r="A277">
        <v>277</v>
      </c>
      <c r="B277">
        <v>3</v>
      </c>
      <c r="C277">
        <v>0.57730768591164305</v>
      </c>
    </row>
    <row r="278" spans="1:3" x14ac:dyDescent="0.2">
      <c r="A278">
        <v>274</v>
      </c>
      <c r="B278">
        <v>0</v>
      </c>
      <c r="C278">
        <v>0</v>
      </c>
    </row>
    <row r="279" spans="1:3" x14ac:dyDescent="0.2">
      <c r="A279">
        <v>278</v>
      </c>
      <c r="B279">
        <v>1</v>
      </c>
      <c r="C279">
        <v>0.125939230300291</v>
      </c>
    </row>
    <row r="280" spans="1:3" x14ac:dyDescent="0.2">
      <c r="A280">
        <v>280</v>
      </c>
      <c r="B280">
        <v>1</v>
      </c>
      <c r="C280">
        <v>0.55406327267497901</v>
      </c>
    </row>
    <row r="281" spans="1:3" x14ac:dyDescent="0.2">
      <c r="A281">
        <v>281</v>
      </c>
      <c r="B281">
        <v>2</v>
      </c>
      <c r="C281">
        <v>0.56003986474471501</v>
      </c>
    </row>
    <row r="282" spans="1:3" x14ac:dyDescent="0.2">
      <c r="A282">
        <v>279</v>
      </c>
      <c r="B282">
        <v>0</v>
      </c>
      <c r="C282">
        <v>0</v>
      </c>
    </row>
    <row r="283" spans="1:3" x14ac:dyDescent="0.2">
      <c r="A283">
        <v>283</v>
      </c>
      <c r="B283">
        <v>1</v>
      </c>
      <c r="C283">
        <v>0.11283438595663101</v>
      </c>
    </row>
    <row r="284" spans="1:3" x14ac:dyDescent="0.2">
      <c r="A284">
        <v>286</v>
      </c>
      <c r="B284">
        <v>1</v>
      </c>
      <c r="C284">
        <v>7.9821505492401107E-2</v>
      </c>
    </row>
    <row r="285" spans="1:3" x14ac:dyDescent="0.2">
      <c r="A285">
        <v>282</v>
      </c>
      <c r="B285">
        <v>0</v>
      </c>
      <c r="C285">
        <v>0</v>
      </c>
    </row>
    <row r="286" spans="1:3" x14ac:dyDescent="0.2">
      <c r="A286">
        <v>290</v>
      </c>
      <c r="B286">
        <v>1</v>
      </c>
      <c r="C286">
        <v>6.7919531643255301E-2</v>
      </c>
    </row>
    <row r="287" spans="1:3" x14ac:dyDescent="0.2">
      <c r="A287">
        <v>294</v>
      </c>
      <c r="B287">
        <v>2</v>
      </c>
      <c r="C287">
        <v>0.60941539388521404</v>
      </c>
    </row>
    <row r="288" spans="1:3" x14ac:dyDescent="0.2">
      <c r="A288">
        <v>284</v>
      </c>
      <c r="B288">
        <v>0</v>
      </c>
      <c r="C288">
        <v>0</v>
      </c>
    </row>
    <row r="289" spans="1:3" x14ac:dyDescent="0.2">
      <c r="A289">
        <v>285</v>
      </c>
      <c r="B289">
        <v>0</v>
      </c>
      <c r="C289">
        <v>0</v>
      </c>
    </row>
    <row r="290" spans="1:3" x14ac:dyDescent="0.2">
      <c r="A290">
        <v>295</v>
      </c>
      <c r="B290">
        <v>2</v>
      </c>
      <c r="C290">
        <v>0.35097404404080201</v>
      </c>
    </row>
    <row r="291" spans="1:3" x14ac:dyDescent="0.2">
      <c r="A291">
        <v>287</v>
      </c>
      <c r="B291">
        <v>0</v>
      </c>
      <c r="C291">
        <v>0</v>
      </c>
    </row>
    <row r="292" spans="1:3" x14ac:dyDescent="0.2">
      <c r="A292">
        <v>296</v>
      </c>
      <c r="B292">
        <v>2</v>
      </c>
      <c r="C292">
        <v>0.559039806318685</v>
      </c>
    </row>
    <row r="293" spans="1:3" x14ac:dyDescent="0.2">
      <c r="A293">
        <v>288</v>
      </c>
      <c r="B293">
        <v>0</v>
      </c>
      <c r="C293">
        <v>0</v>
      </c>
    </row>
    <row r="294" spans="1:3" x14ac:dyDescent="0.2">
      <c r="A294">
        <v>289</v>
      </c>
      <c r="B294">
        <v>0</v>
      </c>
      <c r="C294">
        <v>0</v>
      </c>
    </row>
    <row r="295" spans="1:3" x14ac:dyDescent="0.2">
      <c r="A295">
        <v>297</v>
      </c>
      <c r="B295">
        <v>4</v>
      </c>
      <c r="C295">
        <v>0.58120660000768987</v>
      </c>
    </row>
    <row r="296" spans="1:3" x14ac:dyDescent="0.2">
      <c r="A296">
        <v>291</v>
      </c>
      <c r="B296">
        <v>0</v>
      </c>
      <c r="C296">
        <v>0</v>
      </c>
    </row>
    <row r="297" spans="1:3" x14ac:dyDescent="0.2">
      <c r="A297">
        <v>292</v>
      </c>
      <c r="B297">
        <v>0</v>
      </c>
      <c r="C297">
        <v>0</v>
      </c>
    </row>
    <row r="298" spans="1:3" x14ac:dyDescent="0.2">
      <c r="A298">
        <v>293</v>
      </c>
      <c r="B298">
        <v>0</v>
      </c>
      <c r="C298">
        <v>0</v>
      </c>
    </row>
    <row r="299" spans="1:3" x14ac:dyDescent="0.2">
      <c r="A299">
        <v>300</v>
      </c>
      <c r="B299">
        <v>2</v>
      </c>
      <c r="C299">
        <v>0.28899174742972122</v>
      </c>
    </row>
    <row r="300" spans="1:3" x14ac:dyDescent="0.2">
      <c r="A300">
        <v>301</v>
      </c>
      <c r="B300">
        <v>2</v>
      </c>
      <c r="C300">
        <v>0.66696085972355401</v>
      </c>
    </row>
    <row r="301" spans="1:3" x14ac:dyDescent="0.2">
      <c r="A301">
        <v>303</v>
      </c>
      <c r="B301">
        <v>2</v>
      </c>
      <c r="C301">
        <v>0.29157162509207901</v>
      </c>
    </row>
    <row r="302" spans="1:3" x14ac:dyDescent="0.2">
      <c r="A302">
        <v>298</v>
      </c>
      <c r="B302">
        <v>0</v>
      </c>
      <c r="C302">
        <v>0</v>
      </c>
    </row>
    <row r="303" spans="1:3" x14ac:dyDescent="0.2">
      <c r="A303">
        <v>299</v>
      </c>
      <c r="B303">
        <v>0</v>
      </c>
      <c r="C303">
        <v>0</v>
      </c>
    </row>
    <row r="304" spans="1:3" x14ac:dyDescent="0.2">
      <c r="A304">
        <v>304</v>
      </c>
      <c r="B304">
        <v>1</v>
      </c>
      <c r="C304">
        <v>4.8376843543225002E-2</v>
      </c>
    </row>
    <row r="305" spans="1:3" x14ac:dyDescent="0.2">
      <c r="A305">
        <v>305</v>
      </c>
      <c r="B305">
        <v>1</v>
      </c>
      <c r="C305">
        <v>0.142526118194156</v>
      </c>
    </row>
    <row r="306" spans="1:3" x14ac:dyDescent="0.2">
      <c r="A306">
        <v>306</v>
      </c>
      <c r="B306">
        <v>1</v>
      </c>
      <c r="C306">
        <v>0.18914453600637299</v>
      </c>
    </row>
    <row r="307" spans="1:3" x14ac:dyDescent="0.2">
      <c r="A307">
        <v>302</v>
      </c>
      <c r="B307">
        <v>0</v>
      </c>
      <c r="C307">
        <v>0</v>
      </c>
    </row>
    <row r="308" spans="1:3" x14ac:dyDescent="0.2">
      <c r="A308">
        <v>309</v>
      </c>
      <c r="B308">
        <v>1</v>
      </c>
      <c r="C308">
        <v>4.1298204436462198E-2</v>
      </c>
    </row>
    <row r="309" spans="1:3" x14ac:dyDescent="0.2">
      <c r="A309">
        <v>310</v>
      </c>
      <c r="B309">
        <v>1</v>
      </c>
      <c r="C309">
        <v>0.22796045681975699</v>
      </c>
    </row>
    <row r="310" spans="1:3" x14ac:dyDescent="0.2">
      <c r="A310">
        <v>311</v>
      </c>
      <c r="B310">
        <v>1</v>
      </c>
      <c r="C310">
        <v>0.14540181877335501</v>
      </c>
    </row>
    <row r="311" spans="1:3" x14ac:dyDescent="0.2">
      <c r="A311">
        <v>312</v>
      </c>
      <c r="B311">
        <v>1</v>
      </c>
      <c r="C311">
        <v>0.15315301692813499</v>
      </c>
    </row>
    <row r="312" spans="1:3" x14ac:dyDescent="0.2">
      <c r="A312">
        <v>313</v>
      </c>
      <c r="B312">
        <v>1</v>
      </c>
      <c r="C312">
        <v>7.0193665194713206E-2</v>
      </c>
    </row>
    <row r="313" spans="1:3" x14ac:dyDescent="0.2">
      <c r="A313">
        <v>307</v>
      </c>
      <c r="B313">
        <v>0</v>
      </c>
      <c r="C313">
        <v>0</v>
      </c>
    </row>
    <row r="314" spans="1:3" x14ac:dyDescent="0.2">
      <c r="A314">
        <v>316</v>
      </c>
      <c r="B314">
        <v>2</v>
      </c>
      <c r="C314">
        <v>0.45601613728770651</v>
      </c>
    </row>
    <row r="315" spans="1:3" x14ac:dyDescent="0.2">
      <c r="A315">
        <v>308</v>
      </c>
      <c r="B315">
        <v>0</v>
      </c>
      <c r="C315">
        <v>0</v>
      </c>
    </row>
    <row r="316" spans="1:3" x14ac:dyDescent="0.2">
      <c r="A316">
        <v>317</v>
      </c>
      <c r="B316">
        <v>2</v>
      </c>
      <c r="C316">
        <v>0.30927760708272301</v>
      </c>
    </row>
    <row r="317" spans="1:3" x14ac:dyDescent="0.2">
      <c r="A317">
        <v>320</v>
      </c>
      <c r="B317">
        <v>2</v>
      </c>
      <c r="C317">
        <v>0.26496828975687248</v>
      </c>
    </row>
    <row r="318" spans="1:3" x14ac:dyDescent="0.2">
      <c r="A318">
        <v>321</v>
      </c>
      <c r="B318">
        <v>2</v>
      </c>
      <c r="C318">
        <v>0.24959403155774801</v>
      </c>
    </row>
    <row r="319" spans="1:3" x14ac:dyDescent="0.2">
      <c r="A319">
        <v>314</v>
      </c>
      <c r="B319">
        <v>0</v>
      </c>
      <c r="C319">
        <v>0</v>
      </c>
    </row>
    <row r="320" spans="1:3" x14ac:dyDescent="0.2">
      <c r="A320">
        <v>315</v>
      </c>
      <c r="B320">
        <v>0</v>
      </c>
      <c r="C320">
        <v>0</v>
      </c>
    </row>
    <row r="321" spans="1:3" x14ac:dyDescent="0.2">
      <c r="A321">
        <v>324</v>
      </c>
      <c r="B321">
        <v>1</v>
      </c>
      <c r="C321">
        <v>0.31019538650107698</v>
      </c>
    </row>
    <row r="322" spans="1:3" x14ac:dyDescent="0.2">
      <c r="A322">
        <v>327</v>
      </c>
      <c r="B322">
        <v>5</v>
      </c>
      <c r="C322">
        <v>1.3141841773420477</v>
      </c>
    </row>
    <row r="323" spans="1:3" x14ac:dyDescent="0.2">
      <c r="A323">
        <v>318</v>
      </c>
      <c r="B323">
        <v>0</v>
      </c>
      <c r="C323">
        <v>0</v>
      </c>
    </row>
    <row r="324" spans="1:3" x14ac:dyDescent="0.2">
      <c r="A324">
        <v>319</v>
      </c>
      <c r="B324">
        <v>0</v>
      </c>
      <c r="C324">
        <v>0</v>
      </c>
    </row>
    <row r="325" spans="1:3" x14ac:dyDescent="0.2">
      <c r="A325">
        <v>330</v>
      </c>
      <c r="B325">
        <v>2</v>
      </c>
      <c r="C325">
        <v>0.66843944873945182</v>
      </c>
    </row>
    <row r="326" spans="1:3" x14ac:dyDescent="0.2">
      <c r="A326">
        <v>322</v>
      </c>
      <c r="B326">
        <v>0</v>
      </c>
      <c r="C326">
        <v>0</v>
      </c>
    </row>
    <row r="327" spans="1:3" x14ac:dyDescent="0.2">
      <c r="A327">
        <v>323</v>
      </c>
      <c r="B327">
        <v>0</v>
      </c>
      <c r="C327">
        <v>0</v>
      </c>
    </row>
    <row r="328" spans="1:3" x14ac:dyDescent="0.2">
      <c r="A328">
        <v>331</v>
      </c>
      <c r="B328">
        <v>1</v>
      </c>
      <c r="C328">
        <v>0.157985178662431</v>
      </c>
    </row>
    <row r="329" spans="1:3" x14ac:dyDescent="0.2">
      <c r="A329">
        <v>333</v>
      </c>
      <c r="B329">
        <v>2</v>
      </c>
      <c r="C329">
        <v>0.234707516598987</v>
      </c>
    </row>
    <row r="330" spans="1:3" x14ac:dyDescent="0.2">
      <c r="A330">
        <v>325</v>
      </c>
      <c r="B330">
        <v>0</v>
      </c>
      <c r="C330">
        <v>0</v>
      </c>
    </row>
    <row r="331" spans="1:3" x14ac:dyDescent="0.2">
      <c r="A331">
        <v>326</v>
      </c>
      <c r="B331">
        <v>0</v>
      </c>
      <c r="C331">
        <v>0</v>
      </c>
    </row>
    <row r="332" spans="1:3" x14ac:dyDescent="0.2">
      <c r="A332">
        <v>334</v>
      </c>
      <c r="B332">
        <v>2</v>
      </c>
      <c r="C332">
        <v>0.38863316576322987</v>
      </c>
    </row>
    <row r="333" spans="1:3" x14ac:dyDescent="0.2">
      <c r="A333">
        <v>328</v>
      </c>
      <c r="B333">
        <v>0</v>
      </c>
      <c r="C333">
        <v>0</v>
      </c>
    </row>
    <row r="334" spans="1:3" x14ac:dyDescent="0.2">
      <c r="A334">
        <v>336</v>
      </c>
      <c r="B334">
        <v>1</v>
      </c>
      <c r="C334">
        <v>1.45816561117635E-2</v>
      </c>
    </row>
    <row r="335" spans="1:3" x14ac:dyDescent="0.2">
      <c r="A335">
        <v>329</v>
      </c>
      <c r="B335">
        <v>0</v>
      </c>
      <c r="C335">
        <v>0</v>
      </c>
    </row>
    <row r="336" spans="1:3" x14ac:dyDescent="0.2">
      <c r="A336">
        <v>337</v>
      </c>
      <c r="B336">
        <v>1</v>
      </c>
      <c r="C336">
        <v>0.38261164632753603</v>
      </c>
    </row>
    <row r="337" spans="1:3" x14ac:dyDescent="0.2">
      <c r="A337">
        <v>338</v>
      </c>
      <c r="B337">
        <v>1</v>
      </c>
      <c r="C337">
        <v>0.187129400944608</v>
      </c>
    </row>
    <row r="338" spans="1:3" x14ac:dyDescent="0.2">
      <c r="A338">
        <v>339</v>
      </c>
      <c r="B338">
        <v>1</v>
      </c>
      <c r="C338">
        <v>3.5656655729836201E-2</v>
      </c>
    </row>
    <row r="339" spans="1:3" x14ac:dyDescent="0.2">
      <c r="A339">
        <v>332</v>
      </c>
      <c r="B339">
        <v>0</v>
      </c>
      <c r="C339">
        <v>0</v>
      </c>
    </row>
    <row r="340" spans="1:3" x14ac:dyDescent="0.2">
      <c r="A340">
        <v>340</v>
      </c>
      <c r="B340">
        <v>3</v>
      </c>
      <c r="C340">
        <v>0.16654348888951698</v>
      </c>
    </row>
    <row r="341" spans="1:3" x14ac:dyDescent="0.2">
      <c r="A341">
        <v>335</v>
      </c>
      <c r="B341">
        <v>0</v>
      </c>
      <c r="C341">
        <v>0</v>
      </c>
    </row>
    <row r="342" spans="1:3" x14ac:dyDescent="0.2">
      <c r="A342">
        <v>341</v>
      </c>
      <c r="B342">
        <v>1</v>
      </c>
      <c r="C342">
        <v>0.142546089504274</v>
      </c>
    </row>
    <row r="343" spans="1:3" x14ac:dyDescent="0.2">
      <c r="A343">
        <v>343</v>
      </c>
      <c r="B343">
        <v>1</v>
      </c>
      <c r="C343">
        <v>1.43540623955644E-2</v>
      </c>
    </row>
    <row r="344" spans="1:3" x14ac:dyDescent="0.2">
      <c r="A344">
        <v>345</v>
      </c>
      <c r="B344">
        <v>1</v>
      </c>
      <c r="C344">
        <v>3.35117612884459E-2</v>
      </c>
    </row>
    <row r="345" spans="1:3" x14ac:dyDescent="0.2">
      <c r="A345">
        <v>346</v>
      </c>
      <c r="B345">
        <v>1</v>
      </c>
      <c r="C345">
        <v>4.6415813741994202E-2</v>
      </c>
    </row>
    <row r="346" spans="1:3" x14ac:dyDescent="0.2">
      <c r="A346">
        <v>347</v>
      </c>
      <c r="B346">
        <v>4</v>
      </c>
      <c r="C346">
        <v>0.49238791938955351</v>
      </c>
    </row>
    <row r="347" spans="1:3" x14ac:dyDescent="0.2">
      <c r="A347">
        <v>342</v>
      </c>
      <c r="B347">
        <v>0</v>
      </c>
      <c r="C347">
        <v>0</v>
      </c>
    </row>
    <row r="348" spans="1:3" x14ac:dyDescent="0.2">
      <c r="A348">
        <v>348</v>
      </c>
      <c r="B348">
        <v>1</v>
      </c>
      <c r="C348">
        <v>7.9458364105756601E-2</v>
      </c>
    </row>
    <row r="349" spans="1:3" x14ac:dyDescent="0.2">
      <c r="A349">
        <v>344</v>
      </c>
      <c r="B349">
        <v>0</v>
      </c>
      <c r="C349">
        <v>0</v>
      </c>
    </row>
    <row r="350" spans="1:3" x14ac:dyDescent="0.2">
      <c r="A350">
        <v>350</v>
      </c>
      <c r="B350">
        <v>1</v>
      </c>
      <c r="C350">
        <v>0.22778238404279499</v>
      </c>
    </row>
    <row r="351" spans="1:3" x14ac:dyDescent="0.2">
      <c r="A351">
        <v>352</v>
      </c>
      <c r="B351">
        <v>3</v>
      </c>
      <c r="C351">
        <v>0.52051774976180543</v>
      </c>
    </row>
    <row r="352" spans="1:3" x14ac:dyDescent="0.2">
      <c r="A352">
        <v>353</v>
      </c>
      <c r="B352">
        <v>1</v>
      </c>
      <c r="C352">
        <v>0.104162111072632</v>
      </c>
    </row>
    <row r="353" spans="1:3" x14ac:dyDescent="0.2">
      <c r="A353">
        <v>349</v>
      </c>
      <c r="B353">
        <v>0</v>
      </c>
      <c r="C353">
        <v>0</v>
      </c>
    </row>
    <row r="354" spans="1:3" x14ac:dyDescent="0.2">
      <c r="A354">
        <v>355</v>
      </c>
      <c r="B354">
        <v>1</v>
      </c>
      <c r="C354">
        <v>0.15432570630515699</v>
      </c>
    </row>
    <row r="355" spans="1:3" x14ac:dyDescent="0.2">
      <c r="A355">
        <v>356</v>
      </c>
      <c r="B355">
        <v>4</v>
      </c>
      <c r="C355">
        <v>0.34688705077892901</v>
      </c>
    </row>
    <row r="356" spans="1:3" x14ac:dyDescent="0.2">
      <c r="A356">
        <v>351</v>
      </c>
      <c r="B356">
        <v>0</v>
      </c>
      <c r="C356">
        <v>0</v>
      </c>
    </row>
    <row r="357" spans="1:3" x14ac:dyDescent="0.2">
      <c r="A357">
        <v>354</v>
      </c>
      <c r="B357">
        <v>0</v>
      </c>
      <c r="C357">
        <v>0</v>
      </c>
    </row>
    <row r="358" spans="1:3" x14ac:dyDescent="0.2">
      <c r="A358">
        <v>357</v>
      </c>
      <c r="B358">
        <v>1</v>
      </c>
      <c r="C358">
        <v>8.4784697725346206E-2</v>
      </c>
    </row>
    <row r="359" spans="1:3" x14ac:dyDescent="0.2">
      <c r="A359">
        <v>358</v>
      </c>
      <c r="B359">
        <v>1</v>
      </c>
      <c r="C359">
        <v>0.43095364777225798</v>
      </c>
    </row>
    <row r="360" spans="1:3" x14ac:dyDescent="0.2">
      <c r="A360">
        <v>360</v>
      </c>
      <c r="B360">
        <v>2</v>
      </c>
      <c r="C360">
        <v>0.80480026675243499</v>
      </c>
    </row>
    <row r="361" spans="1:3" x14ac:dyDescent="0.2">
      <c r="A361">
        <v>363</v>
      </c>
      <c r="B361">
        <v>2</v>
      </c>
      <c r="C361">
        <v>0.380207814852352</v>
      </c>
    </row>
    <row r="362" spans="1:3" x14ac:dyDescent="0.2">
      <c r="A362">
        <v>359</v>
      </c>
      <c r="B362">
        <v>0</v>
      </c>
      <c r="C362">
        <v>0</v>
      </c>
    </row>
    <row r="363" spans="1:3" x14ac:dyDescent="0.2">
      <c r="A363">
        <v>366</v>
      </c>
      <c r="B363">
        <v>2</v>
      </c>
      <c r="C363">
        <v>0.42837720277289004</v>
      </c>
    </row>
    <row r="364" spans="1:3" x14ac:dyDescent="0.2">
      <c r="A364">
        <v>361</v>
      </c>
      <c r="B364">
        <v>0</v>
      </c>
      <c r="C364">
        <v>0</v>
      </c>
    </row>
    <row r="365" spans="1:3" x14ac:dyDescent="0.2">
      <c r="A365">
        <v>362</v>
      </c>
      <c r="B365">
        <v>0</v>
      </c>
      <c r="C365">
        <v>0</v>
      </c>
    </row>
    <row r="366" spans="1:3" x14ac:dyDescent="0.2">
      <c r="A366">
        <v>369</v>
      </c>
      <c r="B366">
        <v>1</v>
      </c>
      <c r="C366">
        <v>0.273142709948556</v>
      </c>
    </row>
    <row r="367" spans="1:3" x14ac:dyDescent="0.2">
      <c r="A367">
        <v>370</v>
      </c>
      <c r="B367">
        <v>1</v>
      </c>
      <c r="C367">
        <v>0.19031691215045299</v>
      </c>
    </row>
    <row r="368" spans="1:3" x14ac:dyDescent="0.2">
      <c r="A368">
        <v>364</v>
      </c>
      <c r="B368">
        <v>0</v>
      </c>
      <c r="C368">
        <v>0</v>
      </c>
    </row>
    <row r="369" spans="1:3" x14ac:dyDescent="0.2">
      <c r="A369">
        <v>371</v>
      </c>
      <c r="B369">
        <v>1</v>
      </c>
      <c r="C369">
        <v>0.276838364198075</v>
      </c>
    </row>
    <row r="370" spans="1:3" x14ac:dyDescent="0.2">
      <c r="A370">
        <v>365</v>
      </c>
      <c r="B370">
        <v>0</v>
      </c>
      <c r="C370">
        <v>0</v>
      </c>
    </row>
    <row r="371" spans="1:3" x14ac:dyDescent="0.2">
      <c r="A371">
        <v>373</v>
      </c>
      <c r="B371">
        <v>2</v>
      </c>
      <c r="C371">
        <v>0.318102190228987</v>
      </c>
    </row>
    <row r="372" spans="1:3" x14ac:dyDescent="0.2">
      <c r="A372">
        <v>367</v>
      </c>
      <c r="B372">
        <v>0</v>
      </c>
      <c r="C372">
        <v>0</v>
      </c>
    </row>
    <row r="373" spans="1:3" x14ac:dyDescent="0.2">
      <c r="A373">
        <v>374</v>
      </c>
      <c r="B373">
        <v>1</v>
      </c>
      <c r="C373">
        <v>0.16560100010067</v>
      </c>
    </row>
    <row r="374" spans="1:3" x14ac:dyDescent="0.2">
      <c r="A374">
        <v>368</v>
      </c>
      <c r="B374">
        <v>0</v>
      </c>
      <c r="C374">
        <v>0</v>
      </c>
    </row>
    <row r="375" spans="1:3" x14ac:dyDescent="0.2">
      <c r="A375">
        <v>375</v>
      </c>
      <c r="B375">
        <v>1</v>
      </c>
      <c r="C375">
        <v>0.154792847051134</v>
      </c>
    </row>
    <row r="376" spans="1:3" x14ac:dyDescent="0.2">
      <c r="A376">
        <v>376</v>
      </c>
      <c r="B376">
        <v>3</v>
      </c>
      <c r="C376">
        <v>0.39325743421961767</v>
      </c>
    </row>
    <row r="377" spans="1:3" x14ac:dyDescent="0.2">
      <c r="A377">
        <v>372</v>
      </c>
      <c r="B377">
        <v>0</v>
      </c>
      <c r="C377">
        <v>0</v>
      </c>
    </row>
    <row r="378" spans="1:3" x14ac:dyDescent="0.2">
      <c r="A378">
        <v>377</v>
      </c>
      <c r="B378">
        <v>2</v>
      </c>
      <c r="C378">
        <v>0.43263751305353004</v>
      </c>
    </row>
    <row r="379" spans="1:3" x14ac:dyDescent="0.2">
      <c r="A379">
        <v>380</v>
      </c>
      <c r="B379">
        <v>3</v>
      </c>
      <c r="C379">
        <v>0.28735781023477269</v>
      </c>
    </row>
    <row r="380" spans="1:3" x14ac:dyDescent="0.2">
      <c r="A380">
        <v>381</v>
      </c>
      <c r="B380">
        <v>1</v>
      </c>
      <c r="C380">
        <v>0.29563360857981402</v>
      </c>
    </row>
    <row r="381" spans="1:3" x14ac:dyDescent="0.2">
      <c r="A381">
        <v>378</v>
      </c>
      <c r="B381">
        <v>0</v>
      </c>
      <c r="C381">
        <v>0</v>
      </c>
    </row>
    <row r="382" spans="1:3" x14ac:dyDescent="0.2">
      <c r="A382">
        <v>382</v>
      </c>
      <c r="B382">
        <v>2</v>
      </c>
      <c r="C382">
        <v>0.48378996410293701</v>
      </c>
    </row>
    <row r="383" spans="1:3" x14ac:dyDescent="0.2">
      <c r="A383">
        <v>379</v>
      </c>
      <c r="B383">
        <v>0</v>
      </c>
      <c r="C383">
        <v>0</v>
      </c>
    </row>
    <row r="384" spans="1:3" x14ac:dyDescent="0.2">
      <c r="A384">
        <v>383</v>
      </c>
      <c r="B384">
        <v>1</v>
      </c>
      <c r="C384">
        <v>9.0662175279319607E-2</v>
      </c>
    </row>
    <row r="385" spans="1:3" x14ac:dyDescent="0.2">
      <c r="A385">
        <v>384</v>
      </c>
      <c r="B385">
        <v>2</v>
      </c>
      <c r="C385">
        <v>0.43471750232116302</v>
      </c>
    </row>
    <row r="386" spans="1:3" x14ac:dyDescent="0.2">
      <c r="A386">
        <v>385</v>
      </c>
      <c r="B386">
        <v>1</v>
      </c>
      <c r="C386">
        <v>0.101795842580063</v>
      </c>
    </row>
    <row r="387" spans="1:3" x14ac:dyDescent="0.2">
      <c r="A387">
        <v>386</v>
      </c>
      <c r="B387">
        <v>2</v>
      </c>
      <c r="C387">
        <v>0.27576019275202801</v>
      </c>
    </row>
    <row r="388" spans="1:3" x14ac:dyDescent="0.2">
      <c r="A388">
        <v>391</v>
      </c>
      <c r="B388">
        <v>3</v>
      </c>
      <c r="C388">
        <v>0.58170208548878344</v>
      </c>
    </row>
    <row r="389" spans="1:3" x14ac:dyDescent="0.2">
      <c r="A389">
        <v>387</v>
      </c>
      <c r="B389">
        <v>0</v>
      </c>
      <c r="C389">
        <v>0</v>
      </c>
    </row>
    <row r="390" spans="1:3" x14ac:dyDescent="0.2">
      <c r="A390">
        <v>388</v>
      </c>
      <c r="B390">
        <v>0</v>
      </c>
      <c r="C390">
        <v>0</v>
      </c>
    </row>
    <row r="391" spans="1:3" x14ac:dyDescent="0.2">
      <c r="A391">
        <v>389</v>
      </c>
      <c r="B391">
        <v>0</v>
      </c>
      <c r="C391">
        <v>0</v>
      </c>
    </row>
    <row r="392" spans="1:3" x14ac:dyDescent="0.2">
      <c r="A392">
        <v>393</v>
      </c>
      <c r="B392">
        <v>1</v>
      </c>
      <c r="C392">
        <v>0.340132217857464</v>
      </c>
    </row>
    <row r="393" spans="1:3" x14ac:dyDescent="0.2">
      <c r="A393">
        <v>390</v>
      </c>
      <c r="B393">
        <v>0</v>
      </c>
      <c r="C393">
        <v>0</v>
      </c>
    </row>
    <row r="394" spans="1:3" x14ac:dyDescent="0.2">
      <c r="A394">
        <v>394</v>
      </c>
      <c r="B394">
        <v>2</v>
      </c>
      <c r="C394">
        <v>0.28102069471000102</v>
      </c>
    </row>
    <row r="395" spans="1:3" x14ac:dyDescent="0.2">
      <c r="A395">
        <v>392</v>
      </c>
      <c r="B395">
        <v>0</v>
      </c>
      <c r="C395">
        <v>0</v>
      </c>
    </row>
    <row r="396" spans="1:3" x14ac:dyDescent="0.2">
      <c r="A396">
        <v>400</v>
      </c>
      <c r="B396">
        <v>4</v>
      </c>
      <c r="C396">
        <v>0.57754981294449537</v>
      </c>
    </row>
    <row r="397" spans="1:3" x14ac:dyDescent="0.2">
      <c r="A397">
        <v>395</v>
      </c>
      <c r="B397">
        <v>0</v>
      </c>
      <c r="C397">
        <v>0</v>
      </c>
    </row>
    <row r="398" spans="1:3" x14ac:dyDescent="0.2">
      <c r="A398">
        <v>396</v>
      </c>
      <c r="B398">
        <v>0</v>
      </c>
      <c r="C398">
        <v>0</v>
      </c>
    </row>
    <row r="399" spans="1:3" x14ac:dyDescent="0.2">
      <c r="A399">
        <v>401</v>
      </c>
      <c r="B399">
        <v>4</v>
      </c>
      <c r="C399">
        <v>1.2807857636817359</v>
      </c>
    </row>
    <row r="400" spans="1:3" x14ac:dyDescent="0.2">
      <c r="A400">
        <v>397</v>
      </c>
      <c r="B400">
        <v>0</v>
      </c>
      <c r="C400">
        <v>0</v>
      </c>
    </row>
    <row r="401" spans="1:3" x14ac:dyDescent="0.2">
      <c r="A401">
        <v>398</v>
      </c>
      <c r="B401">
        <v>0</v>
      </c>
      <c r="C401">
        <v>0</v>
      </c>
    </row>
    <row r="402" spans="1:3" x14ac:dyDescent="0.2">
      <c r="A402">
        <v>399</v>
      </c>
      <c r="B402">
        <v>0</v>
      </c>
      <c r="C402">
        <v>0</v>
      </c>
    </row>
    <row r="403" spans="1:3" x14ac:dyDescent="0.2">
      <c r="A403">
        <v>403</v>
      </c>
      <c r="B403">
        <v>2</v>
      </c>
      <c r="C403">
        <v>0.50136190500107491</v>
      </c>
    </row>
    <row r="404" spans="1:3" x14ac:dyDescent="0.2">
      <c r="A404">
        <v>402</v>
      </c>
      <c r="B404">
        <v>0</v>
      </c>
      <c r="C404">
        <v>0</v>
      </c>
    </row>
    <row r="405" spans="1:3" x14ac:dyDescent="0.2">
      <c r="A405">
        <v>404</v>
      </c>
      <c r="B405">
        <v>1</v>
      </c>
      <c r="C405">
        <v>0.28762949969781099</v>
      </c>
    </row>
    <row r="406" spans="1:3" x14ac:dyDescent="0.2">
      <c r="A406">
        <v>405</v>
      </c>
      <c r="B406">
        <v>1</v>
      </c>
      <c r="C406">
        <v>0.17110625292599899</v>
      </c>
    </row>
    <row r="407" spans="1:3" x14ac:dyDescent="0.2">
      <c r="A407">
        <v>406</v>
      </c>
      <c r="B407">
        <v>1</v>
      </c>
      <c r="C407">
        <v>0.26309378134703698</v>
      </c>
    </row>
    <row r="408" spans="1:3" x14ac:dyDescent="0.2">
      <c r="A408">
        <v>407</v>
      </c>
      <c r="B408">
        <v>1</v>
      </c>
      <c r="C408">
        <v>0.13517614419392501</v>
      </c>
    </row>
    <row r="409" spans="1:3" x14ac:dyDescent="0.2">
      <c r="A409">
        <v>410</v>
      </c>
      <c r="B409">
        <v>1</v>
      </c>
      <c r="C409">
        <v>0.22196916306064499</v>
      </c>
    </row>
    <row r="410" spans="1:3" x14ac:dyDescent="0.2">
      <c r="A410">
        <v>412</v>
      </c>
      <c r="B410">
        <v>2</v>
      </c>
      <c r="C410">
        <v>0.34441069516898881</v>
      </c>
    </row>
    <row r="411" spans="1:3" x14ac:dyDescent="0.2">
      <c r="A411">
        <v>408</v>
      </c>
      <c r="B411">
        <v>0</v>
      </c>
      <c r="C411">
        <v>0</v>
      </c>
    </row>
    <row r="412" spans="1:3" x14ac:dyDescent="0.2">
      <c r="A412">
        <v>409</v>
      </c>
      <c r="B412">
        <v>0</v>
      </c>
      <c r="C412">
        <v>0</v>
      </c>
    </row>
    <row r="413" spans="1:3" x14ac:dyDescent="0.2">
      <c r="A413">
        <v>414</v>
      </c>
      <c r="B413">
        <v>1</v>
      </c>
      <c r="C413">
        <v>0.179692156203418</v>
      </c>
    </row>
    <row r="414" spans="1:3" x14ac:dyDescent="0.2">
      <c r="A414">
        <v>417</v>
      </c>
      <c r="B414">
        <v>3</v>
      </c>
      <c r="C414">
        <v>0.33783755671220589</v>
      </c>
    </row>
    <row r="415" spans="1:3" x14ac:dyDescent="0.2">
      <c r="A415">
        <v>411</v>
      </c>
      <c r="B415">
        <v>0</v>
      </c>
      <c r="C415">
        <v>0</v>
      </c>
    </row>
    <row r="416" spans="1:3" x14ac:dyDescent="0.2">
      <c r="A416">
        <v>413</v>
      </c>
      <c r="B416">
        <v>0</v>
      </c>
      <c r="C416">
        <v>0</v>
      </c>
    </row>
    <row r="417" spans="1:3" x14ac:dyDescent="0.2">
      <c r="A417">
        <v>419</v>
      </c>
      <c r="B417">
        <v>1</v>
      </c>
      <c r="C417">
        <v>0.222844577105727</v>
      </c>
    </row>
    <row r="418" spans="1:3" x14ac:dyDescent="0.2">
      <c r="A418">
        <v>421</v>
      </c>
      <c r="B418">
        <v>1</v>
      </c>
      <c r="C418">
        <v>0.240884598113073</v>
      </c>
    </row>
    <row r="419" spans="1:3" x14ac:dyDescent="0.2">
      <c r="A419">
        <v>415</v>
      </c>
      <c r="B419">
        <v>0</v>
      </c>
      <c r="C419">
        <v>0</v>
      </c>
    </row>
    <row r="420" spans="1:3" x14ac:dyDescent="0.2">
      <c r="A420">
        <v>422</v>
      </c>
      <c r="B420">
        <v>1</v>
      </c>
      <c r="C420">
        <v>4.49260840162111E-2</v>
      </c>
    </row>
    <row r="421" spans="1:3" x14ac:dyDescent="0.2">
      <c r="A421">
        <v>416</v>
      </c>
      <c r="B421">
        <v>0</v>
      </c>
      <c r="C421">
        <v>0</v>
      </c>
    </row>
    <row r="422" spans="1:3" x14ac:dyDescent="0.2">
      <c r="A422">
        <v>423</v>
      </c>
      <c r="B422">
        <v>1</v>
      </c>
      <c r="C422">
        <v>0.21844687110657601</v>
      </c>
    </row>
    <row r="423" spans="1:3" x14ac:dyDescent="0.2">
      <c r="A423">
        <v>425</v>
      </c>
      <c r="B423">
        <v>2</v>
      </c>
      <c r="C423">
        <v>0.60506402482038901</v>
      </c>
    </row>
    <row r="424" spans="1:3" x14ac:dyDescent="0.2">
      <c r="A424">
        <v>418</v>
      </c>
      <c r="B424">
        <v>0</v>
      </c>
      <c r="C424">
        <v>0</v>
      </c>
    </row>
    <row r="425" spans="1:3" x14ac:dyDescent="0.2">
      <c r="A425">
        <v>426</v>
      </c>
      <c r="B425">
        <v>1</v>
      </c>
      <c r="C425">
        <v>4.3098338748726199E-2</v>
      </c>
    </row>
    <row r="426" spans="1:3" x14ac:dyDescent="0.2">
      <c r="A426">
        <v>420</v>
      </c>
      <c r="B426">
        <v>0</v>
      </c>
      <c r="C426">
        <v>0</v>
      </c>
    </row>
    <row r="427" spans="1:3" x14ac:dyDescent="0.2">
      <c r="A427">
        <v>428</v>
      </c>
      <c r="B427">
        <v>1</v>
      </c>
      <c r="C427">
        <v>0.188916455378519</v>
      </c>
    </row>
    <row r="428" spans="1:3" x14ac:dyDescent="0.2">
      <c r="A428">
        <v>430</v>
      </c>
      <c r="B428">
        <v>2</v>
      </c>
      <c r="C428">
        <v>0.38290505198468799</v>
      </c>
    </row>
    <row r="429" spans="1:3" x14ac:dyDescent="0.2">
      <c r="A429">
        <v>431</v>
      </c>
      <c r="B429">
        <v>3</v>
      </c>
      <c r="C429">
        <v>0.28361006299609043</v>
      </c>
    </row>
    <row r="430" spans="1:3" x14ac:dyDescent="0.2">
      <c r="A430">
        <v>424</v>
      </c>
      <c r="B430">
        <v>0</v>
      </c>
      <c r="C430">
        <v>0</v>
      </c>
    </row>
    <row r="431" spans="1:3" x14ac:dyDescent="0.2">
      <c r="A431">
        <v>432</v>
      </c>
      <c r="B431">
        <v>1</v>
      </c>
      <c r="C431">
        <v>2.4007438671223E-2</v>
      </c>
    </row>
    <row r="432" spans="1:3" x14ac:dyDescent="0.2">
      <c r="A432">
        <v>427</v>
      </c>
      <c r="B432">
        <v>0</v>
      </c>
      <c r="C432">
        <v>0</v>
      </c>
    </row>
    <row r="433" spans="1:3" x14ac:dyDescent="0.2">
      <c r="A433">
        <v>434</v>
      </c>
      <c r="B433">
        <v>5</v>
      </c>
      <c r="C433">
        <v>0.85846312938053915</v>
      </c>
    </row>
    <row r="434" spans="1:3" x14ac:dyDescent="0.2">
      <c r="A434">
        <v>429</v>
      </c>
      <c r="B434">
        <v>0</v>
      </c>
      <c r="C434">
        <v>0</v>
      </c>
    </row>
    <row r="435" spans="1:3" x14ac:dyDescent="0.2">
      <c r="A435">
        <v>436</v>
      </c>
      <c r="B435">
        <v>1</v>
      </c>
      <c r="C435">
        <v>0.12449356040519299</v>
      </c>
    </row>
    <row r="436" spans="1:3" x14ac:dyDescent="0.2">
      <c r="A436">
        <v>433</v>
      </c>
      <c r="B436">
        <v>0</v>
      </c>
      <c r="C436">
        <v>0</v>
      </c>
    </row>
    <row r="437" spans="1:3" x14ac:dyDescent="0.2">
      <c r="A437">
        <v>438</v>
      </c>
      <c r="B437">
        <v>1</v>
      </c>
      <c r="C437">
        <v>0.112943786595968</v>
      </c>
    </row>
    <row r="438" spans="1:3" x14ac:dyDescent="0.2">
      <c r="A438">
        <v>442</v>
      </c>
      <c r="B438">
        <v>1</v>
      </c>
      <c r="C438">
        <v>5.6751855033461203E-2</v>
      </c>
    </row>
    <row r="439" spans="1:3" x14ac:dyDescent="0.2">
      <c r="A439">
        <v>435</v>
      </c>
      <c r="B439">
        <v>0</v>
      </c>
      <c r="C439">
        <v>0</v>
      </c>
    </row>
    <row r="440" spans="1:3" x14ac:dyDescent="0.2">
      <c r="A440">
        <v>443</v>
      </c>
      <c r="B440">
        <v>1</v>
      </c>
      <c r="C440">
        <v>0.28821810054227398</v>
      </c>
    </row>
    <row r="441" spans="1:3" x14ac:dyDescent="0.2">
      <c r="A441">
        <v>445</v>
      </c>
      <c r="B441">
        <v>2</v>
      </c>
      <c r="C441">
        <v>0.21533893107518182</v>
      </c>
    </row>
    <row r="442" spans="1:3" x14ac:dyDescent="0.2">
      <c r="A442">
        <v>437</v>
      </c>
      <c r="B442">
        <v>0</v>
      </c>
      <c r="C442">
        <v>0</v>
      </c>
    </row>
    <row r="443" spans="1:3" x14ac:dyDescent="0.2">
      <c r="A443">
        <v>446</v>
      </c>
      <c r="B443">
        <v>1</v>
      </c>
      <c r="C443">
        <v>0.10842626614299</v>
      </c>
    </row>
    <row r="444" spans="1:3" x14ac:dyDescent="0.2">
      <c r="A444">
        <v>439</v>
      </c>
      <c r="B444">
        <v>0</v>
      </c>
      <c r="C444">
        <v>0</v>
      </c>
    </row>
    <row r="445" spans="1:3" x14ac:dyDescent="0.2">
      <c r="A445">
        <v>447</v>
      </c>
      <c r="B445">
        <v>2</v>
      </c>
      <c r="C445">
        <v>0.976808500840744</v>
      </c>
    </row>
    <row r="446" spans="1:3" x14ac:dyDescent="0.2">
      <c r="A446">
        <v>440</v>
      </c>
      <c r="B446">
        <v>0</v>
      </c>
      <c r="C446">
        <v>0</v>
      </c>
    </row>
    <row r="447" spans="1:3" x14ac:dyDescent="0.2">
      <c r="A447">
        <v>441</v>
      </c>
      <c r="B447">
        <v>0</v>
      </c>
      <c r="C447">
        <v>0</v>
      </c>
    </row>
    <row r="448" spans="1:3" x14ac:dyDescent="0.2">
      <c r="A448">
        <v>450</v>
      </c>
      <c r="B448">
        <v>1</v>
      </c>
      <c r="C448">
        <v>3.2193157060950897E-2</v>
      </c>
    </row>
    <row r="449" spans="1:3" x14ac:dyDescent="0.2">
      <c r="A449">
        <v>451</v>
      </c>
      <c r="B449">
        <v>1</v>
      </c>
      <c r="C449">
        <v>0.23454373271985901</v>
      </c>
    </row>
    <row r="450" spans="1:3" x14ac:dyDescent="0.2">
      <c r="A450">
        <v>456</v>
      </c>
      <c r="B450">
        <v>2</v>
      </c>
      <c r="C450">
        <v>0.3692567797988151</v>
      </c>
    </row>
    <row r="451" spans="1:3" x14ac:dyDescent="0.2">
      <c r="A451">
        <v>444</v>
      </c>
      <c r="B451">
        <v>0</v>
      </c>
      <c r="C451">
        <v>0</v>
      </c>
    </row>
    <row r="452" spans="1:3" x14ac:dyDescent="0.2">
      <c r="A452">
        <v>457</v>
      </c>
      <c r="B452">
        <v>2</v>
      </c>
      <c r="C452">
        <v>0.23316655194521518</v>
      </c>
    </row>
    <row r="453" spans="1:3" x14ac:dyDescent="0.2">
      <c r="A453">
        <v>458</v>
      </c>
      <c r="B453">
        <v>2</v>
      </c>
      <c r="C453">
        <v>0.52077391122798899</v>
      </c>
    </row>
    <row r="454" spans="1:3" x14ac:dyDescent="0.2">
      <c r="A454">
        <v>448</v>
      </c>
      <c r="B454">
        <v>0</v>
      </c>
      <c r="C454">
        <v>0</v>
      </c>
    </row>
    <row r="455" spans="1:3" x14ac:dyDescent="0.2">
      <c r="A455">
        <v>449</v>
      </c>
      <c r="B455">
        <v>0</v>
      </c>
      <c r="C455">
        <v>0</v>
      </c>
    </row>
    <row r="456" spans="1:3" x14ac:dyDescent="0.2">
      <c r="A456">
        <v>461</v>
      </c>
      <c r="B456">
        <v>3</v>
      </c>
      <c r="C456">
        <v>0.98109890612040196</v>
      </c>
    </row>
    <row r="457" spans="1:3" x14ac:dyDescent="0.2">
      <c r="A457">
        <v>452</v>
      </c>
      <c r="B457">
        <v>0</v>
      </c>
      <c r="C457">
        <v>0</v>
      </c>
    </row>
    <row r="458" spans="1:3" x14ac:dyDescent="0.2">
      <c r="A458">
        <v>462</v>
      </c>
      <c r="B458">
        <v>1</v>
      </c>
      <c r="C458">
        <v>0.30678735921811801</v>
      </c>
    </row>
    <row r="459" spans="1:3" x14ac:dyDescent="0.2">
      <c r="A459">
        <v>453</v>
      </c>
      <c r="B459">
        <v>0</v>
      </c>
      <c r="C459">
        <v>0</v>
      </c>
    </row>
    <row r="460" spans="1:3" x14ac:dyDescent="0.2">
      <c r="A460">
        <v>463</v>
      </c>
      <c r="B460">
        <v>1</v>
      </c>
      <c r="C460">
        <v>0.20462238616769901</v>
      </c>
    </row>
    <row r="461" spans="1:3" x14ac:dyDescent="0.2">
      <c r="A461">
        <v>454</v>
      </c>
      <c r="B461">
        <v>0</v>
      </c>
      <c r="C461">
        <v>0</v>
      </c>
    </row>
    <row r="462" spans="1:3" x14ac:dyDescent="0.2">
      <c r="A462">
        <v>465</v>
      </c>
      <c r="B462">
        <v>1</v>
      </c>
      <c r="C462">
        <v>6.6683314610048297E-2</v>
      </c>
    </row>
    <row r="463" spans="1:3" x14ac:dyDescent="0.2">
      <c r="A463">
        <v>455</v>
      </c>
      <c r="B463">
        <v>0</v>
      </c>
      <c r="C463">
        <v>0</v>
      </c>
    </row>
    <row r="464" spans="1:3" x14ac:dyDescent="0.2">
      <c r="A464">
        <v>468</v>
      </c>
      <c r="B464">
        <v>1</v>
      </c>
      <c r="C464">
        <v>0.19503152465641699</v>
      </c>
    </row>
    <row r="465" spans="1:3" x14ac:dyDescent="0.2">
      <c r="A465">
        <v>470</v>
      </c>
      <c r="B465">
        <v>2</v>
      </c>
      <c r="C465">
        <v>0.17376677972167981</v>
      </c>
    </row>
    <row r="466" spans="1:3" x14ac:dyDescent="0.2">
      <c r="A466">
        <v>472</v>
      </c>
      <c r="B466">
        <v>2</v>
      </c>
      <c r="C466">
        <v>0.23537974857060801</v>
      </c>
    </row>
    <row r="467" spans="1:3" x14ac:dyDescent="0.2">
      <c r="A467">
        <v>459</v>
      </c>
      <c r="B467">
        <v>0</v>
      </c>
      <c r="C467">
        <v>0</v>
      </c>
    </row>
    <row r="468" spans="1:3" x14ac:dyDescent="0.2">
      <c r="A468">
        <v>460</v>
      </c>
      <c r="B468">
        <v>0</v>
      </c>
      <c r="C468">
        <v>0</v>
      </c>
    </row>
    <row r="469" spans="1:3" x14ac:dyDescent="0.2">
      <c r="A469">
        <v>473</v>
      </c>
      <c r="B469">
        <v>1</v>
      </c>
      <c r="C469">
        <v>6.3110517905018995E-2</v>
      </c>
    </row>
    <row r="470" spans="1:3" x14ac:dyDescent="0.2">
      <c r="A470">
        <v>474</v>
      </c>
      <c r="B470">
        <v>2</v>
      </c>
      <c r="C470">
        <v>0.22248257475576</v>
      </c>
    </row>
    <row r="471" spans="1:3" x14ac:dyDescent="0.2">
      <c r="A471">
        <v>475</v>
      </c>
      <c r="B471">
        <v>1</v>
      </c>
      <c r="C471">
        <v>0.172316755714017</v>
      </c>
    </row>
    <row r="472" spans="1:3" x14ac:dyDescent="0.2">
      <c r="A472">
        <v>464</v>
      </c>
      <c r="B472">
        <v>0</v>
      </c>
      <c r="C472">
        <v>0</v>
      </c>
    </row>
    <row r="473" spans="1:3" x14ac:dyDescent="0.2">
      <c r="A473">
        <v>476</v>
      </c>
      <c r="B473">
        <v>1</v>
      </c>
      <c r="C473">
        <v>0.210701515123602</v>
      </c>
    </row>
    <row r="474" spans="1:3" x14ac:dyDescent="0.2">
      <c r="A474">
        <v>477</v>
      </c>
      <c r="B474">
        <v>1</v>
      </c>
      <c r="C474">
        <v>6.2542939715018397E-2</v>
      </c>
    </row>
    <row r="475" spans="1:3" x14ac:dyDescent="0.2">
      <c r="A475">
        <v>466</v>
      </c>
      <c r="B475">
        <v>0</v>
      </c>
      <c r="C475">
        <v>0</v>
      </c>
    </row>
    <row r="476" spans="1:3" x14ac:dyDescent="0.2">
      <c r="A476">
        <v>480</v>
      </c>
      <c r="B476">
        <v>1</v>
      </c>
      <c r="C476">
        <v>0.25544767354590903</v>
      </c>
    </row>
    <row r="477" spans="1:3" x14ac:dyDescent="0.2">
      <c r="A477">
        <v>467</v>
      </c>
      <c r="B477">
        <v>0</v>
      </c>
      <c r="C477">
        <v>0</v>
      </c>
    </row>
    <row r="478" spans="1:3" x14ac:dyDescent="0.2">
      <c r="A478">
        <v>482</v>
      </c>
      <c r="B478">
        <v>2</v>
      </c>
      <c r="C478">
        <v>0.33957218635974801</v>
      </c>
    </row>
    <row r="479" spans="1:3" x14ac:dyDescent="0.2">
      <c r="A479">
        <v>469</v>
      </c>
      <c r="B479">
        <v>0</v>
      </c>
      <c r="C479">
        <v>0</v>
      </c>
    </row>
    <row r="480" spans="1:3" x14ac:dyDescent="0.2">
      <c r="A480">
        <v>484</v>
      </c>
      <c r="B480">
        <v>1</v>
      </c>
      <c r="C480">
        <v>0.22898476020757899</v>
      </c>
    </row>
    <row r="481" spans="1:3" x14ac:dyDescent="0.2">
      <c r="A481">
        <v>485</v>
      </c>
      <c r="B481">
        <v>3</v>
      </c>
      <c r="C481">
        <v>0.29069392609702882</v>
      </c>
    </row>
    <row r="482" spans="1:3" x14ac:dyDescent="0.2">
      <c r="A482">
        <v>471</v>
      </c>
      <c r="B482">
        <v>0</v>
      </c>
      <c r="C482">
        <v>0</v>
      </c>
    </row>
    <row r="483" spans="1:3" x14ac:dyDescent="0.2">
      <c r="A483">
        <v>488</v>
      </c>
      <c r="B483">
        <v>1</v>
      </c>
      <c r="C483">
        <v>3.4221384895546998E-2</v>
      </c>
    </row>
    <row r="484" spans="1:3" x14ac:dyDescent="0.2">
      <c r="A484">
        <v>489</v>
      </c>
      <c r="B484">
        <v>1</v>
      </c>
      <c r="C484">
        <v>0.29453546122070701</v>
      </c>
    </row>
    <row r="485" spans="1:3" x14ac:dyDescent="0.2">
      <c r="A485">
        <v>478</v>
      </c>
      <c r="B485">
        <v>0</v>
      </c>
      <c r="C485">
        <v>0</v>
      </c>
    </row>
    <row r="486" spans="1:3" x14ac:dyDescent="0.2">
      <c r="A486">
        <v>479</v>
      </c>
      <c r="B486">
        <v>0</v>
      </c>
      <c r="C486">
        <v>0</v>
      </c>
    </row>
    <row r="487" spans="1:3" x14ac:dyDescent="0.2">
      <c r="A487">
        <v>481</v>
      </c>
      <c r="B487">
        <v>0</v>
      </c>
      <c r="C487">
        <v>0</v>
      </c>
    </row>
    <row r="488" spans="1:3" x14ac:dyDescent="0.2">
      <c r="A488">
        <v>483</v>
      </c>
      <c r="B488">
        <v>0</v>
      </c>
      <c r="C488">
        <v>0</v>
      </c>
    </row>
    <row r="489" spans="1:3" x14ac:dyDescent="0.2">
      <c r="A489">
        <v>486</v>
      </c>
      <c r="B489">
        <v>0</v>
      </c>
      <c r="C489">
        <v>0</v>
      </c>
    </row>
    <row r="490" spans="1:3" x14ac:dyDescent="0.2">
      <c r="A490">
        <v>487</v>
      </c>
      <c r="B490">
        <v>0</v>
      </c>
      <c r="C490">
        <v>0</v>
      </c>
    </row>
    <row r="491" spans="1:3" x14ac:dyDescent="0.2">
      <c r="A491">
        <v>490</v>
      </c>
      <c r="B491">
        <v>2</v>
      </c>
      <c r="C491">
        <v>0.492791559213696</v>
      </c>
    </row>
    <row r="492" spans="1:3" x14ac:dyDescent="0.2">
      <c r="A492">
        <v>491</v>
      </c>
      <c r="B492">
        <v>3</v>
      </c>
      <c r="C492">
        <v>0.49001032062292271</v>
      </c>
    </row>
    <row r="493" spans="1:3" x14ac:dyDescent="0.2">
      <c r="A493">
        <v>492</v>
      </c>
      <c r="B493">
        <v>0</v>
      </c>
      <c r="C493">
        <v>0</v>
      </c>
    </row>
    <row r="494" spans="1:3" x14ac:dyDescent="0.2">
      <c r="A494">
        <v>493</v>
      </c>
      <c r="B494">
        <v>1</v>
      </c>
      <c r="C494">
        <v>0.106903450854341</v>
      </c>
    </row>
    <row r="495" spans="1:3" x14ac:dyDescent="0.2">
      <c r="A495">
        <v>494</v>
      </c>
      <c r="B495">
        <v>1</v>
      </c>
      <c r="C495">
        <v>0.208392332693694</v>
      </c>
    </row>
    <row r="496" spans="1:3" x14ac:dyDescent="0.2">
      <c r="A496">
        <v>495</v>
      </c>
      <c r="B496">
        <v>0</v>
      </c>
      <c r="C496">
        <v>0</v>
      </c>
    </row>
    <row r="497" spans="1:3" x14ac:dyDescent="0.2">
      <c r="A497">
        <v>496</v>
      </c>
      <c r="B497">
        <v>4</v>
      </c>
      <c r="C497">
        <v>0.64007521973278003</v>
      </c>
    </row>
    <row r="498" spans="1:3" x14ac:dyDescent="0.2">
      <c r="A498">
        <v>497</v>
      </c>
      <c r="B498">
        <v>0</v>
      </c>
      <c r="C498">
        <v>0</v>
      </c>
    </row>
    <row r="499" spans="1:3" x14ac:dyDescent="0.2">
      <c r="A499">
        <v>498</v>
      </c>
      <c r="B499">
        <v>0</v>
      </c>
      <c r="C499">
        <v>0</v>
      </c>
    </row>
    <row r="500" spans="1:3" x14ac:dyDescent="0.2">
      <c r="A500">
        <v>499</v>
      </c>
      <c r="B500">
        <v>1</v>
      </c>
      <c r="C500">
        <v>0.218087868249906</v>
      </c>
    </row>
    <row r="501" spans="1:3" x14ac:dyDescent="0.2">
      <c r="A501">
        <v>500</v>
      </c>
      <c r="B501">
        <v>2</v>
      </c>
      <c r="C501">
        <v>0.28202610837402298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489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bestFit="1" customWidth="1"/>
    <col min="11" max="11" width="15.83203125" bestFit="1" customWidth="1"/>
    <col min="12" max="12" width="16.83203125" bestFit="1" customWidth="1"/>
    <col min="13" max="13" width="23.1640625" bestFit="1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27</v>
      </c>
      <c r="E1" t="s">
        <v>25</v>
      </c>
      <c r="F1" t="s">
        <v>26</v>
      </c>
    </row>
    <row r="2" spans="1:6" x14ac:dyDescent="0.2">
      <c r="A2">
        <v>2</v>
      </c>
      <c r="B2" s="14" t="s">
        <v>133</v>
      </c>
      <c r="C2" s="1">
        <v>45644</v>
      </c>
      <c r="D2" s="14" t="s">
        <v>133</v>
      </c>
      <c r="E2">
        <v>9.7750153504012394E-2</v>
      </c>
      <c r="F2">
        <v>9.7750153504012394E-2</v>
      </c>
    </row>
    <row r="3" spans="1:6" x14ac:dyDescent="0.2">
      <c r="A3">
        <v>2</v>
      </c>
      <c r="B3" s="14" t="s">
        <v>250</v>
      </c>
      <c r="C3" s="1">
        <v>45539</v>
      </c>
      <c r="D3" s="14" t="s">
        <v>250</v>
      </c>
      <c r="E3">
        <v>0.458855245396317</v>
      </c>
      <c r="F3">
        <v>0.458855245396317</v>
      </c>
    </row>
    <row r="4" spans="1:6" x14ac:dyDescent="0.2">
      <c r="A4">
        <v>3</v>
      </c>
      <c r="B4" s="14" t="s">
        <v>312</v>
      </c>
      <c r="C4" s="1">
        <v>45391</v>
      </c>
      <c r="D4" s="14" t="s">
        <v>312</v>
      </c>
      <c r="E4">
        <v>2.5596358888877201E-2</v>
      </c>
      <c r="F4">
        <v>2.5596358888877201E-2</v>
      </c>
    </row>
    <row r="5" spans="1:6" x14ac:dyDescent="0.2">
      <c r="A5">
        <v>4</v>
      </c>
      <c r="B5" s="14" t="s">
        <v>134</v>
      </c>
      <c r="C5" s="1">
        <v>45552</v>
      </c>
      <c r="D5" s="14" t="s">
        <v>134</v>
      </c>
      <c r="E5">
        <v>5.1285890770752803E-2</v>
      </c>
      <c r="F5">
        <v>5.1285890770752803E-2</v>
      </c>
    </row>
    <row r="6" spans="1:6" x14ac:dyDescent="0.2">
      <c r="A6">
        <v>4</v>
      </c>
      <c r="B6" s="14" t="s">
        <v>135</v>
      </c>
      <c r="C6" s="1">
        <v>45320</v>
      </c>
      <c r="D6" s="14" t="s">
        <v>135</v>
      </c>
      <c r="E6">
        <v>0.35296023963948397</v>
      </c>
      <c r="F6">
        <v>0.35296023963948397</v>
      </c>
    </row>
    <row r="7" spans="1:6" x14ac:dyDescent="0.2">
      <c r="A7">
        <v>5</v>
      </c>
      <c r="B7" s="14" t="s">
        <v>136</v>
      </c>
      <c r="C7" s="1">
        <v>45553</v>
      </c>
      <c r="D7" s="14" t="s">
        <v>136</v>
      </c>
      <c r="E7">
        <v>0.216981589551034</v>
      </c>
      <c r="F7">
        <v>0.216981589551034</v>
      </c>
    </row>
    <row r="8" spans="1:6" x14ac:dyDescent="0.2">
      <c r="A8">
        <v>5</v>
      </c>
      <c r="B8" s="14" t="s">
        <v>137</v>
      </c>
      <c r="C8" s="1">
        <v>45515</v>
      </c>
      <c r="D8" s="14" t="s">
        <v>137</v>
      </c>
      <c r="E8">
        <v>0.262835252632523</v>
      </c>
      <c r="F8">
        <v>0.262835252632523</v>
      </c>
    </row>
    <row r="9" spans="1:6" x14ac:dyDescent="0.2">
      <c r="A9">
        <v>5</v>
      </c>
      <c r="B9" s="14" t="s">
        <v>138</v>
      </c>
      <c r="C9" s="1">
        <v>45495</v>
      </c>
      <c r="D9" s="14" t="s">
        <v>138</v>
      </c>
      <c r="E9">
        <v>7.7814916042950405E-2</v>
      </c>
      <c r="F9">
        <v>7.7814916042950405E-2</v>
      </c>
    </row>
    <row r="10" spans="1:6" x14ac:dyDescent="0.2">
      <c r="A10">
        <v>7</v>
      </c>
      <c r="B10" s="14" t="s">
        <v>313</v>
      </c>
      <c r="C10" s="1">
        <v>45475</v>
      </c>
      <c r="D10" s="14" t="s">
        <v>313</v>
      </c>
      <c r="E10">
        <v>0.41061580411658999</v>
      </c>
      <c r="F10">
        <v>0.41061580411658999</v>
      </c>
    </row>
    <row r="11" spans="1:6" x14ac:dyDescent="0.2">
      <c r="A11">
        <v>8</v>
      </c>
      <c r="B11" s="14" t="s">
        <v>139</v>
      </c>
      <c r="C11" s="1">
        <v>45635</v>
      </c>
      <c r="D11" s="14" t="s">
        <v>139</v>
      </c>
      <c r="E11">
        <v>0.24736993535466001</v>
      </c>
      <c r="F11">
        <v>0.24736993535466001</v>
      </c>
    </row>
    <row r="12" spans="1:6" x14ac:dyDescent="0.2">
      <c r="A12">
        <v>8</v>
      </c>
      <c r="B12" s="14" t="s">
        <v>140</v>
      </c>
      <c r="C12" s="1">
        <v>45358</v>
      </c>
      <c r="D12" s="14" t="s">
        <v>140</v>
      </c>
      <c r="E12">
        <v>9.1175879662151196E-2</v>
      </c>
      <c r="F12">
        <v>9.1175879662151196E-2</v>
      </c>
    </row>
    <row r="13" spans="1:6" x14ac:dyDescent="0.2">
      <c r="A13">
        <v>9</v>
      </c>
      <c r="B13" s="14" t="s">
        <v>251</v>
      </c>
      <c r="C13" s="1">
        <v>45425</v>
      </c>
      <c r="D13" s="14" t="s">
        <v>251</v>
      </c>
      <c r="E13">
        <v>0.18820243128675301</v>
      </c>
      <c r="F13">
        <v>0.18820243128675301</v>
      </c>
    </row>
    <row r="14" spans="1:6" x14ac:dyDescent="0.2">
      <c r="A14">
        <v>10</v>
      </c>
      <c r="B14" s="14" t="s">
        <v>314</v>
      </c>
      <c r="C14" s="1">
        <v>45531</v>
      </c>
      <c r="D14" s="14" t="s">
        <v>314</v>
      </c>
      <c r="E14">
        <v>2.1710237067861901E-3</v>
      </c>
      <c r="F14">
        <v>2.1710237067861901E-3</v>
      </c>
    </row>
    <row r="15" spans="1:6" x14ac:dyDescent="0.2">
      <c r="A15">
        <v>11</v>
      </c>
      <c r="B15" s="14" t="s">
        <v>141</v>
      </c>
      <c r="C15" s="1">
        <v>45391</v>
      </c>
      <c r="D15" s="14" t="s">
        <v>141</v>
      </c>
      <c r="E15">
        <v>5.9037460126752601E-2</v>
      </c>
      <c r="F15">
        <v>5.9037460126752601E-2</v>
      </c>
    </row>
    <row r="16" spans="1:6" x14ac:dyDescent="0.2">
      <c r="A16">
        <v>11</v>
      </c>
      <c r="B16" s="14" t="s">
        <v>142</v>
      </c>
      <c r="C16" s="1">
        <v>45396</v>
      </c>
      <c r="D16" s="14" t="s">
        <v>142</v>
      </c>
      <c r="E16">
        <v>0.108389748260627</v>
      </c>
      <c r="F16">
        <v>0.108389748260627</v>
      </c>
    </row>
    <row r="17" spans="1:16" x14ac:dyDescent="0.2">
      <c r="A17">
        <v>11</v>
      </c>
      <c r="B17" s="14" t="s">
        <v>315</v>
      </c>
      <c r="C17" s="1">
        <v>45572</v>
      </c>
      <c r="D17" s="14" t="s">
        <v>315</v>
      </c>
      <c r="E17">
        <v>0.30287240985541702</v>
      </c>
      <c r="F17">
        <v>0.30287240985541702</v>
      </c>
    </row>
    <row r="18" spans="1:16" x14ac:dyDescent="0.2">
      <c r="A18">
        <v>12</v>
      </c>
      <c r="B18" s="14" t="s">
        <v>316</v>
      </c>
      <c r="C18" s="1">
        <v>45471</v>
      </c>
      <c r="D18" s="14" t="s">
        <v>316</v>
      </c>
      <c r="E18">
        <v>0.204554453567526</v>
      </c>
      <c r="F18">
        <v>0.204554453567526</v>
      </c>
    </row>
    <row r="19" spans="1:16" x14ac:dyDescent="0.2">
      <c r="A19">
        <v>13</v>
      </c>
      <c r="B19" s="14" t="s">
        <v>317</v>
      </c>
      <c r="C19" s="1">
        <v>45532</v>
      </c>
      <c r="D19" s="14" t="s">
        <v>317</v>
      </c>
      <c r="E19">
        <v>0.15571806457147899</v>
      </c>
      <c r="F19">
        <v>0.15571806457147899</v>
      </c>
    </row>
    <row r="20" spans="1:16" x14ac:dyDescent="0.2">
      <c r="A20">
        <v>14</v>
      </c>
      <c r="B20" s="14" t="s">
        <v>318</v>
      </c>
      <c r="C20" s="1">
        <v>45338</v>
      </c>
      <c r="D20" s="14" t="s">
        <v>318</v>
      </c>
      <c r="E20">
        <v>0.25322483650766398</v>
      </c>
      <c r="F20">
        <v>0.25322483650766398</v>
      </c>
    </row>
    <row r="21" spans="1:16" x14ac:dyDescent="0.2">
      <c r="A21">
        <v>16</v>
      </c>
      <c r="B21" s="14" t="s">
        <v>252</v>
      </c>
      <c r="C21" s="1">
        <v>45594</v>
      </c>
      <c r="D21" s="14" t="s">
        <v>252</v>
      </c>
      <c r="E21">
        <v>0.29368745625744003</v>
      </c>
      <c r="F21">
        <v>0.29368745625744003</v>
      </c>
    </row>
    <row r="22" spans="1:16" x14ac:dyDescent="0.2">
      <c r="A22">
        <v>16</v>
      </c>
      <c r="B22" s="14" t="s">
        <v>253</v>
      </c>
      <c r="C22" s="1">
        <v>45498</v>
      </c>
      <c r="D22" s="14" t="s">
        <v>253</v>
      </c>
      <c r="E22">
        <v>7.9646940942862302E-2</v>
      </c>
      <c r="F22">
        <v>7.9646940942862302E-2</v>
      </c>
    </row>
    <row r="23" spans="1:16" x14ac:dyDescent="0.2">
      <c r="A23">
        <v>20</v>
      </c>
      <c r="B23" s="14" t="s">
        <v>143</v>
      </c>
      <c r="C23" s="1">
        <v>45493</v>
      </c>
      <c r="D23" s="14" t="s">
        <v>143</v>
      </c>
      <c r="E23">
        <v>0.22523490315536099</v>
      </c>
      <c r="F23">
        <v>0.22523490315536099</v>
      </c>
    </row>
    <row r="24" spans="1:16" x14ac:dyDescent="0.2">
      <c r="A24">
        <v>20</v>
      </c>
      <c r="B24" s="14" t="s">
        <v>319</v>
      </c>
      <c r="C24" s="1">
        <v>45456</v>
      </c>
      <c r="D24" s="14" t="s">
        <v>319</v>
      </c>
      <c r="E24">
        <v>0.17572999134033401</v>
      </c>
      <c r="F24">
        <v>0.17572999134033401</v>
      </c>
      <c r="P24" t="s">
        <v>76</v>
      </c>
    </row>
    <row r="25" spans="1:16" x14ac:dyDescent="0.2">
      <c r="A25">
        <v>20</v>
      </c>
      <c r="B25" s="14" t="s">
        <v>144</v>
      </c>
      <c r="C25" s="1">
        <v>45372</v>
      </c>
      <c r="D25" s="14" t="s">
        <v>144</v>
      </c>
      <c r="E25">
        <v>0.28682289021316298</v>
      </c>
      <c r="F25">
        <v>0.28682289021316298</v>
      </c>
    </row>
    <row r="26" spans="1:16" x14ac:dyDescent="0.2">
      <c r="A26">
        <v>21</v>
      </c>
      <c r="B26" s="14" t="s">
        <v>320</v>
      </c>
      <c r="C26" s="1">
        <v>45297</v>
      </c>
      <c r="D26" s="14" t="s">
        <v>320</v>
      </c>
      <c r="E26">
        <v>0.388394082577523</v>
      </c>
      <c r="F26">
        <v>0.388394082577523</v>
      </c>
    </row>
    <row r="27" spans="1:16" x14ac:dyDescent="0.2">
      <c r="A27">
        <v>21</v>
      </c>
      <c r="B27" s="14" t="s">
        <v>254</v>
      </c>
      <c r="C27" s="1">
        <v>45419</v>
      </c>
      <c r="D27" s="14" t="s">
        <v>254</v>
      </c>
      <c r="E27">
        <v>0.25671639383167599</v>
      </c>
      <c r="F27">
        <v>0.25671639383167599</v>
      </c>
    </row>
    <row r="28" spans="1:16" x14ac:dyDescent="0.2">
      <c r="A28">
        <v>22</v>
      </c>
      <c r="B28" s="14" t="s">
        <v>145</v>
      </c>
      <c r="C28" s="1">
        <v>45579</v>
      </c>
      <c r="D28" s="14" t="s">
        <v>145</v>
      </c>
      <c r="E28">
        <v>0.30571085635744899</v>
      </c>
      <c r="F28">
        <v>0.30571085635744899</v>
      </c>
    </row>
    <row r="29" spans="1:16" x14ac:dyDescent="0.2">
      <c r="A29">
        <v>23</v>
      </c>
      <c r="B29" s="14" t="s">
        <v>321</v>
      </c>
      <c r="C29" s="1">
        <v>45530</v>
      </c>
      <c r="D29" s="14" t="s">
        <v>321</v>
      </c>
      <c r="E29">
        <v>0.17439552653899501</v>
      </c>
      <c r="F29">
        <v>0.17439552653899501</v>
      </c>
    </row>
    <row r="30" spans="1:16" x14ac:dyDescent="0.2">
      <c r="A30">
        <v>24</v>
      </c>
      <c r="B30" s="14" t="s">
        <v>322</v>
      </c>
      <c r="C30" s="1">
        <v>45403</v>
      </c>
      <c r="D30" s="14" t="s">
        <v>322</v>
      </c>
      <c r="E30">
        <v>0.17071688261944201</v>
      </c>
      <c r="F30">
        <v>0.17071688261944201</v>
      </c>
    </row>
    <row r="31" spans="1:16" x14ac:dyDescent="0.2">
      <c r="A31">
        <v>24</v>
      </c>
      <c r="B31" s="14" t="s">
        <v>323</v>
      </c>
      <c r="C31" s="1">
        <v>45482</v>
      </c>
      <c r="D31" s="14" t="s">
        <v>323</v>
      </c>
      <c r="E31">
        <v>0.33426125164565801</v>
      </c>
      <c r="F31">
        <v>0.33426125164565801</v>
      </c>
    </row>
    <row r="32" spans="1:16" x14ac:dyDescent="0.2">
      <c r="A32">
        <v>24</v>
      </c>
      <c r="B32" s="14" t="s">
        <v>324</v>
      </c>
      <c r="C32" s="1">
        <v>45410</v>
      </c>
      <c r="D32" s="14" t="s">
        <v>324</v>
      </c>
      <c r="E32">
        <v>0.15583466893846301</v>
      </c>
      <c r="F32">
        <v>0.15583466893846301</v>
      </c>
    </row>
    <row r="33" spans="1:6" x14ac:dyDescent="0.2">
      <c r="A33">
        <v>24</v>
      </c>
      <c r="B33" s="14" t="s">
        <v>325</v>
      </c>
      <c r="C33" s="1">
        <v>45406</v>
      </c>
      <c r="D33" s="14" t="s">
        <v>325</v>
      </c>
      <c r="E33">
        <v>0.281345821695966</v>
      </c>
      <c r="F33">
        <v>0.281345821695966</v>
      </c>
    </row>
    <row r="34" spans="1:6" x14ac:dyDescent="0.2">
      <c r="A34">
        <v>25</v>
      </c>
      <c r="B34" s="14" t="s">
        <v>255</v>
      </c>
      <c r="C34" s="1">
        <v>45596</v>
      </c>
      <c r="D34" s="14" t="s">
        <v>255</v>
      </c>
      <c r="E34">
        <v>3.6142306767257097E-2</v>
      </c>
      <c r="F34">
        <v>3.6142306767257097E-2</v>
      </c>
    </row>
    <row r="35" spans="1:6" x14ac:dyDescent="0.2">
      <c r="A35">
        <v>26</v>
      </c>
      <c r="B35" s="14" t="s">
        <v>326</v>
      </c>
      <c r="C35" s="1">
        <v>45399</v>
      </c>
      <c r="D35" s="14" t="s">
        <v>326</v>
      </c>
      <c r="E35">
        <v>0.35796906492716601</v>
      </c>
      <c r="F35">
        <v>0.35796906492716601</v>
      </c>
    </row>
    <row r="36" spans="1:6" x14ac:dyDescent="0.2">
      <c r="A36">
        <v>27</v>
      </c>
      <c r="B36" s="14" t="s">
        <v>256</v>
      </c>
      <c r="C36" s="1">
        <v>45379</v>
      </c>
      <c r="D36" s="14" t="s">
        <v>256</v>
      </c>
      <c r="E36">
        <v>0.26043978602927498</v>
      </c>
      <c r="F36">
        <v>0.26043978602927498</v>
      </c>
    </row>
    <row r="37" spans="1:6" x14ac:dyDescent="0.2">
      <c r="A37">
        <v>28</v>
      </c>
      <c r="B37" s="14" t="s">
        <v>327</v>
      </c>
      <c r="C37" s="1">
        <v>45477</v>
      </c>
      <c r="D37" s="14" t="s">
        <v>327</v>
      </c>
      <c r="E37">
        <v>0.249795670859779</v>
      </c>
      <c r="F37">
        <v>0.249795670859779</v>
      </c>
    </row>
    <row r="38" spans="1:6" x14ac:dyDescent="0.2">
      <c r="A38">
        <v>31</v>
      </c>
      <c r="B38" s="14" t="s">
        <v>257</v>
      </c>
      <c r="C38" s="1">
        <v>45469</v>
      </c>
      <c r="D38" s="14" t="s">
        <v>257</v>
      </c>
      <c r="E38">
        <v>0.21471571865464201</v>
      </c>
      <c r="F38">
        <v>0.21471571865464201</v>
      </c>
    </row>
    <row r="39" spans="1:6" x14ac:dyDescent="0.2">
      <c r="A39">
        <v>31</v>
      </c>
      <c r="B39" s="14" t="s">
        <v>328</v>
      </c>
      <c r="C39" s="1">
        <v>45542</v>
      </c>
      <c r="D39" s="14" t="s">
        <v>328</v>
      </c>
      <c r="E39">
        <v>0.264041795158099</v>
      </c>
      <c r="F39">
        <v>0.264041795158099</v>
      </c>
    </row>
    <row r="40" spans="1:6" x14ac:dyDescent="0.2">
      <c r="A40">
        <v>31</v>
      </c>
      <c r="B40" s="14" t="s">
        <v>329</v>
      </c>
      <c r="C40" s="1">
        <v>45339</v>
      </c>
      <c r="D40" s="14" t="s">
        <v>329</v>
      </c>
      <c r="E40">
        <v>0.38588380833914299</v>
      </c>
      <c r="F40">
        <v>0.38588380833914299</v>
      </c>
    </row>
    <row r="41" spans="1:6" x14ac:dyDescent="0.2">
      <c r="A41">
        <v>32</v>
      </c>
      <c r="B41" s="14" t="s">
        <v>330</v>
      </c>
      <c r="C41" s="1">
        <v>45355</v>
      </c>
      <c r="D41" s="14" t="s">
        <v>330</v>
      </c>
      <c r="E41">
        <v>0.17742974400349101</v>
      </c>
      <c r="F41">
        <v>0.17742974400349101</v>
      </c>
    </row>
    <row r="42" spans="1:6" x14ac:dyDescent="0.2">
      <c r="A42">
        <v>32</v>
      </c>
      <c r="B42" s="14" t="s">
        <v>331</v>
      </c>
      <c r="C42" s="1">
        <v>45459</v>
      </c>
      <c r="D42" s="14" t="s">
        <v>331</v>
      </c>
      <c r="E42">
        <v>4.2634124156994198E-2</v>
      </c>
      <c r="F42">
        <v>4.2634124156994198E-2</v>
      </c>
    </row>
    <row r="43" spans="1:6" x14ac:dyDescent="0.2">
      <c r="A43">
        <v>33</v>
      </c>
      <c r="B43" s="14" t="s">
        <v>332</v>
      </c>
      <c r="C43" s="1">
        <v>45444</v>
      </c>
      <c r="D43" s="14" t="s">
        <v>332</v>
      </c>
      <c r="E43">
        <v>0.117068393562324</v>
      </c>
      <c r="F43">
        <v>0.117068393562324</v>
      </c>
    </row>
    <row r="44" spans="1:6" x14ac:dyDescent="0.2">
      <c r="A44">
        <v>34</v>
      </c>
      <c r="B44" s="14" t="s">
        <v>258</v>
      </c>
      <c r="C44" s="1">
        <v>45633</v>
      </c>
      <c r="D44" s="14" t="s">
        <v>258</v>
      </c>
      <c r="E44">
        <v>0.50842192375787199</v>
      </c>
      <c r="F44">
        <v>0.50842192375787199</v>
      </c>
    </row>
    <row r="45" spans="1:6" x14ac:dyDescent="0.2">
      <c r="A45">
        <v>34</v>
      </c>
      <c r="B45" s="14" t="s">
        <v>259</v>
      </c>
      <c r="C45" s="1">
        <v>45512</v>
      </c>
      <c r="D45" s="14" t="s">
        <v>259</v>
      </c>
      <c r="E45">
        <v>0.103562781039526</v>
      </c>
      <c r="F45">
        <v>0.103562781039526</v>
      </c>
    </row>
    <row r="46" spans="1:6" x14ac:dyDescent="0.2">
      <c r="A46">
        <v>36</v>
      </c>
      <c r="B46" s="14" t="s">
        <v>146</v>
      </c>
      <c r="C46" s="1">
        <v>45399</v>
      </c>
      <c r="D46" s="14" t="s">
        <v>146</v>
      </c>
      <c r="E46">
        <v>0.21286070986789801</v>
      </c>
      <c r="F46">
        <v>0.21286070986789801</v>
      </c>
    </row>
    <row r="47" spans="1:6" x14ac:dyDescent="0.2">
      <c r="A47">
        <v>37</v>
      </c>
      <c r="B47" s="14" t="s">
        <v>333</v>
      </c>
      <c r="C47" s="1">
        <v>45509</v>
      </c>
      <c r="D47" s="14" t="s">
        <v>333</v>
      </c>
      <c r="E47">
        <v>0.71594680036594904</v>
      </c>
      <c r="F47">
        <v>0.71594680036594904</v>
      </c>
    </row>
    <row r="48" spans="1:6" x14ac:dyDescent="0.2">
      <c r="A48">
        <v>37</v>
      </c>
      <c r="B48" s="14" t="s">
        <v>147</v>
      </c>
      <c r="C48" s="1">
        <v>45575</v>
      </c>
      <c r="D48" s="14" t="s">
        <v>147</v>
      </c>
      <c r="E48">
        <v>0.243744793938763</v>
      </c>
      <c r="F48">
        <v>0.243744793938763</v>
      </c>
    </row>
    <row r="49" spans="1:6" x14ac:dyDescent="0.2">
      <c r="A49">
        <v>42</v>
      </c>
      <c r="B49" s="14" t="s">
        <v>334</v>
      </c>
      <c r="C49" s="1">
        <v>45472</v>
      </c>
      <c r="D49" s="14" t="s">
        <v>334</v>
      </c>
      <c r="E49">
        <v>7.1454432308463503E-2</v>
      </c>
      <c r="F49">
        <v>7.1454432308463503E-2</v>
      </c>
    </row>
    <row r="50" spans="1:6" x14ac:dyDescent="0.2">
      <c r="A50">
        <v>43</v>
      </c>
      <c r="B50" s="14" t="s">
        <v>335</v>
      </c>
      <c r="C50" s="1">
        <v>45649</v>
      </c>
      <c r="D50" s="14" t="s">
        <v>335</v>
      </c>
      <c r="E50">
        <v>0.133541714392693</v>
      </c>
      <c r="F50">
        <v>0.133541714392693</v>
      </c>
    </row>
    <row r="51" spans="1:6" x14ac:dyDescent="0.2">
      <c r="A51">
        <v>44</v>
      </c>
      <c r="B51" s="14" t="s">
        <v>148</v>
      </c>
      <c r="C51" s="1">
        <v>45627</v>
      </c>
      <c r="D51" s="14" t="s">
        <v>148</v>
      </c>
      <c r="E51">
        <v>5.9731403161977503E-2</v>
      </c>
      <c r="F51">
        <v>5.9731403161977503E-2</v>
      </c>
    </row>
    <row r="52" spans="1:6" x14ac:dyDescent="0.2">
      <c r="A52">
        <v>48</v>
      </c>
      <c r="B52" s="14" t="s">
        <v>336</v>
      </c>
      <c r="C52" s="1">
        <v>45625</v>
      </c>
      <c r="D52" s="14" t="s">
        <v>336</v>
      </c>
      <c r="E52">
        <v>0.13145536059108001</v>
      </c>
      <c r="F52">
        <v>0.13145536059108001</v>
      </c>
    </row>
    <row r="53" spans="1:6" x14ac:dyDescent="0.2">
      <c r="A53">
        <v>50</v>
      </c>
      <c r="B53" s="14" t="s">
        <v>260</v>
      </c>
      <c r="C53" s="1">
        <v>45555</v>
      </c>
      <c r="D53" s="14" t="s">
        <v>260</v>
      </c>
      <c r="E53">
        <v>0.112798970622592</v>
      </c>
      <c r="F53">
        <v>0.112798970622592</v>
      </c>
    </row>
    <row r="54" spans="1:6" x14ac:dyDescent="0.2">
      <c r="A54">
        <v>50</v>
      </c>
      <c r="B54" s="14" t="s">
        <v>261</v>
      </c>
      <c r="C54" s="1">
        <v>45476</v>
      </c>
      <c r="D54" s="14" t="s">
        <v>261</v>
      </c>
      <c r="E54">
        <v>0.33304641915667099</v>
      </c>
      <c r="F54">
        <v>0.33304641915667099</v>
      </c>
    </row>
    <row r="55" spans="1:6" x14ac:dyDescent="0.2">
      <c r="A55">
        <v>52</v>
      </c>
      <c r="B55" s="14" t="s">
        <v>149</v>
      </c>
      <c r="C55" s="1">
        <v>45358</v>
      </c>
      <c r="D55" s="14" t="s">
        <v>149</v>
      </c>
      <c r="E55">
        <v>3.9234921673580801E-2</v>
      </c>
      <c r="F55">
        <v>3.9234921673580801E-2</v>
      </c>
    </row>
    <row r="56" spans="1:6" x14ac:dyDescent="0.2">
      <c r="A56">
        <v>53</v>
      </c>
      <c r="B56" s="14" t="s">
        <v>337</v>
      </c>
      <c r="C56" s="1">
        <v>45320</v>
      </c>
      <c r="D56" s="14" t="s">
        <v>337</v>
      </c>
      <c r="E56">
        <v>0.177621414716852</v>
      </c>
      <c r="F56">
        <v>0.177621414716852</v>
      </c>
    </row>
    <row r="57" spans="1:6" x14ac:dyDescent="0.2">
      <c r="A57">
        <v>53</v>
      </c>
      <c r="B57" s="14" t="s">
        <v>150</v>
      </c>
      <c r="C57" s="1">
        <v>45311</v>
      </c>
      <c r="D57" s="14" t="s">
        <v>150</v>
      </c>
      <c r="E57">
        <v>7.3836472158057401E-2</v>
      </c>
      <c r="F57">
        <v>7.3836472158057401E-2</v>
      </c>
    </row>
    <row r="58" spans="1:6" x14ac:dyDescent="0.2">
      <c r="A58">
        <v>55</v>
      </c>
      <c r="B58" s="14" t="s">
        <v>338</v>
      </c>
      <c r="C58" s="1">
        <v>45554</v>
      </c>
      <c r="D58" s="14" t="s">
        <v>338</v>
      </c>
      <c r="E58">
        <v>3.1047836650232199E-3</v>
      </c>
      <c r="F58">
        <v>3.1047836650232199E-3</v>
      </c>
    </row>
    <row r="59" spans="1:6" x14ac:dyDescent="0.2">
      <c r="A59">
        <v>58</v>
      </c>
      <c r="B59" s="14" t="s">
        <v>151</v>
      </c>
      <c r="C59" s="1">
        <v>45432</v>
      </c>
      <c r="D59" s="14" t="s">
        <v>151</v>
      </c>
      <c r="E59">
        <v>0.14851562040525701</v>
      </c>
      <c r="F59">
        <v>0.14851562040525701</v>
      </c>
    </row>
    <row r="60" spans="1:6" x14ac:dyDescent="0.2">
      <c r="A60">
        <v>58</v>
      </c>
      <c r="B60" s="14" t="s">
        <v>152</v>
      </c>
      <c r="C60" s="1">
        <v>45429</v>
      </c>
      <c r="D60" s="14" t="s">
        <v>152</v>
      </c>
      <c r="E60">
        <v>0.13342867073123699</v>
      </c>
      <c r="F60">
        <v>0.13342867073123699</v>
      </c>
    </row>
    <row r="61" spans="1:6" x14ac:dyDescent="0.2">
      <c r="A61">
        <v>59</v>
      </c>
      <c r="B61" s="14" t="s">
        <v>339</v>
      </c>
      <c r="C61" s="1">
        <v>45562</v>
      </c>
      <c r="D61" s="14" t="s">
        <v>339</v>
      </c>
      <c r="E61">
        <v>7.3948787709316399E-2</v>
      </c>
      <c r="F61">
        <v>7.3948787709316399E-2</v>
      </c>
    </row>
    <row r="62" spans="1:6" x14ac:dyDescent="0.2">
      <c r="A62">
        <v>59</v>
      </c>
      <c r="B62" s="14" t="s">
        <v>340</v>
      </c>
      <c r="C62" s="1">
        <v>45374</v>
      </c>
      <c r="D62" s="14" t="s">
        <v>340</v>
      </c>
      <c r="E62">
        <v>3.7285154494914902E-2</v>
      </c>
      <c r="F62">
        <v>3.7285154494914902E-2</v>
      </c>
    </row>
    <row r="63" spans="1:6" x14ac:dyDescent="0.2">
      <c r="A63">
        <v>60</v>
      </c>
      <c r="B63" s="14" t="s">
        <v>153</v>
      </c>
      <c r="C63" s="1">
        <v>45458</v>
      </c>
      <c r="D63" s="14" t="s">
        <v>153</v>
      </c>
      <c r="E63">
        <v>0.22126270168989801</v>
      </c>
      <c r="F63">
        <v>0.22126270168989801</v>
      </c>
    </row>
    <row r="64" spans="1:6" x14ac:dyDescent="0.2">
      <c r="A64">
        <v>61</v>
      </c>
      <c r="B64" s="14" t="s">
        <v>341</v>
      </c>
      <c r="C64" s="1">
        <v>45378</v>
      </c>
      <c r="D64" s="14" t="s">
        <v>341</v>
      </c>
      <c r="E64">
        <v>0.19910893140434399</v>
      </c>
      <c r="F64">
        <v>0.19910893140434399</v>
      </c>
    </row>
    <row r="65" spans="1:6" x14ac:dyDescent="0.2">
      <c r="A65">
        <v>63</v>
      </c>
      <c r="B65" s="14" t="s">
        <v>342</v>
      </c>
      <c r="C65" s="1">
        <v>45362</v>
      </c>
      <c r="D65" s="14" t="s">
        <v>342</v>
      </c>
      <c r="E65">
        <v>0.23358568921494799</v>
      </c>
      <c r="F65">
        <v>0.23358568921494799</v>
      </c>
    </row>
    <row r="66" spans="1:6" x14ac:dyDescent="0.2">
      <c r="A66">
        <v>65</v>
      </c>
      <c r="B66" s="14" t="s">
        <v>343</v>
      </c>
      <c r="C66" s="1">
        <v>45555</v>
      </c>
      <c r="D66" s="14" t="s">
        <v>343</v>
      </c>
      <c r="E66">
        <v>0.16284454725382899</v>
      </c>
      <c r="F66">
        <v>0.16284454725382899</v>
      </c>
    </row>
    <row r="67" spans="1:6" x14ac:dyDescent="0.2">
      <c r="A67">
        <v>65</v>
      </c>
      <c r="B67" s="14" t="s">
        <v>344</v>
      </c>
      <c r="C67" s="1">
        <v>45358</v>
      </c>
      <c r="D67" s="14" t="s">
        <v>344</v>
      </c>
      <c r="E67">
        <v>0.196675150730522</v>
      </c>
      <c r="F67">
        <v>0.196675150730522</v>
      </c>
    </row>
    <row r="68" spans="1:6" x14ac:dyDescent="0.2">
      <c r="A68">
        <v>66</v>
      </c>
      <c r="B68" s="14" t="s">
        <v>154</v>
      </c>
      <c r="C68" s="1">
        <v>45534</v>
      </c>
      <c r="D68" s="14" t="s">
        <v>154</v>
      </c>
      <c r="E68">
        <v>0.35448175121283299</v>
      </c>
      <c r="F68">
        <v>0.35448175121283299</v>
      </c>
    </row>
    <row r="69" spans="1:6" x14ac:dyDescent="0.2">
      <c r="A69">
        <v>67</v>
      </c>
      <c r="B69" s="14" t="s">
        <v>345</v>
      </c>
      <c r="C69" s="1">
        <v>45571</v>
      </c>
      <c r="D69" s="14" t="s">
        <v>345</v>
      </c>
      <c r="E69">
        <v>1.1803321686785301E-2</v>
      </c>
      <c r="F69">
        <v>1.1803321686785301E-2</v>
      </c>
    </row>
    <row r="70" spans="1:6" x14ac:dyDescent="0.2">
      <c r="A70">
        <v>67</v>
      </c>
      <c r="B70" s="14" t="s">
        <v>346</v>
      </c>
      <c r="C70" s="1">
        <v>45582</v>
      </c>
      <c r="D70" s="14" t="s">
        <v>346</v>
      </c>
      <c r="E70">
        <v>0.20020421517081199</v>
      </c>
      <c r="F70">
        <v>0.20020421517081199</v>
      </c>
    </row>
    <row r="71" spans="1:6" x14ac:dyDescent="0.2">
      <c r="A71">
        <v>68</v>
      </c>
      <c r="B71" s="14" t="s">
        <v>262</v>
      </c>
      <c r="C71" s="1">
        <v>45589</v>
      </c>
      <c r="D71" s="14" t="s">
        <v>262</v>
      </c>
      <c r="E71">
        <v>0.238353186852029</v>
      </c>
      <c r="F71">
        <v>0.238353186852029</v>
      </c>
    </row>
    <row r="72" spans="1:6" x14ac:dyDescent="0.2">
      <c r="A72">
        <v>68</v>
      </c>
      <c r="B72" s="14" t="s">
        <v>263</v>
      </c>
      <c r="C72" s="1">
        <v>45451</v>
      </c>
      <c r="D72" s="14" t="s">
        <v>263</v>
      </c>
      <c r="E72">
        <v>5.9823037408409399E-2</v>
      </c>
      <c r="F72">
        <v>5.9823037408409399E-2</v>
      </c>
    </row>
    <row r="73" spans="1:6" x14ac:dyDescent="0.2">
      <c r="A73">
        <v>69</v>
      </c>
      <c r="B73" s="14" t="s">
        <v>264</v>
      </c>
      <c r="C73" s="1">
        <v>45520</v>
      </c>
      <c r="D73" s="14" t="s">
        <v>264</v>
      </c>
      <c r="E73">
        <v>0.14371438213728499</v>
      </c>
      <c r="F73">
        <v>0.14371438213728499</v>
      </c>
    </row>
    <row r="74" spans="1:6" x14ac:dyDescent="0.2">
      <c r="A74">
        <v>69</v>
      </c>
      <c r="B74" s="14" t="s">
        <v>155</v>
      </c>
      <c r="C74" s="1">
        <v>45656</v>
      </c>
      <c r="D74" s="14" t="s">
        <v>155</v>
      </c>
      <c r="E74">
        <v>0.29038628525315902</v>
      </c>
      <c r="F74">
        <v>0.29038628525315902</v>
      </c>
    </row>
    <row r="75" spans="1:6" x14ac:dyDescent="0.2">
      <c r="A75">
        <v>70</v>
      </c>
      <c r="B75" s="14" t="s">
        <v>156</v>
      </c>
      <c r="C75" s="1">
        <v>45518</v>
      </c>
      <c r="D75" s="14" t="s">
        <v>156</v>
      </c>
      <c r="E75">
        <v>0.111016153532811</v>
      </c>
      <c r="F75">
        <v>0.111016153532811</v>
      </c>
    </row>
    <row r="76" spans="1:6" x14ac:dyDescent="0.2">
      <c r="A76">
        <v>71</v>
      </c>
      <c r="B76" s="14" t="s">
        <v>347</v>
      </c>
      <c r="C76" s="1">
        <v>45534</v>
      </c>
      <c r="D76" s="14" t="s">
        <v>347</v>
      </c>
      <c r="E76">
        <v>1.25495297394771E-2</v>
      </c>
      <c r="F76">
        <v>1.25495297394771E-2</v>
      </c>
    </row>
    <row r="77" spans="1:6" x14ac:dyDescent="0.2">
      <c r="A77">
        <v>71</v>
      </c>
      <c r="B77" s="14" t="s">
        <v>348</v>
      </c>
      <c r="C77" s="1">
        <v>45556</v>
      </c>
      <c r="D77" s="14" t="s">
        <v>348</v>
      </c>
      <c r="E77">
        <v>0.18105624159229899</v>
      </c>
      <c r="F77">
        <v>0.18105624159229899</v>
      </c>
    </row>
    <row r="78" spans="1:6" x14ac:dyDescent="0.2">
      <c r="A78">
        <v>72</v>
      </c>
      <c r="B78" s="14" t="s">
        <v>157</v>
      </c>
      <c r="C78" s="1">
        <v>45403</v>
      </c>
      <c r="D78" s="14" t="s">
        <v>157</v>
      </c>
      <c r="E78">
        <v>0.13865013256837699</v>
      </c>
      <c r="F78">
        <v>0.13865013256837699</v>
      </c>
    </row>
    <row r="79" spans="1:6" x14ac:dyDescent="0.2">
      <c r="A79">
        <v>73</v>
      </c>
      <c r="B79" s="14" t="s">
        <v>349</v>
      </c>
      <c r="C79" s="1">
        <v>45568</v>
      </c>
      <c r="D79" s="14" t="s">
        <v>349</v>
      </c>
      <c r="E79">
        <v>0.15653910249819</v>
      </c>
      <c r="F79">
        <v>0.15653910249819</v>
      </c>
    </row>
    <row r="80" spans="1:6" x14ac:dyDescent="0.2">
      <c r="A80">
        <v>75</v>
      </c>
      <c r="B80" s="14" t="s">
        <v>350</v>
      </c>
      <c r="C80" s="1">
        <v>45539</v>
      </c>
      <c r="D80" s="14" t="s">
        <v>350</v>
      </c>
      <c r="E80">
        <v>0.13039070358205601</v>
      </c>
      <c r="F80">
        <v>0.13039070358205601</v>
      </c>
    </row>
    <row r="81" spans="1:6" x14ac:dyDescent="0.2">
      <c r="A81">
        <v>77</v>
      </c>
      <c r="B81" s="14" t="s">
        <v>265</v>
      </c>
      <c r="C81" s="1">
        <v>45295</v>
      </c>
      <c r="D81" s="14" t="s">
        <v>265</v>
      </c>
      <c r="E81">
        <v>7.9908681222880196E-2</v>
      </c>
      <c r="F81">
        <v>7.9908681222880196E-2</v>
      </c>
    </row>
    <row r="82" spans="1:6" x14ac:dyDescent="0.2">
      <c r="A82">
        <v>78</v>
      </c>
      <c r="B82" s="14" t="s">
        <v>158</v>
      </c>
      <c r="C82" s="1">
        <v>45430</v>
      </c>
      <c r="D82" s="14" t="s">
        <v>158</v>
      </c>
      <c r="E82">
        <v>0.114561779316934</v>
      </c>
      <c r="F82">
        <v>0.114561779316934</v>
      </c>
    </row>
    <row r="83" spans="1:6" x14ac:dyDescent="0.2">
      <c r="A83">
        <v>82</v>
      </c>
      <c r="B83" s="14" t="s">
        <v>159</v>
      </c>
      <c r="C83" s="1">
        <v>45622</v>
      </c>
      <c r="D83" s="14" t="s">
        <v>159</v>
      </c>
      <c r="E83">
        <v>0.31850781056713101</v>
      </c>
      <c r="F83">
        <v>0.31850781056713101</v>
      </c>
    </row>
    <row r="84" spans="1:6" x14ac:dyDescent="0.2">
      <c r="A84">
        <v>83</v>
      </c>
      <c r="B84" s="14" t="s">
        <v>351</v>
      </c>
      <c r="C84" s="1">
        <v>45376</v>
      </c>
      <c r="D84" s="14" t="s">
        <v>351</v>
      </c>
      <c r="E84">
        <v>4.6274800223371902E-2</v>
      </c>
      <c r="F84">
        <v>4.6274800223371902E-2</v>
      </c>
    </row>
    <row r="85" spans="1:6" x14ac:dyDescent="0.2">
      <c r="A85">
        <v>84</v>
      </c>
      <c r="B85" s="14" t="s">
        <v>352</v>
      </c>
      <c r="C85" s="1">
        <v>45389</v>
      </c>
      <c r="D85" s="14" t="s">
        <v>352</v>
      </c>
      <c r="E85">
        <v>6.4911409671528503E-2</v>
      </c>
      <c r="F85">
        <v>6.4911409671528503E-2</v>
      </c>
    </row>
    <row r="86" spans="1:6" x14ac:dyDescent="0.2">
      <c r="A86">
        <v>84</v>
      </c>
      <c r="B86" s="14" t="s">
        <v>160</v>
      </c>
      <c r="C86" s="1">
        <v>45349</v>
      </c>
      <c r="D86" s="14" t="s">
        <v>160</v>
      </c>
      <c r="E86">
        <v>0.15533464868299199</v>
      </c>
      <c r="F86">
        <v>0.15533464868299199</v>
      </c>
    </row>
    <row r="87" spans="1:6" x14ac:dyDescent="0.2">
      <c r="A87">
        <v>86</v>
      </c>
      <c r="B87" s="14" t="s">
        <v>266</v>
      </c>
      <c r="C87" s="1">
        <v>45304</v>
      </c>
      <c r="D87" s="14" t="s">
        <v>266</v>
      </c>
      <c r="E87">
        <v>0.20477016945738599</v>
      </c>
      <c r="F87">
        <v>0.20477016945738599</v>
      </c>
    </row>
    <row r="88" spans="1:6" x14ac:dyDescent="0.2">
      <c r="A88">
        <v>87</v>
      </c>
      <c r="B88" s="14" t="s">
        <v>353</v>
      </c>
      <c r="C88" s="1">
        <v>45619</v>
      </c>
      <c r="D88" s="14" t="s">
        <v>353</v>
      </c>
      <c r="E88">
        <v>0.16408938955420199</v>
      </c>
      <c r="F88">
        <v>0.16408938955420199</v>
      </c>
    </row>
    <row r="89" spans="1:6" x14ac:dyDescent="0.2">
      <c r="A89">
        <v>87</v>
      </c>
      <c r="B89" s="14" t="s">
        <v>161</v>
      </c>
      <c r="C89" s="1">
        <v>45649</v>
      </c>
      <c r="D89" s="14" t="s">
        <v>161</v>
      </c>
      <c r="E89">
        <v>0.27852826775010198</v>
      </c>
      <c r="F89">
        <v>0.27852826775010198</v>
      </c>
    </row>
    <row r="90" spans="1:6" x14ac:dyDescent="0.2">
      <c r="A90">
        <v>87</v>
      </c>
      <c r="B90" s="14" t="s">
        <v>162</v>
      </c>
      <c r="C90" s="1">
        <v>45525</v>
      </c>
      <c r="D90" s="14" t="s">
        <v>162</v>
      </c>
      <c r="E90">
        <v>0.13025882382804099</v>
      </c>
      <c r="F90">
        <v>0.13025882382804099</v>
      </c>
    </row>
    <row r="91" spans="1:6" x14ac:dyDescent="0.2">
      <c r="A91">
        <v>87</v>
      </c>
      <c r="B91" s="14" t="s">
        <v>163</v>
      </c>
      <c r="C91" s="1">
        <v>45308</v>
      </c>
      <c r="D91" s="14" t="s">
        <v>163</v>
      </c>
      <c r="E91">
        <v>2.00956302435496E-2</v>
      </c>
      <c r="F91">
        <v>2.00956302435496E-2</v>
      </c>
    </row>
    <row r="92" spans="1:6" x14ac:dyDescent="0.2">
      <c r="A92">
        <v>88</v>
      </c>
      <c r="B92" s="14" t="s">
        <v>354</v>
      </c>
      <c r="C92" s="1">
        <v>45532</v>
      </c>
      <c r="D92" s="14" t="s">
        <v>354</v>
      </c>
      <c r="E92">
        <v>0.15359026129202699</v>
      </c>
      <c r="F92">
        <v>0.15359026129202699</v>
      </c>
    </row>
    <row r="93" spans="1:6" x14ac:dyDescent="0.2">
      <c r="A93">
        <v>88</v>
      </c>
      <c r="B93" s="14" t="s">
        <v>164</v>
      </c>
      <c r="C93" s="1">
        <v>45562</v>
      </c>
      <c r="D93" s="14" t="s">
        <v>164</v>
      </c>
      <c r="E93">
        <v>0.127686771732027</v>
      </c>
      <c r="F93">
        <v>0.127686771732027</v>
      </c>
    </row>
    <row r="94" spans="1:6" x14ac:dyDescent="0.2">
      <c r="A94">
        <v>89</v>
      </c>
      <c r="B94" s="14" t="s">
        <v>267</v>
      </c>
      <c r="C94" s="1">
        <v>45500</v>
      </c>
      <c r="D94" s="14" t="s">
        <v>267</v>
      </c>
      <c r="E94">
        <v>0.25231644326089397</v>
      </c>
      <c r="F94">
        <v>0.25231644326089397</v>
      </c>
    </row>
    <row r="95" spans="1:6" x14ac:dyDescent="0.2">
      <c r="A95">
        <v>89</v>
      </c>
      <c r="B95" s="14" t="s">
        <v>268</v>
      </c>
      <c r="C95" s="1">
        <v>45324</v>
      </c>
      <c r="D95" s="14" t="s">
        <v>268</v>
      </c>
      <c r="E95">
        <v>0.16021564296812599</v>
      </c>
      <c r="F95">
        <v>0.16021564296812599</v>
      </c>
    </row>
    <row r="96" spans="1:6" x14ac:dyDescent="0.2">
      <c r="A96">
        <v>92</v>
      </c>
      <c r="B96" s="14" t="s">
        <v>355</v>
      </c>
      <c r="C96" s="1">
        <v>45638</v>
      </c>
      <c r="D96" s="14" t="s">
        <v>355</v>
      </c>
      <c r="E96">
        <v>6.6821897260277596E-2</v>
      </c>
      <c r="F96">
        <v>6.6821897260277596E-2</v>
      </c>
    </row>
    <row r="97" spans="1:6" x14ac:dyDescent="0.2">
      <c r="A97">
        <v>94</v>
      </c>
      <c r="B97" s="14" t="s">
        <v>356</v>
      </c>
      <c r="C97" s="1">
        <v>45344</v>
      </c>
      <c r="D97" s="14" t="s">
        <v>356</v>
      </c>
      <c r="E97">
        <v>0.17306539521351999</v>
      </c>
      <c r="F97">
        <v>0.17306539521351999</v>
      </c>
    </row>
    <row r="98" spans="1:6" x14ac:dyDescent="0.2">
      <c r="A98">
        <v>97</v>
      </c>
      <c r="B98" s="14" t="s">
        <v>357</v>
      </c>
      <c r="C98" s="1">
        <v>45538</v>
      </c>
      <c r="D98" s="14" t="s">
        <v>357</v>
      </c>
      <c r="E98">
        <v>0.15355455457603301</v>
      </c>
      <c r="F98">
        <v>0.15355455457603301</v>
      </c>
    </row>
    <row r="99" spans="1:6" x14ac:dyDescent="0.2">
      <c r="A99">
        <v>97</v>
      </c>
      <c r="B99" s="14" t="s">
        <v>165</v>
      </c>
      <c r="C99" s="1">
        <v>45309</v>
      </c>
      <c r="D99" s="14" t="s">
        <v>165</v>
      </c>
      <c r="E99">
        <v>0.122126085136939</v>
      </c>
      <c r="F99">
        <v>0.122126085136939</v>
      </c>
    </row>
    <row r="100" spans="1:6" x14ac:dyDescent="0.2">
      <c r="A100">
        <v>99</v>
      </c>
      <c r="B100" s="14" t="s">
        <v>269</v>
      </c>
      <c r="C100" s="1">
        <v>45437</v>
      </c>
      <c r="D100" s="14" t="s">
        <v>269</v>
      </c>
      <c r="E100">
        <v>0.24302346111838199</v>
      </c>
      <c r="F100">
        <v>0.24302346111838199</v>
      </c>
    </row>
    <row r="101" spans="1:6" x14ac:dyDescent="0.2">
      <c r="A101">
        <v>100</v>
      </c>
      <c r="B101" s="14" t="s">
        <v>166</v>
      </c>
      <c r="C101" s="1">
        <v>45646</v>
      </c>
      <c r="D101" s="14" t="s">
        <v>166</v>
      </c>
      <c r="E101">
        <v>0.15098675255563501</v>
      </c>
      <c r="F101">
        <v>0.15098675255563501</v>
      </c>
    </row>
    <row r="102" spans="1:6" x14ac:dyDescent="0.2">
      <c r="A102">
        <v>101</v>
      </c>
      <c r="B102" s="14" t="s">
        <v>167</v>
      </c>
      <c r="C102" s="1">
        <v>45630</v>
      </c>
      <c r="D102" s="14" t="s">
        <v>167</v>
      </c>
      <c r="E102">
        <v>0.154279728031508</v>
      </c>
      <c r="F102">
        <v>0.154279728031508</v>
      </c>
    </row>
    <row r="103" spans="1:6" x14ac:dyDescent="0.2">
      <c r="A103">
        <v>103</v>
      </c>
      <c r="B103" s="14" t="s">
        <v>168</v>
      </c>
      <c r="C103" s="1">
        <v>45549</v>
      </c>
      <c r="D103" s="14" t="s">
        <v>168</v>
      </c>
      <c r="E103">
        <v>0.29696290717306001</v>
      </c>
      <c r="F103">
        <v>0.29696290717306001</v>
      </c>
    </row>
    <row r="104" spans="1:6" x14ac:dyDescent="0.2">
      <c r="A104">
        <v>104</v>
      </c>
      <c r="B104" s="14" t="s">
        <v>358</v>
      </c>
      <c r="C104" s="1">
        <v>45434</v>
      </c>
      <c r="D104" s="14" t="s">
        <v>358</v>
      </c>
      <c r="E104">
        <v>7.70234706117017E-2</v>
      </c>
      <c r="F104">
        <v>7.70234706117017E-2</v>
      </c>
    </row>
    <row r="105" spans="1:6" x14ac:dyDescent="0.2">
      <c r="A105">
        <v>104</v>
      </c>
      <c r="B105" s="14" t="s">
        <v>359</v>
      </c>
      <c r="C105" s="1">
        <v>45525</v>
      </c>
      <c r="D105" s="14" t="s">
        <v>359</v>
      </c>
      <c r="E105">
        <v>9.8213941854022005E-2</v>
      </c>
      <c r="F105">
        <v>9.8213941854022005E-2</v>
      </c>
    </row>
    <row r="106" spans="1:6" x14ac:dyDescent="0.2">
      <c r="A106">
        <v>104</v>
      </c>
      <c r="B106" s="14" t="s">
        <v>360</v>
      </c>
      <c r="C106" s="1">
        <v>45394</v>
      </c>
      <c r="D106" s="14" t="s">
        <v>360</v>
      </c>
      <c r="E106">
        <v>8.9171110852860502E-2</v>
      </c>
      <c r="F106">
        <v>8.9171110852860502E-2</v>
      </c>
    </row>
    <row r="107" spans="1:6" x14ac:dyDescent="0.2">
      <c r="A107">
        <v>105</v>
      </c>
      <c r="B107" s="14" t="s">
        <v>361</v>
      </c>
      <c r="C107" s="1">
        <v>45300</v>
      </c>
      <c r="D107" s="14" t="s">
        <v>361</v>
      </c>
      <c r="E107">
        <v>0.45550765080717698</v>
      </c>
      <c r="F107">
        <v>0.45550765080717698</v>
      </c>
    </row>
    <row r="108" spans="1:6" x14ac:dyDescent="0.2">
      <c r="A108">
        <v>106</v>
      </c>
      <c r="B108" s="14" t="s">
        <v>362</v>
      </c>
      <c r="C108" s="1">
        <v>45331</v>
      </c>
      <c r="D108" s="14" t="s">
        <v>362</v>
      </c>
      <c r="E108">
        <v>0.38230736537578902</v>
      </c>
      <c r="F108">
        <v>0.38230736537578902</v>
      </c>
    </row>
    <row r="109" spans="1:6" x14ac:dyDescent="0.2">
      <c r="A109">
        <v>106</v>
      </c>
      <c r="B109" s="14" t="s">
        <v>169</v>
      </c>
      <c r="C109" s="1">
        <v>45439</v>
      </c>
      <c r="D109" s="14" t="s">
        <v>169</v>
      </c>
      <c r="E109">
        <v>2.2298361763258799E-2</v>
      </c>
      <c r="F109">
        <v>2.2298361763258799E-2</v>
      </c>
    </row>
    <row r="110" spans="1:6" x14ac:dyDescent="0.2">
      <c r="A110">
        <v>107</v>
      </c>
      <c r="B110" s="14" t="s">
        <v>363</v>
      </c>
      <c r="C110" s="1">
        <v>45639</v>
      </c>
      <c r="D110" s="14" t="s">
        <v>363</v>
      </c>
      <c r="E110">
        <v>7.0158509705097502E-2</v>
      </c>
      <c r="F110">
        <v>7.0158509705097502E-2</v>
      </c>
    </row>
    <row r="111" spans="1:6" x14ac:dyDescent="0.2">
      <c r="A111">
        <v>107</v>
      </c>
      <c r="B111" s="14" t="s">
        <v>364</v>
      </c>
      <c r="C111" s="1">
        <v>45358</v>
      </c>
      <c r="D111" s="14" t="s">
        <v>364</v>
      </c>
      <c r="E111">
        <v>7.5274455642606597E-2</v>
      </c>
      <c r="F111">
        <v>7.5274455642606597E-2</v>
      </c>
    </row>
    <row r="112" spans="1:6" x14ac:dyDescent="0.2">
      <c r="A112">
        <v>108</v>
      </c>
      <c r="B112" s="14" t="s">
        <v>270</v>
      </c>
      <c r="C112" s="1">
        <v>45330</v>
      </c>
      <c r="D112" s="14" t="s">
        <v>270</v>
      </c>
      <c r="E112">
        <v>4.2154459147081901E-2</v>
      </c>
      <c r="F112">
        <v>4.2154459147081901E-2</v>
      </c>
    </row>
    <row r="113" spans="1:6" x14ac:dyDescent="0.2">
      <c r="A113">
        <v>109</v>
      </c>
      <c r="B113" s="14" t="s">
        <v>170</v>
      </c>
      <c r="C113" s="1">
        <v>45635</v>
      </c>
      <c r="D113" s="14" t="s">
        <v>170</v>
      </c>
      <c r="E113">
        <v>0.1551321688667</v>
      </c>
      <c r="F113">
        <v>0.1551321688667</v>
      </c>
    </row>
    <row r="114" spans="1:6" x14ac:dyDescent="0.2">
      <c r="A114">
        <v>111</v>
      </c>
      <c r="B114" s="14" t="s">
        <v>365</v>
      </c>
      <c r="C114" s="1">
        <v>45444</v>
      </c>
      <c r="D114" s="14" t="s">
        <v>365</v>
      </c>
      <c r="E114">
        <v>0.20951506245026699</v>
      </c>
      <c r="F114">
        <v>0.20951506245026699</v>
      </c>
    </row>
    <row r="115" spans="1:6" x14ac:dyDescent="0.2">
      <c r="A115">
        <v>111</v>
      </c>
      <c r="B115" s="14" t="s">
        <v>366</v>
      </c>
      <c r="C115" s="1">
        <v>45333</v>
      </c>
      <c r="D115" s="14" t="s">
        <v>366</v>
      </c>
      <c r="E115">
        <v>0.10483637120534101</v>
      </c>
      <c r="F115">
        <v>0.10483637120534101</v>
      </c>
    </row>
    <row r="116" spans="1:6" x14ac:dyDescent="0.2">
      <c r="A116">
        <v>111</v>
      </c>
      <c r="B116" s="14" t="s">
        <v>367</v>
      </c>
      <c r="C116" s="1">
        <v>45335</v>
      </c>
      <c r="D116" s="14" t="s">
        <v>367</v>
      </c>
      <c r="E116">
        <v>7.4050355837289E-2</v>
      </c>
      <c r="F116">
        <v>7.4050355837289E-2</v>
      </c>
    </row>
    <row r="117" spans="1:6" x14ac:dyDescent="0.2">
      <c r="A117">
        <v>114</v>
      </c>
      <c r="B117" s="14" t="s">
        <v>171</v>
      </c>
      <c r="C117" s="1">
        <v>45641</v>
      </c>
      <c r="D117" s="14" t="s">
        <v>171</v>
      </c>
      <c r="E117">
        <v>0.17528185828339601</v>
      </c>
      <c r="F117">
        <v>0.17528185828339601</v>
      </c>
    </row>
    <row r="118" spans="1:6" x14ac:dyDescent="0.2">
      <c r="A118">
        <v>114</v>
      </c>
      <c r="B118" s="14" t="s">
        <v>172</v>
      </c>
      <c r="C118" s="1">
        <v>45605</v>
      </c>
      <c r="D118" s="14" t="s">
        <v>172</v>
      </c>
      <c r="E118">
        <v>4.2299992321337403E-2</v>
      </c>
      <c r="F118">
        <v>4.2299992321337403E-2</v>
      </c>
    </row>
    <row r="119" spans="1:6" x14ac:dyDescent="0.2">
      <c r="A119">
        <v>114</v>
      </c>
      <c r="B119" s="14" t="s">
        <v>271</v>
      </c>
      <c r="C119" s="1">
        <v>45508</v>
      </c>
      <c r="D119" s="14" t="s">
        <v>271</v>
      </c>
      <c r="E119">
        <v>0.22162562794717799</v>
      </c>
      <c r="F119">
        <v>0.22162562794717799</v>
      </c>
    </row>
    <row r="120" spans="1:6" x14ac:dyDescent="0.2">
      <c r="A120">
        <v>115</v>
      </c>
      <c r="B120" s="14" t="s">
        <v>368</v>
      </c>
      <c r="C120" s="1">
        <v>45347</v>
      </c>
      <c r="D120" s="14" t="s">
        <v>368</v>
      </c>
      <c r="E120">
        <v>0.279181372033032</v>
      </c>
      <c r="F120">
        <v>0.279181372033032</v>
      </c>
    </row>
    <row r="121" spans="1:6" x14ac:dyDescent="0.2">
      <c r="A121">
        <v>117</v>
      </c>
      <c r="B121" s="14" t="s">
        <v>369</v>
      </c>
      <c r="C121" s="1">
        <v>45390</v>
      </c>
      <c r="D121" s="14" t="s">
        <v>369</v>
      </c>
      <c r="E121">
        <v>6.0672895888083098E-2</v>
      </c>
      <c r="F121">
        <v>6.0672895888083098E-2</v>
      </c>
    </row>
    <row r="122" spans="1:6" x14ac:dyDescent="0.2">
      <c r="A122">
        <v>118</v>
      </c>
      <c r="B122" s="14" t="s">
        <v>173</v>
      </c>
      <c r="C122" s="1">
        <v>45308</v>
      </c>
      <c r="D122" s="14" t="s">
        <v>173</v>
      </c>
      <c r="E122">
        <v>0.17253272277899601</v>
      </c>
      <c r="F122">
        <v>0.17253272277899601</v>
      </c>
    </row>
    <row r="123" spans="1:6" x14ac:dyDescent="0.2">
      <c r="A123">
        <v>118</v>
      </c>
      <c r="B123" s="14" t="s">
        <v>370</v>
      </c>
      <c r="C123" s="1">
        <v>45428</v>
      </c>
      <c r="D123" s="14" t="s">
        <v>370</v>
      </c>
      <c r="E123">
        <v>0.18213824947999899</v>
      </c>
      <c r="F123">
        <v>0.18213824947999899</v>
      </c>
    </row>
    <row r="124" spans="1:6" x14ac:dyDescent="0.2">
      <c r="A124">
        <v>118</v>
      </c>
      <c r="B124" s="14" t="s">
        <v>272</v>
      </c>
      <c r="C124" s="1">
        <v>45454</v>
      </c>
      <c r="D124" s="14" t="s">
        <v>272</v>
      </c>
      <c r="E124">
        <v>6.3078845787283594E-2</v>
      </c>
      <c r="F124">
        <v>6.3078845787283594E-2</v>
      </c>
    </row>
    <row r="125" spans="1:6" x14ac:dyDescent="0.2">
      <c r="A125">
        <v>119</v>
      </c>
      <c r="B125" s="14" t="s">
        <v>371</v>
      </c>
      <c r="C125" s="1">
        <v>45476</v>
      </c>
      <c r="D125" s="14" t="s">
        <v>371</v>
      </c>
      <c r="E125">
        <v>6.1491797528858902E-2</v>
      </c>
      <c r="F125">
        <v>6.1491797528858902E-2</v>
      </c>
    </row>
    <row r="126" spans="1:6" x14ac:dyDescent="0.2">
      <c r="A126">
        <v>120</v>
      </c>
      <c r="B126" s="14" t="s">
        <v>372</v>
      </c>
      <c r="C126" s="1">
        <v>45646</v>
      </c>
      <c r="D126" s="14" t="s">
        <v>372</v>
      </c>
      <c r="E126">
        <v>4.1200487578387797E-2</v>
      </c>
      <c r="F126">
        <v>4.1200487578387797E-2</v>
      </c>
    </row>
    <row r="127" spans="1:6" x14ac:dyDescent="0.2">
      <c r="A127">
        <v>121</v>
      </c>
      <c r="B127" s="14" t="s">
        <v>78</v>
      </c>
      <c r="C127" s="1">
        <v>45317</v>
      </c>
      <c r="D127" s="14" t="s">
        <v>78</v>
      </c>
      <c r="E127">
        <v>0.16421729579928901</v>
      </c>
      <c r="F127">
        <v>0.16421729579928901</v>
      </c>
    </row>
    <row r="128" spans="1:6" x14ac:dyDescent="0.2">
      <c r="A128">
        <v>125</v>
      </c>
      <c r="B128" s="14" t="s">
        <v>373</v>
      </c>
      <c r="C128" s="1">
        <v>45319</v>
      </c>
      <c r="D128" s="14" t="s">
        <v>373</v>
      </c>
      <c r="E128">
        <v>0.12257428072182799</v>
      </c>
      <c r="F128">
        <v>0.12257428072182799</v>
      </c>
    </row>
    <row r="129" spans="1:6" x14ac:dyDescent="0.2">
      <c r="A129">
        <v>126</v>
      </c>
      <c r="B129" s="14" t="s">
        <v>100</v>
      </c>
      <c r="C129" s="1">
        <v>45384</v>
      </c>
      <c r="D129" s="14" t="s">
        <v>100</v>
      </c>
      <c r="E129">
        <v>0.42206667201291398</v>
      </c>
      <c r="F129">
        <v>0.42206667201291398</v>
      </c>
    </row>
    <row r="130" spans="1:6" x14ac:dyDescent="0.2">
      <c r="A130">
        <v>126</v>
      </c>
      <c r="B130" s="14" t="s">
        <v>174</v>
      </c>
      <c r="C130" s="1">
        <v>45560</v>
      </c>
      <c r="D130" s="14" t="s">
        <v>174</v>
      </c>
      <c r="E130">
        <v>0.28216059921827802</v>
      </c>
      <c r="F130">
        <v>0.28216059921827802</v>
      </c>
    </row>
    <row r="131" spans="1:6" x14ac:dyDescent="0.2">
      <c r="A131">
        <v>126</v>
      </c>
      <c r="B131" s="14" t="s">
        <v>175</v>
      </c>
      <c r="C131" s="1">
        <v>45496</v>
      </c>
      <c r="D131" s="14" t="s">
        <v>175</v>
      </c>
      <c r="E131">
        <v>0.13333580975269599</v>
      </c>
      <c r="F131">
        <v>0.13333580975269599</v>
      </c>
    </row>
    <row r="132" spans="1:6" x14ac:dyDescent="0.2">
      <c r="A132">
        <v>126</v>
      </c>
      <c r="B132" s="14" t="s">
        <v>273</v>
      </c>
      <c r="C132" s="1">
        <v>45454</v>
      </c>
      <c r="D132" s="14" t="s">
        <v>273</v>
      </c>
      <c r="E132">
        <v>0.50845740535853301</v>
      </c>
      <c r="F132">
        <v>0.50845740535853301</v>
      </c>
    </row>
    <row r="133" spans="1:6" x14ac:dyDescent="0.2">
      <c r="A133">
        <v>130</v>
      </c>
      <c r="B133" s="14" t="s">
        <v>176</v>
      </c>
      <c r="C133" s="1">
        <v>45296</v>
      </c>
      <c r="D133" s="14" t="s">
        <v>176</v>
      </c>
      <c r="E133">
        <v>0.68915475418598005</v>
      </c>
      <c r="F133">
        <v>0.68915475418598005</v>
      </c>
    </row>
    <row r="134" spans="1:6" x14ac:dyDescent="0.2">
      <c r="A134">
        <v>131</v>
      </c>
      <c r="B134" s="14" t="s">
        <v>177</v>
      </c>
      <c r="C134" s="1">
        <v>45639</v>
      </c>
      <c r="D134" s="14" t="s">
        <v>177</v>
      </c>
      <c r="E134">
        <v>2.4462078359288601E-2</v>
      </c>
      <c r="F134">
        <v>2.4462078359288601E-2</v>
      </c>
    </row>
    <row r="135" spans="1:6" x14ac:dyDescent="0.2">
      <c r="A135">
        <v>132</v>
      </c>
      <c r="B135" s="14" t="s">
        <v>374</v>
      </c>
      <c r="C135" s="1">
        <v>45499</v>
      </c>
      <c r="D135" s="14" t="s">
        <v>374</v>
      </c>
      <c r="E135">
        <v>5.82129938308482E-2</v>
      </c>
      <c r="F135">
        <v>5.82129938308482E-2</v>
      </c>
    </row>
    <row r="136" spans="1:6" x14ac:dyDescent="0.2">
      <c r="A136">
        <v>132</v>
      </c>
      <c r="B136" s="14" t="s">
        <v>79</v>
      </c>
      <c r="C136" s="1">
        <v>45366</v>
      </c>
      <c r="D136" s="14" t="s">
        <v>79</v>
      </c>
      <c r="E136">
        <v>0.14259025875719</v>
      </c>
      <c r="F136">
        <v>0.14259025875719</v>
      </c>
    </row>
    <row r="137" spans="1:6" x14ac:dyDescent="0.2">
      <c r="A137">
        <v>133</v>
      </c>
      <c r="B137" s="14" t="s">
        <v>80</v>
      </c>
      <c r="C137" s="1">
        <v>45316</v>
      </c>
      <c r="D137" s="14" t="s">
        <v>80</v>
      </c>
      <c r="E137">
        <v>0.160235418331441</v>
      </c>
      <c r="F137">
        <v>0.160235418331441</v>
      </c>
    </row>
    <row r="138" spans="1:6" x14ac:dyDescent="0.2">
      <c r="A138">
        <v>134</v>
      </c>
      <c r="B138" s="14" t="s">
        <v>375</v>
      </c>
      <c r="C138" s="1">
        <v>45318</v>
      </c>
      <c r="D138" s="14" t="s">
        <v>375</v>
      </c>
      <c r="E138">
        <v>8.97006307850306E-2</v>
      </c>
      <c r="F138">
        <v>8.97006307850306E-2</v>
      </c>
    </row>
    <row r="139" spans="1:6" x14ac:dyDescent="0.2">
      <c r="A139">
        <v>134</v>
      </c>
      <c r="B139" s="14" t="s">
        <v>376</v>
      </c>
      <c r="C139" s="1">
        <v>45492</v>
      </c>
      <c r="D139" s="14" t="s">
        <v>376</v>
      </c>
      <c r="E139">
        <v>0.246889281464542</v>
      </c>
      <c r="F139">
        <v>0.246889281464542</v>
      </c>
    </row>
    <row r="140" spans="1:6" x14ac:dyDescent="0.2">
      <c r="A140">
        <v>135</v>
      </c>
      <c r="B140" s="14" t="s">
        <v>178</v>
      </c>
      <c r="C140" s="1">
        <v>45482</v>
      </c>
      <c r="D140" s="14" t="s">
        <v>178</v>
      </c>
      <c r="E140">
        <v>5.6323034591040599E-2</v>
      </c>
      <c r="F140">
        <v>5.6323034591040599E-2</v>
      </c>
    </row>
    <row r="141" spans="1:6" x14ac:dyDescent="0.2">
      <c r="A141">
        <v>136</v>
      </c>
      <c r="B141" s="14" t="s">
        <v>377</v>
      </c>
      <c r="C141" s="1">
        <v>45498</v>
      </c>
      <c r="D141" s="14" t="s">
        <v>377</v>
      </c>
      <c r="E141">
        <v>0.156018359251966</v>
      </c>
      <c r="F141">
        <v>0.156018359251966</v>
      </c>
    </row>
    <row r="142" spans="1:6" x14ac:dyDescent="0.2">
      <c r="A142">
        <v>137</v>
      </c>
      <c r="B142" s="14" t="s">
        <v>378</v>
      </c>
      <c r="C142" s="1">
        <v>45657</v>
      </c>
      <c r="D142" s="14" t="s">
        <v>378</v>
      </c>
      <c r="E142">
        <v>0.28755393539130902</v>
      </c>
      <c r="F142">
        <v>0.28755393539130902</v>
      </c>
    </row>
    <row r="143" spans="1:6" x14ac:dyDescent="0.2">
      <c r="A143">
        <v>137</v>
      </c>
      <c r="B143" s="14" t="s">
        <v>179</v>
      </c>
      <c r="C143" s="1">
        <v>45325</v>
      </c>
      <c r="D143" s="14" t="s">
        <v>179</v>
      </c>
      <c r="E143">
        <v>7.0225278323272897E-2</v>
      </c>
      <c r="F143">
        <v>7.0225278323272897E-2</v>
      </c>
    </row>
    <row r="144" spans="1:6" x14ac:dyDescent="0.2">
      <c r="A144">
        <v>138</v>
      </c>
      <c r="B144" s="14" t="s">
        <v>56</v>
      </c>
      <c r="C144" s="1">
        <v>45394</v>
      </c>
      <c r="D144" s="14" t="s">
        <v>56</v>
      </c>
      <c r="E144">
        <v>0.75009966930289496</v>
      </c>
      <c r="F144">
        <v>0.75009966930289496</v>
      </c>
    </row>
    <row r="145" spans="1:6" x14ac:dyDescent="0.2">
      <c r="A145">
        <v>138</v>
      </c>
      <c r="B145" s="14" t="s">
        <v>57</v>
      </c>
      <c r="C145" s="1">
        <v>45371</v>
      </c>
      <c r="D145" s="14" t="s">
        <v>57</v>
      </c>
      <c r="E145">
        <v>0.216386645153851</v>
      </c>
      <c r="F145">
        <v>0.216386645153851</v>
      </c>
    </row>
    <row r="146" spans="1:6" x14ac:dyDescent="0.2">
      <c r="A146">
        <v>139</v>
      </c>
      <c r="B146" s="14" t="s">
        <v>180</v>
      </c>
      <c r="C146" s="1">
        <v>45447</v>
      </c>
      <c r="D146" s="14" t="s">
        <v>180</v>
      </c>
      <c r="E146">
        <v>0.168214265162618</v>
      </c>
      <c r="F146">
        <v>0.168214265162618</v>
      </c>
    </row>
    <row r="147" spans="1:6" x14ac:dyDescent="0.2">
      <c r="A147">
        <v>139</v>
      </c>
      <c r="B147" s="14" t="s">
        <v>181</v>
      </c>
      <c r="C147" s="1">
        <v>45506</v>
      </c>
      <c r="D147" s="14" t="s">
        <v>181</v>
      </c>
      <c r="E147">
        <v>0.154446156724484</v>
      </c>
      <c r="F147">
        <v>0.154446156724484</v>
      </c>
    </row>
    <row r="148" spans="1:6" x14ac:dyDescent="0.2">
      <c r="A148">
        <v>139</v>
      </c>
      <c r="B148" s="14" t="s">
        <v>182</v>
      </c>
      <c r="C148" s="1">
        <v>45477</v>
      </c>
      <c r="D148" s="14" t="s">
        <v>182</v>
      </c>
      <c r="E148">
        <v>0.21548822301796899</v>
      </c>
      <c r="F148">
        <v>0.21548822301796899</v>
      </c>
    </row>
    <row r="149" spans="1:6" x14ac:dyDescent="0.2">
      <c r="A149">
        <v>140</v>
      </c>
      <c r="B149" s="14" t="s">
        <v>183</v>
      </c>
      <c r="C149" s="1">
        <v>45617</v>
      </c>
      <c r="D149" s="14" t="s">
        <v>183</v>
      </c>
      <c r="E149">
        <v>5.95481628446013E-2</v>
      </c>
      <c r="F149">
        <v>5.95481628446013E-2</v>
      </c>
    </row>
    <row r="150" spans="1:6" x14ac:dyDescent="0.2">
      <c r="A150">
        <v>142</v>
      </c>
      <c r="B150" s="14" t="s">
        <v>379</v>
      </c>
      <c r="C150" s="1">
        <v>45478</v>
      </c>
      <c r="D150" s="14" t="s">
        <v>379</v>
      </c>
      <c r="E150">
        <v>0.214588452736652</v>
      </c>
      <c r="F150">
        <v>0.214588452736652</v>
      </c>
    </row>
    <row r="151" spans="1:6" x14ac:dyDescent="0.2">
      <c r="A151">
        <v>145</v>
      </c>
      <c r="B151" s="14" t="s">
        <v>184</v>
      </c>
      <c r="C151" s="1">
        <v>45495</v>
      </c>
      <c r="D151" s="14" t="s">
        <v>184</v>
      </c>
      <c r="E151">
        <v>0.13251861066162399</v>
      </c>
      <c r="F151">
        <v>0.13251861066162399</v>
      </c>
    </row>
    <row r="152" spans="1:6" x14ac:dyDescent="0.2">
      <c r="A152">
        <v>145</v>
      </c>
      <c r="B152" s="14" t="s">
        <v>185</v>
      </c>
      <c r="C152" s="1">
        <v>45533</v>
      </c>
      <c r="D152" s="14" t="s">
        <v>185</v>
      </c>
      <c r="E152">
        <v>0.212568358519543</v>
      </c>
      <c r="F152">
        <v>0.212568358519543</v>
      </c>
    </row>
    <row r="153" spans="1:6" x14ac:dyDescent="0.2">
      <c r="A153">
        <v>150</v>
      </c>
      <c r="B153" s="14" t="s">
        <v>380</v>
      </c>
      <c r="C153" s="1">
        <v>45335</v>
      </c>
      <c r="D153" s="14" t="s">
        <v>380</v>
      </c>
      <c r="E153">
        <v>0.19512672548368501</v>
      </c>
      <c r="F153">
        <v>0.19512672548368501</v>
      </c>
    </row>
    <row r="154" spans="1:6" x14ac:dyDescent="0.2">
      <c r="A154">
        <v>151</v>
      </c>
      <c r="B154" s="14" t="s">
        <v>381</v>
      </c>
      <c r="C154" s="1">
        <v>45626</v>
      </c>
      <c r="D154" s="14" t="s">
        <v>381</v>
      </c>
      <c r="E154">
        <v>0.10089375745271099</v>
      </c>
      <c r="F154">
        <v>0.10089375745271099</v>
      </c>
    </row>
    <row r="155" spans="1:6" x14ac:dyDescent="0.2">
      <c r="A155">
        <v>151</v>
      </c>
      <c r="B155" s="14" t="s">
        <v>186</v>
      </c>
      <c r="C155" s="1">
        <v>45368</v>
      </c>
      <c r="D155" s="14" t="s">
        <v>186</v>
      </c>
      <c r="E155">
        <v>0.20290853017078</v>
      </c>
      <c r="F155">
        <v>0.20290853017078</v>
      </c>
    </row>
    <row r="156" spans="1:6" x14ac:dyDescent="0.2">
      <c r="A156">
        <v>152</v>
      </c>
      <c r="B156" s="14" t="s">
        <v>81</v>
      </c>
      <c r="C156" s="1">
        <v>45573</v>
      </c>
      <c r="D156" s="14" t="s">
        <v>81</v>
      </c>
      <c r="E156">
        <v>0.38177311221424898</v>
      </c>
      <c r="F156">
        <v>0.38177311221424898</v>
      </c>
    </row>
    <row r="157" spans="1:6" x14ac:dyDescent="0.2">
      <c r="A157">
        <v>153</v>
      </c>
      <c r="B157" s="14" t="s">
        <v>382</v>
      </c>
      <c r="C157" s="1">
        <v>45604</v>
      </c>
      <c r="D157" s="14" t="s">
        <v>382</v>
      </c>
      <c r="E157">
        <v>0.13380130344778701</v>
      </c>
      <c r="F157">
        <v>0.13380130344778701</v>
      </c>
    </row>
    <row r="158" spans="1:6" x14ac:dyDescent="0.2">
      <c r="A158">
        <v>156</v>
      </c>
      <c r="B158" s="14" t="s">
        <v>383</v>
      </c>
      <c r="C158" s="1">
        <v>45342</v>
      </c>
      <c r="D158" s="14" t="s">
        <v>383</v>
      </c>
      <c r="E158">
        <v>8.9349957463014495E-2</v>
      </c>
      <c r="F158">
        <v>8.9349957463014495E-2</v>
      </c>
    </row>
    <row r="159" spans="1:6" x14ac:dyDescent="0.2">
      <c r="A159">
        <v>157</v>
      </c>
      <c r="B159" s="14" t="s">
        <v>274</v>
      </c>
      <c r="C159" s="1">
        <v>45302</v>
      </c>
      <c r="D159" s="14" t="s">
        <v>274</v>
      </c>
      <c r="E159">
        <v>5.09171624081632E-2</v>
      </c>
      <c r="F159">
        <v>5.09171624081632E-2</v>
      </c>
    </row>
    <row r="160" spans="1:6" x14ac:dyDescent="0.2">
      <c r="A160">
        <v>159</v>
      </c>
      <c r="B160" s="14" t="s">
        <v>384</v>
      </c>
      <c r="C160" s="1">
        <v>45514</v>
      </c>
      <c r="D160" s="14" t="s">
        <v>384</v>
      </c>
      <c r="E160">
        <v>0.14624978129557201</v>
      </c>
      <c r="F160">
        <v>0.14624978129557201</v>
      </c>
    </row>
    <row r="161" spans="1:6" x14ac:dyDescent="0.2">
      <c r="A161">
        <v>161</v>
      </c>
      <c r="B161" s="14" t="s">
        <v>385</v>
      </c>
      <c r="C161" s="1">
        <v>45436</v>
      </c>
      <c r="D161" s="14" t="s">
        <v>385</v>
      </c>
      <c r="E161">
        <v>0.105584661066281</v>
      </c>
      <c r="F161">
        <v>0.105584661066281</v>
      </c>
    </row>
    <row r="162" spans="1:6" x14ac:dyDescent="0.2">
      <c r="A162">
        <v>163</v>
      </c>
      <c r="B162" s="14" t="s">
        <v>187</v>
      </c>
      <c r="C162" s="1">
        <v>45534</v>
      </c>
      <c r="D162" s="14" t="s">
        <v>187</v>
      </c>
      <c r="E162">
        <v>8.1982075992533002E-2</v>
      </c>
      <c r="F162">
        <v>8.1982075992533002E-2</v>
      </c>
    </row>
    <row r="163" spans="1:6" x14ac:dyDescent="0.2">
      <c r="A163">
        <v>164</v>
      </c>
      <c r="B163" s="14" t="s">
        <v>188</v>
      </c>
      <c r="C163" s="1">
        <v>45421</v>
      </c>
      <c r="D163" s="14" t="s">
        <v>188</v>
      </c>
      <c r="E163">
        <v>0.26463638384661198</v>
      </c>
      <c r="F163">
        <v>0.26463638384661198</v>
      </c>
    </row>
    <row r="164" spans="1:6" x14ac:dyDescent="0.2">
      <c r="A164">
        <v>166</v>
      </c>
      <c r="B164" s="14" t="s">
        <v>189</v>
      </c>
      <c r="C164" s="1">
        <v>45507</v>
      </c>
      <c r="D164" s="14" t="s">
        <v>189</v>
      </c>
      <c r="E164">
        <v>4.7958959811493798E-2</v>
      </c>
      <c r="F164">
        <v>4.7958959811493798E-2</v>
      </c>
    </row>
    <row r="165" spans="1:6" x14ac:dyDescent="0.2">
      <c r="A165">
        <v>167</v>
      </c>
      <c r="B165" s="14" t="s">
        <v>35</v>
      </c>
      <c r="C165" s="1">
        <v>45502</v>
      </c>
      <c r="D165" s="14" t="s">
        <v>35</v>
      </c>
      <c r="E165">
        <v>5.4524454404450202E-2</v>
      </c>
      <c r="F165">
        <v>5.4524454404450202E-2</v>
      </c>
    </row>
    <row r="166" spans="1:6" x14ac:dyDescent="0.2">
      <c r="A166">
        <v>167</v>
      </c>
      <c r="B166" s="14" t="s">
        <v>82</v>
      </c>
      <c r="C166" s="1">
        <v>45488</v>
      </c>
      <c r="D166" s="14" t="s">
        <v>82</v>
      </c>
      <c r="E166">
        <v>0.195525415822038</v>
      </c>
      <c r="F166">
        <v>0.195525415822038</v>
      </c>
    </row>
    <row r="167" spans="1:6" x14ac:dyDescent="0.2">
      <c r="A167">
        <v>169</v>
      </c>
      <c r="B167" s="14" t="s">
        <v>190</v>
      </c>
      <c r="C167" s="1">
        <v>45651</v>
      </c>
      <c r="D167" s="14" t="s">
        <v>190</v>
      </c>
      <c r="E167">
        <v>0.126373308785173</v>
      </c>
      <c r="F167">
        <v>0.126373308785173</v>
      </c>
    </row>
    <row r="168" spans="1:6" x14ac:dyDescent="0.2">
      <c r="A168">
        <v>171</v>
      </c>
      <c r="B168" s="14" t="s">
        <v>36</v>
      </c>
      <c r="C168" s="1">
        <v>45562</v>
      </c>
      <c r="D168" s="14" t="s">
        <v>36</v>
      </c>
      <c r="E168">
        <v>0.30130781255732603</v>
      </c>
      <c r="F168">
        <v>0.30130781255732603</v>
      </c>
    </row>
    <row r="169" spans="1:6" x14ac:dyDescent="0.2">
      <c r="A169">
        <v>173</v>
      </c>
      <c r="B169" s="14" t="s">
        <v>386</v>
      </c>
      <c r="C169" s="1">
        <v>45443</v>
      </c>
      <c r="D169" s="14" t="s">
        <v>386</v>
      </c>
      <c r="E169">
        <v>0.29025310115462999</v>
      </c>
      <c r="F169">
        <v>0.29025310115462999</v>
      </c>
    </row>
    <row r="170" spans="1:6" x14ac:dyDescent="0.2">
      <c r="A170">
        <v>173</v>
      </c>
      <c r="B170" s="14" t="s">
        <v>387</v>
      </c>
      <c r="C170" s="1">
        <v>45308</v>
      </c>
      <c r="D170" s="14" t="s">
        <v>387</v>
      </c>
      <c r="E170">
        <v>6.77599420440754E-2</v>
      </c>
      <c r="F170">
        <v>6.77599420440754E-2</v>
      </c>
    </row>
    <row r="171" spans="1:6" x14ac:dyDescent="0.2">
      <c r="A171">
        <v>174</v>
      </c>
      <c r="B171" s="14" t="s">
        <v>388</v>
      </c>
      <c r="C171" s="1">
        <v>45560</v>
      </c>
      <c r="D171" s="14" t="s">
        <v>388</v>
      </c>
      <c r="E171">
        <v>0.24716175163210399</v>
      </c>
      <c r="F171">
        <v>0.24716175163210399</v>
      </c>
    </row>
    <row r="172" spans="1:6" x14ac:dyDescent="0.2">
      <c r="A172">
        <v>174</v>
      </c>
      <c r="B172" s="14" t="s">
        <v>275</v>
      </c>
      <c r="C172" s="1">
        <v>45615</v>
      </c>
      <c r="D172" s="14" t="s">
        <v>275</v>
      </c>
      <c r="E172">
        <v>0.12702955852422401</v>
      </c>
      <c r="F172">
        <v>0.12702955852422401</v>
      </c>
    </row>
    <row r="173" spans="1:6" x14ac:dyDescent="0.2">
      <c r="A173">
        <v>175</v>
      </c>
      <c r="B173" s="14" t="s">
        <v>389</v>
      </c>
      <c r="C173" s="1">
        <v>45472</v>
      </c>
      <c r="D173" s="14" t="s">
        <v>389</v>
      </c>
      <c r="E173">
        <v>7.0111905644910405E-2</v>
      </c>
      <c r="F173">
        <v>7.0111905644910405E-2</v>
      </c>
    </row>
    <row r="174" spans="1:6" x14ac:dyDescent="0.2">
      <c r="A174">
        <v>176</v>
      </c>
      <c r="B174" s="14" t="s">
        <v>276</v>
      </c>
      <c r="C174" s="1">
        <v>45300</v>
      </c>
      <c r="D174" s="14" t="s">
        <v>276</v>
      </c>
      <c r="E174">
        <v>2.67442787791515E-2</v>
      </c>
      <c r="F174">
        <v>2.67442787791515E-2</v>
      </c>
    </row>
    <row r="175" spans="1:6" x14ac:dyDescent="0.2">
      <c r="A175">
        <v>177</v>
      </c>
      <c r="B175" s="14" t="s">
        <v>390</v>
      </c>
      <c r="C175" s="1">
        <v>45505</v>
      </c>
      <c r="D175" s="14" t="s">
        <v>390</v>
      </c>
      <c r="E175">
        <v>0.17048205519226101</v>
      </c>
      <c r="F175">
        <v>0.17048205519226101</v>
      </c>
    </row>
    <row r="176" spans="1:6" x14ac:dyDescent="0.2">
      <c r="A176">
        <v>178</v>
      </c>
      <c r="B176" s="14" t="s">
        <v>391</v>
      </c>
      <c r="C176" s="1">
        <v>45315</v>
      </c>
      <c r="D176" s="14" t="s">
        <v>391</v>
      </c>
      <c r="E176">
        <v>0.21320679669485401</v>
      </c>
      <c r="F176">
        <v>0.21320679669485401</v>
      </c>
    </row>
    <row r="177" spans="1:6" x14ac:dyDescent="0.2">
      <c r="A177">
        <v>179</v>
      </c>
      <c r="B177" s="14" t="s">
        <v>83</v>
      </c>
      <c r="C177" s="1">
        <v>45587</v>
      </c>
      <c r="D177" s="14" t="s">
        <v>83</v>
      </c>
      <c r="E177">
        <v>0.28009561396490201</v>
      </c>
      <c r="F177">
        <v>0.28009561396490201</v>
      </c>
    </row>
    <row r="178" spans="1:6" x14ac:dyDescent="0.2">
      <c r="A178">
        <v>179</v>
      </c>
      <c r="B178" s="14" t="s">
        <v>37</v>
      </c>
      <c r="C178" s="1">
        <v>45514</v>
      </c>
      <c r="D178" s="14" t="s">
        <v>37</v>
      </c>
      <c r="E178">
        <v>0.11369465997944</v>
      </c>
      <c r="F178">
        <v>0.11369465997944</v>
      </c>
    </row>
    <row r="179" spans="1:6" x14ac:dyDescent="0.2">
      <c r="A179">
        <v>180</v>
      </c>
      <c r="B179" s="14" t="s">
        <v>277</v>
      </c>
      <c r="C179" s="1">
        <v>45363</v>
      </c>
      <c r="D179" s="14" t="s">
        <v>277</v>
      </c>
      <c r="E179">
        <v>0.118855827349563</v>
      </c>
      <c r="F179">
        <v>0.118855827349563</v>
      </c>
    </row>
    <row r="180" spans="1:6" x14ac:dyDescent="0.2">
      <c r="A180">
        <v>181</v>
      </c>
      <c r="B180" s="14" t="s">
        <v>392</v>
      </c>
      <c r="C180" s="1">
        <v>45317</v>
      </c>
      <c r="D180" s="14" t="s">
        <v>392</v>
      </c>
      <c r="E180">
        <v>0.24644162523072</v>
      </c>
      <c r="F180">
        <v>0.24644162523072</v>
      </c>
    </row>
    <row r="181" spans="1:6" x14ac:dyDescent="0.2">
      <c r="A181">
        <v>181</v>
      </c>
      <c r="B181" s="14" t="s">
        <v>393</v>
      </c>
      <c r="C181" s="1">
        <v>45337</v>
      </c>
      <c r="D181" s="14" t="s">
        <v>393</v>
      </c>
      <c r="E181">
        <v>0.104879167374598</v>
      </c>
      <c r="F181">
        <v>0.104879167374598</v>
      </c>
    </row>
    <row r="182" spans="1:6" x14ac:dyDescent="0.2">
      <c r="A182">
        <v>183</v>
      </c>
      <c r="B182" s="14" t="s">
        <v>115</v>
      </c>
      <c r="C182" s="1">
        <v>45594</v>
      </c>
      <c r="D182" s="14" t="s">
        <v>115</v>
      </c>
      <c r="E182">
        <v>0.64185437693580405</v>
      </c>
      <c r="F182">
        <v>0.64185437693580405</v>
      </c>
    </row>
    <row r="183" spans="1:6" x14ac:dyDescent="0.2">
      <c r="A183">
        <v>185</v>
      </c>
      <c r="B183" s="14" t="s">
        <v>278</v>
      </c>
      <c r="C183" s="1">
        <v>45465</v>
      </c>
      <c r="D183" s="14" t="s">
        <v>278</v>
      </c>
      <c r="E183">
        <v>0.16564961170869799</v>
      </c>
      <c r="F183">
        <v>0.16564961170869799</v>
      </c>
    </row>
    <row r="184" spans="1:6" x14ac:dyDescent="0.2">
      <c r="A184">
        <v>186</v>
      </c>
      <c r="B184" s="14" t="s">
        <v>394</v>
      </c>
      <c r="C184" s="1">
        <v>45636</v>
      </c>
      <c r="D184" s="14" t="s">
        <v>394</v>
      </c>
      <c r="E184">
        <v>3.5898045232595002E-2</v>
      </c>
      <c r="F184">
        <v>3.5898045232595002E-2</v>
      </c>
    </row>
    <row r="185" spans="1:6" x14ac:dyDescent="0.2">
      <c r="A185">
        <v>188</v>
      </c>
      <c r="B185" s="14" t="s">
        <v>395</v>
      </c>
      <c r="C185" s="1">
        <v>45400</v>
      </c>
      <c r="D185" s="14" t="s">
        <v>395</v>
      </c>
      <c r="E185">
        <v>0.210979524099244</v>
      </c>
      <c r="F185">
        <v>0.210979524099244</v>
      </c>
    </row>
    <row r="186" spans="1:6" x14ac:dyDescent="0.2">
      <c r="A186">
        <v>189</v>
      </c>
      <c r="B186" s="14" t="s">
        <v>396</v>
      </c>
      <c r="C186" s="1">
        <v>45457</v>
      </c>
      <c r="D186" s="14" t="s">
        <v>396</v>
      </c>
      <c r="E186">
        <v>0.39864496664575599</v>
      </c>
      <c r="F186">
        <v>0.39864496664575599</v>
      </c>
    </row>
    <row r="187" spans="1:6" x14ac:dyDescent="0.2">
      <c r="A187">
        <v>189</v>
      </c>
      <c r="B187" s="14" t="s">
        <v>38</v>
      </c>
      <c r="C187" s="1">
        <v>45580</v>
      </c>
      <c r="D187" s="14" t="s">
        <v>38</v>
      </c>
      <c r="E187">
        <v>0.25212165912138201</v>
      </c>
      <c r="F187">
        <v>0.25212165912138201</v>
      </c>
    </row>
    <row r="188" spans="1:6" x14ac:dyDescent="0.2">
      <c r="A188">
        <v>190</v>
      </c>
      <c r="B188" s="14" t="s">
        <v>397</v>
      </c>
      <c r="C188" s="1">
        <v>45493</v>
      </c>
      <c r="D188" s="14" t="s">
        <v>397</v>
      </c>
      <c r="E188">
        <v>0.336711557261893</v>
      </c>
      <c r="F188">
        <v>0.336711557261893</v>
      </c>
    </row>
    <row r="189" spans="1:6" x14ac:dyDescent="0.2">
      <c r="A189">
        <v>190</v>
      </c>
      <c r="B189" s="14" t="s">
        <v>398</v>
      </c>
      <c r="C189" s="1">
        <v>45639</v>
      </c>
      <c r="D189" s="14" t="s">
        <v>398</v>
      </c>
      <c r="E189">
        <v>0.13019375769755201</v>
      </c>
      <c r="F189">
        <v>0.13019375769755201</v>
      </c>
    </row>
    <row r="190" spans="1:6" x14ac:dyDescent="0.2">
      <c r="A190">
        <v>193</v>
      </c>
      <c r="B190" s="14" t="s">
        <v>116</v>
      </c>
      <c r="C190" s="1">
        <v>45386</v>
      </c>
      <c r="D190" s="14" t="s">
        <v>116</v>
      </c>
      <c r="E190">
        <v>0.12581102517210299</v>
      </c>
      <c r="F190">
        <v>0.12581102517210299</v>
      </c>
    </row>
    <row r="191" spans="1:6" x14ac:dyDescent="0.2">
      <c r="A191">
        <v>193</v>
      </c>
      <c r="B191" s="14" t="s">
        <v>39</v>
      </c>
      <c r="C191" s="1">
        <v>45593</v>
      </c>
      <c r="D191" s="14" t="s">
        <v>39</v>
      </c>
      <c r="E191">
        <v>0.75241908729899998</v>
      </c>
      <c r="F191">
        <v>0.75241908729899998</v>
      </c>
    </row>
    <row r="192" spans="1:6" x14ac:dyDescent="0.2">
      <c r="A192">
        <v>193</v>
      </c>
      <c r="B192" s="14" t="s">
        <v>84</v>
      </c>
      <c r="C192" s="1">
        <v>45636</v>
      </c>
      <c r="D192" s="14" t="s">
        <v>84</v>
      </c>
      <c r="E192">
        <v>0.26220123492320901</v>
      </c>
      <c r="F192">
        <v>0.26220123492320901</v>
      </c>
    </row>
    <row r="193" spans="1:6" x14ac:dyDescent="0.2">
      <c r="A193">
        <v>193</v>
      </c>
      <c r="B193" s="14" t="s">
        <v>85</v>
      </c>
      <c r="C193" s="1">
        <v>45555</v>
      </c>
      <c r="D193" s="14" t="s">
        <v>85</v>
      </c>
      <c r="E193">
        <v>3.4613039320735901E-2</v>
      </c>
      <c r="F193">
        <v>3.4613039320735901E-2</v>
      </c>
    </row>
    <row r="194" spans="1:6" x14ac:dyDescent="0.2">
      <c r="A194">
        <v>194</v>
      </c>
      <c r="B194" s="14" t="s">
        <v>399</v>
      </c>
      <c r="C194" s="1">
        <v>45535</v>
      </c>
      <c r="D194" s="14" t="s">
        <v>399</v>
      </c>
      <c r="E194">
        <v>0.26374204235940502</v>
      </c>
      <c r="F194">
        <v>0.26374204235940502</v>
      </c>
    </row>
    <row r="195" spans="1:6" x14ac:dyDescent="0.2">
      <c r="A195">
        <v>195</v>
      </c>
      <c r="B195" s="14" t="s">
        <v>191</v>
      </c>
      <c r="C195" s="1">
        <v>45326</v>
      </c>
      <c r="D195" s="14" t="s">
        <v>191</v>
      </c>
      <c r="E195">
        <v>0.60072672632240098</v>
      </c>
      <c r="F195">
        <v>0.60072672632240098</v>
      </c>
    </row>
    <row r="196" spans="1:6" x14ac:dyDescent="0.2">
      <c r="A196">
        <v>195</v>
      </c>
      <c r="B196" s="14" t="s">
        <v>192</v>
      </c>
      <c r="C196" s="1">
        <v>45529</v>
      </c>
      <c r="D196" s="14" t="s">
        <v>192</v>
      </c>
      <c r="E196">
        <v>8.7917115140020596E-2</v>
      </c>
      <c r="F196">
        <v>8.7917115140020596E-2</v>
      </c>
    </row>
    <row r="197" spans="1:6" x14ac:dyDescent="0.2">
      <c r="A197">
        <v>195</v>
      </c>
      <c r="B197" s="14" t="s">
        <v>279</v>
      </c>
      <c r="C197" s="1">
        <v>45501</v>
      </c>
      <c r="D197" s="14" t="s">
        <v>279</v>
      </c>
      <c r="E197">
        <v>5.8953716139653001E-2</v>
      </c>
      <c r="F197">
        <v>5.8953716139653001E-2</v>
      </c>
    </row>
    <row r="198" spans="1:6" x14ac:dyDescent="0.2">
      <c r="A198">
        <v>196</v>
      </c>
      <c r="B198" s="14" t="s">
        <v>86</v>
      </c>
      <c r="C198" s="1">
        <v>45550</v>
      </c>
      <c r="D198" s="14" t="s">
        <v>86</v>
      </c>
      <c r="E198">
        <v>6.6664244581874296E-2</v>
      </c>
      <c r="F198">
        <v>6.6664244581874296E-2</v>
      </c>
    </row>
    <row r="199" spans="1:6" x14ac:dyDescent="0.2">
      <c r="A199">
        <v>197</v>
      </c>
      <c r="B199" s="14" t="s">
        <v>117</v>
      </c>
      <c r="C199" s="1">
        <v>45520</v>
      </c>
      <c r="D199" s="14" t="s">
        <v>117</v>
      </c>
      <c r="E199">
        <v>0.11642816878784699</v>
      </c>
      <c r="F199">
        <v>0.11642816878784699</v>
      </c>
    </row>
    <row r="200" spans="1:6" x14ac:dyDescent="0.2">
      <c r="A200">
        <v>198</v>
      </c>
      <c r="B200" s="14" t="s">
        <v>400</v>
      </c>
      <c r="C200" s="1">
        <v>45630</v>
      </c>
      <c r="D200" s="14" t="s">
        <v>400</v>
      </c>
      <c r="E200">
        <v>0.27244745512371099</v>
      </c>
      <c r="F200">
        <v>0.27244745512371099</v>
      </c>
    </row>
    <row r="201" spans="1:6" x14ac:dyDescent="0.2">
      <c r="A201">
        <v>200</v>
      </c>
      <c r="B201" s="14" t="s">
        <v>280</v>
      </c>
      <c r="C201" s="1">
        <v>45436</v>
      </c>
      <c r="D201" s="14" t="s">
        <v>280</v>
      </c>
      <c r="E201">
        <v>0.104586815388059</v>
      </c>
      <c r="F201">
        <v>0.104586815388059</v>
      </c>
    </row>
    <row r="202" spans="1:6" x14ac:dyDescent="0.2">
      <c r="A202">
        <v>202</v>
      </c>
      <c r="B202" s="14" t="s">
        <v>281</v>
      </c>
      <c r="C202" s="1">
        <v>45360</v>
      </c>
      <c r="D202" s="14" t="s">
        <v>281</v>
      </c>
      <c r="E202">
        <v>0.72833679507367799</v>
      </c>
      <c r="F202">
        <v>0.72833679507367799</v>
      </c>
    </row>
    <row r="203" spans="1:6" x14ac:dyDescent="0.2">
      <c r="A203">
        <v>202</v>
      </c>
      <c r="B203" s="14" t="s">
        <v>282</v>
      </c>
      <c r="C203" s="1">
        <v>45458</v>
      </c>
      <c r="D203" s="14" t="s">
        <v>282</v>
      </c>
      <c r="E203">
        <v>0.19205383855106201</v>
      </c>
      <c r="F203">
        <v>0.19205383855106201</v>
      </c>
    </row>
    <row r="204" spans="1:6" x14ac:dyDescent="0.2">
      <c r="A204">
        <v>202</v>
      </c>
      <c r="B204" s="14" t="s">
        <v>283</v>
      </c>
      <c r="C204" s="1">
        <v>45623</v>
      </c>
      <c r="D204" s="14" t="s">
        <v>283</v>
      </c>
      <c r="E204">
        <v>1.5721624251492799E-2</v>
      </c>
      <c r="F204">
        <v>1.5721624251492799E-2</v>
      </c>
    </row>
    <row r="205" spans="1:6" x14ac:dyDescent="0.2">
      <c r="A205">
        <v>203</v>
      </c>
      <c r="B205" s="14" t="s">
        <v>401</v>
      </c>
      <c r="C205" s="1">
        <v>45512</v>
      </c>
      <c r="D205" s="14" t="s">
        <v>401</v>
      </c>
      <c r="E205">
        <v>0.107122638364737</v>
      </c>
      <c r="F205">
        <v>0.107122638364737</v>
      </c>
    </row>
    <row r="206" spans="1:6" x14ac:dyDescent="0.2">
      <c r="A206">
        <v>204</v>
      </c>
      <c r="B206" s="14" t="s">
        <v>40</v>
      </c>
      <c r="C206" s="1">
        <v>45594</v>
      </c>
      <c r="D206" s="14" t="s">
        <v>40</v>
      </c>
      <c r="E206">
        <v>0.107061646291556</v>
      </c>
      <c r="F206">
        <v>0.107061646291556</v>
      </c>
    </row>
    <row r="207" spans="1:6" x14ac:dyDescent="0.2">
      <c r="A207">
        <v>205</v>
      </c>
      <c r="B207" s="14" t="s">
        <v>402</v>
      </c>
      <c r="C207" s="1">
        <v>45453</v>
      </c>
      <c r="D207" s="14" t="s">
        <v>402</v>
      </c>
      <c r="E207">
        <v>6.4173366350188193E-2</v>
      </c>
      <c r="F207">
        <v>6.4173366350188193E-2</v>
      </c>
    </row>
    <row r="208" spans="1:6" x14ac:dyDescent="0.2">
      <c r="A208">
        <v>206</v>
      </c>
      <c r="B208" s="14" t="s">
        <v>403</v>
      </c>
      <c r="C208" s="1">
        <v>45544</v>
      </c>
      <c r="D208" s="14" t="s">
        <v>403</v>
      </c>
      <c r="E208">
        <v>0.31409323313190801</v>
      </c>
      <c r="F208">
        <v>0.31409323313190801</v>
      </c>
    </row>
    <row r="209" spans="1:6" x14ac:dyDescent="0.2">
      <c r="A209">
        <v>206</v>
      </c>
      <c r="B209" s="14" t="s">
        <v>404</v>
      </c>
      <c r="C209" s="1">
        <v>45401</v>
      </c>
      <c r="D209" s="14" t="s">
        <v>404</v>
      </c>
      <c r="E209">
        <v>0.28687601108004901</v>
      </c>
      <c r="F209">
        <v>0.28687601108004901</v>
      </c>
    </row>
    <row r="210" spans="1:6" x14ac:dyDescent="0.2">
      <c r="A210">
        <v>211</v>
      </c>
      <c r="B210" s="14" t="s">
        <v>405</v>
      </c>
      <c r="C210" s="1">
        <v>45565</v>
      </c>
      <c r="D210" s="14" t="s">
        <v>405</v>
      </c>
      <c r="E210">
        <v>0.22006606292887099</v>
      </c>
      <c r="F210">
        <v>0.22006606292887099</v>
      </c>
    </row>
    <row r="211" spans="1:6" x14ac:dyDescent="0.2">
      <c r="A211">
        <v>214</v>
      </c>
      <c r="B211" s="14" t="s">
        <v>406</v>
      </c>
      <c r="C211" s="1">
        <v>45654</v>
      </c>
      <c r="D211" s="14" t="s">
        <v>406</v>
      </c>
      <c r="E211">
        <v>7.3285775220146301E-2</v>
      </c>
      <c r="F211">
        <v>7.3285775220146301E-2</v>
      </c>
    </row>
    <row r="212" spans="1:6" x14ac:dyDescent="0.2">
      <c r="A212">
        <v>216</v>
      </c>
      <c r="B212" s="14" t="s">
        <v>407</v>
      </c>
      <c r="C212" s="1">
        <v>45456</v>
      </c>
      <c r="D212" s="14" t="s">
        <v>407</v>
      </c>
      <c r="E212">
        <v>5.3615036265672197E-2</v>
      </c>
      <c r="F212">
        <v>5.3615036265672197E-2</v>
      </c>
    </row>
    <row r="213" spans="1:6" x14ac:dyDescent="0.2">
      <c r="A213">
        <v>218</v>
      </c>
      <c r="B213" s="14" t="s">
        <v>408</v>
      </c>
      <c r="C213" s="1">
        <v>45460</v>
      </c>
      <c r="D213" s="14" t="s">
        <v>408</v>
      </c>
      <c r="E213">
        <v>0.17600700413398601</v>
      </c>
      <c r="F213">
        <v>0.17600700413398601</v>
      </c>
    </row>
    <row r="214" spans="1:6" x14ac:dyDescent="0.2">
      <c r="A214">
        <v>219</v>
      </c>
      <c r="B214" s="14" t="s">
        <v>193</v>
      </c>
      <c r="C214" s="1">
        <v>45644</v>
      </c>
      <c r="D214" s="14" t="s">
        <v>193</v>
      </c>
      <c r="E214">
        <v>9.6490287093305094E-2</v>
      </c>
      <c r="F214">
        <v>9.6490287093305094E-2</v>
      </c>
    </row>
    <row r="215" spans="1:6" x14ac:dyDescent="0.2">
      <c r="A215">
        <v>219</v>
      </c>
      <c r="B215" s="14" t="s">
        <v>409</v>
      </c>
      <c r="C215" s="1">
        <v>45649</v>
      </c>
      <c r="D215" s="14" t="s">
        <v>409</v>
      </c>
      <c r="E215">
        <v>0.18303228330119201</v>
      </c>
      <c r="F215">
        <v>0.18303228330119201</v>
      </c>
    </row>
    <row r="216" spans="1:6" x14ac:dyDescent="0.2">
      <c r="A216">
        <v>220</v>
      </c>
      <c r="B216" s="14" t="s">
        <v>284</v>
      </c>
      <c r="C216" s="1">
        <v>45637</v>
      </c>
      <c r="D216" s="14" t="s">
        <v>284</v>
      </c>
      <c r="E216">
        <v>5.3047133682949298E-2</v>
      </c>
      <c r="F216">
        <v>5.3047133682949298E-2</v>
      </c>
    </row>
    <row r="217" spans="1:6" x14ac:dyDescent="0.2">
      <c r="A217">
        <v>220</v>
      </c>
      <c r="B217" s="14" t="s">
        <v>285</v>
      </c>
      <c r="C217" s="1">
        <v>45309</v>
      </c>
      <c r="D217" s="14" t="s">
        <v>285</v>
      </c>
      <c r="E217">
        <v>0.17891733225805001</v>
      </c>
      <c r="F217">
        <v>0.17891733225805001</v>
      </c>
    </row>
    <row r="218" spans="1:6" x14ac:dyDescent="0.2">
      <c r="A218">
        <v>222</v>
      </c>
      <c r="B218" s="14" t="s">
        <v>410</v>
      </c>
      <c r="C218" s="1">
        <v>45462</v>
      </c>
      <c r="D218" s="14" t="s">
        <v>410</v>
      </c>
      <c r="E218">
        <v>0.24820429250380099</v>
      </c>
      <c r="F218">
        <v>0.24820429250380099</v>
      </c>
    </row>
    <row r="219" spans="1:6" x14ac:dyDescent="0.2">
      <c r="A219">
        <v>222</v>
      </c>
      <c r="B219" s="14" t="s">
        <v>411</v>
      </c>
      <c r="C219" s="1">
        <v>45543</v>
      </c>
      <c r="D219" s="14" t="s">
        <v>411</v>
      </c>
      <c r="E219">
        <v>0.29494256494053001</v>
      </c>
      <c r="F219">
        <v>0.29494256494053001</v>
      </c>
    </row>
    <row r="220" spans="1:6" x14ac:dyDescent="0.2">
      <c r="A220">
        <v>222</v>
      </c>
      <c r="B220" s="14" t="s">
        <v>412</v>
      </c>
      <c r="C220" s="1">
        <v>45364</v>
      </c>
      <c r="D220" s="14" t="s">
        <v>412</v>
      </c>
      <c r="E220">
        <v>0.16885888671552199</v>
      </c>
      <c r="F220">
        <v>0.16885888671552199</v>
      </c>
    </row>
    <row r="221" spans="1:6" x14ac:dyDescent="0.2">
      <c r="A221">
        <v>223</v>
      </c>
      <c r="B221" s="14" t="s">
        <v>413</v>
      </c>
      <c r="C221" s="1">
        <v>45466</v>
      </c>
      <c r="D221" s="14" t="s">
        <v>413</v>
      </c>
      <c r="E221">
        <v>0.507743453199763</v>
      </c>
      <c r="F221">
        <v>0.507743453199763</v>
      </c>
    </row>
    <row r="222" spans="1:6" x14ac:dyDescent="0.2">
      <c r="A222">
        <v>224</v>
      </c>
      <c r="B222" s="14" t="s">
        <v>286</v>
      </c>
      <c r="C222" s="1">
        <v>45460</v>
      </c>
      <c r="D222" s="14" t="s">
        <v>286</v>
      </c>
      <c r="E222">
        <v>0.16886396356309299</v>
      </c>
      <c r="F222">
        <v>0.16886396356309299</v>
      </c>
    </row>
    <row r="223" spans="1:6" x14ac:dyDescent="0.2">
      <c r="A223">
        <v>226</v>
      </c>
      <c r="B223" s="14" t="s">
        <v>414</v>
      </c>
      <c r="C223" s="1">
        <v>45527</v>
      </c>
      <c r="D223" s="14" t="s">
        <v>414</v>
      </c>
      <c r="E223">
        <v>0.319727189042813</v>
      </c>
      <c r="F223">
        <v>0.319727189042813</v>
      </c>
    </row>
    <row r="224" spans="1:6" x14ac:dyDescent="0.2">
      <c r="A224">
        <v>227</v>
      </c>
      <c r="B224" s="14" t="s">
        <v>415</v>
      </c>
      <c r="C224" s="1">
        <v>45636</v>
      </c>
      <c r="D224" s="14" t="s">
        <v>415</v>
      </c>
      <c r="E224">
        <v>5.5313920154666997E-2</v>
      </c>
      <c r="F224">
        <v>5.5313920154666997E-2</v>
      </c>
    </row>
    <row r="225" spans="1:6" x14ac:dyDescent="0.2">
      <c r="A225">
        <v>228</v>
      </c>
      <c r="B225" s="14" t="s">
        <v>416</v>
      </c>
      <c r="C225" s="1">
        <v>45614</v>
      </c>
      <c r="D225" s="14" t="s">
        <v>416</v>
      </c>
      <c r="E225">
        <v>0.13750831297541899</v>
      </c>
      <c r="F225">
        <v>0.13750831297541899</v>
      </c>
    </row>
    <row r="226" spans="1:6" x14ac:dyDescent="0.2">
      <c r="A226">
        <v>229</v>
      </c>
      <c r="B226" s="14" t="s">
        <v>417</v>
      </c>
      <c r="C226" s="1">
        <v>45558</v>
      </c>
      <c r="D226" s="14" t="s">
        <v>417</v>
      </c>
      <c r="E226">
        <v>0.30892252047166302</v>
      </c>
      <c r="F226">
        <v>0.30892252047166302</v>
      </c>
    </row>
    <row r="227" spans="1:6" x14ac:dyDescent="0.2">
      <c r="A227">
        <v>230</v>
      </c>
      <c r="B227" s="14" t="s">
        <v>194</v>
      </c>
      <c r="C227" s="1">
        <v>45446</v>
      </c>
      <c r="D227" s="14" t="s">
        <v>194</v>
      </c>
      <c r="E227">
        <v>0.24465908953593099</v>
      </c>
      <c r="F227">
        <v>0.24465908953593099</v>
      </c>
    </row>
    <row r="228" spans="1:6" x14ac:dyDescent="0.2">
      <c r="A228">
        <v>230</v>
      </c>
      <c r="B228" s="14" t="s">
        <v>101</v>
      </c>
      <c r="C228" s="1">
        <v>45549</v>
      </c>
      <c r="D228" s="14" t="s">
        <v>101</v>
      </c>
      <c r="E228">
        <v>0.26272619011071602</v>
      </c>
      <c r="F228">
        <v>0.26272619011071602</v>
      </c>
    </row>
    <row r="229" spans="1:6" x14ac:dyDescent="0.2">
      <c r="A229">
        <v>231</v>
      </c>
      <c r="B229" s="14" t="s">
        <v>118</v>
      </c>
      <c r="C229" s="1">
        <v>45522</v>
      </c>
      <c r="D229" s="14" t="s">
        <v>118</v>
      </c>
      <c r="E229">
        <v>0.29420785741074501</v>
      </c>
      <c r="F229">
        <v>0.29420785741074501</v>
      </c>
    </row>
    <row r="230" spans="1:6" x14ac:dyDescent="0.2">
      <c r="A230">
        <v>232</v>
      </c>
      <c r="B230" s="14" t="s">
        <v>418</v>
      </c>
      <c r="C230" s="1">
        <v>45339</v>
      </c>
      <c r="D230" s="14" t="s">
        <v>418</v>
      </c>
      <c r="E230">
        <v>0.20989060990798999</v>
      </c>
      <c r="F230">
        <v>0.20989060990798999</v>
      </c>
    </row>
    <row r="231" spans="1:6" x14ac:dyDescent="0.2">
      <c r="A231">
        <v>233</v>
      </c>
      <c r="B231" s="14" t="s">
        <v>87</v>
      </c>
      <c r="C231" s="1">
        <v>45447</v>
      </c>
      <c r="D231" s="14" t="s">
        <v>87</v>
      </c>
      <c r="E231">
        <v>0.142417403386908</v>
      </c>
      <c r="F231">
        <v>0.142417403386908</v>
      </c>
    </row>
    <row r="232" spans="1:6" x14ac:dyDescent="0.2">
      <c r="A232">
        <v>236</v>
      </c>
      <c r="B232" s="14" t="s">
        <v>419</v>
      </c>
      <c r="C232" s="1">
        <v>45403</v>
      </c>
      <c r="D232" s="14" t="s">
        <v>419</v>
      </c>
      <c r="E232">
        <v>2.3067403893458099E-2</v>
      </c>
      <c r="F232">
        <v>2.3067403893458099E-2</v>
      </c>
    </row>
    <row r="233" spans="1:6" x14ac:dyDescent="0.2">
      <c r="A233">
        <v>238</v>
      </c>
      <c r="B233" s="14" t="s">
        <v>420</v>
      </c>
      <c r="C233" s="1">
        <v>45428</v>
      </c>
      <c r="D233" s="14" t="s">
        <v>420</v>
      </c>
      <c r="E233">
        <v>0.179902471943651</v>
      </c>
      <c r="F233">
        <v>0.179902471943651</v>
      </c>
    </row>
    <row r="234" spans="1:6" x14ac:dyDescent="0.2">
      <c r="A234">
        <v>238</v>
      </c>
      <c r="B234" s="14" t="s">
        <v>421</v>
      </c>
      <c r="C234" s="1">
        <v>45630</v>
      </c>
      <c r="D234" s="14" t="s">
        <v>421</v>
      </c>
      <c r="E234">
        <v>0.109630807457716</v>
      </c>
      <c r="F234">
        <v>0.109630807457716</v>
      </c>
    </row>
    <row r="235" spans="1:6" x14ac:dyDescent="0.2">
      <c r="A235">
        <v>240</v>
      </c>
      <c r="B235" s="14" t="s">
        <v>422</v>
      </c>
      <c r="C235" s="1">
        <v>45332</v>
      </c>
      <c r="D235" s="14" t="s">
        <v>422</v>
      </c>
      <c r="E235">
        <v>0.16980236754720399</v>
      </c>
      <c r="F235">
        <v>0.16980236754720399</v>
      </c>
    </row>
    <row r="236" spans="1:6" x14ac:dyDescent="0.2">
      <c r="A236">
        <v>240</v>
      </c>
      <c r="B236" s="14" t="s">
        <v>423</v>
      </c>
      <c r="C236" s="1">
        <v>45316</v>
      </c>
      <c r="D236" s="14" t="s">
        <v>423</v>
      </c>
      <c r="E236">
        <v>0.521626582615622</v>
      </c>
      <c r="F236">
        <v>0.521626582615622</v>
      </c>
    </row>
    <row r="237" spans="1:6" x14ac:dyDescent="0.2">
      <c r="A237">
        <v>241</v>
      </c>
      <c r="B237" s="14" t="s">
        <v>287</v>
      </c>
      <c r="C237" s="1">
        <v>45566</v>
      </c>
      <c r="D237" s="14" t="s">
        <v>287</v>
      </c>
      <c r="E237">
        <v>8.0423912839763897E-2</v>
      </c>
      <c r="F237">
        <v>8.0423912839763897E-2</v>
      </c>
    </row>
    <row r="238" spans="1:6" x14ac:dyDescent="0.2">
      <c r="A238">
        <v>242</v>
      </c>
      <c r="B238" s="14" t="s">
        <v>195</v>
      </c>
      <c r="C238" s="1">
        <v>45434</v>
      </c>
      <c r="D238" s="14" t="s">
        <v>195</v>
      </c>
      <c r="E238">
        <v>9.1508515772285901E-2</v>
      </c>
      <c r="F238">
        <v>9.1508515772285901E-2</v>
      </c>
    </row>
    <row r="239" spans="1:6" x14ac:dyDescent="0.2">
      <c r="A239">
        <v>244</v>
      </c>
      <c r="B239" s="14" t="s">
        <v>424</v>
      </c>
      <c r="C239" s="1">
        <v>45635</v>
      </c>
      <c r="D239" s="14" t="s">
        <v>424</v>
      </c>
      <c r="E239">
        <v>0.165017364881582</v>
      </c>
      <c r="F239">
        <v>0.165017364881582</v>
      </c>
    </row>
    <row r="240" spans="1:6" x14ac:dyDescent="0.2">
      <c r="A240">
        <v>246</v>
      </c>
      <c r="B240" s="14" t="s">
        <v>425</v>
      </c>
      <c r="C240" s="1">
        <v>45324</v>
      </c>
      <c r="D240" s="14" t="s">
        <v>425</v>
      </c>
      <c r="E240">
        <v>2.5835750892507101E-2</v>
      </c>
      <c r="F240">
        <v>2.5835750892507101E-2</v>
      </c>
    </row>
    <row r="241" spans="1:6" x14ac:dyDescent="0.2">
      <c r="A241">
        <v>247</v>
      </c>
      <c r="B241" s="14" t="s">
        <v>58</v>
      </c>
      <c r="C241" s="1">
        <v>45570</v>
      </c>
      <c r="D241" s="14" t="s">
        <v>58</v>
      </c>
      <c r="E241">
        <v>0.27144640065078202</v>
      </c>
      <c r="F241">
        <v>0.27144640065078202</v>
      </c>
    </row>
    <row r="242" spans="1:6" x14ac:dyDescent="0.2">
      <c r="A242">
        <v>248</v>
      </c>
      <c r="B242" s="14" t="s">
        <v>196</v>
      </c>
      <c r="C242" s="1">
        <v>45362</v>
      </c>
      <c r="D242" s="14" t="s">
        <v>196</v>
      </c>
      <c r="E242">
        <v>0.13307753583860399</v>
      </c>
      <c r="F242">
        <v>0.13307753583860399</v>
      </c>
    </row>
    <row r="243" spans="1:6" x14ac:dyDescent="0.2">
      <c r="A243">
        <v>248</v>
      </c>
      <c r="B243" s="14" t="s">
        <v>197</v>
      </c>
      <c r="C243" s="1">
        <v>45650</v>
      </c>
      <c r="D243" s="14" t="s">
        <v>197</v>
      </c>
      <c r="E243">
        <v>2.6398039421871199E-2</v>
      </c>
      <c r="F243">
        <v>2.6398039421871199E-2</v>
      </c>
    </row>
    <row r="244" spans="1:6" x14ac:dyDescent="0.2">
      <c r="A244">
        <v>248</v>
      </c>
      <c r="B244" s="14" t="s">
        <v>198</v>
      </c>
      <c r="C244" s="1">
        <v>45371</v>
      </c>
      <c r="D244" s="14" t="s">
        <v>198</v>
      </c>
      <c r="E244">
        <v>0.27301760157076599</v>
      </c>
      <c r="F244">
        <v>0.27301760157076599</v>
      </c>
    </row>
    <row r="245" spans="1:6" x14ac:dyDescent="0.2">
      <c r="A245">
        <v>249</v>
      </c>
      <c r="B245" s="14" t="s">
        <v>426</v>
      </c>
      <c r="C245" s="1">
        <v>45319</v>
      </c>
      <c r="D245" s="14" t="s">
        <v>426</v>
      </c>
      <c r="E245">
        <v>2.2303824094174099E-2</v>
      </c>
      <c r="F245">
        <v>2.2303824094174099E-2</v>
      </c>
    </row>
    <row r="246" spans="1:6" x14ac:dyDescent="0.2">
      <c r="A246">
        <v>249</v>
      </c>
      <c r="B246" s="14" t="s">
        <v>427</v>
      </c>
      <c r="C246" s="1">
        <v>45445</v>
      </c>
      <c r="D246" s="14" t="s">
        <v>427</v>
      </c>
      <c r="E246">
        <v>0.373391991767554</v>
      </c>
      <c r="F246">
        <v>0.373391991767554</v>
      </c>
    </row>
    <row r="247" spans="1:6" x14ac:dyDescent="0.2">
      <c r="A247">
        <v>249</v>
      </c>
      <c r="B247" s="14" t="s">
        <v>199</v>
      </c>
      <c r="C247" s="1">
        <v>45420</v>
      </c>
      <c r="D247" s="14" t="s">
        <v>199</v>
      </c>
      <c r="E247">
        <v>0.13992071823328101</v>
      </c>
      <c r="F247">
        <v>0.13992071823328101</v>
      </c>
    </row>
    <row r="248" spans="1:6" x14ac:dyDescent="0.2">
      <c r="A248">
        <v>250</v>
      </c>
      <c r="B248" s="14" t="s">
        <v>428</v>
      </c>
      <c r="C248" s="1">
        <v>45649</v>
      </c>
      <c r="D248" s="14" t="s">
        <v>428</v>
      </c>
      <c r="E248">
        <v>8.7717855171256395E-2</v>
      </c>
      <c r="F248">
        <v>8.7717855171256395E-2</v>
      </c>
    </row>
    <row r="249" spans="1:6" x14ac:dyDescent="0.2">
      <c r="A249">
        <v>253</v>
      </c>
      <c r="B249" s="14" t="s">
        <v>59</v>
      </c>
      <c r="C249" s="1">
        <v>45303</v>
      </c>
      <c r="D249" s="14" t="s">
        <v>59</v>
      </c>
      <c r="E249">
        <v>5.8010199441356602E-2</v>
      </c>
      <c r="F249">
        <v>5.8010199441356602E-2</v>
      </c>
    </row>
    <row r="250" spans="1:6" x14ac:dyDescent="0.2">
      <c r="A250">
        <v>255</v>
      </c>
      <c r="B250" s="14" t="s">
        <v>200</v>
      </c>
      <c r="C250" s="1">
        <v>45432</v>
      </c>
      <c r="D250" s="14" t="s">
        <v>200</v>
      </c>
      <c r="E250">
        <v>0.359953222596198</v>
      </c>
      <c r="F250">
        <v>0.359953222596198</v>
      </c>
    </row>
    <row r="251" spans="1:6" x14ac:dyDescent="0.2">
      <c r="A251">
        <v>256</v>
      </c>
      <c r="B251" s="14" t="s">
        <v>60</v>
      </c>
      <c r="C251" s="1">
        <v>45300</v>
      </c>
      <c r="D251" s="14" t="s">
        <v>60</v>
      </c>
      <c r="E251">
        <v>0.251261118008413</v>
      </c>
      <c r="F251">
        <v>0.251261118008413</v>
      </c>
    </row>
    <row r="252" spans="1:6" x14ac:dyDescent="0.2">
      <c r="A252">
        <v>256</v>
      </c>
      <c r="B252" s="14" t="s">
        <v>61</v>
      </c>
      <c r="C252" s="1">
        <v>45450</v>
      </c>
      <c r="D252" s="14" t="s">
        <v>61</v>
      </c>
      <c r="E252">
        <v>0.27757814902231298</v>
      </c>
      <c r="F252">
        <v>0.27757814902231298</v>
      </c>
    </row>
    <row r="253" spans="1:6" x14ac:dyDescent="0.2">
      <c r="A253">
        <v>258</v>
      </c>
      <c r="B253" s="14" t="s">
        <v>62</v>
      </c>
      <c r="C253" s="1">
        <v>45530</v>
      </c>
      <c r="D253" s="14" t="s">
        <v>62</v>
      </c>
      <c r="E253">
        <v>0.37479833806122398</v>
      </c>
      <c r="F253">
        <v>0.37479833806122398</v>
      </c>
    </row>
    <row r="254" spans="1:6" x14ac:dyDescent="0.2">
      <c r="A254">
        <v>259</v>
      </c>
      <c r="B254" s="14" t="s">
        <v>63</v>
      </c>
      <c r="C254" s="1">
        <v>45470</v>
      </c>
      <c r="D254" s="14" t="s">
        <v>63</v>
      </c>
      <c r="E254">
        <v>0.17655947315892101</v>
      </c>
      <c r="F254">
        <v>0.17655947315892101</v>
      </c>
    </row>
    <row r="255" spans="1:6" x14ac:dyDescent="0.2">
      <c r="A255">
        <v>260</v>
      </c>
      <c r="B255" s="14" t="s">
        <v>429</v>
      </c>
      <c r="C255" s="1">
        <v>45601</v>
      </c>
      <c r="D255" s="14" t="s">
        <v>429</v>
      </c>
      <c r="E255">
        <v>0.32515442531356598</v>
      </c>
      <c r="F255">
        <v>0.32515442531356598</v>
      </c>
    </row>
    <row r="256" spans="1:6" x14ac:dyDescent="0.2">
      <c r="A256">
        <v>260</v>
      </c>
      <c r="B256" s="14" t="s">
        <v>430</v>
      </c>
      <c r="C256" s="1">
        <v>45521</v>
      </c>
      <c r="D256" s="14" t="s">
        <v>430</v>
      </c>
      <c r="E256">
        <v>0.17888819708912801</v>
      </c>
      <c r="F256">
        <v>0.17888819708912801</v>
      </c>
    </row>
    <row r="257" spans="1:6" x14ac:dyDescent="0.2">
      <c r="A257">
        <v>261</v>
      </c>
      <c r="B257" s="14" t="s">
        <v>431</v>
      </c>
      <c r="C257" s="1">
        <v>45641</v>
      </c>
      <c r="D257" s="14" t="s">
        <v>431</v>
      </c>
      <c r="E257">
        <v>7.2853623324762695E-2</v>
      </c>
      <c r="F257">
        <v>7.2853623324762695E-2</v>
      </c>
    </row>
    <row r="258" spans="1:6" x14ac:dyDescent="0.2">
      <c r="A258">
        <v>261</v>
      </c>
      <c r="B258" s="14" t="s">
        <v>201</v>
      </c>
      <c r="C258" s="1">
        <v>45362</v>
      </c>
      <c r="D258" s="14" t="s">
        <v>201</v>
      </c>
      <c r="E258">
        <v>4.8377927364996902E-2</v>
      </c>
      <c r="F258">
        <v>4.8377927364996902E-2</v>
      </c>
    </row>
    <row r="259" spans="1:6" x14ac:dyDescent="0.2">
      <c r="A259">
        <v>261</v>
      </c>
      <c r="B259" s="14" t="s">
        <v>432</v>
      </c>
      <c r="C259" s="1">
        <v>45657</v>
      </c>
      <c r="D259" s="14" t="s">
        <v>432</v>
      </c>
      <c r="E259">
        <v>0.170323558722065</v>
      </c>
      <c r="F259">
        <v>0.170323558722065</v>
      </c>
    </row>
    <row r="260" spans="1:6" x14ac:dyDescent="0.2">
      <c r="A260">
        <v>262</v>
      </c>
      <c r="B260" s="14" t="s">
        <v>433</v>
      </c>
      <c r="C260" s="1">
        <v>45480</v>
      </c>
      <c r="D260" s="14" t="s">
        <v>433</v>
      </c>
      <c r="E260">
        <v>0.27345400977506001</v>
      </c>
      <c r="F260">
        <v>0.27345400977506001</v>
      </c>
    </row>
    <row r="261" spans="1:6" x14ac:dyDescent="0.2">
      <c r="A261">
        <v>262</v>
      </c>
      <c r="B261" s="14" t="s">
        <v>434</v>
      </c>
      <c r="C261" s="1">
        <v>45558</v>
      </c>
      <c r="D261" s="14" t="s">
        <v>434</v>
      </c>
      <c r="E261">
        <v>9.2954153925750901E-3</v>
      </c>
      <c r="F261">
        <v>9.2954153925750901E-3</v>
      </c>
    </row>
    <row r="262" spans="1:6" x14ac:dyDescent="0.2">
      <c r="A262">
        <v>263</v>
      </c>
      <c r="B262" s="14" t="s">
        <v>435</v>
      </c>
      <c r="C262" s="1">
        <v>45452</v>
      </c>
      <c r="D262" s="14" t="s">
        <v>435</v>
      </c>
      <c r="E262">
        <v>0.18081811475013901</v>
      </c>
      <c r="F262">
        <v>0.18081811475013901</v>
      </c>
    </row>
    <row r="263" spans="1:6" x14ac:dyDescent="0.2">
      <c r="A263">
        <v>264</v>
      </c>
      <c r="B263" s="14" t="s">
        <v>202</v>
      </c>
      <c r="C263" s="1">
        <v>45496</v>
      </c>
      <c r="D263" s="14" t="s">
        <v>202</v>
      </c>
      <c r="E263">
        <v>0.13924808811192599</v>
      </c>
      <c r="F263">
        <v>0.13924808811192599</v>
      </c>
    </row>
    <row r="264" spans="1:6" x14ac:dyDescent="0.2">
      <c r="A264">
        <v>264</v>
      </c>
      <c r="B264" s="14" t="s">
        <v>436</v>
      </c>
      <c r="C264" s="1">
        <v>45559</v>
      </c>
      <c r="D264" s="14" t="s">
        <v>436</v>
      </c>
      <c r="E264">
        <v>0.27338710959478701</v>
      </c>
      <c r="F264">
        <v>0.27338710959478701</v>
      </c>
    </row>
    <row r="265" spans="1:6" x14ac:dyDescent="0.2">
      <c r="A265">
        <v>264</v>
      </c>
      <c r="B265" s="14" t="s">
        <v>102</v>
      </c>
      <c r="C265" s="1">
        <v>45582</v>
      </c>
      <c r="D265" s="14" t="s">
        <v>102</v>
      </c>
      <c r="E265">
        <v>0.18969606299959199</v>
      </c>
      <c r="F265">
        <v>0.18969606299959199</v>
      </c>
    </row>
    <row r="266" spans="1:6" x14ac:dyDescent="0.2">
      <c r="A266">
        <v>265</v>
      </c>
      <c r="B266" s="14" t="s">
        <v>119</v>
      </c>
      <c r="C266" s="1">
        <v>45324</v>
      </c>
      <c r="D266" s="14" t="s">
        <v>119</v>
      </c>
      <c r="E266">
        <v>0.28386160296985102</v>
      </c>
      <c r="F266">
        <v>0.28386160296985102</v>
      </c>
    </row>
    <row r="267" spans="1:6" x14ac:dyDescent="0.2">
      <c r="A267">
        <v>266</v>
      </c>
      <c r="B267" s="14" t="s">
        <v>437</v>
      </c>
      <c r="C267" s="1">
        <v>45409</v>
      </c>
      <c r="D267" s="14" t="s">
        <v>437</v>
      </c>
      <c r="E267">
        <v>0.165198016412749</v>
      </c>
      <c r="F267">
        <v>0.165198016412749</v>
      </c>
    </row>
    <row r="268" spans="1:6" x14ac:dyDescent="0.2">
      <c r="A268">
        <v>270</v>
      </c>
      <c r="B268" s="14" t="s">
        <v>203</v>
      </c>
      <c r="C268" s="1">
        <v>45551</v>
      </c>
      <c r="D268" s="14" t="s">
        <v>203</v>
      </c>
      <c r="E268">
        <v>0.13100962547928799</v>
      </c>
      <c r="F268">
        <v>0.13100962547928799</v>
      </c>
    </row>
    <row r="269" spans="1:6" x14ac:dyDescent="0.2">
      <c r="A269">
        <v>271</v>
      </c>
      <c r="B269" s="14" t="s">
        <v>438</v>
      </c>
      <c r="C269" s="1">
        <v>45342</v>
      </c>
      <c r="D269" s="14" t="s">
        <v>438</v>
      </c>
      <c r="E269">
        <v>0.166893038813828</v>
      </c>
      <c r="F269">
        <v>0.166893038813828</v>
      </c>
    </row>
    <row r="270" spans="1:6" x14ac:dyDescent="0.2">
      <c r="A270">
        <v>271</v>
      </c>
      <c r="B270" s="14" t="s">
        <v>204</v>
      </c>
      <c r="C270" s="1">
        <v>45446</v>
      </c>
      <c r="D270" s="14" t="s">
        <v>204</v>
      </c>
      <c r="E270">
        <v>0.57386402372842005</v>
      </c>
      <c r="F270">
        <v>0.57386402372842005</v>
      </c>
    </row>
    <row r="271" spans="1:6" x14ac:dyDescent="0.2">
      <c r="A271">
        <v>275</v>
      </c>
      <c r="B271" s="14" t="s">
        <v>439</v>
      </c>
      <c r="C271" s="1">
        <v>45566</v>
      </c>
      <c r="D271" s="14" t="s">
        <v>439</v>
      </c>
      <c r="E271">
        <v>0.14783157129394101</v>
      </c>
      <c r="F271">
        <v>0.14783157129394101</v>
      </c>
    </row>
    <row r="272" spans="1:6" x14ac:dyDescent="0.2">
      <c r="A272">
        <v>275</v>
      </c>
      <c r="B272" s="14" t="s">
        <v>440</v>
      </c>
      <c r="C272" s="1">
        <v>45568</v>
      </c>
      <c r="D272" s="14" t="s">
        <v>440</v>
      </c>
      <c r="E272">
        <v>1.0187430162571801E-2</v>
      </c>
      <c r="F272">
        <v>1.0187430162571801E-2</v>
      </c>
    </row>
    <row r="273" spans="1:9" x14ac:dyDescent="0.2">
      <c r="A273">
        <v>276</v>
      </c>
      <c r="B273" s="14" t="s">
        <v>88</v>
      </c>
      <c r="C273" s="1">
        <v>45616</v>
      </c>
      <c r="D273" s="14" t="s">
        <v>88</v>
      </c>
      <c r="E273">
        <v>0.13657082912417001</v>
      </c>
      <c r="F273">
        <v>0.13657082912417001</v>
      </c>
    </row>
    <row r="274" spans="1:9" x14ac:dyDescent="0.2">
      <c r="A274">
        <v>277</v>
      </c>
      <c r="B274" s="14" t="s">
        <v>205</v>
      </c>
      <c r="C274" s="1">
        <v>45321</v>
      </c>
      <c r="D274" s="14" t="s">
        <v>205</v>
      </c>
      <c r="E274">
        <v>0.313694141733872</v>
      </c>
      <c r="F274">
        <v>0.313694141733872</v>
      </c>
    </row>
    <row r="275" spans="1:9" x14ac:dyDescent="0.2">
      <c r="A275">
        <v>277</v>
      </c>
      <c r="B275" s="14" t="s">
        <v>441</v>
      </c>
      <c r="C275" s="1">
        <v>45609</v>
      </c>
      <c r="D275" s="14" t="s">
        <v>441</v>
      </c>
      <c r="E275">
        <v>0.13128763811945701</v>
      </c>
      <c r="F275">
        <v>0.13128763811945701</v>
      </c>
      <c r="I275" s="5"/>
    </row>
    <row r="276" spans="1:9" x14ac:dyDescent="0.2">
      <c r="A276">
        <v>277</v>
      </c>
      <c r="B276" s="14" t="s">
        <v>442</v>
      </c>
      <c r="C276" s="1">
        <v>45407</v>
      </c>
      <c r="D276" s="14" t="s">
        <v>442</v>
      </c>
      <c r="E276">
        <v>0.13232590605831401</v>
      </c>
      <c r="F276">
        <v>0.13232590605831401</v>
      </c>
    </row>
    <row r="277" spans="1:9" x14ac:dyDescent="0.2">
      <c r="A277">
        <v>278</v>
      </c>
      <c r="B277" s="14" t="s">
        <v>64</v>
      </c>
      <c r="C277" s="1">
        <v>45387</v>
      </c>
      <c r="D277" s="14" t="s">
        <v>64</v>
      </c>
      <c r="E277">
        <v>0.125939230300291</v>
      </c>
      <c r="F277">
        <v>0.125939230300291</v>
      </c>
    </row>
    <row r="278" spans="1:9" x14ac:dyDescent="0.2">
      <c r="A278">
        <v>280</v>
      </c>
      <c r="B278" s="14" t="s">
        <v>288</v>
      </c>
      <c r="C278" s="1">
        <v>45471</v>
      </c>
      <c r="D278" s="14" t="s">
        <v>288</v>
      </c>
      <c r="E278">
        <v>0.55406327267497901</v>
      </c>
      <c r="F278">
        <v>0.55406327267497901</v>
      </c>
    </row>
    <row r="279" spans="1:9" x14ac:dyDescent="0.2">
      <c r="A279">
        <v>281</v>
      </c>
      <c r="B279" s="14" t="s">
        <v>206</v>
      </c>
      <c r="C279" s="1">
        <v>45366</v>
      </c>
      <c r="D279" s="14" t="s">
        <v>206</v>
      </c>
      <c r="E279">
        <v>0.36222935949295398</v>
      </c>
      <c r="F279">
        <v>0.36222935949295398</v>
      </c>
    </row>
    <row r="280" spans="1:9" x14ac:dyDescent="0.2">
      <c r="A280">
        <v>281</v>
      </c>
      <c r="B280" s="14" t="s">
        <v>207</v>
      </c>
      <c r="C280" s="1">
        <v>45587</v>
      </c>
      <c r="D280" s="14" t="s">
        <v>207</v>
      </c>
      <c r="E280">
        <v>0.197810505251761</v>
      </c>
      <c r="F280">
        <v>0.197810505251761</v>
      </c>
    </row>
    <row r="281" spans="1:9" x14ac:dyDescent="0.2">
      <c r="A281">
        <v>283</v>
      </c>
      <c r="B281" s="14" t="s">
        <v>208</v>
      </c>
      <c r="C281" s="1">
        <v>45349</v>
      </c>
      <c r="D281" s="14" t="s">
        <v>208</v>
      </c>
      <c r="E281">
        <v>0.11283438595663101</v>
      </c>
      <c r="F281">
        <v>0.11283438595663101</v>
      </c>
    </row>
    <row r="282" spans="1:9" x14ac:dyDescent="0.2">
      <c r="A282">
        <v>286</v>
      </c>
      <c r="B282" s="14" t="s">
        <v>443</v>
      </c>
      <c r="C282" s="1">
        <v>45453</v>
      </c>
      <c r="D282" s="14" t="s">
        <v>443</v>
      </c>
      <c r="E282">
        <v>7.9821505492401107E-2</v>
      </c>
      <c r="F282">
        <v>7.9821505492401107E-2</v>
      </c>
    </row>
    <row r="283" spans="1:9" x14ac:dyDescent="0.2">
      <c r="A283">
        <v>290</v>
      </c>
      <c r="B283" s="14" t="s">
        <v>444</v>
      </c>
      <c r="C283" s="1">
        <v>45595</v>
      </c>
      <c r="D283" s="14" t="s">
        <v>444</v>
      </c>
      <c r="E283">
        <v>6.7919531643255301E-2</v>
      </c>
      <c r="F283">
        <v>6.7919531643255301E-2</v>
      </c>
    </row>
    <row r="284" spans="1:9" x14ac:dyDescent="0.2">
      <c r="A284">
        <v>294</v>
      </c>
      <c r="B284" s="14" t="s">
        <v>445</v>
      </c>
      <c r="C284" s="1">
        <v>45295</v>
      </c>
      <c r="D284" s="14" t="s">
        <v>445</v>
      </c>
      <c r="E284">
        <v>0.33123274360971899</v>
      </c>
      <c r="F284">
        <v>0.33123274360971899</v>
      </c>
    </row>
    <row r="285" spans="1:9" x14ac:dyDescent="0.2">
      <c r="A285">
        <v>294</v>
      </c>
      <c r="B285" s="14" t="s">
        <v>209</v>
      </c>
      <c r="C285" s="1">
        <v>45509</v>
      </c>
      <c r="D285" s="14" t="s">
        <v>209</v>
      </c>
      <c r="E285">
        <v>0.27818265027549499</v>
      </c>
      <c r="F285">
        <v>0.27818265027549499</v>
      </c>
    </row>
    <row r="286" spans="1:9" x14ac:dyDescent="0.2">
      <c r="A286">
        <v>295</v>
      </c>
      <c r="B286" s="14" t="s">
        <v>446</v>
      </c>
      <c r="C286" s="1">
        <v>45540</v>
      </c>
      <c r="D286" s="14" t="s">
        <v>446</v>
      </c>
      <c r="E286">
        <v>0.18427306838955501</v>
      </c>
      <c r="F286">
        <v>0.18427306838955501</v>
      </c>
    </row>
    <row r="287" spans="1:9" x14ac:dyDescent="0.2">
      <c r="A287">
        <v>295</v>
      </c>
      <c r="B287" s="14" t="s">
        <v>447</v>
      </c>
      <c r="C287" s="1">
        <v>45350</v>
      </c>
      <c r="D287" s="14" t="s">
        <v>447</v>
      </c>
      <c r="E287">
        <v>0.166700975651247</v>
      </c>
      <c r="F287">
        <v>0.166700975651247</v>
      </c>
    </row>
    <row r="288" spans="1:9" x14ac:dyDescent="0.2">
      <c r="A288">
        <v>296</v>
      </c>
      <c r="B288" s="14" t="s">
        <v>289</v>
      </c>
      <c r="C288" s="1">
        <v>45588</v>
      </c>
      <c r="D288" s="14" t="s">
        <v>289</v>
      </c>
      <c r="E288">
        <v>0.45130579394148002</v>
      </c>
      <c r="F288">
        <v>0.45130579394148002</v>
      </c>
    </row>
    <row r="289" spans="1:6" x14ac:dyDescent="0.2">
      <c r="A289">
        <v>296</v>
      </c>
      <c r="B289" s="14" t="s">
        <v>290</v>
      </c>
      <c r="C289" s="1">
        <v>45326</v>
      </c>
      <c r="D289" s="14" t="s">
        <v>290</v>
      </c>
      <c r="E289">
        <v>0.10773401237720499</v>
      </c>
      <c r="F289">
        <v>0.10773401237720499</v>
      </c>
    </row>
    <row r="290" spans="1:6" x14ac:dyDescent="0.2">
      <c r="A290">
        <v>297</v>
      </c>
      <c r="B290" s="14" t="s">
        <v>448</v>
      </c>
      <c r="C290" s="1">
        <v>45466</v>
      </c>
      <c r="D290" s="14" t="s">
        <v>448</v>
      </c>
      <c r="E290">
        <v>4.7396816684003903E-2</v>
      </c>
      <c r="F290">
        <v>4.7396816684003903E-2</v>
      </c>
    </row>
    <row r="291" spans="1:6" x14ac:dyDescent="0.2">
      <c r="A291">
        <v>297</v>
      </c>
      <c r="B291" s="14" t="s">
        <v>449</v>
      </c>
      <c r="C291" s="1">
        <v>45384</v>
      </c>
      <c r="D291" s="14" t="s">
        <v>449</v>
      </c>
      <c r="E291">
        <v>0.150917783831714</v>
      </c>
      <c r="F291">
        <v>0.150917783831714</v>
      </c>
    </row>
    <row r="292" spans="1:6" x14ac:dyDescent="0.2">
      <c r="A292">
        <v>297</v>
      </c>
      <c r="B292" s="14" t="s">
        <v>450</v>
      </c>
      <c r="C292" s="1">
        <v>45525</v>
      </c>
      <c r="D292" s="14" t="s">
        <v>450</v>
      </c>
      <c r="E292">
        <v>0.21221160113902399</v>
      </c>
      <c r="F292">
        <v>0.21221160113902399</v>
      </c>
    </row>
    <row r="293" spans="1:6" x14ac:dyDescent="0.2">
      <c r="A293">
        <v>297</v>
      </c>
      <c r="B293" s="14" t="s">
        <v>451</v>
      </c>
      <c r="C293" s="1">
        <v>45600</v>
      </c>
      <c r="D293" s="14" t="s">
        <v>451</v>
      </c>
      <c r="E293">
        <v>0.17068039835294799</v>
      </c>
      <c r="F293">
        <v>0.17068039835294799</v>
      </c>
    </row>
    <row r="294" spans="1:6" x14ac:dyDescent="0.2">
      <c r="A294">
        <v>300</v>
      </c>
      <c r="B294" s="14" t="s">
        <v>103</v>
      </c>
      <c r="C294" s="1">
        <v>45441</v>
      </c>
      <c r="D294" s="14" t="s">
        <v>103</v>
      </c>
      <c r="E294">
        <v>2.5513561615363198E-2</v>
      </c>
      <c r="F294">
        <v>2.5513561615363198E-2</v>
      </c>
    </row>
    <row r="295" spans="1:6" x14ac:dyDescent="0.2">
      <c r="A295">
        <v>300</v>
      </c>
      <c r="B295" s="14" t="s">
        <v>104</v>
      </c>
      <c r="C295" s="1">
        <v>45427</v>
      </c>
      <c r="D295" s="14" t="s">
        <v>104</v>
      </c>
      <c r="E295">
        <v>0.263478185814358</v>
      </c>
      <c r="F295">
        <v>0.263478185814358</v>
      </c>
    </row>
    <row r="296" spans="1:6" x14ac:dyDescent="0.2">
      <c r="A296">
        <v>301</v>
      </c>
      <c r="B296" s="14" t="s">
        <v>120</v>
      </c>
      <c r="C296" s="1">
        <v>45489</v>
      </c>
      <c r="D296" s="14" t="s">
        <v>120</v>
      </c>
      <c r="E296">
        <v>0.51259175638871002</v>
      </c>
      <c r="F296">
        <v>0.51259175638871002</v>
      </c>
    </row>
    <row r="297" spans="1:6" x14ac:dyDescent="0.2">
      <c r="A297">
        <v>301</v>
      </c>
      <c r="B297" s="14" t="s">
        <v>121</v>
      </c>
      <c r="C297" s="1">
        <v>45552</v>
      </c>
      <c r="D297" s="14" t="s">
        <v>121</v>
      </c>
      <c r="E297">
        <v>0.15436910333484399</v>
      </c>
      <c r="F297">
        <v>0.15436910333484399</v>
      </c>
    </row>
    <row r="298" spans="1:6" x14ac:dyDescent="0.2">
      <c r="A298">
        <v>303</v>
      </c>
      <c r="B298" s="14" t="s">
        <v>122</v>
      </c>
      <c r="C298" s="1">
        <v>45358</v>
      </c>
      <c r="D298" s="14" t="s">
        <v>122</v>
      </c>
      <c r="E298">
        <v>0.147329564616172</v>
      </c>
      <c r="F298">
        <v>0.147329564616172</v>
      </c>
    </row>
    <row r="299" spans="1:6" x14ac:dyDescent="0.2">
      <c r="A299">
        <v>303</v>
      </c>
      <c r="B299" s="14" t="s">
        <v>41</v>
      </c>
      <c r="C299" s="1">
        <v>45323</v>
      </c>
      <c r="D299" s="14" t="s">
        <v>41</v>
      </c>
      <c r="E299">
        <v>0.14424206047590701</v>
      </c>
      <c r="F299">
        <v>0.14424206047590701</v>
      </c>
    </row>
    <row r="300" spans="1:6" x14ac:dyDescent="0.2">
      <c r="A300">
        <v>304</v>
      </c>
      <c r="B300" s="14" t="s">
        <v>452</v>
      </c>
      <c r="C300" s="1">
        <v>45605</v>
      </c>
      <c r="D300" s="14" t="s">
        <v>452</v>
      </c>
      <c r="E300">
        <v>4.8376843543225002E-2</v>
      </c>
      <c r="F300">
        <v>4.8376843543225002E-2</v>
      </c>
    </row>
    <row r="301" spans="1:6" x14ac:dyDescent="0.2">
      <c r="A301">
        <v>305</v>
      </c>
      <c r="B301" s="14" t="s">
        <v>453</v>
      </c>
      <c r="C301" s="1">
        <v>45406</v>
      </c>
      <c r="D301" s="14" t="s">
        <v>453</v>
      </c>
      <c r="E301">
        <v>0.142526118194156</v>
      </c>
      <c r="F301">
        <v>0.142526118194156</v>
      </c>
    </row>
    <row r="302" spans="1:6" x14ac:dyDescent="0.2">
      <c r="A302">
        <v>306</v>
      </c>
      <c r="B302" s="14" t="s">
        <v>210</v>
      </c>
      <c r="C302" s="1">
        <v>45321</v>
      </c>
      <c r="D302" s="14" t="s">
        <v>210</v>
      </c>
      <c r="E302">
        <v>0.18914453600637299</v>
      </c>
      <c r="F302">
        <v>0.18914453600637299</v>
      </c>
    </row>
    <row r="303" spans="1:6" x14ac:dyDescent="0.2">
      <c r="A303">
        <v>309</v>
      </c>
      <c r="B303" s="14" t="s">
        <v>454</v>
      </c>
      <c r="C303" s="1">
        <v>45500</v>
      </c>
      <c r="D303" s="14" t="s">
        <v>454</v>
      </c>
      <c r="E303">
        <v>4.1298204436462198E-2</v>
      </c>
      <c r="F303">
        <v>4.1298204436462198E-2</v>
      </c>
    </row>
    <row r="304" spans="1:6" x14ac:dyDescent="0.2">
      <c r="A304">
        <v>310</v>
      </c>
      <c r="B304" s="14" t="s">
        <v>455</v>
      </c>
      <c r="C304" s="1">
        <v>45445</v>
      </c>
      <c r="D304" s="14" t="s">
        <v>455</v>
      </c>
      <c r="E304">
        <v>0.22796045681975699</v>
      </c>
      <c r="F304">
        <v>0.22796045681975699</v>
      </c>
    </row>
    <row r="305" spans="1:6" x14ac:dyDescent="0.2">
      <c r="A305">
        <v>311</v>
      </c>
      <c r="B305" s="14" t="s">
        <v>123</v>
      </c>
      <c r="C305" s="1">
        <v>45417</v>
      </c>
      <c r="D305" s="14" t="s">
        <v>123</v>
      </c>
      <c r="E305">
        <v>0.14540181877335501</v>
      </c>
      <c r="F305">
        <v>0.14540181877335501</v>
      </c>
    </row>
    <row r="306" spans="1:6" x14ac:dyDescent="0.2">
      <c r="A306">
        <v>312</v>
      </c>
      <c r="B306" s="14" t="s">
        <v>291</v>
      </c>
      <c r="C306" s="1">
        <v>45622</v>
      </c>
      <c r="D306" s="14" t="s">
        <v>291</v>
      </c>
      <c r="E306">
        <v>0.15315301692813499</v>
      </c>
      <c r="F306">
        <v>0.15315301692813499</v>
      </c>
    </row>
    <row r="307" spans="1:6" x14ac:dyDescent="0.2">
      <c r="A307">
        <v>313</v>
      </c>
      <c r="B307" s="14" t="s">
        <v>456</v>
      </c>
      <c r="C307" s="1">
        <v>45619</v>
      </c>
      <c r="D307" s="14" t="s">
        <v>456</v>
      </c>
      <c r="E307">
        <v>7.0193665194713206E-2</v>
      </c>
      <c r="F307">
        <v>7.0193665194713206E-2</v>
      </c>
    </row>
    <row r="308" spans="1:6" x14ac:dyDescent="0.2">
      <c r="A308">
        <v>316</v>
      </c>
      <c r="B308" s="14" t="s">
        <v>105</v>
      </c>
      <c r="C308" s="1">
        <v>45426</v>
      </c>
      <c r="D308" s="14" t="s">
        <v>105</v>
      </c>
      <c r="E308">
        <v>9.9276725987245504E-2</v>
      </c>
      <c r="F308">
        <v>9.9276725987245504E-2</v>
      </c>
    </row>
    <row r="309" spans="1:6" x14ac:dyDescent="0.2">
      <c r="A309">
        <v>316</v>
      </c>
      <c r="B309" s="14" t="s">
        <v>106</v>
      </c>
      <c r="C309" s="1">
        <v>45486</v>
      </c>
      <c r="D309" s="14" t="s">
        <v>106</v>
      </c>
      <c r="E309">
        <v>0.356739411300461</v>
      </c>
      <c r="F309">
        <v>0.356739411300461</v>
      </c>
    </row>
    <row r="310" spans="1:6" x14ac:dyDescent="0.2">
      <c r="A310">
        <v>317</v>
      </c>
      <c r="B310" s="14" t="s">
        <v>457</v>
      </c>
      <c r="C310" s="1">
        <v>45378</v>
      </c>
      <c r="D310" s="14" t="s">
        <v>457</v>
      </c>
      <c r="E310">
        <v>0.12737718641228599</v>
      </c>
      <c r="F310">
        <v>0.12737718641228599</v>
      </c>
    </row>
    <row r="311" spans="1:6" x14ac:dyDescent="0.2">
      <c r="A311">
        <v>317</v>
      </c>
      <c r="B311" s="14" t="s">
        <v>42</v>
      </c>
      <c r="C311" s="1">
        <v>45337</v>
      </c>
      <c r="D311" s="14" t="s">
        <v>42</v>
      </c>
      <c r="E311">
        <v>0.18190042067043699</v>
      </c>
      <c r="F311">
        <v>0.18190042067043699</v>
      </c>
    </row>
    <row r="312" spans="1:6" x14ac:dyDescent="0.2">
      <c r="A312">
        <v>320</v>
      </c>
      <c r="B312" s="14" t="s">
        <v>43</v>
      </c>
      <c r="C312" s="1">
        <v>45633</v>
      </c>
      <c r="D312" s="14" t="s">
        <v>43</v>
      </c>
      <c r="E312">
        <v>0.22198184210665201</v>
      </c>
      <c r="F312">
        <v>0.22198184210665201</v>
      </c>
    </row>
    <row r="313" spans="1:6" x14ac:dyDescent="0.2">
      <c r="A313">
        <v>320</v>
      </c>
      <c r="B313" s="14" t="s">
        <v>458</v>
      </c>
      <c r="C313" s="1">
        <v>45389</v>
      </c>
      <c r="D313" s="14" t="s">
        <v>458</v>
      </c>
      <c r="E313">
        <v>4.29864476502205E-2</v>
      </c>
      <c r="F313">
        <v>4.29864476502205E-2</v>
      </c>
    </row>
    <row r="314" spans="1:6" x14ac:dyDescent="0.2">
      <c r="A314">
        <v>321</v>
      </c>
      <c r="B314" s="14" t="s">
        <v>292</v>
      </c>
      <c r="C314" s="1">
        <v>45311</v>
      </c>
      <c r="D314" s="14" t="s">
        <v>292</v>
      </c>
      <c r="E314">
        <v>0.123064284019373</v>
      </c>
      <c r="F314">
        <v>0.123064284019373</v>
      </c>
    </row>
    <row r="315" spans="1:6" x14ac:dyDescent="0.2">
      <c r="A315">
        <v>321</v>
      </c>
      <c r="B315" s="14" t="s">
        <v>211</v>
      </c>
      <c r="C315" s="1">
        <v>45448</v>
      </c>
      <c r="D315" s="14" t="s">
        <v>211</v>
      </c>
      <c r="E315">
        <v>0.12652974753837501</v>
      </c>
      <c r="F315">
        <v>0.12652974753837501</v>
      </c>
    </row>
    <row r="316" spans="1:6" x14ac:dyDescent="0.2">
      <c r="A316">
        <v>324</v>
      </c>
      <c r="B316" s="14" t="s">
        <v>293</v>
      </c>
      <c r="C316" s="1">
        <v>45428</v>
      </c>
      <c r="D316" s="14" t="s">
        <v>293</v>
      </c>
      <c r="E316">
        <v>0.31019538650107698</v>
      </c>
      <c r="F316">
        <v>0.31019538650107698</v>
      </c>
    </row>
    <row r="317" spans="1:6" x14ac:dyDescent="0.2">
      <c r="A317">
        <v>327</v>
      </c>
      <c r="B317" s="14" t="s">
        <v>459</v>
      </c>
      <c r="C317" s="1">
        <v>45514</v>
      </c>
      <c r="D317" s="14" t="s">
        <v>459</v>
      </c>
      <c r="E317">
        <v>0.110029908535503</v>
      </c>
      <c r="F317">
        <v>0.110029908535503</v>
      </c>
    </row>
    <row r="318" spans="1:6" x14ac:dyDescent="0.2">
      <c r="A318">
        <v>327</v>
      </c>
      <c r="B318" s="14" t="s">
        <v>460</v>
      </c>
      <c r="C318" s="1">
        <v>45305</v>
      </c>
      <c r="D318" s="14" t="s">
        <v>460</v>
      </c>
      <c r="E318">
        <v>4.38634564580156E-2</v>
      </c>
      <c r="F318">
        <v>4.38634564580156E-2</v>
      </c>
    </row>
    <row r="319" spans="1:6" x14ac:dyDescent="0.2">
      <c r="A319">
        <v>327</v>
      </c>
      <c r="B319" s="14" t="s">
        <v>461</v>
      </c>
      <c r="C319" s="1">
        <v>45523</v>
      </c>
      <c r="D319" s="14" t="s">
        <v>461</v>
      </c>
      <c r="E319">
        <v>0.134369055893649</v>
      </c>
      <c r="F319">
        <v>0.134369055893649</v>
      </c>
    </row>
    <row r="320" spans="1:6" x14ac:dyDescent="0.2">
      <c r="A320">
        <v>327</v>
      </c>
      <c r="B320" s="14" t="s">
        <v>462</v>
      </c>
      <c r="C320" s="1">
        <v>45635</v>
      </c>
      <c r="D320" s="14" t="s">
        <v>462</v>
      </c>
      <c r="E320">
        <v>0.48785338318251198</v>
      </c>
      <c r="F320">
        <v>0.48785338318251198</v>
      </c>
    </row>
    <row r="321" spans="1:6" x14ac:dyDescent="0.2">
      <c r="A321">
        <v>327</v>
      </c>
      <c r="B321" s="14" t="s">
        <v>294</v>
      </c>
      <c r="C321" s="1">
        <v>45328</v>
      </c>
      <c r="D321" s="14" t="s">
        <v>294</v>
      </c>
      <c r="E321">
        <v>0.53806837327236801</v>
      </c>
      <c r="F321">
        <v>0.53806837327236801</v>
      </c>
    </row>
    <row r="322" spans="1:6" x14ac:dyDescent="0.2">
      <c r="A322">
        <v>330</v>
      </c>
      <c r="B322" s="14" t="s">
        <v>212</v>
      </c>
      <c r="C322" s="1">
        <v>45441</v>
      </c>
      <c r="D322" s="14" t="s">
        <v>212</v>
      </c>
      <c r="E322">
        <v>0.634011850913488</v>
      </c>
      <c r="F322">
        <v>0.634011850913488</v>
      </c>
    </row>
    <row r="323" spans="1:6" x14ac:dyDescent="0.2">
      <c r="A323">
        <v>330</v>
      </c>
      <c r="B323" s="14" t="s">
        <v>44</v>
      </c>
      <c r="C323" s="1">
        <v>45463</v>
      </c>
      <c r="D323" s="14" t="s">
        <v>44</v>
      </c>
      <c r="E323">
        <v>3.4427597825963802E-2</v>
      </c>
      <c r="F323">
        <v>3.4427597825963802E-2</v>
      </c>
    </row>
    <row r="324" spans="1:6" x14ac:dyDescent="0.2">
      <c r="A324">
        <v>331</v>
      </c>
      <c r="B324" s="14" t="s">
        <v>463</v>
      </c>
      <c r="C324" s="1">
        <v>45558</v>
      </c>
      <c r="D324" s="14" t="s">
        <v>463</v>
      </c>
      <c r="E324">
        <v>0.157985178662431</v>
      </c>
      <c r="F324">
        <v>0.157985178662431</v>
      </c>
    </row>
    <row r="325" spans="1:6" x14ac:dyDescent="0.2">
      <c r="A325">
        <v>333</v>
      </c>
      <c r="B325" s="14" t="s">
        <v>45</v>
      </c>
      <c r="C325" s="1">
        <v>45465</v>
      </c>
      <c r="D325" s="14" t="s">
        <v>45</v>
      </c>
      <c r="E325">
        <v>6.4692541525284003E-2</v>
      </c>
      <c r="F325">
        <v>6.4692541525284003E-2</v>
      </c>
    </row>
    <row r="326" spans="1:6" x14ac:dyDescent="0.2">
      <c r="A326">
        <v>333</v>
      </c>
      <c r="B326" s="14" t="s">
        <v>213</v>
      </c>
      <c r="C326" s="1">
        <v>45629</v>
      </c>
      <c r="D326" s="14" t="s">
        <v>213</v>
      </c>
      <c r="E326">
        <v>0.170014975073703</v>
      </c>
      <c r="F326">
        <v>0.170014975073703</v>
      </c>
    </row>
    <row r="327" spans="1:6" x14ac:dyDescent="0.2">
      <c r="A327">
        <v>334</v>
      </c>
      <c r="B327" s="14" t="s">
        <v>464</v>
      </c>
      <c r="C327" s="1">
        <v>45489</v>
      </c>
      <c r="D327" s="14" t="s">
        <v>464</v>
      </c>
      <c r="E327">
        <v>5.2097274284924902E-2</v>
      </c>
      <c r="F327">
        <v>5.2097274284924902E-2</v>
      </c>
    </row>
    <row r="328" spans="1:6" x14ac:dyDescent="0.2">
      <c r="A328">
        <v>334</v>
      </c>
      <c r="B328" s="14" t="s">
        <v>465</v>
      </c>
      <c r="C328" s="1">
        <v>45583</v>
      </c>
      <c r="D328" s="14" t="s">
        <v>465</v>
      </c>
      <c r="E328">
        <v>0.33653589147830498</v>
      </c>
      <c r="F328">
        <v>0.33653589147830498</v>
      </c>
    </row>
    <row r="329" spans="1:6" x14ac:dyDescent="0.2">
      <c r="A329">
        <v>336</v>
      </c>
      <c r="B329" s="14" t="s">
        <v>295</v>
      </c>
      <c r="C329" s="1">
        <v>45480</v>
      </c>
      <c r="D329" s="14" t="s">
        <v>295</v>
      </c>
      <c r="E329">
        <v>1.45816561117635E-2</v>
      </c>
      <c r="F329">
        <v>1.45816561117635E-2</v>
      </c>
    </row>
    <row r="330" spans="1:6" x14ac:dyDescent="0.2">
      <c r="A330">
        <v>337</v>
      </c>
      <c r="B330" s="14" t="s">
        <v>46</v>
      </c>
      <c r="C330" s="1">
        <v>45473</v>
      </c>
      <c r="D330" s="14" t="s">
        <v>46</v>
      </c>
      <c r="E330">
        <v>0.38261164632753603</v>
      </c>
      <c r="F330">
        <v>0.38261164632753603</v>
      </c>
    </row>
    <row r="331" spans="1:6" x14ac:dyDescent="0.2">
      <c r="A331">
        <v>338</v>
      </c>
      <c r="B331" s="14" t="s">
        <v>47</v>
      </c>
      <c r="C331" s="1">
        <v>45337</v>
      </c>
      <c r="D331" s="14" t="s">
        <v>47</v>
      </c>
      <c r="E331">
        <v>0.187129400944608</v>
      </c>
      <c r="F331">
        <v>0.187129400944608</v>
      </c>
    </row>
    <row r="332" spans="1:6" x14ac:dyDescent="0.2">
      <c r="A332">
        <v>339</v>
      </c>
      <c r="B332" s="14" t="s">
        <v>466</v>
      </c>
      <c r="C332" s="1">
        <v>45323</v>
      </c>
      <c r="D332" s="14" t="s">
        <v>466</v>
      </c>
      <c r="E332">
        <v>3.5656655729836201E-2</v>
      </c>
      <c r="F332">
        <v>3.5656655729836201E-2</v>
      </c>
    </row>
    <row r="333" spans="1:6" x14ac:dyDescent="0.2">
      <c r="A333">
        <v>340</v>
      </c>
      <c r="B333" s="14" t="s">
        <v>467</v>
      </c>
      <c r="C333" s="1">
        <v>45413</v>
      </c>
      <c r="D333" s="14" t="s">
        <v>467</v>
      </c>
      <c r="E333">
        <v>5.0798795826712997E-2</v>
      </c>
      <c r="F333">
        <v>5.0798795826712997E-2</v>
      </c>
    </row>
    <row r="334" spans="1:6" x14ac:dyDescent="0.2">
      <c r="A334">
        <v>340</v>
      </c>
      <c r="B334" s="14" t="s">
        <v>468</v>
      </c>
      <c r="C334" s="1">
        <v>45405</v>
      </c>
      <c r="D334" s="14" t="s">
        <v>468</v>
      </c>
      <c r="E334">
        <v>7.6587649518391296E-2</v>
      </c>
      <c r="F334">
        <v>7.6587649518391296E-2</v>
      </c>
    </row>
    <row r="335" spans="1:6" x14ac:dyDescent="0.2">
      <c r="A335">
        <v>340</v>
      </c>
      <c r="B335" s="14" t="s">
        <v>469</v>
      </c>
      <c r="C335" s="1">
        <v>45421</v>
      </c>
      <c r="D335" s="14" t="s">
        <v>469</v>
      </c>
      <c r="E335">
        <v>3.9157043544412698E-2</v>
      </c>
      <c r="F335">
        <v>3.9157043544412698E-2</v>
      </c>
    </row>
    <row r="336" spans="1:6" x14ac:dyDescent="0.2">
      <c r="A336">
        <v>341</v>
      </c>
      <c r="B336" s="14" t="s">
        <v>89</v>
      </c>
      <c r="C336" s="1">
        <v>45609</v>
      </c>
      <c r="D336" s="14" t="s">
        <v>89</v>
      </c>
      <c r="E336">
        <v>0.142546089504274</v>
      </c>
      <c r="F336">
        <v>0.142546089504274</v>
      </c>
    </row>
    <row r="337" spans="1:6" x14ac:dyDescent="0.2">
      <c r="A337">
        <v>343</v>
      </c>
      <c r="B337" s="14" t="s">
        <v>214</v>
      </c>
      <c r="C337" s="1">
        <v>45372</v>
      </c>
      <c r="D337" s="14" t="s">
        <v>214</v>
      </c>
      <c r="E337">
        <v>1.43540623955644E-2</v>
      </c>
      <c r="F337">
        <v>1.43540623955644E-2</v>
      </c>
    </row>
    <row r="338" spans="1:6" x14ac:dyDescent="0.2">
      <c r="A338">
        <v>345</v>
      </c>
      <c r="B338" s="14" t="s">
        <v>107</v>
      </c>
      <c r="C338" s="1">
        <v>45476</v>
      </c>
      <c r="D338" s="14" t="s">
        <v>107</v>
      </c>
      <c r="E338">
        <v>3.35117612884459E-2</v>
      </c>
      <c r="F338">
        <v>3.35117612884459E-2</v>
      </c>
    </row>
    <row r="339" spans="1:6" x14ac:dyDescent="0.2">
      <c r="A339">
        <v>346</v>
      </c>
      <c r="B339" s="14" t="s">
        <v>215</v>
      </c>
      <c r="C339" s="1">
        <v>45517</v>
      </c>
      <c r="D339" s="14" t="s">
        <v>215</v>
      </c>
      <c r="E339">
        <v>4.6415813741994202E-2</v>
      </c>
      <c r="F339">
        <v>4.6415813741994202E-2</v>
      </c>
    </row>
    <row r="340" spans="1:6" x14ac:dyDescent="0.2">
      <c r="A340">
        <v>347</v>
      </c>
      <c r="B340" s="14" t="s">
        <v>470</v>
      </c>
      <c r="C340" s="1">
        <v>45323</v>
      </c>
      <c r="D340" s="14" t="s">
        <v>470</v>
      </c>
      <c r="E340">
        <v>8.6864992527742504E-2</v>
      </c>
      <c r="F340">
        <v>8.6864992527742504E-2</v>
      </c>
    </row>
    <row r="341" spans="1:6" x14ac:dyDescent="0.2">
      <c r="A341">
        <v>347</v>
      </c>
      <c r="B341" s="14" t="s">
        <v>296</v>
      </c>
      <c r="C341" s="1">
        <v>45393</v>
      </c>
      <c r="D341" s="14" t="s">
        <v>296</v>
      </c>
      <c r="E341">
        <v>0.11371551685023</v>
      </c>
      <c r="F341">
        <v>0.11371551685023</v>
      </c>
    </row>
    <row r="342" spans="1:6" x14ac:dyDescent="0.2">
      <c r="A342">
        <v>347</v>
      </c>
      <c r="B342" s="14" t="s">
        <v>124</v>
      </c>
      <c r="C342" s="1">
        <v>45395</v>
      </c>
      <c r="D342" s="14" t="s">
        <v>124</v>
      </c>
      <c r="E342">
        <v>0.175762251774048</v>
      </c>
      <c r="F342">
        <v>0.175762251774048</v>
      </c>
    </row>
    <row r="343" spans="1:6" x14ac:dyDescent="0.2">
      <c r="A343">
        <v>347</v>
      </c>
      <c r="B343" s="14" t="s">
        <v>48</v>
      </c>
      <c r="C343" s="1">
        <v>45415</v>
      </c>
      <c r="D343" s="14" t="s">
        <v>48</v>
      </c>
      <c r="E343">
        <v>0.116045158237533</v>
      </c>
      <c r="F343">
        <v>0.116045158237533</v>
      </c>
    </row>
    <row r="344" spans="1:6" x14ac:dyDescent="0.2">
      <c r="A344">
        <v>348</v>
      </c>
      <c r="B344" s="14" t="s">
        <v>471</v>
      </c>
      <c r="C344" s="1">
        <v>45362</v>
      </c>
      <c r="D344" s="14" t="s">
        <v>471</v>
      </c>
      <c r="E344">
        <v>7.9458364105756601E-2</v>
      </c>
      <c r="F344">
        <v>7.9458364105756601E-2</v>
      </c>
    </row>
    <row r="345" spans="1:6" x14ac:dyDescent="0.2">
      <c r="A345">
        <v>350</v>
      </c>
      <c r="B345" s="14" t="s">
        <v>472</v>
      </c>
      <c r="C345" s="1">
        <v>45327</v>
      </c>
      <c r="D345" s="14" t="s">
        <v>472</v>
      </c>
      <c r="E345">
        <v>0.22778238404279499</v>
      </c>
      <c r="F345">
        <v>0.22778238404279499</v>
      </c>
    </row>
    <row r="346" spans="1:6" x14ac:dyDescent="0.2">
      <c r="A346">
        <v>352</v>
      </c>
      <c r="B346" s="14" t="s">
        <v>473</v>
      </c>
      <c r="C346" s="1">
        <v>45324</v>
      </c>
      <c r="D346" s="14" t="s">
        <v>473</v>
      </c>
      <c r="E346">
        <v>0.27013548905218498</v>
      </c>
      <c r="F346">
        <v>0.27013548905218498</v>
      </c>
    </row>
    <row r="347" spans="1:6" x14ac:dyDescent="0.2">
      <c r="A347">
        <v>352</v>
      </c>
      <c r="B347" s="14" t="s">
        <v>474</v>
      </c>
      <c r="C347" s="1">
        <v>45397</v>
      </c>
      <c r="D347" s="14" t="s">
        <v>474</v>
      </c>
      <c r="E347">
        <v>0.18689819072136499</v>
      </c>
      <c r="F347">
        <v>0.18689819072136499</v>
      </c>
    </row>
    <row r="348" spans="1:6" x14ac:dyDescent="0.2">
      <c r="A348">
        <v>352</v>
      </c>
      <c r="B348" s="14" t="s">
        <v>475</v>
      </c>
      <c r="C348" s="1">
        <v>45323</v>
      </c>
      <c r="D348" s="14" t="s">
        <v>475</v>
      </c>
      <c r="E348">
        <v>6.3484069988255495E-2</v>
      </c>
      <c r="F348">
        <v>6.3484069988255495E-2</v>
      </c>
    </row>
    <row r="349" spans="1:6" x14ac:dyDescent="0.2">
      <c r="A349">
        <v>353</v>
      </c>
      <c r="B349" s="14" t="s">
        <v>476</v>
      </c>
      <c r="C349" s="1">
        <v>45591</v>
      </c>
      <c r="D349" s="14" t="s">
        <v>476</v>
      </c>
      <c r="E349">
        <v>0.104162111072632</v>
      </c>
      <c r="F349">
        <v>0.104162111072632</v>
      </c>
    </row>
    <row r="350" spans="1:6" x14ac:dyDescent="0.2">
      <c r="A350">
        <v>355</v>
      </c>
      <c r="B350" s="14" t="s">
        <v>65</v>
      </c>
      <c r="C350" s="1">
        <v>45387</v>
      </c>
      <c r="D350" s="14" t="s">
        <v>65</v>
      </c>
      <c r="E350">
        <v>0.15432570630515699</v>
      </c>
      <c r="F350">
        <v>0.15432570630515699</v>
      </c>
    </row>
    <row r="351" spans="1:6" x14ac:dyDescent="0.2">
      <c r="A351">
        <v>356</v>
      </c>
      <c r="B351" s="14" t="s">
        <v>477</v>
      </c>
      <c r="C351" s="1">
        <v>45570</v>
      </c>
      <c r="D351" s="14" t="s">
        <v>477</v>
      </c>
      <c r="E351">
        <v>0.14069936399426999</v>
      </c>
      <c r="F351">
        <v>0.14069936399426999</v>
      </c>
    </row>
    <row r="352" spans="1:6" x14ac:dyDescent="0.2">
      <c r="A352">
        <v>356</v>
      </c>
      <c r="B352" s="14" t="s">
        <v>478</v>
      </c>
      <c r="C352" s="1">
        <v>45366</v>
      </c>
      <c r="D352" s="14" t="s">
        <v>478</v>
      </c>
      <c r="E352">
        <v>5.3723136750721802E-2</v>
      </c>
      <c r="F352">
        <v>5.3723136750721802E-2</v>
      </c>
    </row>
    <row r="353" spans="1:6" x14ac:dyDescent="0.2">
      <c r="A353">
        <v>356</v>
      </c>
      <c r="B353" s="14" t="s">
        <v>479</v>
      </c>
      <c r="C353" s="1">
        <v>45608</v>
      </c>
      <c r="D353" s="14" t="s">
        <v>479</v>
      </c>
      <c r="E353">
        <v>4.6082419692808199E-2</v>
      </c>
      <c r="F353">
        <v>4.6082419692808199E-2</v>
      </c>
    </row>
    <row r="354" spans="1:6" x14ac:dyDescent="0.2">
      <c r="A354">
        <v>356</v>
      </c>
      <c r="B354" s="14" t="s">
        <v>480</v>
      </c>
      <c r="C354" s="1">
        <v>45414</v>
      </c>
      <c r="D354" s="14" t="s">
        <v>480</v>
      </c>
      <c r="E354">
        <v>0.10638213034112901</v>
      </c>
      <c r="F354">
        <v>0.10638213034112901</v>
      </c>
    </row>
    <row r="355" spans="1:6" x14ac:dyDescent="0.2">
      <c r="A355">
        <v>357</v>
      </c>
      <c r="B355" s="14" t="s">
        <v>481</v>
      </c>
      <c r="C355" s="1">
        <v>45546</v>
      </c>
      <c r="D355" s="14" t="s">
        <v>481</v>
      </c>
      <c r="E355">
        <v>8.4784697725346206E-2</v>
      </c>
      <c r="F355">
        <v>8.4784697725346206E-2</v>
      </c>
    </row>
    <row r="356" spans="1:6" x14ac:dyDescent="0.2">
      <c r="A356">
        <v>358</v>
      </c>
      <c r="B356" s="14" t="s">
        <v>482</v>
      </c>
      <c r="C356" s="1">
        <v>45638</v>
      </c>
      <c r="D356" s="14" t="s">
        <v>482</v>
      </c>
      <c r="E356">
        <v>0.43095364777225798</v>
      </c>
      <c r="F356">
        <v>0.43095364777225798</v>
      </c>
    </row>
    <row r="357" spans="1:6" x14ac:dyDescent="0.2">
      <c r="A357">
        <v>360</v>
      </c>
      <c r="B357" s="14" t="s">
        <v>483</v>
      </c>
      <c r="C357" s="1">
        <v>45496</v>
      </c>
      <c r="D357" s="14" t="s">
        <v>483</v>
      </c>
      <c r="E357">
        <v>0.20251121424479801</v>
      </c>
      <c r="F357">
        <v>0.20251121424479801</v>
      </c>
    </row>
    <row r="358" spans="1:6" x14ac:dyDescent="0.2">
      <c r="A358">
        <v>360</v>
      </c>
      <c r="B358" s="14" t="s">
        <v>484</v>
      </c>
      <c r="C358" s="1">
        <v>45591</v>
      </c>
      <c r="D358" s="14" t="s">
        <v>484</v>
      </c>
      <c r="E358">
        <v>0.60228905250763698</v>
      </c>
      <c r="F358">
        <v>0.60228905250763698</v>
      </c>
    </row>
    <row r="359" spans="1:6" x14ac:dyDescent="0.2">
      <c r="A359">
        <v>363</v>
      </c>
      <c r="B359" s="14" t="s">
        <v>90</v>
      </c>
      <c r="C359" s="1">
        <v>45624</v>
      </c>
      <c r="D359" s="14" t="s">
        <v>90</v>
      </c>
      <c r="E359">
        <v>0.122428608852819</v>
      </c>
      <c r="F359">
        <v>0.122428608852819</v>
      </c>
    </row>
    <row r="360" spans="1:6" x14ac:dyDescent="0.2">
      <c r="A360">
        <v>363</v>
      </c>
      <c r="B360" s="14" t="s">
        <v>125</v>
      </c>
      <c r="C360" s="1">
        <v>45366</v>
      </c>
      <c r="D360" s="14" t="s">
        <v>125</v>
      </c>
      <c r="E360">
        <v>0.25777920599953302</v>
      </c>
      <c r="F360">
        <v>0.25777920599953302</v>
      </c>
    </row>
    <row r="361" spans="1:6" x14ac:dyDescent="0.2">
      <c r="A361">
        <v>366</v>
      </c>
      <c r="B361" s="14" t="s">
        <v>66</v>
      </c>
      <c r="C361" s="1">
        <v>45609</v>
      </c>
      <c r="D361" s="14" t="s">
        <v>66</v>
      </c>
      <c r="E361">
        <v>0.24189612394257401</v>
      </c>
      <c r="F361">
        <v>0.24189612394257401</v>
      </c>
    </row>
    <row r="362" spans="1:6" x14ac:dyDescent="0.2">
      <c r="A362">
        <v>366</v>
      </c>
      <c r="B362" s="14" t="s">
        <v>91</v>
      </c>
      <c r="C362" s="1">
        <v>45602</v>
      </c>
      <c r="D362" s="14" t="s">
        <v>91</v>
      </c>
      <c r="E362">
        <v>0.186481078830316</v>
      </c>
      <c r="F362">
        <v>0.186481078830316</v>
      </c>
    </row>
    <row r="363" spans="1:6" x14ac:dyDescent="0.2">
      <c r="A363">
        <v>369</v>
      </c>
      <c r="B363" s="14" t="s">
        <v>108</v>
      </c>
      <c r="C363" s="1">
        <v>45536</v>
      </c>
      <c r="D363" s="14" t="s">
        <v>108</v>
      </c>
      <c r="E363">
        <v>0.273142709948556</v>
      </c>
      <c r="F363">
        <v>0.273142709948556</v>
      </c>
    </row>
    <row r="364" spans="1:6" x14ac:dyDescent="0.2">
      <c r="A364">
        <v>370</v>
      </c>
      <c r="B364" s="14" t="s">
        <v>485</v>
      </c>
      <c r="C364" s="1">
        <v>45335</v>
      </c>
      <c r="D364" s="14" t="s">
        <v>485</v>
      </c>
      <c r="E364">
        <v>0.19031691215045299</v>
      </c>
      <c r="F364">
        <v>0.19031691215045299</v>
      </c>
    </row>
    <row r="365" spans="1:6" x14ac:dyDescent="0.2">
      <c r="A365">
        <v>371</v>
      </c>
      <c r="B365" s="14" t="s">
        <v>297</v>
      </c>
      <c r="C365" s="1">
        <v>45647</v>
      </c>
      <c r="D365" s="14" t="s">
        <v>297</v>
      </c>
      <c r="E365">
        <v>0.276838364198075</v>
      </c>
      <c r="F365">
        <v>0.276838364198075</v>
      </c>
    </row>
    <row r="366" spans="1:6" x14ac:dyDescent="0.2">
      <c r="A366">
        <v>373</v>
      </c>
      <c r="B366" s="14" t="s">
        <v>298</v>
      </c>
      <c r="C366" s="1">
        <v>45468</v>
      </c>
      <c r="D366" s="14" t="s">
        <v>298</v>
      </c>
      <c r="E366">
        <v>0.11046107852591799</v>
      </c>
      <c r="F366">
        <v>0.11046107852591799</v>
      </c>
    </row>
    <row r="367" spans="1:6" x14ac:dyDescent="0.2">
      <c r="A367">
        <v>373</v>
      </c>
      <c r="B367" s="14" t="s">
        <v>299</v>
      </c>
      <c r="C367" s="1">
        <v>45463</v>
      </c>
      <c r="D367" s="14" t="s">
        <v>299</v>
      </c>
      <c r="E367">
        <v>0.20764111170306901</v>
      </c>
      <c r="F367">
        <v>0.20764111170306901</v>
      </c>
    </row>
    <row r="368" spans="1:6" x14ac:dyDescent="0.2">
      <c r="A368">
        <v>374</v>
      </c>
      <c r="B368" s="14" t="s">
        <v>486</v>
      </c>
      <c r="C368" s="1">
        <v>45566</v>
      </c>
      <c r="D368" s="14" t="s">
        <v>486</v>
      </c>
      <c r="E368">
        <v>0.16560100010067</v>
      </c>
      <c r="F368">
        <v>0.16560100010067</v>
      </c>
    </row>
    <row r="369" spans="1:6" x14ac:dyDescent="0.2">
      <c r="A369">
        <v>375</v>
      </c>
      <c r="B369" s="14" t="s">
        <v>487</v>
      </c>
      <c r="C369" s="1">
        <v>45385</v>
      </c>
      <c r="D369" s="14" t="s">
        <v>487</v>
      </c>
      <c r="E369">
        <v>0.154792847051134</v>
      </c>
      <c r="F369">
        <v>0.154792847051134</v>
      </c>
    </row>
    <row r="370" spans="1:6" x14ac:dyDescent="0.2">
      <c r="A370">
        <v>376</v>
      </c>
      <c r="B370" s="14" t="s">
        <v>488</v>
      </c>
      <c r="C370" s="1">
        <v>45593</v>
      </c>
      <c r="D370" s="14" t="s">
        <v>488</v>
      </c>
      <c r="E370">
        <v>0.19073436750445499</v>
      </c>
      <c r="F370">
        <v>0.19073436750445499</v>
      </c>
    </row>
    <row r="371" spans="1:6" x14ac:dyDescent="0.2">
      <c r="A371">
        <v>376</v>
      </c>
      <c r="B371" s="14" t="s">
        <v>92</v>
      </c>
      <c r="C371" s="1">
        <v>45642</v>
      </c>
      <c r="D371" s="14" t="s">
        <v>92</v>
      </c>
      <c r="E371">
        <v>0.132436710240947</v>
      </c>
      <c r="F371">
        <v>0.132436710240947</v>
      </c>
    </row>
    <row r="372" spans="1:6" x14ac:dyDescent="0.2">
      <c r="A372">
        <v>376</v>
      </c>
      <c r="B372" s="14" t="s">
        <v>126</v>
      </c>
      <c r="C372" s="1">
        <v>45303</v>
      </c>
      <c r="D372" s="14" t="s">
        <v>126</v>
      </c>
      <c r="E372">
        <v>7.0086356474215697E-2</v>
      </c>
      <c r="F372">
        <v>7.0086356474215697E-2</v>
      </c>
    </row>
    <row r="373" spans="1:6" x14ac:dyDescent="0.2">
      <c r="A373">
        <v>377</v>
      </c>
      <c r="B373" s="14" t="s">
        <v>49</v>
      </c>
      <c r="C373" s="1">
        <v>45507</v>
      </c>
      <c r="D373" s="14" t="s">
        <v>49</v>
      </c>
      <c r="E373">
        <v>0.11945465058044499</v>
      </c>
      <c r="F373">
        <v>0.11945465058044499</v>
      </c>
    </row>
    <row r="374" spans="1:6" x14ac:dyDescent="0.2">
      <c r="A374">
        <v>377</v>
      </c>
      <c r="B374" s="14" t="s">
        <v>93</v>
      </c>
      <c r="C374" s="1">
        <v>45564</v>
      </c>
      <c r="D374" s="14" t="s">
        <v>93</v>
      </c>
      <c r="E374">
        <v>0.31318286247308502</v>
      </c>
      <c r="F374">
        <v>0.31318286247308502</v>
      </c>
    </row>
    <row r="375" spans="1:6" x14ac:dyDescent="0.2">
      <c r="A375">
        <v>380</v>
      </c>
      <c r="B375" s="14" t="s">
        <v>94</v>
      </c>
      <c r="C375" s="1">
        <v>45393</v>
      </c>
      <c r="D375" s="14" t="s">
        <v>94</v>
      </c>
      <c r="E375">
        <v>5.0890603680890198E-2</v>
      </c>
      <c r="F375">
        <v>5.0890603680890198E-2</v>
      </c>
    </row>
    <row r="376" spans="1:6" x14ac:dyDescent="0.2">
      <c r="A376">
        <v>380</v>
      </c>
      <c r="B376" s="14" t="s">
        <v>216</v>
      </c>
      <c r="C376" s="1">
        <v>45542</v>
      </c>
      <c r="D376" s="14" t="s">
        <v>216</v>
      </c>
      <c r="E376">
        <v>0.17056801049679299</v>
      </c>
      <c r="F376">
        <v>0.17056801049679299</v>
      </c>
    </row>
    <row r="377" spans="1:6" x14ac:dyDescent="0.2">
      <c r="A377">
        <v>380</v>
      </c>
      <c r="B377" s="14" t="s">
        <v>217</v>
      </c>
      <c r="C377" s="1">
        <v>45460</v>
      </c>
      <c r="D377" s="14" t="s">
        <v>217</v>
      </c>
      <c r="E377">
        <v>6.5899196057089507E-2</v>
      </c>
      <c r="F377">
        <v>6.5899196057089507E-2</v>
      </c>
    </row>
    <row r="378" spans="1:6" x14ac:dyDescent="0.2">
      <c r="A378">
        <v>381</v>
      </c>
      <c r="B378" s="14" t="s">
        <v>218</v>
      </c>
      <c r="C378" s="1">
        <v>45339</v>
      </c>
      <c r="D378" s="14" t="s">
        <v>218</v>
      </c>
      <c r="E378">
        <v>0.29563360857981402</v>
      </c>
      <c r="F378">
        <v>0.29563360857981402</v>
      </c>
    </row>
    <row r="379" spans="1:6" x14ac:dyDescent="0.2">
      <c r="A379">
        <v>382</v>
      </c>
      <c r="B379" s="14" t="s">
        <v>219</v>
      </c>
      <c r="C379" s="1">
        <v>45470</v>
      </c>
      <c r="D379" s="14" t="s">
        <v>219</v>
      </c>
      <c r="E379">
        <v>0.310940799649851</v>
      </c>
      <c r="F379">
        <v>0.310940799649851</v>
      </c>
    </row>
    <row r="380" spans="1:6" x14ac:dyDescent="0.2">
      <c r="A380">
        <v>382</v>
      </c>
      <c r="B380" s="14" t="s">
        <v>95</v>
      </c>
      <c r="C380" s="1">
        <v>45629</v>
      </c>
      <c r="D380" s="14" t="s">
        <v>95</v>
      </c>
      <c r="E380">
        <v>0.17284916445308601</v>
      </c>
      <c r="F380">
        <v>0.17284916445308601</v>
      </c>
    </row>
    <row r="381" spans="1:6" x14ac:dyDescent="0.2">
      <c r="A381">
        <v>383</v>
      </c>
      <c r="B381" s="14" t="s">
        <v>489</v>
      </c>
      <c r="C381" s="1">
        <v>45483</v>
      </c>
      <c r="D381" s="14" t="s">
        <v>489</v>
      </c>
      <c r="E381">
        <v>9.0662175279319607E-2</v>
      </c>
      <c r="F381">
        <v>9.0662175279319607E-2</v>
      </c>
    </row>
    <row r="382" spans="1:6" x14ac:dyDescent="0.2">
      <c r="A382">
        <v>384</v>
      </c>
      <c r="B382" s="14" t="s">
        <v>490</v>
      </c>
      <c r="C382" s="1">
        <v>45352</v>
      </c>
      <c r="D382" s="14" t="s">
        <v>490</v>
      </c>
      <c r="E382">
        <v>0.17838524452836299</v>
      </c>
      <c r="F382">
        <v>0.17838524452836299</v>
      </c>
    </row>
    <row r="383" spans="1:6" x14ac:dyDescent="0.2">
      <c r="A383">
        <v>384</v>
      </c>
      <c r="B383" s="14" t="s">
        <v>109</v>
      </c>
      <c r="C383" s="1">
        <v>45609</v>
      </c>
      <c r="D383" s="14" t="s">
        <v>109</v>
      </c>
      <c r="E383">
        <v>0.2563322577928</v>
      </c>
      <c r="F383">
        <v>0.2563322577928</v>
      </c>
    </row>
    <row r="384" spans="1:6" x14ac:dyDescent="0.2">
      <c r="A384">
        <v>385</v>
      </c>
      <c r="B384" s="14" t="s">
        <v>491</v>
      </c>
      <c r="C384" s="1">
        <v>45570</v>
      </c>
      <c r="D384" s="14" t="s">
        <v>491</v>
      </c>
      <c r="E384">
        <v>0.101795842580063</v>
      </c>
      <c r="F384">
        <v>0.101795842580063</v>
      </c>
    </row>
    <row r="385" spans="1:6" x14ac:dyDescent="0.2">
      <c r="A385">
        <v>386</v>
      </c>
      <c r="B385" s="14" t="s">
        <v>300</v>
      </c>
      <c r="C385" s="1">
        <v>45302</v>
      </c>
      <c r="D385" s="14" t="s">
        <v>300</v>
      </c>
      <c r="E385">
        <v>0.12383652844482</v>
      </c>
      <c r="F385">
        <v>0.12383652844482</v>
      </c>
    </row>
    <row r="386" spans="1:6" x14ac:dyDescent="0.2">
      <c r="A386">
        <v>386</v>
      </c>
      <c r="B386" s="14" t="s">
        <v>301</v>
      </c>
      <c r="C386" s="1">
        <v>45526</v>
      </c>
      <c r="D386" s="14" t="s">
        <v>301</v>
      </c>
      <c r="E386">
        <v>0.151923664307208</v>
      </c>
      <c r="F386">
        <v>0.151923664307208</v>
      </c>
    </row>
    <row r="387" spans="1:6" x14ac:dyDescent="0.2">
      <c r="A387">
        <v>391</v>
      </c>
      <c r="B387" s="14" t="s">
        <v>220</v>
      </c>
      <c r="C387" s="1">
        <v>45390</v>
      </c>
      <c r="D387" s="14" t="s">
        <v>220</v>
      </c>
      <c r="E387">
        <v>0.20774395002721099</v>
      </c>
      <c r="F387">
        <v>0.20774395002721099</v>
      </c>
    </row>
    <row r="388" spans="1:6" x14ac:dyDescent="0.2">
      <c r="A388">
        <v>391</v>
      </c>
      <c r="B388" s="14" t="s">
        <v>492</v>
      </c>
      <c r="C388" s="1">
        <v>45298</v>
      </c>
      <c r="D388" s="14" t="s">
        <v>492</v>
      </c>
      <c r="E388">
        <v>2.2599537125891401E-2</v>
      </c>
      <c r="F388">
        <v>2.2599537125891401E-2</v>
      </c>
    </row>
    <row r="389" spans="1:6" x14ac:dyDescent="0.2">
      <c r="A389">
        <v>391</v>
      </c>
      <c r="B389" s="14" t="s">
        <v>493</v>
      </c>
      <c r="C389" s="1">
        <v>45547</v>
      </c>
      <c r="D389" s="14" t="s">
        <v>493</v>
      </c>
      <c r="E389">
        <v>0.351358598335681</v>
      </c>
      <c r="F389">
        <v>0.351358598335681</v>
      </c>
    </row>
    <row r="390" spans="1:6" x14ac:dyDescent="0.2">
      <c r="A390">
        <v>393</v>
      </c>
      <c r="B390" s="14" t="s">
        <v>221</v>
      </c>
      <c r="C390" s="1">
        <v>45492</v>
      </c>
      <c r="D390" s="14" t="s">
        <v>221</v>
      </c>
      <c r="E390">
        <v>0.340132217857464</v>
      </c>
      <c r="F390">
        <v>0.340132217857464</v>
      </c>
    </row>
    <row r="391" spans="1:6" x14ac:dyDescent="0.2">
      <c r="A391">
        <v>394</v>
      </c>
      <c r="B391" s="14" t="s">
        <v>494</v>
      </c>
      <c r="C391" s="1">
        <v>45511</v>
      </c>
      <c r="D391" s="14" t="s">
        <v>494</v>
      </c>
      <c r="E391">
        <v>0.15556532064474801</v>
      </c>
      <c r="F391">
        <v>0.15556532064474801</v>
      </c>
    </row>
    <row r="392" spans="1:6" x14ac:dyDescent="0.2">
      <c r="A392">
        <v>394</v>
      </c>
      <c r="B392" s="14" t="s">
        <v>127</v>
      </c>
      <c r="C392" s="1">
        <v>45364</v>
      </c>
      <c r="D392" s="14" t="s">
        <v>127</v>
      </c>
      <c r="E392">
        <v>0.12545537406525301</v>
      </c>
      <c r="F392">
        <v>0.12545537406525301</v>
      </c>
    </row>
    <row r="393" spans="1:6" x14ac:dyDescent="0.2">
      <c r="A393">
        <v>400</v>
      </c>
      <c r="B393" s="14" t="s">
        <v>96</v>
      </c>
      <c r="C393" s="1">
        <v>45485</v>
      </c>
      <c r="D393" s="14" t="s">
        <v>96</v>
      </c>
      <c r="E393">
        <v>0.21312037070500101</v>
      </c>
      <c r="F393">
        <v>0.21312037070500101</v>
      </c>
    </row>
    <row r="394" spans="1:6" x14ac:dyDescent="0.2">
      <c r="A394">
        <v>400</v>
      </c>
      <c r="B394" s="14" t="s">
        <v>97</v>
      </c>
      <c r="C394" s="1">
        <v>45440</v>
      </c>
      <c r="D394" s="14" t="s">
        <v>97</v>
      </c>
      <c r="E394">
        <v>0.118043640342131</v>
      </c>
      <c r="F394">
        <v>0.118043640342131</v>
      </c>
    </row>
    <row r="395" spans="1:6" x14ac:dyDescent="0.2">
      <c r="A395">
        <v>400</v>
      </c>
      <c r="B395" s="14" t="s">
        <v>50</v>
      </c>
      <c r="C395" s="1">
        <v>45427</v>
      </c>
      <c r="D395" s="14" t="s">
        <v>50</v>
      </c>
      <c r="E395">
        <v>8.9240794773876295E-2</v>
      </c>
      <c r="F395">
        <v>8.9240794773876295E-2</v>
      </c>
    </row>
    <row r="396" spans="1:6" x14ac:dyDescent="0.2">
      <c r="A396">
        <v>400</v>
      </c>
      <c r="B396" s="14" t="s">
        <v>110</v>
      </c>
      <c r="C396" s="1">
        <v>45580</v>
      </c>
      <c r="D396" s="14" t="s">
        <v>110</v>
      </c>
      <c r="E396">
        <v>0.157145007123487</v>
      </c>
      <c r="F396">
        <v>0.157145007123487</v>
      </c>
    </row>
    <row r="397" spans="1:6" x14ac:dyDescent="0.2">
      <c r="A397">
        <v>401</v>
      </c>
      <c r="B397" s="14" t="s">
        <v>495</v>
      </c>
      <c r="C397" s="1">
        <v>45314</v>
      </c>
      <c r="D397" s="14" t="s">
        <v>495</v>
      </c>
      <c r="E397">
        <v>7.0986602066842805E-2</v>
      </c>
      <c r="F397">
        <v>7.0986602066842805E-2</v>
      </c>
    </row>
    <row r="398" spans="1:6" x14ac:dyDescent="0.2">
      <c r="A398">
        <v>401</v>
      </c>
      <c r="B398" s="14" t="s">
        <v>302</v>
      </c>
      <c r="C398" s="1">
        <v>45430</v>
      </c>
      <c r="D398" s="14" t="s">
        <v>302</v>
      </c>
      <c r="E398">
        <v>0.551188074902486</v>
      </c>
      <c r="F398">
        <v>0.551188074902486</v>
      </c>
    </row>
    <row r="399" spans="1:6" x14ac:dyDescent="0.2">
      <c r="A399">
        <v>401</v>
      </c>
      <c r="B399" s="14" t="s">
        <v>222</v>
      </c>
      <c r="C399" s="1">
        <v>45337</v>
      </c>
      <c r="D399" s="14" t="s">
        <v>222</v>
      </c>
      <c r="E399">
        <v>0.47756678415107501</v>
      </c>
      <c r="F399">
        <v>0.47756678415107501</v>
      </c>
    </row>
    <row r="400" spans="1:6" x14ac:dyDescent="0.2">
      <c r="A400">
        <v>401</v>
      </c>
      <c r="B400" s="14" t="s">
        <v>223</v>
      </c>
      <c r="C400" s="1">
        <v>45380</v>
      </c>
      <c r="D400" s="14" t="s">
        <v>223</v>
      </c>
      <c r="E400">
        <v>0.181044302561332</v>
      </c>
      <c r="F400">
        <v>0.181044302561332</v>
      </c>
    </row>
    <row r="401" spans="1:6" x14ac:dyDescent="0.2">
      <c r="A401">
        <v>403</v>
      </c>
      <c r="B401" s="14" t="s">
        <v>128</v>
      </c>
      <c r="C401" s="1">
        <v>45633</v>
      </c>
      <c r="D401" s="14" t="s">
        <v>128</v>
      </c>
      <c r="E401">
        <v>0.21556214180327199</v>
      </c>
      <c r="F401">
        <v>0.21556214180327199</v>
      </c>
    </row>
    <row r="402" spans="1:6" x14ac:dyDescent="0.2">
      <c r="A402">
        <v>403</v>
      </c>
      <c r="B402" s="14" t="s">
        <v>51</v>
      </c>
      <c r="C402" s="1">
        <v>45572</v>
      </c>
      <c r="D402" s="14" t="s">
        <v>51</v>
      </c>
      <c r="E402">
        <v>0.28579976319780298</v>
      </c>
      <c r="F402">
        <v>0.28579976319780298</v>
      </c>
    </row>
    <row r="403" spans="1:6" x14ac:dyDescent="0.2">
      <c r="A403">
        <v>404</v>
      </c>
      <c r="B403" s="14" t="s">
        <v>496</v>
      </c>
      <c r="C403" s="1">
        <v>45607</v>
      </c>
      <c r="D403" s="14" t="s">
        <v>496</v>
      </c>
      <c r="E403">
        <v>0.28762949969781099</v>
      </c>
      <c r="F403">
        <v>0.28762949969781099</v>
      </c>
    </row>
    <row r="404" spans="1:6" x14ac:dyDescent="0.2">
      <c r="A404">
        <v>405</v>
      </c>
      <c r="B404" s="14" t="s">
        <v>52</v>
      </c>
      <c r="C404" s="1">
        <v>45413</v>
      </c>
      <c r="D404" s="14" t="s">
        <v>52</v>
      </c>
      <c r="E404">
        <v>0.17110625292599899</v>
      </c>
      <c r="F404">
        <v>0.17110625292599899</v>
      </c>
    </row>
    <row r="405" spans="1:6" x14ac:dyDescent="0.2">
      <c r="A405">
        <v>406</v>
      </c>
      <c r="B405" s="14" t="s">
        <v>497</v>
      </c>
      <c r="C405" s="1">
        <v>45562</v>
      </c>
      <c r="D405" s="14" t="s">
        <v>497</v>
      </c>
      <c r="E405">
        <v>0.26309378134703698</v>
      </c>
      <c r="F405">
        <v>0.26309378134703698</v>
      </c>
    </row>
    <row r="406" spans="1:6" x14ac:dyDescent="0.2">
      <c r="A406">
        <v>407</v>
      </c>
      <c r="B406" s="14" t="s">
        <v>53</v>
      </c>
      <c r="C406" s="1">
        <v>45327</v>
      </c>
      <c r="D406" s="14" t="s">
        <v>53</v>
      </c>
      <c r="E406">
        <v>0.13517614419392501</v>
      </c>
      <c r="F406">
        <v>0.13517614419392501</v>
      </c>
    </row>
    <row r="407" spans="1:6" x14ac:dyDescent="0.2">
      <c r="A407">
        <v>410</v>
      </c>
      <c r="B407" s="14" t="s">
        <v>498</v>
      </c>
      <c r="C407" s="1">
        <v>45296</v>
      </c>
      <c r="D407" s="14" t="s">
        <v>498</v>
      </c>
      <c r="E407">
        <v>0.22196916306064499</v>
      </c>
      <c r="F407">
        <v>0.22196916306064499</v>
      </c>
    </row>
    <row r="408" spans="1:6" x14ac:dyDescent="0.2">
      <c r="A408">
        <v>412</v>
      </c>
      <c r="B408" s="14" t="s">
        <v>54</v>
      </c>
      <c r="C408" s="1">
        <v>45527</v>
      </c>
      <c r="D408" s="14" t="s">
        <v>54</v>
      </c>
      <c r="E408">
        <v>0.30325138366186</v>
      </c>
      <c r="F408">
        <v>0.30325138366186</v>
      </c>
    </row>
    <row r="409" spans="1:6" x14ac:dyDescent="0.2">
      <c r="A409">
        <v>412</v>
      </c>
      <c r="B409" s="14" t="s">
        <v>111</v>
      </c>
      <c r="C409" s="1">
        <v>45555</v>
      </c>
      <c r="D409" s="14" t="s">
        <v>111</v>
      </c>
      <c r="E409">
        <v>4.1159311507128801E-2</v>
      </c>
      <c r="F409">
        <v>4.1159311507128801E-2</v>
      </c>
    </row>
    <row r="410" spans="1:6" x14ac:dyDescent="0.2">
      <c r="A410">
        <v>414</v>
      </c>
      <c r="B410" s="14" t="s">
        <v>499</v>
      </c>
      <c r="C410" s="1">
        <v>45400</v>
      </c>
      <c r="D410" s="14" t="s">
        <v>499</v>
      </c>
      <c r="E410">
        <v>0.179692156203418</v>
      </c>
      <c r="F410">
        <v>0.179692156203418</v>
      </c>
    </row>
    <row r="411" spans="1:6" x14ac:dyDescent="0.2">
      <c r="A411">
        <v>417</v>
      </c>
      <c r="B411" s="14" t="s">
        <v>500</v>
      </c>
      <c r="C411" s="1">
        <v>45448</v>
      </c>
      <c r="D411" s="14" t="s">
        <v>500</v>
      </c>
      <c r="E411">
        <v>0.168007711829294</v>
      </c>
      <c r="F411">
        <v>0.168007711829294</v>
      </c>
    </row>
    <row r="412" spans="1:6" x14ac:dyDescent="0.2">
      <c r="A412">
        <v>417</v>
      </c>
      <c r="B412" s="14" t="s">
        <v>303</v>
      </c>
      <c r="C412" s="1">
        <v>45324</v>
      </c>
      <c r="D412" s="14" t="s">
        <v>303</v>
      </c>
      <c r="E412">
        <v>5.8539879133386902E-2</v>
      </c>
      <c r="F412">
        <v>5.8539879133386902E-2</v>
      </c>
    </row>
    <row r="413" spans="1:6" x14ac:dyDescent="0.2">
      <c r="A413">
        <v>417</v>
      </c>
      <c r="B413" s="14" t="s">
        <v>501</v>
      </c>
      <c r="C413" s="1">
        <v>45446</v>
      </c>
      <c r="D413" s="14" t="s">
        <v>501</v>
      </c>
      <c r="E413">
        <v>0.111289965749525</v>
      </c>
      <c r="F413">
        <v>0.111289965749525</v>
      </c>
    </row>
    <row r="414" spans="1:6" x14ac:dyDescent="0.2">
      <c r="A414">
        <v>419</v>
      </c>
      <c r="B414" s="14" t="s">
        <v>112</v>
      </c>
      <c r="C414" s="1">
        <v>45639</v>
      </c>
      <c r="D414" s="14" t="s">
        <v>112</v>
      </c>
      <c r="E414">
        <v>0.222844577105727</v>
      </c>
      <c r="F414">
        <v>0.222844577105727</v>
      </c>
    </row>
    <row r="415" spans="1:6" x14ac:dyDescent="0.2">
      <c r="A415">
        <v>421</v>
      </c>
      <c r="B415" s="14" t="s">
        <v>224</v>
      </c>
      <c r="C415" s="1">
        <v>45354</v>
      </c>
      <c r="D415" s="14" t="s">
        <v>224</v>
      </c>
      <c r="E415">
        <v>0.240884598113073</v>
      </c>
      <c r="F415">
        <v>0.240884598113073</v>
      </c>
    </row>
    <row r="416" spans="1:6" x14ac:dyDescent="0.2">
      <c r="A416">
        <v>422</v>
      </c>
      <c r="B416" s="14" t="s">
        <v>502</v>
      </c>
      <c r="C416" s="1">
        <v>45557</v>
      </c>
      <c r="D416" s="14" t="s">
        <v>502</v>
      </c>
      <c r="E416">
        <v>4.49260840162111E-2</v>
      </c>
      <c r="F416">
        <v>4.49260840162111E-2</v>
      </c>
    </row>
    <row r="417" spans="1:6" x14ac:dyDescent="0.2">
      <c r="A417">
        <v>423</v>
      </c>
      <c r="B417" s="14" t="s">
        <v>503</v>
      </c>
      <c r="C417" s="1">
        <v>45443</v>
      </c>
      <c r="D417" s="14" t="s">
        <v>503</v>
      </c>
      <c r="E417">
        <v>0.21844687110657601</v>
      </c>
      <c r="F417">
        <v>0.21844687110657601</v>
      </c>
    </row>
    <row r="418" spans="1:6" x14ac:dyDescent="0.2">
      <c r="A418">
        <v>425</v>
      </c>
      <c r="B418" s="14" t="s">
        <v>504</v>
      </c>
      <c r="C418" s="1">
        <v>45657</v>
      </c>
      <c r="D418" s="14" t="s">
        <v>504</v>
      </c>
      <c r="E418">
        <v>0.33266615537886102</v>
      </c>
      <c r="F418">
        <v>0.33266615537886102</v>
      </c>
    </row>
    <row r="419" spans="1:6" x14ac:dyDescent="0.2">
      <c r="A419">
        <v>425</v>
      </c>
      <c r="B419" s="14" t="s">
        <v>505</v>
      </c>
      <c r="C419" s="1">
        <v>45437</v>
      </c>
      <c r="D419" s="14" t="s">
        <v>505</v>
      </c>
      <c r="E419">
        <v>0.272397869441528</v>
      </c>
      <c r="F419">
        <v>0.272397869441528</v>
      </c>
    </row>
    <row r="420" spans="1:6" x14ac:dyDescent="0.2">
      <c r="A420">
        <v>426</v>
      </c>
      <c r="B420" s="14" t="s">
        <v>506</v>
      </c>
      <c r="C420" s="1">
        <v>45438</v>
      </c>
      <c r="D420" s="14" t="s">
        <v>506</v>
      </c>
      <c r="E420">
        <v>4.3098338748726199E-2</v>
      </c>
      <c r="F420">
        <v>4.3098338748726199E-2</v>
      </c>
    </row>
    <row r="421" spans="1:6" x14ac:dyDescent="0.2">
      <c r="A421">
        <v>428</v>
      </c>
      <c r="B421" s="14" t="s">
        <v>507</v>
      </c>
      <c r="C421" s="1">
        <v>45412</v>
      </c>
      <c r="D421" s="14" t="s">
        <v>507</v>
      </c>
      <c r="E421">
        <v>0.188916455378519</v>
      </c>
      <c r="F421">
        <v>0.188916455378519</v>
      </c>
    </row>
    <row r="422" spans="1:6" x14ac:dyDescent="0.2">
      <c r="A422">
        <v>430</v>
      </c>
      <c r="B422" s="14" t="s">
        <v>508</v>
      </c>
      <c r="C422" s="1">
        <v>45553</v>
      </c>
      <c r="D422" s="14" t="s">
        <v>508</v>
      </c>
      <c r="E422">
        <v>0.23877880563637899</v>
      </c>
      <c r="F422">
        <v>0.23877880563637899</v>
      </c>
    </row>
    <row r="423" spans="1:6" x14ac:dyDescent="0.2">
      <c r="A423">
        <v>430</v>
      </c>
      <c r="B423" s="14" t="s">
        <v>509</v>
      </c>
      <c r="C423" s="1">
        <v>45405</v>
      </c>
      <c r="D423" s="14" t="s">
        <v>509</v>
      </c>
      <c r="E423">
        <v>0.14412624634830901</v>
      </c>
      <c r="F423">
        <v>0.14412624634830901</v>
      </c>
    </row>
    <row r="424" spans="1:6" x14ac:dyDescent="0.2">
      <c r="A424">
        <v>431</v>
      </c>
      <c r="B424" s="14" t="s">
        <v>304</v>
      </c>
      <c r="C424" s="1">
        <v>45352</v>
      </c>
      <c r="D424" s="14" t="s">
        <v>304</v>
      </c>
      <c r="E424">
        <v>6.8438536435944095E-2</v>
      </c>
      <c r="F424">
        <v>6.8438536435944095E-2</v>
      </c>
    </row>
    <row r="425" spans="1:6" x14ac:dyDescent="0.2">
      <c r="A425">
        <v>431</v>
      </c>
      <c r="B425" s="14" t="s">
        <v>225</v>
      </c>
      <c r="C425" s="1">
        <v>45408</v>
      </c>
      <c r="D425" s="14" t="s">
        <v>225</v>
      </c>
      <c r="E425">
        <v>0.123362918329042</v>
      </c>
      <c r="F425">
        <v>0.123362918329042</v>
      </c>
    </row>
    <row r="426" spans="1:6" x14ac:dyDescent="0.2">
      <c r="A426">
        <v>431</v>
      </c>
      <c r="B426" s="14" t="s">
        <v>98</v>
      </c>
      <c r="C426" s="1">
        <v>45443</v>
      </c>
      <c r="D426" s="14" t="s">
        <v>98</v>
      </c>
      <c r="E426">
        <v>9.1808608231104302E-2</v>
      </c>
      <c r="F426">
        <v>9.1808608231104302E-2</v>
      </c>
    </row>
    <row r="427" spans="1:6" x14ac:dyDescent="0.2">
      <c r="A427">
        <v>432</v>
      </c>
      <c r="B427" s="14" t="s">
        <v>55</v>
      </c>
      <c r="C427" s="1">
        <v>45590</v>
      </c>
      <c r="D427" s="14" t="s">
        <v>55</v>
      </c>
      <c r="E427">
        <v>2.4007438671223E-2</v>
      </c>
      <c r="F427">
        <v>2.4007438671223E-2</v>
      </c>
    </row>
    <row r="428" spans="1:6" x14ac:dyDescent="0.2">
      <c r="A428">
        <v>434</v>
      </c>
      <c r="B428" s="14" t="s">
        <v>510</v>
      </c>
      <c r="C428" s="1">
        <v>45501</v>
      </c>
      <c r="D428" s="14" t="s">
        <v>510</v>
      </c>
      <c r="E428">
        <v>0.15054701752117899</v>
      </c>
      <c r="F428">
        <v>0.15054701752117899</v>
      </c>
    </row>
    <row r="429" spans="1:6" x14ac:dyDescent="0.2">
      <c r="A429">
        <v>434</v>
      </c>
      <c r="B429" s="14" t="s">
        <v>226</v>
      </c>
      <c r="C429" s="1">
        <v>45402</v>
      </c>
      <c r="D429" s="14" t="s">
        <v>226</v>
      </c>
      <c r="E429">
        <v>0.13648873520865001</v>
      </c>
      <c r="F429">
        <v>0.13648873520865001</v>
      </c>
    </row>
    <row r="430" spans="1:6" x14ac:dyDescent="0.2">
      <c r="A430">
        <v>434</v>
      </c>
      <c r="B430" s="14" t="s">
        <v>511</v>
      </c>
      <c r="C430" s="1">
        <v>45591</v>
      </c>
      <c r="D430" s="14" t="s">
        <v>511</v>
      </c>
      <c r="E430">
        <v>2.85352550227671E-2</v>
      </c>
      <c r="F430">
        <v>2.85352550227671E-2</v>
      </c>
    </row>
    <row r="431" spans="1:6" x14ac:dyDescent="0.2">
      <c r="A431">
        <v>434</v>
      </c>
      <c r="B431" s="14" t="s">
        <v>512</v>
      </c>
      <c r="C431" s="1">
        <v>45408</v>
      </c>
      <c r="D431" s="14" t="s">
        <v>512</v>
      </c>
      <c r="E431">
        <v>0.29049431961333</v>
      </c>
      <c r="F431">
        <v>0.29049431961333</v>
      </c>
    </row>
    <row r="432" spans="1:6" x14ac:dyDescent="0.2">
      <c r="A432">
        <v>434</v>
      </c>
      <c r="B432" s="14" t="s">
        <v>227</v>
      </c>
      <c r="C432" s="1">
        <v>45544</v>
      </c>
      <c r="D432" s="14" t="s">
        <v>227</v>
      </c>
      <c r="E432">
        <v>0.25239780201461298</v>
      </c>
      <c r="F432">
        <v>0.25239780201461298</v>
      </c>
    </row>
    <row r="433" spans="1:6" x14ac:dyDescent="0.2">
      <c r="A433">
        <v>436</v>
      </c>
      <c r="B433" s="14" t="s">
        <v>305</v>
      </c>
      <c r="C433" s="1">
        <v>45545</v>
      </c>
      <c r="D433" s="14" t="s">
        <v>305</v>
      </c>
      <c r="E433">
        <v>0.12449356040519299</v>
      </c>
      <c r="F433">
        <v>0.12449356040519299</v>
      </c>
    </row>
    <row r="434" spans="1:6" x14ac:dyDescent="0.2">
      <c r="A434">
        <v>438</v>
      </c>
      <c r="B434" s="14" t="s">
        <v>513</v>
      </c>
      <c r="C434" s="1">
        <v>45511</v>
      </c>
      <c r="D434" s="14" t="s">
        <v>513</v>
      </c>
      <c r="E434">
        <v>0.112943786595968</v>
      </c>
      <c r="F434">
        <v>0.112943786595968</v>
      </c>
    </row>
    <row r="435" spans="1:6" x14ac:dyDescent="0.2">
      <c r="A435">
        <v>442</v>
      </c>
      <c r="B435" s="14" t="s">
        <v>306</v>
      </c>
      <c r="C435" s="1">
        <v>45395</v>
      </c>
      <c r="D435" s="14" t="s">
        <v>306</v>
      </c>
      <c r="E435">
        <v>5.6751855033461203E-2</v>
      </c>
      <c r="F435">
        <v>5.6751855033461203E-2</v>
      </c>
    </row>
    <row r="436" spans="1:6" x14ac:dyDescent="0.2">
      <c r="A436">
        <v>443</v>
      </c>
      <c r="B436" s="14" t="s">
        <v>228</v>
      </c>
      <c r="C436" s="1">
        <v>45569</v>
      </c>
      <c r="D436" s="14" t="s">
        <v>228</v>
      </c>
      <c r="E436">
        <v>0.28821810054227398</v>
      </c>
      <c r="F436">
        <v>0.28821810054227398</v>
      </c>
    </row>
    <row r="437" spans="1:6" x14ac:dyDescent="0.2">
      <c r="A437">
        <v>445</v>
      </c>
      <c r="B437" s="14" t="s">
        <v>229</v>
      </c>
      <c r="C437" s="1">
        <v>45446</v>
      </c>
      <c r="D437" s="14" t="s">
        <v>229</v>
      </c>
      <c r="E437">
        <v>0.12881471005916201</v>
      </c>
      <c r="F437">
        <v>0.12881471005916201</v>
      </c>
    </row>
    <row r="438" spans="1:6" x14ac:dyDescent="0.2">
      <c r="A438">
        <v>445</v>
      </c>
      <c r="B438" s="14" t="s">
        <v>230</v>
      </c>
      <c r="C438" s="1">
        <v>45363</v>
      </c>
      <c r="D438" s="14" t="s">
        <v>230</v>
      </c>
      <c r="E438">
        <v>8.6524221016019795E-2</v>
      </c>
      <c r="F438">
        <v>8.6524221016019795E-2</v>
      </c>
    </row>
    <row r="439" spans="1:6" x14ac:dyDescent="0.2">
      <c r="A439">
        <v>446</v>
      </c>
      <c r="B439" s="14" t="s">
        <v>231</v>
      </c>
      <c r="C439" s="1">
        <v>45433</v>
      </c>
      <c r="D439" s="14" t="s">
        <v>231</v>
      </c>
      <c r="E439">
        <v>0.10842626614299</v>
      </c>
      <c r="F439">
        <v>0.10842626614299</v>
      </c>
    </row>
    <row r="440" spans="1:6" x14ac:dyDescent="0.2">
      <c r="A440">
        <v>447</v>
      </c>
      <c r="B440" s="14" t="s">
        <v>129</v>
      </c>
      <c r="C440" s="1">
        <v>45400</v>
      </c>
      <c r="D440" s="14" t="s">
        <v>129</v>
      </c>
      <c r="E440">
        <v>0.22699301688812801</v>
      </c>
      <c r="F440">
        <v>0.22699301688812801</v>
      </c>
    </row>
    <row r="441" spans="1:6" x14ac:dyDescent="0.2">
      <c r="A441">
        <v>447</v>
      </c>
      <c r="B441" s="14" t="s">
        <v>113</v>
      </c>
      <c r="C441" s="1">
        <v>45445</v>
      </c>
      <c r="D441" s="14" t="s">
        <v>113</v>
      </c>
      <c r="E441">
        <v>0.74981548395261599</v>
      </c>
      <c r="F441">
        <v>0.74981548395261599</v>
      </c>
    </row>
    <row r="442" spans="1:6" x14ac:dyDescent="0.2">
      <c r="A442">
        <v>450</v>
      </c>
      <c r="B442" s="14" t="s">
        <v>232</v>
      </c>
      <c r="C442" s="1">
        <v>45476</v>
      </c>
      <c r="D442" s="14" t="s">
        <v>232</v>
      </c>
      <c r="E442">
        <v>3.2193157060950897E-2</v>
      </c>
      <c r="F442">
        <v>3.2193157060950897E-2</v>
      </c>
    </row>
    <row r="443" spans="1:6" x14ac:dyDescent="0.2">
      <c r="A443">
        <v>451</v>
      </c>
      <c r="B443" s="14" t="s">
        <v>67</v>
      </c>
      <c r="C443" s="1">
        <v>45295</v>
      </c>
      <c r="D443" s="14" t="s">
        <v>67</v>
      </c>
      <c r="E443">
        <v>0.23454373271985901</v>
      </c>
      <c r="F443">
        <v>0.23454373271985901</v>
      </c>
    </row>
    <row r="444" spans="1:6" x14ac:dyDescent="0.2">
      <c r="A444">
        <v>456</v>
      </c>
      <c r="B444" s="14" t="s">
        <v>514</v>
      </c>
      <c r="C444" s="1">
        <v>45406</v>
      </c>
      <c r="D444" s="14" t="s">
        <v>514</v>
      </c>
      <c r="E444">
        <v>6.5663579679140105E-2</v>
      </c>
      <c r="F444">
        <v>6.5663579679140105E-2</v>
      </c>
    </row>
    <row r="445" spans="1:6" x14ac:dyDescent="0.2">
      <c r="A445">
        <v>456</v>
      </c>
      <c r="B445" s="14" t="s">
        <v>515</v>
      </c>
      <c r="C445" s="1">
        <v>45321</v>
      </c>
      <c r="D445" s="14" t="s">
        <v>515</v>
      </c>
      <c r="E445">
        <v>0.303593200119675</v>
      </c>
      <c r="F445">
        <v>0.303593200119675</v>
      </c>
    </row>
    <row r="446" spans="1:6" x14ac:dyDescent="0.2">
      <c r="A446">
        <v>457</v>
      </c>
      <c r="B446" s="14" t="s">
        <v>516</v>
      </c>
      <c r="C446" s="1">
        <v>45530</v>
      </c>
      <c r="D446" s="14" t="s">
        <v>516</v>
      </c>
      <c r="E446">
        <v>0.139741087606466</v>
      </c>
      <c r="F446">
        <v>0.139741087606466</v>
      </c>
    </row>
    <row r="447" spans="1:6" x14ac:dyDescent="0.2">
      <c r="A447">
        <v>457</v>
      </c>
      <c r="B447" s="14" t="s">
        <v>517</v>
      </c>
      <c r="C447" s="1">
        <v>45337</v>
      </c>
      <c r="D447" s="14" t="s">
        <v>517</v>
      </c>
      <c r="E447">
        <v>9.3425464338749195E-2</v>
      </c>
      <c r="F447">
        <v>9.3425464338749195E-2</v>
      </c>
    </row>
    <row r="448" spans="1:6" x14ac:dyDescent="0.2">
      <c r="A448">
        <v>458</v>
      </c>
      <c r="B448" s="14" t="s">
        <v>68</v>
      </c>
      <c r="C448" s="1">
        <v>45584</v>
      </c>
      <c r="D448" s="14" t="s">
        <v>68</v>
      </c>
      <c r="E448">
        <v>0.16177819505434701</v>
      </c>
      <c r="F448">
        <v>0.16177819505434701</v>
      </c>
    </row>
    <row r="449" spans="1:6" x14ac:dyDescent="0.2">
      <c r="A449">
        <v>458</v>
      </c>
      <c r="B449" s="14" t="s">
        <v>130</v>
      </c>
      <c r="C449" s="1">
        <v>45463</v>
      </c>
      <c r="D449" s="14" t="s">
        <v>130</v>
      </c>
      <c r="E449">
        <v>0.35899571617364201</v>
      </c>
      <c r="F449">
        <v>0.35899571617364201</v>
      </c>
    </row>
    <row r="450" spans="1:6" x14ac:dyDescent="0.2">
      <c r="A450">
        <v>461</v>
      </c>
      <c r="B450" s="14" t="s">
        <v>518</v>
      </c>
      <c r="C450" s="1">
        <v>45421</v>
      </c>
      <c r="D450" s="14" t="s">
        <v>518</v>
      </c>
      <c r="E450">
        <v>0.20033872553662799</v>
      </c>
      <c r="F450">
        <v>0.20033872553662799</v>
      </c>
    </row>
    <row r="451" spans="1:6" x14ac:dyDescent="0.2">
      <c r="A451">
        <v>461</v>
      </c>
      <c r="B451" s="14" t="s">
        <v>307</v>
      </c>
      <c r="C451" s="1">
        <v>45646</v>
      </c>
      <c r="D451" s="14" t="s">
        <v>307</v>
      </c>
      <c r="E451">
        <v>0.13913234259287999</v>
      </c>
      <c r="F451">
        <v>0.13913234259287999</v>
      </c>
    </row>
    <row r="452" spans="1:6" x14ac:dyDescent="0.2">
      <c r="A452">
        <v>461</v>
      </c>
      <c r="B452" s="14" t="s">
        <v>308</v>
      </c>
      <c r="C452" s="1">
        <v>45656</v>
      </c>
      <c r="D452" s="14" t="s">
        <v>308</v>
      </c>
      <c r="E452">
        <v>0.64162783799089396</v>
      </c>
      <c r="F452">
        <v>0.64162783799089396</v>
      </c>
    </row>
    <row r="453" spans="1:6" x14ac:dyDescent="0.2">
      <c r="A453">
        <v>462</v>
      </c>
      <c r="B453" s="14" t="s">
        <v>99</v>
      </c>
      <c r="C453" s="1">
        <v>45511</v>
      </c>
      <c r="D453" s="14" t="s">
        <v>99</v>
      </c>
      <c r="E453">
        <v>0.30678735921811801</v>
      </c>
      <c r="F453">
        <v>0.30678735921811801</v>
      </c>
    </row>
    <row r="454" spans="1:6" x14ac:dyDescent="0.2">
      <c r="A454">
        <v>463</v>
      </c>
      <c r="B454" s="14" t="s">
        <v>69</v>
      </c>
      <c r="C454" s="1">
        <v>45352</v>
      </c>
      <c r="D454" s="14" t="s">
        <v>69</v>
      </c>
      <c r="E454">
        <v>0.20462238616769901</v>
      </c>
      <c r="F454">
        <v>0.20462238616769901</v>
      </c>
    </row>
    <row r="455" spans="1:6" x14ac:dyDescent="0.2">
      <c r="A455">
        <v>465</v>
      </c>
      <c r="B455" s="14" t="s">
        <v>519</v>
      </c>
      <c r="C455" s="1">
        <v>45476</v>
      </c>
      <c r="D455" s="14" t="s">
        <v>519</v>
      </c>
      <c r="E455">
        <v>6.6683314610048297E-2</v>
      </c>
      <c r="F455">
        <v>6.6683314610048297E-2</v>
      </c>
    </row>
    <row r="456" spans="1:6" x14ac:dyDescent="0.2">
      <c r="A456">
        <v>468</v>
      </c>
      <c r="B456" s="14" t="s">
        <v>233</v>
      </c>
      <c r="C456" s="1">
        <v>45495</v>
      </c>
      <c r="D456" s="14" t="s">
        <v>233</v>
      </c>
      <c r="E456">
        <v>0.19503152465641699</v>
      </c>
      <c r="F456">
        <v>0.19503152465641699</v>
      </c>
    </row>
    <row r="457" spans="1:6" x14ac:dyDescent="0.2">
      <c r="A457">
        <v>470</v>
      </c>
      <c r="B457" s="14" t="s">
        <v>520</v>
      </c>
      <c r="C457" s="1">
        <v>45562</v>
      </c>
      <c r="D457" s="14" t="s">
        <v>520</v>
      </c>
      <c r="E457">
        <v>0.124119152702706</v>
      </c>
      <c r="F457">
        <v>0.124119152702706</v>
      </c>
    </row>
    <row r="458" spans="1:6" x14ac:dyDescent="0.2">
      <c r="A458">
        <v>470</v>
      </c>
      <c r="B458" s="14" t="s">
        <v>521</v>
      </c>
      <c r="C458" s="1">
        <v>45628</v>
      </c>
      <c r="D458" s="14" t="s">
        <v>521</v>
      </c>
      <c r="E458">
        <v>4.9647627018973801E-2</v>
      </c>
      <c r="F458">
        <v>4.9647627018973801E-2</v>
      </c>
    </row>
    <row r="459" spans="1:6" x14ac:dyDescent="0.2">
      <c r="A459">
        <v>472</v>
      </c>
      <c r="B459" s="14" t="s">
        <v>522</v>
      </c>
      <c r="C459" s="1">
        <v>45316</v>
      </c>
      <c r="D459" s="14" t="s">
        <v>522</v>
      </c>
      <c r="E459">
        <v>0.114130012856241</v>
      </c>
      <c r="F459">
        <v>0.114130012856241</v>
      </c>
    </row>
    <row r="460" spans="1:6" x14ac:dyDescent="0.2">
      <c r="A460">
        <v>472</v>
      </c>
      <c r="B460" s="14" t="s">
        <v>234</v>
      </c>
      <c r="C460" s="1">
        <v>45472</v>
      </c>
      <c r="D460" s="14" t="s">
        <v>234</v>
      </c>
      <c r="E460">
        <v>0.12124973571436699</v>
      </c>
      <c r="F460">
        <v>0.12124973571436699</v>
      </c>
    </row>
    <row r="461" spans="1:6" x14ac:dyDescent="0.2">
      <c r="A461">
        <v>473</v>
      </c>
      <c r="B461" s="14" t="s">
        <v>523</v>
      </c>
      <c r="C461" s="1">
        <v>45573</v>
      </c>
      <c r="D461" s="14" t="s">
        <v>523</v>
      </c>
      <c r="E461">
        <v>6.3110517905018995E-2</v>
      </c>
      <c r="F461">
        <v>6.3110517905018995E-2</v>
      </c>
    </row>
    <row r="462" spans="1:6" x14ac:dyDescent="0.2">
      <c r="A462">
        <v>474</v>
      </c>
      <c r="B462" s="14" t="s">
        <v>524</v>
      </c>
      <c r="C462" s="1">
        <v>45552</v>
      </c>
      <c r="D462" s="14" t="s">
        <v>524</v>
      </c>
      <c r="E462">
        <v>6.1410250575872002E-2</v>
      </c>
      <c r="F462">
        <v>6.1410250575872002E-2</v>
      </c>
    </row>
    <row r="463" spans="1:6" x14ac:dyDescent="0.2">
      <c r="A463">
        <v>474</v>
      </c>
      <c r="B463" s="14" t="s">
        <v>525</v>
      </c>
      <c r="C463" s="1">
        <v>45553</v>
      </c>
      <c r="D463" s="14" t="s">
        <v>525</v>
      </c>
      <c r="E463">
        <v>0.16107232417988801</v>
      </c>
      <c r="F463">
        <v>0.16107232417988801</v>
      </c>
    </row>
    <row r="464" spans="1:6" x14ac:dyDescent="0.2">
      <c r="A464">
        <v>475</v>
      </c>
      <c r="B464" s="14" t="s">
        <v>131</v>
      </c>
      <c r="C464" s="1">
        <v>45573</v>
      </c>
      <c r="D464" s="14" t="s">
        <v>131</v>
      </c>
      <c r="E464">
        <v>0.172316755714017</v>
      </c>
      <c r="F464">
        <v>0.172316755714017</v>
      </c>
    </row>
    <row r="465" spans="1:6" x14ac:dyDescent="0.2">
      <c r="A465">
        <v>476</v>
      </c>
      <c r="B465" s="14" t="s">
        <v>235</v>
      </c>
      <c r="C465" s="1">
        <v>45642</v>
      </c>
      <c r="D465" s="14" t="s">
        <v>235</v>
      </c>
      <c r="E465">
        <v>0.210701515123602</v>
      </c>
      <c r="F465">
        <v>0.210701515123602</v>
      </c>
    </row>
    <row r="466" spans="1:6" x14ac:dyDescent="0.2">
      <c r="A466">
        <v>477</v>
      </c>
      <c r="B466" s="14" t="s">
        <v>526</v>
      </c>
      <c r="C466" s="1">
        <v>45590</v>
      </c>
      <c r="D466" s="14" t="s">
        <v>526</v>
      </c>
      <c r="E466">
        <v>6.2542939715018397E-2</v>
      </c>
      <c r="F466">
        <v>6.2542939715018397E-2</v>
      </c>
    </row>
    <row r="467" spans="1:6" x14ac:dyDescent="0.2">
      <c r="A467">
        <v>480</v>
      </c>
      <c r="B467" s="14" t="s">
        <v>527</v>
      </c>
      <c r="C467" s="1">
        <v>45356</v>
      </c>
      <c r="D467" s="14" t="s">
        <v>527</v>
      </c>
      <c r="E467">
        <v>0.25544767354590903</v>
      </c>
      <c r="F467">
        <v>0.25544767354590903</v>
      </c>
    </row>
    <row r="468" spans="1:6" x14ac:dyDescent="0.2">
      <c r="A468">
        <v>482</v>
      </c>
      <c r="B468" s="14" t="s">
        <v>528</v>
      </c>
      <c r="C468" s="1">
        <v>45617</v>
      </c>
      <c r="D468" s="14" t="s">
        <v>528</v>
      </c>
      <c r="E468">
        <v>0.136186097737371</v>
      </c>
      <c r="F468">
        <v>0.136186097737371</v>
      </c>
    </row>
    <row r="469" spans="1:6" x14ac:dyDescent="0.2">
      <c r="A469">
        <v>482</v>
      </c>
      <c r="B469" s="14" t="s">
        <v>529</v>
      </c>
      <c r="C469" s="1">
        <v>45542</v>
      </c>
      <c r="D469" s="14" t="s">
        <v>529</v>
      </c>
      <c r="E469">
        <v>0.203386088622377</v>
      </c>
      <c r="F469">
        <v>0.203386088622377</v>
      </c>
    </row>
    <row r="470" spans="1:6" x14ac:dyDescent="0.2">
      <c r="A470">
        <v>484</v>
      </c>
      <c r="B470" s="14" t="s">
        <v>236</v>
      </c>
      <c r="C470" s="1">
        <v>45313</v>
      </c>
      <c r="D470" s="14" t="s">
        <v>236</v>
      </c>
      <c r="E470">
        <v>0.22898476020757899</v>
      </c>
      <c r="F470">
        <v>0.22898476020757899</v>
      </c>
    </row>
    <row r="471" spans="1:6" x14ac:dyDescent="0.2">
      <c r="A471">
        <v>485</v>
      </c>
      <c r="B471" s="14" t="s">
        <v>237</v>
      </c>
      <c r="C471" s="1">
        <v>45392</v>
      </c>
      <c r="D471" s="14" t="s">
        <v>237</v>
      </c>
      <c r="E471">
        <v>8.6690028115251894E-2</v>
      </c>
      <c r="F471">
        <v>8.6690028115251894E-2</v>
      </c>
    </row>
    <row r="472" spans="1:6" x14ac:dyDescent="0.2">
      <c r="A472">
        <v>485</v>
      </c>
      <c r="B472" s="14" t="s">
        <v>238</v>
      </c>
      <c r="C472" s="1">
        <v>45508</v>
      </c>
      <c r="D472" s="14" t="s">
        <v>238</v>
      </c>
      <c r="E472">
        <v>4.3021688297205901E-2</v>
      </c>
      <c r="F472">
        <v>4.3021688297205901E-2</v>
      </c>
    </row>
    <row r="473" spans="1:6" x14ac:dyDescent="0.2">
      <c r="A473">
        <v>485</v>
      </c>
      <c r="B473" s="14" t="s">
        <v>239</v>
      </c>
      <c r="C473" s="1">
        <v>45393</v>
      </c>
      <c r="D473" s="14" t="s">
        <v>239</v>
      </c>
      <c r="E473">
        <v>0.160982209684571</v>
      </c>
      <c r="F473">
        <v>0.160982209684571</v>
      </c>
    </row>
    <row r="474" spans="1:6" x14ac:dyDescent="0.2">
      <c r="A474">
        <v>488</v>
      </c>
      <c r="B474" s="14" t="s">
        <v>240</v>
      </c>
      <c r="C474" s="1">
        <v>45587</v>
      </c>
      <c r="D474" s="14" t="s">
        <v>240</v>
      </c>
      <c r="E474">
        <v>3.4221384895546998E-2</v>
      </c>
      <c r="F474">
        <v>3.4221384895546998E-2</v>
      </c>
    </row>
    <row r="475" spans="1:6" x14ac:dyDescent="0.2">
      <c r="A475">
        <v>489</v>
      </c>
      <c r="B475" s="14" t="s">
        <v>241</v>
      </c>
      <c r="C475" s="1">
        <v>45566</v>
      </c>
      <c r="D475" s="14" t="s">
        <v>241</v>
      </c>
      <c r="E475">
        <v>0.29453546122070701</v>
      </c>
      <c r="F475">
        <v>0.29453546122070701</v>
      </c>
    </row>
    <row r="476" spans="1:6" x14ac:dyDescent="0.2">
      <c r="A476">
        <v>490</v>
      </c>
      <c r="B476" s="14" t="s">
        <v>530</v>
      </c>
      <c r="C476" s="1">
        <v>45456</v>
      </c>
      <c r="D476" s="14" t="s">
        <v>530</v>
      </c>
      <c r="E476">
        <v>0.183933706609231</v>
      </c>
      <c r="F476">
        <v>0.183933706609231</v>
      </c>
    </row>
    <row r="477" spans="1:6" x14ac:dyDescent="0.2">
      <c r="A477">
        <v>490</v>
      </c>
      <c r="B477" s="14" t="s">
        <v>531</v>
      </c>
      <c r="C477" s="1">
        <v>45483</v>
      </c>
      <c r="D477" s="14" t="s">
        <v>531</v>
      </c>
      <c r="E477">
        <v>0.30885785260446502</v>
      </c>
      <c r="F477">
        <v>0.30885785260446502</v>
      </c>
    </row>
    <row r="478" spans="1:6" x14ac:dyDescent="0.2">
      <c r="A478">
        <v>491</v>
      </c>
      <c r="B478" s="14" t="s">
        <v>532</v>
      </c>
      <c r="C478" s="1">
        <v>45564</v>
      </c>
      <c r="D478" s="14" t="s">
        <v>532</v>
      </c>
      <c r="E478">
        <v>2.2729144206037302E-2</v>
      </c>
      <c r="F478">
        <v>2.2729144206037302E-2</v>
      </c>
    </row>
    <row r="479" spans="1:6" x14ac:dyDescent="0.2">
      <c r="A479">
        <v>491</v>
      </c>
      <c r="B479" s="14" t="s">
        <v>242</v>
      </c>
      <c r="C479" s="1">
        <v>45642</v>
      </c>
      <c r="D479" s="14" t="s">
        <v>242</v>
      </c>
      <c r="E479">
        <v>9.2537100683974402E-2</v>
      </c>
      <c r="F479">
        <v>9.2537100683974402E-2</v>
      </c>
    </row>
    <row r="480" spans="1:6" x14ac:dyDescent="0.2">
      <c r="A480">
        <v>491</v>
      </c>
      <c r="B480" s="14" t="s">
        <v>533</v>
      </c>
      <c r="C480" s="1">
        <v>45544</v>
      </c>
      <c r="D480" s="14" t="s">
        <v>533</v>
      </c>
      <c r="E480">
        <v>0.37474407573291102</v>
      </c>
      <c r="F480">
        <v>0.37474407573291102</v>
      </c>
    </row>
    <row r="481" spans="1:6" x14ac:dyDescent="0.2">
      <c r="A481">
        <v>493</v>
      </c>
      <c r="B481" s="14" t="s">
        <v>243</v>
      </c>
      <c r="C481" s="1">
        <v>45559</v>
      </c>
      <c r="D481" s="14" t="s">
        <v>243</v>
      </c>
      <c r="E481">
        <v>0.106903450854341</v>
      </c>
      <c r="F481">
        <v>0.106903450854341</v>
      </c>
    </row>
    <row r="482" spans="1:6" x14ac:dyDescent="0.2">
      <c r="A482">
        <v>494</v>
      </c>
      <c r="B482" s="14" t="s">
        <v>244</v>
      </c>
      <c r="C482" s="1">
        <v>45552</v>
      </c>
      <c r="D482" s="14" t="s">
        <v>244</v>
      </c>
      <c r="E482">
        <v>0.208392332693694</v>
      </c>
      <c r="F482">
        <v>0.208392332693694</v>
      </c>
    </row>
    <row r="483" spans="1:6" x14ac:dyDescent="0.2">
      <c r="A483">
        <v>496</v>
      </c>
      <c r="B483" s="14" t="s">
        <v>534</v>
      </c>
      <c r="C483" s="1">
        <v>45328</v>
      </c>
      <c r="D483" s="14" t="s">
        <v>534</v>
      </c>
      <c r="E483">
        <v>0.101166730100262</v>
      </c>
      <c r="F483">
        <v>0.101166730100262</v>
      </c>
    </row>
    <row r="484" spans="1:6" x14ac:dyDescent="0.2">
      <c r="A484">
        <v>496</v>
      </c>
      <c r="B484" s="14" t="s">
        <v>535</v>
      </c>
      <c r="C484" s="1">
        <v>45474</v>
      </c>
      <c r="D484" s="14" t="s">
        <v>535</v>
      </c>
      <c r="E484">
        <v>0.17273605309338699</v>
      </c>
      <c r="F484">
        <v>0.17273605309338699</v>
      </c>
    </row>
    <row r="485" spans="1:6" x14ac:dyDescent="0.2">
      <c r="A485">
        <v>496</v>
      </c>
      <c r="B485" s="14" t="s">
        <v>309</v>
      </c>
      <c r="C485" s="1">
        <v>45445</v>
      </c>
      <c r="D485" s="14" t="s">
        <v>309</v>
      </c>
      <c r="E485">
        <v>0.167317587764376</v>
      </c>
      <c r="F485">
        <v>0.167317587764376</v>
      </c>
    </row>
    <row r="486" spans="1:6" x14ac:dyDescent="0.2">
      <c r="A486">
        <v>496</v>
      </c>
      <c r="B486" s="14" t="s">
        <v>310</v>
      </c>
      <c r="C486" s="1">
        <v>45607</v>
      </c>
      <c r="D486" s="14" t="s">
        <v>310</v>
      </c>
      <c r="E486">
        <v>0.19885484877475501</v>
      </c>
      <c r="F486">
        <v>0.19885484877475501</v>
      </c>
    </row>
    <row r="487" spans="1:6" x14ac:dyDescent="0.2">
      <c r="A487">
        <v>499</v>
      </c>
      <c r="B487" s="14" t="s">
        <v>132</v>
      </c>
      <c r="C487" s="1">
        <v>45475</v>
      </c>
      <c r="D487" s="14" t="s">
        <v>132</v>
      </c>
      <c r="E487">
        <v>0.218087868249906</v>
      </c>
      <c r="F487">
        <v>0.218087868249906</v>
      </c>
    </row>
    <row r="488" spans="1:6" x14ac:dyDescent="0.2">
      <c r="A488">
        <v>500</v>
      </c>
      <c r="B488" s="14" t="s">
        <v>536</v>
      </c>
      <c r="C488" s="1">
        <v>45556</v>
      </c>
      <c r="D488" s="14" t="s">
        <v>536</v>
      </c>
      <c r="E488">
        <v>0.111143617919181</v>
      </c>
      <c r="F488">
        <v>0.111143617919181</v>
      </c>
    </row>
    <row r="489" spans="1:6" x14ac:dyDescent="0.2">
      <c r="A489">
        <v>500</v>
      </c>
      <c r="B489" s="14" t="s">
        <v>311</v>
      </c>
      <c r="C489" s="1">
        <v>45472</v>
      </c>
      <c r="D489" s="14" t="s">
        <v>311</v>
      </c>
      <c r="E489">
        <v>0.170882490454842</v>
      </c>
      <c r="F489">
        <v>0.170882490454842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491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33</v>
      </c>
    </row>
    <row r="3" spans="2:7" x14ac:dyDescent="0.2">
      <c r="B3" t="s">
        <v>32</v>
      </c>
      <c r="C3" t="s">
        <v>249</v>
      </c>
    </row>
    <row r="4" spans="2:7" x14ac:dyDescent="0.2">
      <c r="B4" cm="1">
        <f t="array" ref="B4:B491">_xlfn._xlws.SORT(_xlfn.UNIQUE(claimSimResults[ValidClaimAmount]), 1, -1)</f>
        <v>0.75241908729899998</v>
      </c>
      <c r="C4" cm="1">
        <f t="array" ref="C4:C491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0.75009966930289496</v>
      </c>
      <c r="C5">
        <v>0.99795081967213117</v>
      </c>
      <c r="G5" s="8"/>
    </row>
    <row r="6" spans="2:7" x14ac:dyDescent="0.2">
      <c r="B6">
        <v>0.74981548395261599</v>
      </c>
      <c r="C6">
        <v>0.99590163934426235</v>
      </c>
    </row>
    <row r="7" spans="2:7" x14ac:dyDescent="0.2">
      <c r="B7">
        <v>0.72833679507367799</v>
      </c>
      <c r="C7">
        <v>0.99385245901639341</v>
      </c>
    </row>
    <row r="8" spans="2:7" x14ac:dyDescent="0.2">
      <c r="B8">
        <v>0.71594680036594904</v>
      </c>
      <c r="C8">
        <v>0.99180327868852458</v>
      </c>
    </row>
    <row r="9" spans="2:7" x14ac:dyDescent="0.2">
      <c r="B9">
        <v>0.68915475418598005</v>
      </c>
      <c r="C9">
        <v>0.98975409836065575</v>
      </c>
    </row>
    <row r="10" spans="2:7" x14ac:dyDescent="0.2">
      <c r="B10">
        <v>0.64185437693580405</v>
      </c>
      <c r="C10">
        <v>0.98770491803278693</v>
      </c>
    </row>
    <row r="11" spans="2:7" x14ac:dyDescent="0.2">
      <c r="B11">
        <v>0.64162783799089396</v>
      </c>
      <c r="C11">
        <v>0.98565573770491799</v>
      </c>
    </row>
    <row r="12" spans="2:7" x14ac:dyDescent="0.2">
      <c r="B12">
        <v>0.634011850913488</v>
      </c>
      <c r="C12">
        <v>0.98360655737704916</v>
      </c>
    </row>
    <row r="13" spans="2:7" x14ac:dyDescent="0.2">
      <c r="B13">
        <v>0.60228905250763698</v>
      </c>
      <c r="C13">
        <v>0.98155737704918034</v>
      </c>
    </row>
    <row r="14" spans="2:7" x14ac:dyDescent="0.2">
      <c r="B14">
        <v>0.60072672632240098</v>
      </c>
      <c r="C14">
        <v>0.97950819672131151</v>
      </c>
    </row>
    <row r="15" spans="2:7" x14ac:dyDescent="0.2">
      <c r="B15">
        <v>0.57386402372842005</v>
      </c>
      <c r="C15">
        <v>0.97745901639344257</v>
      </c>
    </row>
    <row r="16" spans="2:7" x14ac:dyDescent="0.2">
      <c r="B16">
        <v>0.55406327267497901</v>
      </c>
      <c r="C16">
        <v>0.97540983606557374</v>
      </c>
    </row>
    <row r="17" spans="2:3" x14ac:dyDescent="0.2">
      <c r="B17">
        <v>0.551188074902486</v>
      </c>
      <c r="C17">
        <v>0.97336065573770492</v>
      </c>
    </row>
    <row r="18" spans="2:3" x14ac:dyDescent="0.2">
      <c r="B18">
        <v>0.53806837327236801</v>
      </c>
      <c r="C18">
        <v>0.97131147540983609</v>
      </c>
    </row>
    <row r="19" spans="2:3" x14ac:dyDescent="0.2">
      <c r="B19">
        <v>0.521626582615622</v>
      </c>
      <c r="C19">
        <v>0.96926229508196726</v>
      </c>
    </row>
    <row r="20" spans="2:3" x14ac:dyDescent="0.2">
      <c r="B20">
        <v>0.51259175638871002</v>
      </c>
      <c r="C20">
        <v>0.96721311475409832</v>
      </c>
    </row>
    <row r="21" spans="2:3" x14ac:dyDescent="0.2">
      <c r="B21">
        <v>0.50845740535853301</v>
      </c>
      <c r="C21">
        <v>0.9651639344262295</v>
      </c>
    </row>
    <row r="22" spans="2:3" x14ac:dyDescent="0.2">
      <c r="B22">
        <v>0.50842192375787199</v>
      </c>
      <c r="C22">
        <v>0.96311475409836067</v>
      </c>
    </row>
    <row r="23" spans="2:3" x14ac:dyDescent="0.2">
      <c r="B23">
        <v>0.507743453199763</v>
      </c>
      <c r="C23">
        <v>0.96106557377049184</v>
      </c>
    </row>
    <row r="24" spans="2:3" x14ac:dyDescent="0.2">
      <c r="B24">
        <v>0.48785338318251198</v>
      </c>
      <c r="C24">
        <v>0.95901639344262291</v>
      </c>
    </row>
    <row r="25" spans="2:3" x14ac:dyDescent="0.2">
      <c r="B25">
        <v>0.47756678415107501</v>
      </c>
      <c r="C25">
        <v>0.95696721311475408</v>
      </c>
    </row>
    <row r="26" spans="2:3" x14ac:dyDescent="0.2">
      <c r="B26">
        <v>0.458855245396317</v>
      </c>
      <c r="C26">
        <v>0.95491803278688525</v>
      </c>
    </row>
    <row r="27" spans="2:3" x14ac:dyDescent="0.2">
      <c r="B27">
        <v>0.45550765080717698</v>
      </c>
      <c r="C27">
        <v>0.95286885245901642</v>
      </c>
    </row>
    <row r="28" spans="2:3" x14ac:dyDescent="0.2">
      <c r="B28">
        <v>0.45130579394148002</v>
      </c>
      <c r="C28">
        <v>0.95081967213114749</v>
      </c>
    </row>
    <row r="29" spans="2:3" x14ac:dyDescent="0.2">
      <c r="B29">
        <v>0.43095364777225798</v>
      </c>
      <c r="C29">
        <v>0.94877049180327866</v>
      </c>
    </row>
    <row r="30" spans="2:3" x14ac:dyDescent="0.2">
      <c r="B30">
        <v>0.42206667201291398</v>
      </c>
      <c r="C30">
        <v>0.94672131147540983</v>
      </c>
    </row>
    <row r="31" spans="2:3" x14ac:dyDescent="0.2">
      <c r="B31">
        <v>0.41061580411658999</v>
      </c>
      <c r="C31">
        <v>0.94467213114754101</v>
      </c>
    </row>
    <row r="32" spans="2:3" x14ac:dyDescent="0.2">
      <c r="B32">
        <v>0.39864496664575599</v>
      </c>
      <c r="C32">
        <v>0.94262295081967218</v>
      </c>
    </row>
    <row r="33" spans="2:3" x14ac:dyDescent="0.2">
      <c r="B33">
        <v>0.388394082577523</v>
      </c>
      <c r="C33">
        <v>0.94057377049180324</v>
      </c>
    </row>
    <row r="34" spans="2:3" x14ac:dyDescent="0.2">
      <c r="B34">
        <v>0.38588380833914299</v>
      </c>
      <c r="C34">
        <v>0.93852459016393441</v>
      </c>
    </row>
    <row r="35" spans="2:3" x14ac:dyDescent="0.2">
      <c r="B35">
        <v>0.38261164632753603</v>
      </c>
      <c r="C35">
        <v>0.93647540983606559</v>
      </c>
    </row>
    <row r="36" spans="2:3" x14ac:dyDescent="0.2">
      <c r="B36">
        <v>0.38230736537578902</v>
      </c>
      <c r="C36">
        <v>0.93442622950819676</v>
      </c>
    </row>
    <row r="37" spans="2:3" x14ac:dyDescent="0.2">
      <c r="B37">
        <v>0.38177311221424898</v>
      </c>
      <c r="C37">
        <v>0.93237704918032782</v>
      </c>
    </row>
    <row r="38" spans="2:3" x14ac:dyDescent="0.2">
      <c r="B38">
        <v>0.37479833806122398</v>
      </c>
      <c r="C38">
        <v>0.93032786885245899</v>
      </c>
    </row>
    <row r="39" spans="2:3" x14ac:dyDescent="0.2">
      <c r="B39">
        <v>0.37474407573291102</v>
      </c>
      <c r="C39">
        <v>0.92827868852459017</v>
      </c>
    </row>
    <row r="40" spans="2:3" x14ac:dyDescent="0.2">
      <c r="B40">
        <v>0.373391991767554</v>
      </c>
      <c r="C40">
        <v>0.92622950819672134</v>
      </c>
    </row>
    <row r="41" spans="2:3" x14ac:dyDescent="0.2">
      <c r="B41">
        <v>0.36222935949295398</v>
      </c>
      <c r="C41">
        <v>0.92418032786885251</v>
      </c>
    </row>
    <row r="42" spans="2:3" x14ac:dyDescent="0.2">
      <c r="B42">
        <v>0.359953222596198</v>
      </c>
      <c r="C42">
        <v>0.92213114754098358</v>
      </c>
    </row>
    <row r="43" spans="2:3" x14ac:dyDescent="0.2">
      <c r="B43">
        <v>0.35899571617364201</v>
      </c>
      <c r="C43">
        <v>0.92008196721311475</v>
      </c>
    </row>
    <row r="44" spans="2:3" x14ac:dyDescent="0.2">
      <c r="B44">
        <v>0.35796906492716601</v>
      </c>
      <c r="C44">
        <v>0.91803278688524592</v>
      </c>
    </row>
    <row r="45" spans="2:3" x14ac:dyDescent="0.2">
      <c r="B45">
        <v>0.356739411300461</v>
      </c>
      <c r="C45">
        <v>0.91598360655737709</v>
      </c>
    </row>
    <row r="46" spans="2:3" x14ac:dyDescent="0.2">
      <c r="B46">
        <v>0.35448175121283299</v>
      </c>
      <c r="C46">
        <v>0.91393442622950816</v>
      </c>
    </row>
    <row r="47" spans="2:3" x14ac:dyDescent="0.2">
      <c r="B47">
        <v>0.35296023963948397</v>
      </c>
      <c r="C47">
        <v>0.91188524590163933</v>
      </c>
    </row>
    <row r="48" spans="2:3" x14ac:dyDescent="0.2">
      <c r="B48">
        <v>0.351358598335681</v>
      </c>
      <c r="C48">
        <v>0.9098360655737705</v>
      </c>
    </row>
    <row r="49" spans="2:3" x14ac:dyDescent="0.2">
      <c r="B49">
        <v>0.340132217857464</v>
      </c>
      <c r="C49">
        <v>0.90778688524590168</v>
      </c>
    </row>
    <row r="50" spans="2:3" x14ac:dyDescent="0.2">
      <c r="B50">
        <v>0.336711557261893</v>
      </c>
      <c r="C50">
        <v>0.90573770491803274</v>
      </c>
    </row>
    <row r="51" spans="2:3" x14ac:dyDescent="0.2">
      <c r="B51">
        <v>0.33653589147830498</v>
      </c>
      <c r="C51">
        <v>0.90368852459016391</v>
      </c>
    </row>
    <row r="52" spans="2:3" x14ac:dyDescent="0.2">
      <c r="B52">
        <v>0.33426125164565801</v>
      </c>
      <c r="C52">
        <v>0.90163934426229508</v>
      </c>
    </row>
    <row r="53" spans="2:3" x14ac:dyDescent="0.2">
      <c r="B53">
        <v>0.33304641915667099</v>
      </c>
      <c r="C53">
        <v>0.89959016393442626</v>
      </c>
    </row>
    <row r="54" spans="2:3" x14ac:dyDescent="0.2">
      <c r="B54">
        <v>0.33266615537886102</v>
      </c>
      <c r="C54">
        <v>0.89754098360655743</v>
      </c>
    </row>
    <row r="55" spans="2:3" x14ac:dyDescent="0.2">
      <c r="B55">
        <v>0.33123274360971899</v>
      </c>
      <c r="C55">
        <v>0.89549180327868849</v>
      </c>
    </row>
    <row r="56" spans="2:3" x14ac:dyDescent="0.2">
      <c r="B56">
        <v>0.32515442531356598</v>
      </c>
      <c r="C56">
        <v>0.89344262295081966</v>
      </c>
    </row>
    <row r="57" spans="2:3" x14ac:dyDescent="0.2">
      <c r="B57">
        <v>0.319727189042813</v>
      </c>
      <c r="C57">
        <v>0.89139344262295084</v>
      </c>
    </row>
    <row r="58" spans="2:3" x14ac:dyDescent="0.2">
      <c r="B58">
        <v>0.31850781056713101</v>
      </c>
      <c r="C58">
        <v>0.88934426229508201</v>
      </c>
    </row>
    <row r="59" spans="2:3" x14ac:dyDescent="0.2">
      <c r="B59">
        <v>0.31409323313190801</v>
      </c>
      <c r="C59">
        <v>0.88729508196721307</v>
      </c>
    </row>
    <row r="60" spans="2:3" x14ac:dyDescent="0.2">
      <c r="B60">
        <v>0.313694141733872</v>
      </c>
      <c r="C60">
        <v>0.88524590163934425</v>
      </c>
    </row>
    <row r="61" spans="2:3" x14ac:dyDescent="0.2">
      <c r="B61">
        <v>0.31318286247308502</v>
      </c>
      <c r="C61">
        <v>0.88319672131147542</v>
      </c>
    </row>
    <row r="62" spans="2:3" x14ac:dyDescent="0.2">
      <c r="B62">
        <v>0.310940799649851</v>
      </c>
      <c r="C62">
        <v>0.88114754098360659</v>
      </c>
    </row>
    <row r="63" spans="2:3" x14ac:dyDescent="0.2">
      <c r="B63">
        <v>0.31019538650107698</v>
      </c>
      <c r="C63">
        <v>0.87909836065573765</v>
      </c>
    </row>
    <row r="64" spans="2:3" x14ac:dyDescent="0.2">
      <c r="B64">
        <v>0.30892252047166302</v>
      </c>
      <c r="C64">
        <v>0.87704918032786883</v>
      </c>
    </row>
    <row r="65" spans="2:3" x14ac:dyDescent="0.2">
      <c r="B65">
        <v>0.30885785260446502</v>
      </c>
      <c r="C65">
        <v>0.875</v>
      </c>
    </row>
    <row r="66" spans="2:3" x14ac:dyDescent="0.2">
      <c r="B66">
        <v>0.30678735921811801</v>
      </c>
      <c r="C66">
        <v>0.87295081967213117</v>
      </c>
    </row>
    <row r="67" spans="2:3" x14ac:dyDescent="0.2">
      <c r="B67">
        <v>0.30571085635744899</v>
      </c>
      <c r="C67">
        <v>0.87090163934426235</v>
      </c>
    </row>
    <row r="68" spans="2:3" x14ac:dyDescent="0.2">
      <c r="B68">
        <v>0.303593200119675</v>
      </c>
      <c r="C68">
        <v>0.86885245901639341</v>
      </c>
    </row>
    <row r="69" spans="2:3" x14ac:dyDescent="0.2">
      <c r="B69">
        <v>0.30325138366186</v>
      </c>
      <c r="C69">
        <v>0.86680327868852458</v>
      </c>
    </row>
    <row r="70" spans="2:3" x14ac:dyDescent="0.2">
      <c r="B70">
        <v>0.30287240985541702</v>
      </c>
      <c r="C70">
        <v>0.86475409836065575</v>
      </c>
    </row>
    <row r="71" spans="2:3" x14ac:dyDescent="0.2">
      <c r="B71">
        <v>0.30130781255732603</v>
      </c>
      <c r="C71">
        <v>0.86270491803278693</v>
      </c>
    </row>
    <row r="72" spans="2:3" x14ac:dyDescent="0.2">
      <c r="B72">
        <v>0.29696290717306001</v>
      </c>
      <c r="C72">
        <v>0.86065573770491799</v>
      </c>
    </row>
    <row r="73" spans="2:3" x14ac:dyDescent="0.2">
      <c r="B73">
        <v>0.29563360857981402</v>
      </c>
      <c r="C73">
        <v>0.85860655737704916</v>
      </c>
    </row>
    <row r="74" spans="2:3" x14ac:dyDescent="0.2">
      <c r="B74">
        <v>0.29494256494053001</v>
      </c>
      <c r="C74">
        <v>0.85655737704918034</v>
      </c>
    </row>
    <row r="75" spans="2:3" x14ac:dyDescent="0.2">
      <c r="B75">
        <v>0.29453546122070701</v>
      </c>
      <c r="C75">
        <v>0.85450819672131151</v>
      </c>
    </row>
    <row r="76" spans="2:3" x14ac:dyDescent="0.2">
      <c r="B76">
        <v>0.29420785741074501</v>
      </c>
      <c r="C76">
        <v>0.85245901639344257</v>
      </c>
    </row>
    <row r="77" spans="2:3" x14ac:dyDescent="0.2">
      <c r="B77">
        <v>0.29368745625744003</v>
      </c>
      <c r="C77">
        <v>0.85040983606557374</v>
      </c>
    </row>
    <row r="78" spans="2:3" x14ac:dyDescent="0.2">
      <c r="B78">
        <v>0.29049431961333</v>
      </c>
      <c r="C78">
        <v>0.84836065573770492</v>
      </c>
    </row>
    <row r="79" spans="2:3" x14ac:dyDescent="0.2">
      <c r="B79">
        <v>0.29038628525315902</v>
      </c>
      <c r="C79">
        <v>0.84631147540983609</v>
      </c>
    </row>
    <row r="80" spans="2:3" x14ac:dyDescent="0.2">
      <c r="B80">
        <v>0.29025310115462999</v>
      </c>
      <c r="C80">
        <v>0.84426229508196726</v>
      </c>
    </row>
    <row r="81" spans="2:3" x14ac:dyDescent="0.2">
      <c r="B81">
        <v>0.28821810054227398</v>
      </c>
      <c r="C81">
        <v>0.84221311475409832</v>
      </c>
    </row>
    <row r="82" spans="2:3" x14ac:dyDescent="0.2">
      <c r="B82">
        <v>0.28762949969781099</v>
      </c>
      <c r="C82">
        <v>0.8401639344262295</v>
      </c>
    </row>
    <row r="83" spans="2:3" x14ac:dyDescent="0.2">
      <c r="B83">
        <v>0.28755393539130902</v>
      </c>
      <c r="C83">
        <v>0.83811475409836067</v>
      </c>
    </row>
    <row r="84" spans="2:3" x14ac:dyDescent="0.2">
      <c r="B84">
        <v>0.28687601108004901</v>
      </c>
      <c r="C84">
        <v>0.83606557377049184</v>
      </c>
    </row>
    <row r="85" spans="2:3" x14ac:dyDescent="0.2">
      <c r="B85">
        <v>0.28682289021316298</v>
      </c>
      <c r="C85">
        <v>0.83401639344262291</v>
      </c>
    </row>
    <row r="86" spans="2:3" x14ac:dyDescent="0.2">
      <c r="B86">
        <v>0.28579976319780298</v>
      </c>
      <c r="C86">
        <v>0.83196721311475408</v>
      </c>
    </row>
    <row r="87" spans="2:3" x14ac:dyDescent="0.2">
      <c r="B87">
        <v>0.28386160296985102</v>
      </c>
      <c r="C87">
        <v>0.82991803278688525</v>
      </c>
    </row>
    <row r="88" spans="2:3" x14ac:dyDescent="0.2">
      <c r="B88">
        <v>0.28216059921827802</v>
      </c>
      <c r="C88">
        <v>0.82786885245901642</v>
      </c>
    </row>
    <row r="89" spans="2:3" x14ac:dyDescent="0.2">
      <c r="B89">
        <v>0.281345821695966</v>
      </c>
      <c r="C89">
        <v>0.82581967213114749</v>
      </c>
    </row>
    <row r="90" spans="2:3" x14ac:dyDescent="0.2">
      <c r="B90">
        <v>0.28009561396490201</v>
      </c>
      <c r="C90">
        <v>0.82377049180327866</v>
      </c>
    </row>
    <row r="91" spans="2:3" x14ac:dyDescent="0.2">
      <c r="B91">
        <v>0.279181372033032</v>
      </c>
      <c r="C91">
        <v>0.82172131147540983</v>
      </c>
    </row>
    <row r="92" spans="2:3" x14ac:dyDescent="0.2">
      <c r="B92">
        <v>0.27852826775010198</v>
      </c>
      <c r="C92">
        <v>0.81967213114754101</v>
      </c>
    </row>
    <row r="93" spans="2:3" x14ac:dyDescent="0.2">
      <c r="B93">
        <v>0.27818265027549499</v>
      </c>
      <c r="C93">
        <v>0.81762295081967218</v>
      </c>
    </row>
    <row r="94" spans="2:3" x14ac:dyDescent="0.2">
      <c r="B94">
        <v>0.27757814902231298</v>
      </c>
      <c r="C94">
        <v>0.81557377049180324</v>
      </c>
    </row>
    <row r="95" spans="2:3" x14ac:dyDescent="0.2">
      <c r="B95">
        <v>0.276838364198075</v>
      </c>
      <c r="C95">
        <v>0.81352459016393441</v>
      </c>
    </row>
    <row r="96" spans="2:3" x14ac:dyDescent="0.2">
      <c r="B96">
        <v>0.27345400977506001</v>
      </c>
      <c r="C96">
        <v>0.81147540983606559</v>
      </c>
    </row>
    <row r="97" spans="2:3" x14ac:dyDescent="0.2">
      <c r="B97">
        <v>0.27338710959478701</v>
      </c>
      <c r="C97">
        <v>0.80942622950819676</v>
      </c>
    </row>
    <row r="98" spans="2:3" x14ac:dyDescent="0.2">
      <c r="B98">
        <v>0.273142709948556</v>
      </c>
      <c r="C98">
        <v>0.80737704918032782</v>
      </c>
    </row>
    <row r="99" spans="2:3" x14ac:dyDescent="0.2">
      <c r="B99">
        <v>0.27301760157076599</v>
      </c>
      <c r="C99">
        <v>0.80532786885245899</v>
      </c>
    </row>
    <row r="100" spans="2:3" x14ac:dyDescent="0.2">
      <c r="B100">
        <v>0.27244745512371099</v>
      </c>
      <c r="C100">
        <v>0.80327868852459017</v>
      </c>
    </row>
    <row r="101" spans="2:3" x14ac:dyDescent="0.2">
      <c r="B101">
        <v>0.272397869441528</v>
      </c>
      <c r="C101">
        <v>0.80122950819672134</v>
      </c>
    </row>
    <row r="102" spans="2:3" x14ac:dyDescent="0.2">
      <c r="B102">
        <v>0.27144640065078202</v>
      </c>
      <c r="C102">
        <v>0.79918032786885251</v>
      </c>
    </row>
    <row r="103" spans="2:3" x14ac:dyDescent="0.2">
      <c r="B103">
        <v>0.27013548905218498</v>
      </c>
      <c r="C103">
        <v>0.79713114754098358</v>
      </c>
    </row>
    <row r="104" spans="2:3" x14ac:dyDescent="0.2">
      <c r="B104">
        <v>0.26463638384661198</v>
      </c>
      <c r="C104">
        <v>0.79508196721311475</v>
      </c>
    </row>
    <row r="105" spans="2:3" x14ac:dyDescent="0.2">
      <c r="B105">
        <v>0.264041795158099</v>
      </c>
      <c r="C105">
        <v>0.79303278688524592</v>
      </c>
    </row>
    <row r="106" spans="2:3" x14ac:dyDescent="0.2">
      <c r="B106">
        <v>0.26374204235940502</v>
      </c>
      <c r="C106">
        <v>0.79098360655737709</v>
      </c>
    </row>
    <row r="107" spans="2:3" x14ac:dyDescent="0.2">
      <c r="B107">
        <v>0.263478185814358</v>
      </c>
      <c r="C107">
        <v>0.78893442622950816</v>
      </c>
    </row>
    <row r="108" spans="2:3" x14ac:dyDescent="0.2">
      <c r="B108">
        <v>0.26309378134703698</v>
      </c>
      <c r="C108">
        <v>0.78688524590163933</v>
      </c>
    </row>
    <row r="109" spans="2:3" x14ac:dyDescent="0.2">
      <c r="B109">
        <v>0.262835252632523</v>
      </c>
      <c r="C109">
        <v>0.7848360655737705</v>
      </c>
    </row>
    <row r="110" spans="2:3" x14ac:dyDescent="0.2">
      <c r="B110">
        <v>0.26272619011071602</v>
      </c>
      <c r="C110">
        <v>0.78278688524590168</v>
      </c>
    </row>
    <row r="111" spans="2:3" x14ac:dyDescent="0.2">
      <c r="B111">
        <v>0.26220123492320901</v>
      </c>
      <c r="C111">
        <v>0.78073770491803274</v>
      </c>
    </row>
    <row r="112" spans="2:3" x14ac:dyDescent="0.2">
      <c r="B112">
        <v>0.26043978602927498</v>
      </c>
      <c r="C112">
        <v>0.77868852459016391</v>
      </c>
    </row>
    <row r="113" spans="2:3" x14ac:dyDescent="0.2">
      <c r="B113">
        <v>0.25777920599953302</v>
      </c>
      <c r="C113">
        <v>0.77663934426229508</v>
      </c>
    </row>
    <row r="114" spans="2:3" x14ac:dyDescent="0.2">
      <c r="B114">
        <v>0.25671639383167599</v>
      </c>
      <c r="C114">
        <v>0.77459016393442626</v>
      </c>
    </row>
    <row r="115" spans="2:3" x14ac:dyDescent="0.2">
      <c r="B115">
        <v>0.2563322577928</v>
      </c>
      <c r="C115">
        <v>0.77254098360655743</v>
      </c>
    </row>
    <row r="116" spans="2:3" x14ac:dyDescent="0.2">
      <c r="B116">
        <v>0.25544767354590903</v>
      </c>
      <c r="C116">
        <v>0.77049180327868849</v>
      </c>
    </row>
    <row r="117" spans="2:3" x14ac:dyDescent="0.2">
      <c r="B117">
        <v>0.25322483650766398</v>
      </c>
      <c r="C117">
        <v>0.76844262295081966</v>
      </c>
    </row>
    <row r="118" spans="2:3" x14ac:dyDescent="0.2">
      <c r="B118">
        <v>0.25239780201461298</v>
      </c>
      <c r="C118">
        <v>0.76639344262295084</v>
      </c>
    </row>
    <row r="119" spans="2:3" x14ac:dyDescent="0.2">
      <c r="B119">
        <v>0.25231644326089397</v>
      </c>
      <c r="C119">
        <v>0.76434426229508201</v>
      </c>
    </row>
    <row r="120" spans="2:3" x14ac:dyDescent="0.2">
      <c r="B120">
        <v>0.25212165912138201</v>
      </c>
      <c r="C120">
        <v>0.76229508196721307</v>
      </c>
    </row>
    <row r="121" spans="2:3" x14ac:dyDescent="0.2">
      <c r="B121">
        <v>0.251261118008413</v>
      </c>
      <c r="C121">
        <v>0.76024590163934425</v>
      </c>
    </row>
    <row r="122" spans="2:3" x14ac:dyDescent="0.2">
      <c r="B122">
        <v>0.249795670859779</v>
      </c>
      <c r="C122">
        <v>0.75819672131147542</v>
      </c>
    </row>
    <row r="123" spans="2:3" x14ac:dyDescent="0.2">
      <c r="B123">
        <v>0.24820429250380099</v>
      </c>
      <c r="C123">
        <v>0.75614754098360659</v>
      </c>
    </row>
    <row r="124" spans="2:3" x14ac:dyDescent="0.2">
      <c r="B124">
        <v>0.24736993535466001</v>
      </c>
      <c r="C124">
        <v>0.75409836065573765</v>
      </c>
    </row>
    <row r="125" spans="2:3" x14ac:dyDescent="0.2">
      <c r="B125">
        <v>0.24716175163210399</v>
      </c>
      <c r="C125">
        <v>0.75204918032786883</v>
      </c>
    </row>
    <row r="126" spans="2:3" x14ac:dyDescent="0.2">
      <c r="B126">
        <v>0.246889281464542</v>
      </c>
      <c r="C126">
        <v>0.75</v>
      </c>
    </row>
    <row r="127" spans="2:3" x14ac:dyDescent="0.2">
      <c r="B127">
        <v>0.24644162523072</v>
      </c>
      <c r="C127">
        <v>0.74795081967213117</v>
      </c>
    </row>
    <row r="128" spans="2:3" x14ac:dyDescent="0.2">
      <c r="B128">
        <v>0.24465908953593099</v>
      </c>
      <c r="C128">
        <v>0.74590163934426235</v>
      </c>
    </row>
    <row r="129" spans="2:3" x14ac:dyDescent="0.2">
      <c r="B129">
        <v>0.243744793938763</v>
      </c>
      <c r="C129">
        <v>0.74385245901639341</v>
      </c>
    </row>
    <row r="130" spans="2:3" x14ac:dyDescent="0.2">
      <c r="B130">
        <v>0.24302346111838199</v>
      </c>
      <c r="C130">
        <v>0.74180327868852458</v>
      </c>
    </row>
    <row r="131" spans="2:3" x14ac:dyDescent="0.2">
      <c r="B131">
        <v>0.24189612394257401</v>
      </c>
      <c r="C131">
        <v>0.73975409836065575</v>
      </c>
    </row>
    <row r="132" spans="2:3" x14ac:dyDescent="0.2">
      <c r="B132">
        <v>0.240884598113073</v>
      </c>
      <c r="C132">
        <v>0.73770491803278693</v>
      </c>
    </row>
    <row r="133" spans="2:3" x14ac:dyDescent="0.2">
      <c r="B133">
        <v>0.23877880563637899</v>
      </c>
      <c r="C133">
        <v>0.73565573770491799</v>
      </c>
    </row>
    <row r="134" spans="2:3" x14ac:dyDescent="0.2">
      <c r="B134">
        <v>0.238353186852029</v>
      </c>
      <c r="C134">
        <v>0.73360655737704916</v>
      </c>
    </row>
    <row r="135" spans="2:3" x14ac:dyDescent="0.2">
      <c r="B135">
        <v>0.23454373271985901</v>
      </c>
      <c r="C135">
        <v>0.73155737704918034</v>
      </c>
    </row>
    <row r="136" spans="2:3" x14ac:dyDescent="0.2">
      <c r="B136">
        <v>0.23358568921494799</v>
      </c>
      <c r="C136">
        <v>0.72950819672131151</v>
      </c>
    </row>
    <row r="137" spans="2:3" x14ac:dyDescent="0.2">
      <c r="B137">
        <v>0.22898476020757899</v>
      </c>
      <c r="C137">
        <v>0.72745901639344257</v>
      </c>
    </row>
    <row r="138" spans="2:3" x14ac:dyDescent="0.2">
      <c r="B138">
        <v>0.22796045681975699</v>
      </c>
      <c r="C138">
        <v>0.72540983606557374</v>
      </c>
    </row>
    <row r="139" spans="2:3" x14ac:dyDescent="0.2">
      <c r="B139">
        <v>0.22778238404279499</v>
      </c>
      <c r="C139">
        <v>0.72336065573770492</v>
      </c>
    </row>
    <row r="140" spans="2:3" x14ac:dyDescent="0.2">
      <c r="B140">
        <v>0.22699301688812801</v>
      </c>
      <c r="C140">
        <v>0.72131147540983609</v>
      </c>
    </row>
    <row r="141" spans="2:3" x14ac:dyDescent="0.2">
      <c r="B141">
        <v>0.22523490315536099</v>
      </c>
      <c r="C141">
        <v>0.71926229508196726</v>
      </c>
    </row>
    <row r="142" spans="2:3" x14ac:dyDescent="0.2">
      <c r="B142">
        <v>0.222844577105727</v>
      </c>
      <c r="C142">
        <v>0.71721311475409832</v>
      </c>
    </row>
    <row r="143" spans="2:3" x14ac:dyDescent="0.2">
      <c r="B143">
        <v>0.22198184210665201</v>
      </c>
      <c r="C143">
        <v>0.7151639344262295</v>
      </c>
    </row>
    <row r="144" spans="2:3" x14ac:dyDescent="0.2">
      <c r="B144">
        <v>0.22196916306064499</v>
      </c>
      <c r="C144">
        <v>0.71311475409836067</v>
      </c>
    </row>
    <row r="145" spans="2:3" x14ac:dyDescent="0.2">
      <c r="B145">
        <v>0.22162562794717799</v>
      </c>
      <c r="C145">
        <v>0.71106557377049184</v>
      </c>
    </row>
    <row r="146" spans="2:3" x14ac:dyDescent="0.2">
      <c r="B146">
        <v>0.22126270168989801</v>
      </c>
      <c r="C146">
        <v>0.70901639344262291</v>
      </c>
    </row>
    <row r="147" spans="2:3" x14ac:dyDescent="0.2">
      <c r="B147">
        <v>0.22006606292887099</v>
      </c>
      <c r="C147">
        <v>0.70696721311475408</v>
      </c>
    </row>
    <row r="148" spans="2:3" x14ac:dyDescent="0.2">
      <c r="B148">
        <v>0.21844687110657601</v>
      </c>
      <c r="C148">
        <v>0.70491803278688525</v>
      </c>
    </row>
    <row r="149" spans="2:3" x14ac:dyDescent="0.2">
      <c r="B149">
        <v>0.218087868249906</v>
      </c>
      <c r="C149">
        <v>0.70286885245901642</v>
      </c>
    </row>
    <row r="150" spans="2:3" x14ac:dyDescent="0.2">
      <c r="B150">
        <v>0.216981589551034</v>
      </c>
      <c r="C150">
        <v>0.70081967213114749</v>
      </c>
    </row>
    <row r="151" spans="2:3" x14ac:dyDescent="0.2">
      <c r="B151">
        <v>0.216386645153851</v>
      </c>
      <c r="C151">
        <v>0.69877049180327866</v>
      </c>
    </row>
    <row r="152" spans="2:3" x14ac:dyDescent="0.2">
      <c r="B152">
        <v>0.21556214180327199</v>
      </c>
      <c r="C152">
        <v>0.69672131147540983</v>
      </c>
    </row>
    <row r="153" spans="2:3" x14ac:dyDescent="0.2">
      <c r="B153">
        <v>0.21548822301796899</v>
      </c>
      <c r="C153">
        <v>0.69467213114754101</v>
      </c>
    </row>
    <row r="154" spans="2:3" x14ac:dyDescent="0.2">
      <c r="B154">
        <v>0.21471571865464201</v>
      </c>
      <c r="C154">
        <v>0.69262295081967218</v>
      </c>
    </row>
    <row r="155" spans="2:3" x14ac:dyDescent="0.2">
      <c r="B155">
        <v>0.214588452736652</v>
      </c>
      <c r="C155">
        <v>0.69057377049180324</v>
      </c>
    </row>
    <row r="156" spans="2:3" x14ac:dyDescent="0.2">
      <c r="B156">
        <v>0.21320679669485401</v>
      </c>
      <c r="C156">
        <v>0.68852459016393441</v>
      </c>
    </row>
    <row r="157" spans="2:3" x14ac:dyDescent="0.2">
      <c r="B157">
        <v>0.21312037070500101</v>
      </c>
      <c r="C157">
        <v>0.68647540983606559</v>
      </c>
    </row>
    <row r="158" spans="2:3" x14ac:dyDescent="0.2">
      <c r="B158">
        <v>0.21286070986789801</v>
      </c>
      <c r="C158">
        <v>0.68442622950819676</v>
      </c>
    </row>
    <row r="159" spans="2:3" x14ac:dyDescent="0.2">
      <c r="B159">
        <v>0.212568358519543</v>
      </c>
      <c r="C159">
        <v>0.68237704918032782</v>
      </c>
    </row>
    <row r="160" spans="2:3" x14ac:dyDescent="0.2">
      <c r="B160">
        <v>0.21221160113902399</v>
      </c>
      <c r="C160">
        <v>0.68032786885245899</v>
      </c>
    </row>
    <row r="161" spans="2:3" x14ac:dyDescent="0.2">
      <c r="B161">
        <v>0.210979524099244</v>
      </c>
      <c r="C161">
        <v>0.67827868852459017</v>
      </c>
    </row>
    <row r="162" spans="2:3" x14ac:dyDescent="0.2">
      <c r="B162">
        <v>0.210701515123602</v>
      </c>
      <c r="C162">
        <v>0.67622950819672134</v>
      </c>
    </row>
    <row r="163" spans="2:3" x14ac:dyDescent="0.2">
      <c r="B163">
        <v>0.20989060990798999</v>
      </c>
      <c r="C163">
        <v>0.67418032786885251</v>
      </c>
    </row>
    <row r="164" spans="2:3" x14ac:dyDescent="0.2">
      <c r="B164">
        <v>0.20951506245026699</v>
      </c>
      <c r="C164">
        <v>0.67213114754098358</v>
      </c>
    </row>
    <row r="165" spans="2:3" x14ac:dyDescent="0.2">
      <c r="B165">
        <v>0.208392332693694</v>
      </c>
      <c r="C165">
        <v>0.67008196721311475</v>
      </c>
    </row>
    <row r="166" spans="2:3" x14ac:dyDescent="0.2">
      <c r="B166">
        <v>0.20774395002721099</v>
      </c>
      <c r="C166">
        <v>0.66803278688524592</v>
      </c>
    </row>
    <row r="167" spans="2:3" x14ac:dyDescent="0.2">
      <c r="B167">
        <v>0.20764111170306901</v>
      </c>
      <c r="C167">
        <v>0.66598360655737709</v>
      </c>
    </row>
    <row r="168" spans="2:3" x14ac:dyDescent="0.2">
      <c r="B168">
        <v>0.20477016945738599</v>
      </c>
      <c r="C168">
        <v>0.66393442622950816</v>
      </c>
    </row>
    <row r="169" spans="2:3" x14ac:dyDescent="0.2">
      <c r="B169">
        <v>0.20462238616769901</v>
      </c>
      <c r="C169">
        <v>0.66188524590163933</v>
      </c>
    </row>
    <row r="170" spans="2:3" x14ac:dyDescent="0.2">
      <c r="B170">
        <v>0.204554453567526</v>
      </c>
      <c r="C170">
        <v>0.6598360655737705</v>
      </c>
    </row>
    <row r="171" spans="2:3" x14ac:dyDescent="0.2">
      <c r="B171">
        <v>0.203386088622377</v>
      </c>
      <c r="C171">
        <v>0.65778688524590168</v>
      </c>
    </row>
    <row r="172" spans="2:3" x14ac:dyDescent="0.2">
      <c r="B172">
        <v>0.20290853017078</v>
      </c>
      <c r="C172">
        <v>0.65573770491803274</v>
      </c>
    </row>
    <row r="173" spans="2:3" x14ac:dyDescent="0.2">
      <c r="B173">
        <v>0.20251121424479801</v>
      </c>
      <c r="C173">
        <v>0.65368852459016391</v>
      </c>
    </row>
    <row r="174" spans="2:3" x14ac:dyDescent="0.2">
      <c r="B174">
        <v>0.20033872553662799</v>
      </c>
      <c r="C174">
        <v>0.65163934426229508</v>
      </c>
    </row>
    <row r="175" spans="2:3" x14ac:dyDescent="0.2">
      <c r="B175">
        <v>0.20020421517081199</v>
      </c>
      <c r="C175">
        <v>0.64959016393442626</v>
      </c>
    </row>
    <row r="176" spans="2:3" x14ac:dyDescent="0.2">
      <c r="B176">
        <v>0.19910893140434399</v>
      </c>
      <c r="C176">
        <v>0.64754098360655743</v>
      </c>
    </row>
    <row r="177" spans="2:3" x14ac:dyDescent="0.2">
      <c r="B177">
        <v>0.19885484877475501</v>
      </c>
      <c r="C177">
        <v>0.64549180327868849</v>
      </c>
    </row>
    <row r="178" spans="2:3" x14ac:dyDescent="0.2">
      <c r="B178">
        <v>0.197810505251761</v>
      </c>
      <c r="C178">
        <v>0.64344262295081966</v>
      </c>
    </row>
    <row r="179" spans="2:3" x14ac:dyDescent="0.2">
      <c r="B179">
        <v>0.196675150730522</v>
      </c>
      <c r="C179">
        <v>0.64139344262295084</v>
      </c>
    </row>
    <row r="180" spans="2:3" x14ac:dyDescent="0.2">
      <c r="B180">
        <v>0.195525415822038</v>
      </c>
      <c r="C180">
        <v>0.63934426229508201</v>
      </c>
    </row>
    <row r="181" spans="2:3" x14ac:dyDescent="0.2">
      <c r="B181">
        <v>0.19512672548368501</v>
      </c>
      <c r="C181">
        <v>0.63729508196721307</v>
      </c>
    </row>
    <row r="182" spans="2:3" x14ac:dyDescent="0.2">
      <c r="B182">
        <v>0.19503152465641699</v>
      </c>
      <c r="C182">
        <v>0.63524590163934425</v>
      </c>
    </row>
    <row r="183" spans="2:3" x14ac:dyDescent="0.2">
      <c r="B183">
        <v>0.19205383855106201</v>
      </c>
      <c r="C183">
        <v>0.63319672131147542</v>
      </c>
    </row>
    <row r="184" spans="2:3" x14ac:dyDescent="0.2">
      <c r="B184">
        <v>0.19073436750445499</v>
      </c>
      <c r="C184">
        <v>0.63114754098360659</v>
      </c>
    </row>
    <row r="185" spans="2:3" x14ac:dyDescent="0.2">
      <c r="B185">
        <v>0.19031691215045299</v>
      </c>
      <c r="C185">
        <v>0.62909836065573765</v>
      </c>
    </row>
    <row r="186" spans="2:3" x14ac:dyDescent="0.2">
      <c r="B186">
        <v>0.18969606299959199</v>
      </c>
      <c r="C186">
        <v>0.62704918032786883</v>
      </c>
    </row>
    <row r="187" spans="2:3" x14ac:dyDescent="0.2">
      <c r="B187">
        <v>0.18914453600637299</v>
      </c>
      <c r="C187">
        <v>0.625</v>
      </c>
    </row>
    <row r="188" spans="2:3" x14ac:dyDescent="0.2">
      <c r="B188">
        <v>0.188916455378519</v>
      </c>
      <c r="C188">
        <v>0.62295081967213117</v>
      </c>
    </row>
    <row r="189" spans="2:3" x14ac:dyDescent="0.2">
      <c r="B189">
        <v>0.18820243128675301</v>
      </c>
      <c r="C189">
        <v>0.62090163934426235</v>
      </c>
    </row>
    <row r="190" spans="2:3" x14ac:dyDescent="0.2">
      <c r="B190">
        <v>0.187129400944608</v>
      </c>
      <c r="C190">
        <v>0.61885245901639341</v>
      </c>
    </row>
    <row r="191" spans="2:3" x14ac:dyDescent="0.2">
      <c r="B191">
        <v>0.18689819072136499</v>
      </c>
      <c r="C191">
        <v>0.61680327868852458</v>
      </c>
    </row>
    <row r="192" spans="2:3" x14ac:dyDescent="0.2">
      <c r="B192">
        <v>0.186481078830316</v>
      </c>
      <c r="C192">
        <v>0.61475409836065575</v>
      </c>
    </row>
    <row r="193" spans="2:3" x14ac:dyDescent="0.2">
      <c r="B193">
        <v>0.18427306838955501</v>
      </c>
      <c r="C193">
        <v>0.61270491803278693</v>
      </c>
    </row>
    <row r="194" spans="2:3" x14ac:dyDescent="0.2">
      <c r="B194">
        <v>0.183933706609231</v>
      </c>
      <c r="C194">
        <v>0.61065573770491799</v>
      </c>
    </row>
    <row r="195" spans="2:3" x14ac:dyDescent="0.2">
      <c r="B195">
        <v>0.18303228330119201</v>
      </c>
      <c r="C195">
        <v>0.60860655737704916</v>
      </c>
    </row>
    <row r="196" spans="2:3" x14ac:dyDescent="0.2">
      <c r="B196">
        <v>0.18213824947999899</v>
      </c>
      <c r="C196">
        <v>0.60655737704918034</v>
      </c>
    </row>
    <row r="197" spans="2:3" x14ac:dyDescent="0.2">
      <c r="B197">
        <v>0.18190042067043699</v>
      </c>
      <c r="C197">
        <v>0.60450819672131151</v>
      </c>
    </row>
    <row r="198" spans="2:3" x14ac:dyDescent="0.2">
      <c r="B198">
        <v>0.18105624159229899</v>
      </c>
      <c r="C198">
        <v>0.60245901639344257</v>
      </c>
    </row>
    <row r="199" spans="2:3" x14ac:dyDescent="0.2">
      <c r="B199">
        <v>0.181044302561332</v>
      </c>
      <c r="C199">
        <v>0.60040983606557374</v>
      </c>
    </row>
    <row r="200" spans="2:3" x14ac:dyDescent="0.2">
      <c r="B200">
        <v>0.18081811475013901</v>
      </c>
      <c r="C200">
        <v>0.59836065573770492</v>
      </c>
    </row>
    <row r="201" spans="2:3" x14ac:dyDescent="0.2">
      <c r="B201">
        <v>0.179902471943651</v>
      </c>
      <c r="C201">
        <v>0.59631147540983609</v>
      </c>
    </row>
    <row r="202" spans="2:3" x14ac:dyDescent="0.2">
      <c r="B202">
        <v>0.179692156203418</v>
      </c>
      <c r="C202">
        <v>0.59426229508196726</v>
      </c>
    </row>
    <row r="203" spans="2:3" x14ac:dyDescent="0.2">
      <c r="B203">
        <v>0.17891733225805001</v>
      </c>
      <c r="C203">
        <v>0.59221311475409832</v>
      </c>
    </row>
    <row r="204" spans="2:3" x14ac:dyDescent="0.2">
      <c r="B204">
        <v>0.17888819708912801</v>
      </c>
      <c r="C204">
        <v>0.5901639344262295</v>
      </c>
    </row>
    <row r="205" spans="2:3" x14ac:dyDescent="0.2">
      <c r="B205">
        <v>0.17838524452836299</v>
      </c>
      <c r="C205">
        <v>0.58811475409836067</v>
      </c>
    </row>
    <row r="206" spans="2:3" x14ac:dyDescent="0.2">
      <c r="B206">
        <v>0.177621414716852</v>
      </c>
      <c r="C206">
        <v>0.58606557377049184</v>
      </c>
    </row>
    <row r="207" spans="2:3" x14ac:dyDescent="0.2">
      <c r="B207">
        <v>0.17742974400349101</v>
      </c>
      <c r="C207">
        <v>0.58401639344262291</v>
      </c>
    </row>
    <row r="208" spans="2:3" x14ac:dyDescent="0.2">
      <c r="B208">
        <v>0.17655947315892101</v>
      </c>
      <c r="C208">
        <v>0.58196721311475408</v>
      </c>
    </row>
    <row r="209" spans="2:3" x14ac:dyDescent="0.2">
      <c r="B209">
        <v>0.17600700413398601</v>
      </c>
      <c r="C209">
        <v>0.57991803278688525</v>
      </c>
    </row>
    <row r="210" spans="2:3" x14ac:dyDescent="0.2">
      <c r="B210">
        <v>0.175762251774048</v>
      </c>
      <c r="C210">
        <v>0.57786885245901642</v>
      </c>
    </row>
    <row r="211" spans="2:3" x14ac:dyDescent="0.2">
      <c r="B211">
        <v>0.17572999134033401</v>
      </c>
      <c r="C211">
        <v>0.57581967213114749</v>
      </c>
    </row>
    <row r="212" spans="2:3" x14ac:dyDescent="0.2">
      <c r="B212">
        <v>0.17528185828339601</v>
      </c>
      <c r="C212">
        <v>0.57377049180327866</v>
      </c>
    </row>
    <row r="213" spans="2:3" x14ac:dyDescent="0.2">
      <c r="B213">
        <v>0.17439552653899501</v>
      </c>
      <c r="C213">
        <v>0.57172131147540983</v>
      </c>
    </row>
    <row r="214" spans="2:3" x14ac:dyDescent="0.2">
      <c r="B214">
        <v>0.17306539521351999</v>
      </c>
      <c r="C214">
        <v>0.56967213114754101</v>
      </c>
    </row>
    <row r="215" spans="2:3" x14ac:dyDescent="0.2">
      <c r="B215">
        <v>0.17284916445308601</v>
      </c>
      <c r="C215">
        <v>0.56762295081967218</v>
      </c>
    </row>
    <row r="216" spans="2:3" x14ac:dyDescent="0.2">
      <c r="B216">
        <v>0.17273605309338699</v>
      </c>
      <c r="C216">
        <v>0.56557377049180324</v>
      </c>
    </row>
    <row r="217" spans="2:3" x14ac:dyDescent="0.2">
      <c r="B217">
        <v>0.17253272277899601</v>
      </c>
      <c r="C217">
        <v>0.56352459016393441</v>
      </c>
    </row>
    <row r="218" spans="2:3" x14ac:dyDescent="0.2">
      <c r="B218">
        <v>0.172316755714017</v>
      </c>
      <c r="C218">
        <v>0.56147540983606559</v>
      </c>
    </row>
    <row r="219" spans="2:3" x14ac:dyDescent="0.2">
      <c r="B219">
        <v>0.17110625292599899</v>
      </c>
      <c r="C219">
        <v>0.55942622950819676</v>
      </c>
    </row>
    <row r="220" spans="2:3" x14ac:dyDescent="0.2">
      <c r="B220">
        <v>0.170882490454842</v>
      </c>
      <c r="C220">
        <v>0.55737704918032782</v>
      </c>
    </row>
    <row r="221" spans="2:3" x14ac:dyDescent="0.2">
      <c r="B221">
        <v>0.17071688261944201</v>
      </c>
      <c r="C221">
        <v>0.55532786885245899</v>
      </c>
    </row>
    <row r="222" spans="2:3" x14ac:dyDescent="0.2">
      <c r="B222">
        <v>0.17068039835294799</v>
      </c>
      <c r="C222">
        <v>0.55327868852459017</v>
      </c>
    </row>
    <row r="223" spans="2:3" x14ac:dyDescent="0.2">
      <c r="B223">
        <v>0.17056801049679299</v>
      </c>
      <c r="C223">
        <v>0.55122950819672134</v>
      </c>
    </row>
    <row r="224" spans="2:3" x14ac:dyDescent="0.2">
      <c r="B224">
        <v>0.17048205519226101</v>
      </c>
      <c r="C224">
        <v>0.54918032786885251</v>
      </c>
    </row>
    <row r="225" spans="2:3" x14ac:dyDescent="0.2">
      <c r="B225">
        <v>0.170323558722065</v>
      </c>
      <c r="C225">
        <v>0.54713114754098358</v>
      </c>
    </row>
    <row r="226" spans="2:3" x14ac:dyDescent="0.2">
      <c r="B226">
        <v>0.170014975073703</v>
      </c>
      <c r="C226">
        <v>0.54508196721311475</v>
      </c>
    </row>
    <row r="227" spans="2:3" x14ac:dyDescent="0.2">
      <c r="B227">
        <v>0.16980236754720399</v>
      </c>
      <c r="C227">
        <v>0.54303278688524592</v>
      </c>
    </row>
    <row r="228" spans="2:3" x14ac:dyDescent="0.2">
      <c r="B228">
        <v>0.16886396356309299</v>
      </c>
      <c r="C228">
        <v>0.54098360655737709</v>
      </c>
    </row>
    <row r="229" spans="2:3" x14ac:dyDescent="0.2">
      <c r="B229">
        <v>0.16885888671552199</v>
      </c>
      <c r="C229">
        <v>0.53893442622950816</v>
      </c>
    </row>
    <row r="230" spans="2:3" x14ac:dyDescent="0.2">
      <c r="B230">
        <v>0.168214265162618</v>
      </c>
      <c r="C230">
        <v>0.53688524590163933</v>
      </c>
    </row>
    <row r="231" spans="2:3" x14ac:dyDescent="0.2">
      <c r="B231">
        <v>0.168007711829294</v>
      </c>
      <c r="C231">
        <v>0.5348360655737705</v>
      </c>
    </row>
    <row r="232" spans="2:3" x14ac:dyDescent="0.2">
      <c r="B232">
        <v>0.167317587764376</v>
      </c>
      <c r="C232">
        <v>0.53278688524590168</v>
      </c>
    </row>
    <row r="233" spans="2:3" x14ac:dyDescent="0.2">
      <c r="B233">
        <v>0.166893038813828</v>
      </c>
      <c r="C233">
        <v>0.53073770491803274</v>
      </c>
    </row>
    <row r="234" spans="2:3" x14ac:dyDescent="0.2">
      <c r="B234">
        <v>0.166700975651247</v>
      </c>
      <c r="C234">
        <v>0.52868852459016391</v>
      </c>
    </row>
    <row r="235" spans="2:3" x14ac:dyDescent="0.2">
      <c r="B235">
        <v>0.16564961170869799</v>
      </c>
      <c r="C235">
        <v>0.52663934426229508</v>
      </c>
    </row>
    <row r="236" spans="2:3" x14ac:dyDescent="0.2">
      <c r="B236">
        <v>0.16560100010067</v>
      </c>
      <c r="C236">
        <v>0.52459016393442626</v>
      </c>
    </row>
    <row r="237" spans="2:3" x14ac:dyDescent="0.2">
      <c r="B237">
        <v>0.165198016412749</v>
      </c>
      <c r="C237">
        <v>0.52254098360655743</v>
      </c>
    </row>
    <row r="238" spans="2:3" x14ac:dyDescent="0.2">
      <c r="B238">
        <v>0.165017364881582</v>
      </c>
      <c r="C238">
        <v>0.52049180327868849</v>
      </c>
    </row>
    <row r="239" spans="2:3" x14ac:dyDescent="0.2">
      <c r="B239">
        <v>0.16421729579928901</v>
      </c>
      <c r="C239">
        <v>0.51844262295081966</v>
      </c>
    </row>
    <row r="240" spans="2:3" x14ac:dyDescent="0.2">
      <c r="B240">
        <v>0.16408938955420199</v>
      </c>
      <c r="C240">
        <v>0.51639344262295084</v>
      </c>
    </row>
    <row r="241" spans="2:3" x14ac:dyDescent="0.2">
      <c r="B241">
        <v>0.16284454725382899</v>
      </c>
      <c r="C241">
        <v>0.51434426229508201</v>
      </c>
    </row>
    <row r="242" spans="2:3" x14ac:dyDescent="0.2">
      <c r="B242">
        <v>0.16177819505434701</v>
      </c>
      <c r="C242">
        <v>0.51229508196721307</v>
      </c>
    </row>
    <row r="243" spans="2:3" x14ac:dyDescent="0.2">
      <c r="B243">
        <v>0.16107232417988801</v>
      </c>
      <c r="C243">
        <v>0.51024590163934425</v>
      </c>
    </row>
    <row r="244" spans="2:3" x14ac:dyDescent="0.2">
      <c r="B244">
        <v>0.160982209684571</v>
      </c>
      <c r="C244">
        <v>0.50819672131147542</v>
      </c>
    </row>
    <row r="245" spans="2:3" x14ac:dyDescent="0.2">
      <c r="B245">
        <v>0.160235418331441</v>
      </c>
      <c r="C245">
        <v>0.50614754098360659</v>
      </c>
    </row>
    <row r="246" spans="2:3" x14ac:dyDescent="0.2">
      <c r="B246">
        <v>0.16021564296812599</v>
      </c>
      <c r="C246">
        <v>0.50409836065573765</v>
      </c>
    </row>
    <row r="247" spans="2:3" x14ac:dyDescent="0.2">
      <c r="B247">
        <v>0.157985178662431</v>
      </c>
      <c r="C247">
        <v>0.50204918032786883</v>
      </c>
    </row>
    <row r="248" spans="2:3" x14ac:dyDescent="0.2">
      <c r="B248">
        <v>0.157145007123487</v>
      </c>
      <c r="C248">
        <v>0.5</v>
      </c>
    </row>
    <row r="249" spans="2:3" x14ac:dyDescent="0.2">
      <c r="B249">
        <v>0.15653910249819</v>
      </c>
      <c r="C249">
        <v>0.49795081967213117</v>
      </c>
    </row>
    <row r="250" spans="2:3" x14ac:dyDescent="0.2">
      <c r="B250">
        <v>0.156018359251966</v>
      </c>
      <c r="C250">
        <v>0.49590163934426229</v>
      </c>
    </row>
    <row r="251" spans="2:3" x14ac:dyDescent="0.2">
      <c r="B251">
        <v>0.15583466893846301</v>
      </c>
      <c r="C251">
        <v>0.49385245901639346</v>
      </c>
    </row>
    <row r="252" spans="2:3" x14ac:dyDescent="0.2">
      <c r="B252">
        <v>0.15571806457147899</v>
      </c>
      <c r="C252">
        <v>0.49180327868852458</v>
      </c>
    </row>
    <row r="253" spans="2:3" x14ac:dyDescent="0.2">
      <c r="B253">
        <v>0.15556532064474801</v>
      </c>
      <c r="C253">
        <v>0.48975409836065575</v>
      </c>
    </row>
    <row r="254" spans="2:3" x14ac:dyDescent="0.2">
      <c r="B254">
        <v>0.15533464868299199</v>
      </c>
      <c r="C254">
        <v>0.48770491803278687</v>
      </c>
    </row>
    <row r="255" spans="2:3" x14ac:dyDescent="0.2">
      <c r="B255">
        <v>0.1551321688667</v>
      </c>
      <c r="C255">
        <v>0.48565573770491804</v>
      </c>
    </row>
    <row r="256" spans="2:3" x14ac:dyDescent="0.2">
      <c r="B256">
        <v>0.154792847051134</v>
      </c>
      <c r="C256">
        <v>0.48360655737704916</v>
      </c>
    </row>
    <row r="257" spans="2:3" x14ac:dyDescent="0.2">
      <c r="B257">
        <v>0.154446156724484</v>
      </c>
      <c r="C257">
        <v>0.48155737704918034</v>
      </c>
    </row>
    <row r="258" spans="2:3" x14ac:dyDescent="0.2">
      <c r="B258">
        <v>0.15436910333484399</v>
      </c>
      <c r="C258">
        <v>0.47950819672131145</v>
      </c>
    </row>
    <row r="259" spans="2:3" x14ac:dyDescent="0.2">
      <c r="B259">
        <v>0.15432570630515699</v>
      </c>
      <c r="C259">
        <v>0.47745901639344263</v>
      </c>
    </row>
    <row r="260" spans="2:3" x14ac:dyDescent="0.2">
      <c r="B260">
        <v>0.154279728031508</v>
      </c>
      <c r="C260">
        <v>0.47540983606557374</v>
      </c>
    </row>
    <row r="261" spans="2:3" x14ac:dyDescent="0.2">
      <c r="B261">
        <v>0.15359026129202699</v>
      </c>
      <c r="C261">
        <v>0.47336065573770492</v>
      </c>
    </row>
    <row r="262" spans="2:3" x14ac:dyDescent="0.2">
      <c r="B262">
        <v>0.15355455457603301</v>
      </c>
      <c r="C262">
        <v>0.47131147540983609</v>
      </c>
    </row>
    <row r="263" spans="2:3" x14ac:dyDescent="0.2">
      <c r="B263">
        <v>0.15315301692813499</v>
      </c>
      <c r="C263">
        <v>0.46926229508196721</v>
      </c>
    </row>
    <row r="264" spans="2:3" x14ac:dyDescent="0.2">
      <c r="B264">
        <v>0.151923664307208</v>
      </c>
      <c r="C264">
        <v>0.46721311475409838</v>
      </c>
    </row>
    <row r="265" spans="2:3" x14ac:dyDescent="0.2">
      <c r="B265">
        <v>0.15098675255563501</v>
      </c>
      <c r="C265">
        <v>0.4651639344262295</v>
      </c>
    </row>
    <row r="266" spans="2:3" x14ac:dyDescent="0.2">
      <c r="B266">
        <v>0.150917783831714</v>
      </c>
      <c r="C266">
        <v>0.46311475409836067</v>
      </c>
    </row>
    <row r="267" spans="2:3" x14ac:dyDescent="0.2">
      <c r="B267">
        <v>0.15054701752117899</v>
      </c>
      <c r="C267">
        <v>0.46106557377049179</v>
      </c>
    </row>
    <row r="268" spans="2:3" x14ac:dyDescent="0.2">
      <c r="B268">
        <v>0.14851562040525701</v>
      </c>
      <c r="C268">
        <v>0.45901639344262296</v>
      </c>
    </row>
    <row r="269" spans="2:3" x14ac:dyDescent="0.2">
      <c r="B269">
        <v>0.14783157129394101</v>
      </c>
      <c r="C269">
        <v>0.45696721311475408</v>
      </c>
    </row>
    <row r="270" spans="2:3" x14ac:dyDescent="0.2">
      <c r="B270">
        <v>0.147329564616172</v>
      </c>
      <c r="C270">
        <v>0.45491803278688525</v>
      </c>
    </row>
    <row r="271" spans="2:3" x14ac:dyDescent="0.2">
      <c r="B271">
        <v>0.14624978129557201</v>
      </c>
      <c r="C271">
        <v>0.45286885245901637</v>
      </c>
    </row>
    <row r="272" spans="2:3" x14ac:dyDescent="0.2">
      <c r="B272">
        <v>0.14540181877335501</v>
      </c>
      <c r="C272">
        <v>0.45081967213114754</v>
      </c>
    </row>
    <row r="273" spans="2:3" x14ac:dyDescent="0.2">
      <c r="B273">
        <v>0.14424206047590701</v>
      </c>
      <c r="C273">
        <v>0.44877049180327871</v>
      </c>
    </row>
    <row r="274" spans="2:3" x14ac:dyDescent="0.2">
      <c r="B274">
        <v>0.14412624634830901</v>
      </c>
      <c r="C274">
        <v>0.44672131147540983</v>
      </c>
    </row>
    <row r="275" spans="2:3" x14ac:dyDescent="0.2">
      <c r="B275">
        <v>0.14371438213728499</v>
      </c>
      <c r="C275">
        <v>0.44467213114754101</v>
      </c>
    </row>
    <row r="276" spans="2:3" x14ac:dyDescent="0.2">
      <c r="B276">
        <v>0.14259025875719</v>
      </c>
      <c r="C276">
        <v>0.44262295081967212</v>
      </c>
    </row>
    <row r="277" spans="2:3" x14ac:dyDescent="0.2">
      <c r="B277">
        <v>0.142546089504274</v>
      </c>
      <c r="C277">
        <v>0.4405737704918033</v>
      </c>
    </row>
    <row r="278" spans="2:3" x14ac:dyDescent="0.2">
      <c r="B278">
        <v>0.142526118194156</v>
      </c>
      <c r="C278">
        <v>0.43852459016393441</v>
      </c>
    </row>
    <row r="279" spans="2:3" x14ac:dyDescent="0.2">
      <c r="B279">
        <v>0.142417403386908</v>
      </c>
      <c r="C279">
        <v>0.43647540983606559</v>
      </c>
    </row>
    <row r="280" spans="2:3" x14ac:dyDescent="0.2">
      <c r="B280">
        <v>0.14069936399426999</v>
      </c>
      <c r="C280">
        <v>0.4344262295081967</v>
      </c>
    </row>
    <row r="281" spans="2:3" x14ac:dyDescent="0.2">
      <c r="B281">
        <v>0.13992071823328101</v>
      </c>
      <c r="C281">
        <v>0.43237704918032788</v>
      </c>
    </row>
    <row r="282" spans="2:3" x14ac:dyDescent="0.2">
      <c r="B282">
        <v>0.139741087606466</v>
      </c>
      <c r="C282">
        <v>0.43032786885245899</v>
      </c>
    </row>
    <row r="283" spans="2:3" x14ac:dyDescent="0.2">
      <c r="B283">
        <v>0.13924808811192599</v>
      </c>
      <c r="C283">
        <v>0.42827868852459017</v>
      </c>
    </row>
    <row r="284" spans="2:3" x14ac:dyDescent="0.2">
      <c r="B284">
        <v>0.13913234259287999</v>
      </c>
      <c r="C284">
        <v>0.42622950819672129</v>
      </c>
    </row>
    <row r="285" spans="2:3" x14ac:dyDescent="0.2">
      <c r="B285">
        <v>0.13865013256837699</v>
      </c>
      <c r="C285">
        <v>0.42418032786885246</v>
      </c>
    </row>
    <row r="286" spans="2:3" x14ac:dyDescent="0.2">
      <c r="B286">
        <v>0.13750831297541899</v>
      </c>
      <c r="C286">
        <v>0.42213114754098363</v>
      </c>
    </row>
    <row r="287" spans="2:3" x14ac:dyDescent="0.2">
      <c r="B287">
        <v>0.13657082912417001</v>
      </c>
      <c r="C287">
        <v>0.42008196721311475</v>
      </c>
    </row>
    <row r="288" spans="2:3" x14ac:dyDescent="0.2">
      <c r="B288">
        <v>0.13648873520865001</v>
      </c>
      <c r="C288">
        <v>0.41803278688524592</v>
      </c>
    </row>
    <row r="289" spans="2:3" x14ac:dyDescent="0.2">
      <c r="B289">
        <v>0.136186097737371</v>
      </c>
      <c r="C289">
        <v>0.41598360655737704</v>
      </c>
    </row>
    <row r="290" spans="2:3" x14ac:dyDescent="0.2">
      <c r="B290">
        <v>0.13517614419392501</v>
      </c>
      <c r="C290">
        <v>0.41393442622950821</v>
      </c>
    </row>
    <row r="291" spans="2:3" x14ac:dyDescent="0.2">
      <c r="B291">
        <v>0.134369055893649</v>
      </c>
      <c r="C291">
        <v>0.41188524590163933</v>
      </c>
    </row>
    <row r="292" spans="2:3" x14ac:dyDescent="0.2">
      <c r="B292">
        <v>0.13380130344778701</v>
      </c>
      <c r="C292">
        <v>0.4098360655737705</v>
      </c>
    </row>
    <row r="293" spans="2:3" x14ac:dyDescent="0.2">
      <c r="B293">
        <v>0.133541714392693</v>
      </c>
      <c r="C293">
        <v>0.40778688524590162</v>
      </c>
    </row>
    <row r="294" spans="2:3" x14ac:dyDescent="0.2">
      <c r="B294">
        <v>0.13342867073123699</v>
      </c>
      <c r="C294">
        <v>0.40573770491803279</v>
      </c>
    </row>
    <row r="295" spans="2:3" x14ac:dyDescent="0.2">
      <c r="B295">
        <v>0.13333580975269599</v>
      </c>
      <c r="C295">
        <v>0.40368852459016391</v>
      </c>
    </row>
    <row r="296" spans="2:3" x14ac:dyDescent="0.2">
      <c r="B296">
        <v>0.13307753583860399</v>
      </c>
      <c r="C296">
        <v>0.40163934426229508</v>
      </c>
    </row>
    <row r="297" spans="2:3" x14ac:dyDescent="0.2">
      <c r="B297">
        <v>0.13251861066162399</v>
      </c>
      <c r="C297">
        <v>0.39959016393442626</v>
      </c>
    </row>
    <row r="298" spans="2:3" x14ac:dyDescent="0.2">
      <c r="B298">
        <v>0.132436710240947</v>
      </c>
      <c r="C298">
        <v>0.39754098360655737</v>
      </c>
    </row>
    <row r="299" spans="2:3" x14ac:dyDescent="0.2">
      <c r="B299">
        <v>0.13232590605831401</v>
      </c>
      <c r="C299">
        <v>0.39549180327868855</v>
      </c>
    </row>
    <row r="300" spans="2:3" x14ac:dyDescent="0.2">
      <c r="B300">
        <v>0.13145536059108001</v>
      </c>
      <c r="C300">
        <v>0.39344262295081966</v>
      </c>
    </row>
    <row r="301" spans="2:3" x14ac:dyDescent="0.2">
      <c r="B301">
        <v>0.13128763811945701</v>
      </c>
      <c r="C301">
        <v>0.39139344262295084</v>
      </c>
    </row>
    <row r="302" spans="2:3" x14ac:dyDescent="0.2">
      <c r="B302">
        <v>0.13100962547928799</v>
      </c>
      <c r="C302">
        <v>0.38934426229508196</v>
      </c>
    </row>
    <row r="303" spans="2:3" x14ac:dyDescent="0.2">
      <c r="B303">
        <v>0.13039070358205601</v>
      </c>
      <c r="C303">
        <v>0.38729508196721313</v>
      </c>
    </row>
    <row r="304" spans="2:3" x14ac:dyDescent="0.2">
      <c r="B304">
        <v>0.13025882382804099</v>
      </c>
      <c r="C304">
        <v>0.38524590163934425</v>
      </c>
    </row>
    <row r="305" spans="2:3" x14ac:dyDescent="0.2">
      <c r="B305">
        <v>0.13019375769755201</v>
      </c>
      <c r="C305">
        <v>0.38319672131147542</v>
      </c>
    </row>
    <row r="306" spans="2:3" x14ac:dyDescent="0.2">
      <c r="B306">
        <v>0.12881471005916201</v>
      </c>
      <c r="C306">
        <v>0.38114754098360654</v>
      </c>
    </row>
    <row r="307" spans="2:3" x14ac:dyDescent="0.2">
      <c r="B307">
        <v>0.127686771732027</v>
      </c>
      <c r="C307">
        <v>0.37909836065573771</v>
      </c>
    </row>
    <row r="308" spans="2:3" x14ac:dyDescent="0.2">
      <c r="B308">
        <v>0.12737718641228599</v>
      </c>
      <c r="C308">
        <v>0.37704918032786883</v>
      </c>
    </row>
    <row r="309" spans="2:3" x14ac:dyDescent="0.2">
      <c r="B309">
        <v>0.12702955852422401</v>
      </c>
      <c r="C309">
        <v>0.375</v>
      </c>
    </row>
    <row r="310" spans="2:3" x14ac:dyDescent="0.2">
      <c r="B310">
        <v>0.12652974753837501</v>
      </c>
      <c r="C310">
        <v>0.37295081967213117</v>
      </c>
    </row>
    <row r="311" spans="2:3" x14ac:dyDescent="0.2">
      <c r="B311">
        <v>0.126373308785173</v>
      </c>
      <c r="C311">
        <v>0.37090163934426229</v>
      </c>
    </row>
    <row r="312" spans="2:3" x14ac:dyDescent="0.2">
      <c r="B312">
        <v>0.125939230300291</v>
      </c>
      <c r="C312">
        <v>0.36885245901639346</v>
      </c>
    </row>
    <row r="313" spans="2:3" x14ac:dyDescent="0.2">
      <c r="B313">
        <v>0.12581102517210299</v>
      </c>
      <c r="C313">
        <v>0.36680327868852458</v>
      </c>
    </row>
    <row r="314" spans="2:3" x14ac:dyDescent="0.2">
      <c r="B314">
        <v>0.12545537406525301</v>
      </c>
      <c r="C314">
        <v>0.36475409836065575</v>
      </c>
    </row>
    <row r="315" spans="2:3" x14ac:dyDescent="0.2">
      <c r="B315">
        <v>0.12449356040519299</v>
      </c>
      <c r="C315">
        <v>0.36270491803278687</v>
      </c>
    </row>
    <row r="316" spans="2:3" x14ac:dyDescent="0.2">
      <c r="B316">
        <v>0.124119152702706</v>
      </c>
      <c r="C316">
        <v>0.36065573770491804</v>
      </c>
    </row>
    <row r="317" spans="2:3" x14ac:dyDescent="0.2">
      <c r="B317">
        <v>0.12383652844482</v>
      </c>
      <c r="C317">
        <v>0.35860655737704916</v>
      </c>
    </row>
    <row r="318" spans="2:3" x14ac:dyDescent="0.2">
      <c r="B318">
        <v>0.123362918329042</v>
      </c>
      <c r="C318">
        <v>0.35655737704918034</v>
      </c>
    </row>
    <row r="319" spans="2:3" x14ac:dyDescent="0.2">
      <c r="B319">
        <v>0.123064284019373</v>
      </c>
      <c r="C319">
        <v>0.35450819672131145</v>
      </c>
    </row>
    <row r="320" spans="2:3" x14ac:dyDescent="0.2">
      <c r="B320">
        <v>0.12257428072182799</v>
      </c>
      <c r="C320">
        <v>0.35245901639344263</v>
      </c>
    </row>
    <row r="321" spans="2:3" x14ac:dyDescent="0.2">
      <c r="B321">
        <v>0.122428608852819</v>
      </c>
      <c r="C321">
        <v>0.35040983606557374</v>
      </c>
    </row>
    <row r="322" spans="2:3" x14ac:dyDescent="0.2">
      <c r="B322">
        <v>0.122126085136939</v>
      </c>
      <c r="C322">
        <v>0.34836065573770492</v>
      </c>
    </row>
    <row r="323" spans="2:3" x14ac:dyDescent="0.2">
      <c r="B323">
        <v>0.12124973571436699</v>
      </c>
      <c r="C323">
        <v>0.34631147540983609</v>
      </c>
    </row>
    <row r="324" spans="2:3" x14ac:dyDescent="0.2">
      <c r="B324">
        <v>0.11945465058044499</v>
      </c>
      <c r="C324">
        <v>0.34426229508196721</v>
      </c>
    </row>
    <row r="325" spans="2:3" x14ac:dyDescent="0.2">
      <c r="B325">
        <v>0.118855827349563</v>
      </c>
      <c r="C325">
        <v>0.34221311475409838</v>
      </c>
    </row>
    <row r="326" spans="2:3" x14ac:dyDescent="0.2">
      <c r="B326">
        <v>0.118043640342131</v>
      </c>
      <c r="C326">
        <v>0.3401639344262295</v>
      </c>
    </row>
    <row r="327" spans="2:3" x14ac:dyDescent="0.2">
      <c r="B327">
        <v>0.117068393562324</v>
      </c>
      <c r="C327">
        <v>0.33811475409836067</v>
      </c>
    </row>
    <row r="328" spans="2:3" x14ac:dyDescent="0.2">
      <c r="B328">
        <v>0.11642816878784699</v>
      </c>
      <c r="C328">
        <v>0.33606557377049179</v>
      </c>
    </row>
    <row r="329" spans="2:3" x14ac:dyDescent="0.2">
      <c r="B329">
        <v>0.116045158237533</v>
      </c>
      <c r="C329">
        <v>0.33401639344262296</v>
      </c>
    </row>
    <row r="330" spans="2:3" x14ac:dyDescent="0.2">
      <c r="B330">
        <v>0.114561779316934</v>
      </c>
      <c r="C330">
        <v>0.33196721311475408</v>
      </c>
    </row>
    <row r="331" spans="2:3" x14ac:dyDescent="0.2">
      <c r="B331">
        <v>0.114130012856241</v>
      </c>
      <c r="C331">
        <v>0.32991803278688525</v>
      </c>
    </row>
    <row r="332" spans="2:3" x14ac:dyDescent="0.2">
      <c r="B332">
        <v>0.11371551685023</v>
      </c>
      <c r="C332">
        <v>0.32786885245901637</v>
      </c>
    </row>
    <row r="333" spans="2:3" x14ac:dyDescent="0.2">
      <c r="B333">
        <v>0.11369465997944</v>
      </c>
      <c r="C333">
        <v>0.32581967213114754</v>
      </c>
    </row>
    <row r="334" spans="2:3" x14ac:dyDescent="0.2">
      <c r="B334">
        <v>0.112943786595968</v>
      </c>
      <c r="C334">
        <v>0.32377049180327871</v>
      </c>
    </row>
    <row r="335" spans="2:3" x14ac:dyDescent="0.2">
      <c r="B335">
        <v>0.11283438595663101</v>
      </c>
      <c r="C335">
        <v>0.32172131147540983</v>
      </c>
    </row>
    <row r="336" spans="2:3" x14ac:dyDescent="0.2">
      <c r="B336">
        <v>0.112798970622592</v>
      </c>
      <c r="C336">
        <v>0.31967213114754101</v>
      </c>
    </row>
    <row r="337" spans="2:3" x14ac:dyDescent="0.2">
      <c r="B337">
        <v>0.111289965749525</v>
      </c>
      <c r="C337">
        <v>0.31762295081967212</v>
      </c>
    </row>
    <row r="338" spans="2:3" x14ac:dyDescent="0.2">
      <c r="B338">
        <v>0.111143617919181</v>
      </c>
      <c r="C338">
        <v>0.3155737704918033</v>
      </c>
    </row>
    <row r="339" spans="2:3" x14ac:dyDescent="0.2">
      <c r="B339">
        <v>0.111016153532811</v>
      </c>
      <c r="C339">
        <v>0.31352459016393441</v>
      </c>
    </row>
    <row r="340" spans="2:3" x14ac:dyDescent="0.2">
      <c r="B340">
        <v>0.11046107852591799</v>
      </c>
      <c r="C340">
        <v>0.31147540983606559</v>
      </c>
    </row>
    <row r="341" spans="2:3" x14ac:dyDescent="0.2">
      <c r="B341">
        <v>0.110029908535503</v>
      </c>
      <c r="C341">
        <v>0.3094262295081967</v>
      </c>
    </row>
    <row r="342" spans="2:3" x14ac:dyDescent="0.2">
      <c r="B342">
        <v>0.109630807457716</v>
      </c>
      <c r="C342">
        <v>0.30737704918032788</v>
      </c>
    </row>
    <row r="343" spans="2:3" x14ac:dyDescent="0.2">
      <c r="B343">
        <v>0.10842626614299</v>
      </c>
      <c r="C343">
        <v>0.30532786885245899</v>
      </c>
    </row>
    <row r="344" spans="2:3" x14ac:dyDescent="0.2">
      <c r="B344">
        <v>0.108389748260627</v>
      </c>
      <c r="C344">
        <v>0.30327868852459017</v>
      </c>
    </row>
    <row r="345" spans="2:3" x14ac:dyDescent="0.2">
      <c r="B345">
        <v>0.10773401237720499</v>
      </c>
      <c r="C345">
        <v>0.30122950819672129</v>
      </c>
    </row>
    <row r="346" spans="2:3" x14ac:dyDescent="0.2">
      <c r="B346">
        <v>0.107122638364737</v>
      </c>
      <c r="C346">
        <v>0.29918032786885246</v>
      </c>
    </row>
    <row r="347" spans="2:3" x14ac:dyDescent="0.2">
      <c r="B347">
        <v>0.107061646291556</v>
      </c>
      <c r="C347">
        <v>0.29713114754098363</v>
      </c>
    </row>
    <row r="348" spans="2:3" x14ac:dyDescent="0.2">
      <c r="B348">
        <v>0.106903450854341</v>
      </c>
      <c r="C348">
        <v>0.29508196721311475</v>
      </c>
    </row>
    <row r="349" spans="2:3" x14ac:dyDescent="0.2">
      <c r="B349">
        <v>0.10638213034112901</v>
      </c>
      <c r="C349">
        <v>0.29303278688524592</v>
      </c>
    </row>
    <row r="350" spans="2:3" x14ac:dyDescent="0.2">
      <c r="B350">
        <v>0.105584661066281</v>
      </c>
      <c r="C350">
        <v>0.29098360655737704</v>
      </c>
    </row>
    <row r="351" spans="2:3" x14ac:dyDescent="0.2">
      <c r="B351">
        <v>0.104879167374598</v>
      </c>
      <c r="C351">
        <v>0.28893442622950821</v>
      </c>
    </row>
    <row r="352" spans="2:3" x14ac:dyDescent="0.2">
      <c r="B352">
        <v>0.10483637120534101</v>
      </c>
      <c r="C352">
        <v>0.28688524590163933</v>
      </c>
    </row>
    <row r="353" spans="2:3" x14ac:dyDescent="0.2">
      <c r="B353">
        <v>0.104586815388059</v>
      </c>
      <c r="C353">
        <v>0.2848360655737705</v>
      </c>
    </row>
    <row r="354" spans="2:3" x14ac:dyDescent="0.2">
      <c r="B354">
        <v>0.104162111072632</v>
      </c>
      <c r="C354">
        <v>0.28278688524590162</v>
      </c>
    </row>
    <row r="355" spans="2:3" x14ac:dyDescent="0.2">
      <c r="B355">
        <v>0.103562781039526</v>
      </c>
      <c r="C355">
        <v>0.28073770491803279</v>
      </c>
    </row>
    <row r="356" spans="2:3" x14ac:dyDescent="0.2">
      <c r="B356">
        <v>0.101795842580063</v>
      </c>
      <c r="C356">
        <v>0.27868852459016391</v>
      </c>
    </row>
    <row r="357" spans="2:3" x14ac:dyDescent="0.2">
      <c r="B357">
        <v>0.101166730100262</v>
      </c>
      <c r="C357">
        <v>0.27663934426229508</v>
      </c>
    </row>
    <row r="358" spans="2:3" x14ac:dyDescent="0.2">
      <c r="B358">
        <v>0.10089375745271099</v>
      </c>
      <c r="C358">
        <v>0.27459016393442626</v>
      </c>
    </row>
    <row r="359" spans="2:3" x14ac:dyDescent="0.2">
      <c r="B359">
        <v>9.9276725987245504E-2</v>
      </c>
      <c r="C359">
        <v>0.27254098360655737</v>
      </c>
    </row>
    <row r="360" spans="2:3" x14ac:dyDescent="0.2">
      <c r="B360">
        <v>9.8213941854022005E-2</v>
      </c>
      <c r="C360">
        <v>0.27049180327868855</v>
      </c>
    </row>
    <row r="361" spans="2:3" x14ac:dyDescent="0.2">
      <c r="B361">
        <v>9.7750153504012394E-2</v>
      </c>
      <c r="C361">
        <v>0.26844262295081966</v>
      </c>
    </row>
    <row r="362" spans="2:3" x14ac:dyDescent="0.2">
      <c r="B362">
        <v>9.6490287093305094E-2</v>
      </c>
      <c r="C362">
        <v>0.26639344262295084</v>
      </c>
    </row>
    <row r="363" spans="2:3" x14ac:dyDescent="0.2">
      <c r="B363">
        <v>9.3425464338749195E-2</v>
      </c>
      <c r="C363">
        <v>0.26434426229508196</v>
      </c>
    </row>
    <row r="364" spans="2:3" x14ac:dyDescent="0.2">
      <c r="B364">
        <v>9.2537100683974402E-2</v>
      </c>
      <c r="C364">
        <v>0.26229508196721313</v>
      </c>
    </row>
    <row r="365" spans="2:3" x14ac:dyDescent="0.2">
      <c r="B365">
        <v>9.1808608231104302E-2</v>
      </c>
      <c r="C365">
        <v>0.26024590163934425</v>
      </c>
    </row>
    <row r="366" spans="2:3" x14ac:dyDescent="0.2">
      <c r="B366">
        <v>9.1508515772285901E-2</v>
      </c>
      <c r="C366">
        <v>0.25819672131147542</v>
      </c>
    </row>
    <row r="367" spans="2:3" x14ac:dyDescent="0.2">
      <c r="B367">
        <v>9.1175879662151196E-2</v>
      </c>
      <c r="C367">
        <v>0.25614754098360654</v>
      </c>
    </row>
    <row r="368" spans="2:3" x14ac:dyDescent="0.2">
      <c r="B368">
        <v>9.0662175279319607E-2</v>
      </c>
      <c r="C368">
        <v>0.25409836065573771</v>
      </c>
    </row>
    <row r="369" spans="2:3" x14ac:dyDescent="0.2">
      <c r="B369">
        <v>8.97006307850306E-2</v>
      </c>
      <c r="C369">
        <v>0.25204918032786883</v>
      </c>
    </row>
    <row r="370" spans="2:3" x14ac:dyDescent="0.2">
      <c r="B370">
        <v>8.9349957463014495E-2</v>
      </c>
      <c r="C370">
        <v>0.25</v>
      </c>
    </row>
    <row r="371" spans="2:3" x14ac:dyDescent="0.2">
      <c r="B371">
        <v>8.9240794773876295E-2</v>
      </c>
      <c r="C371">
        <v>0.24795081967213115</v>
      </c>
    </row>
    <row r="372" spans="2:3" x14ac:dyDescent="0.2">
      <c r="B372">
        <v>8.9171110852860502E-2</v>
      </c>
      <c r="C372">
        <v>0.24590163934426229</v>
      </c>
    </row>
    <row r="373" spans="2:3" x14ac:dyDescent="0.2">
      <c r="B373">
        <v>8.7917115140020596E-2</v>
      </c>
      <c r="C373">
        <v>0.24385245901639344</v>
      </c>
    </row>
    <row r="374" spans="2:3" x14ac:dyDescent="0.2">
      <c r="B374">
        <v>8.7717855171256395E-2</v>
      </c>
      <c r="C374">
        <v>0.24180327868852458</v>
      </c>
    </row>
    <row r="375" spans="2:3" x14ac:dyDescent="0.2">
      <c r="B375">
        <v>8.6864992527742504E-2</v>
      </c>
      <c r="C375">
        <v>0.23975409836065573</v>
      </c>
    </row>
    <row r="376" spans="2:3" x14ac:dyDescent="0.2">
      <c r="B376">
        <v>8.6690028115251894E-2</v>
      </c>
      <c r="C376">
        <v>0.23770491803278687</v>
      </c>
    </row>
    <row r="377" spans="2:3" x14ac:dyDescent="0.2">
      <c r="B377">
        <v>8.6524221016019795E-2</v>
      </c>
      <c r="C377">
        <v>0.23565573770491804</v>
      </c>
    </row>
    <row r="378" spans="2:3" x14ac:dyDescent="0.2">
      <c r="B378">
        <v>8.4784697725346206E-2</v>
      </c>
      <c r="C378">
        <v>0.23360655737704919</v>
      </c>
    </row>
    <row r="379" spans="2:3" x14ac:dyDescent="0.2">
      <c r="B379">
        <v>8.1982075992533002E-2</v>
      </c>
      <c r="C379">
        <v>0.23155737704918034</v>
      </c>
    </row>
    <row r="380" spans="2:3" x14ac:dyDescent="0.2">
      <c r="B380">
        <v>8.0423912839763897E-2</v>
      </c>
      <c r="C380">
        <v>0.22950819672131148</v>
      </c>
    </row>
    <row r="381" spans="2:3" x14ac:dyDescent="0.2">
      <c r="B381">
        <v>7.9908681222880196E-2</v>
      </c>
      <c r="C381">
        <v>0.22745901639344263</v>
      </c>
    </row>
    <row r="382" spans="2:3" x14ac:dyDescent="0.2">
      <c r="B382">
        <v>7.9821505492401107E-2</v>
      </c>
      <c r="C382">
        <v>0.22540983606557377</v>
      </c>
    </row>
    <row r="383" spans="2:3" x14ac:dyDescent="0.2">
      <c r="B383">
        <v>7.9646940942862302E-2</v>
      </c>
      <c r="C383">
        <v>0.22336065573770492</v>
      </c>
    </row>
    <row r="384" spans="2:3" x14ac:dyDescent="0.2">
      <c r="B384">
        <v>7.9458364105756601E-2</v>
      </c>
      <c r="C384">
        <v>0.22131147540983606</v>
      </c>
    </row>
    <row r="385" spans="2:3" x14ac:dyDescent="0.2">
      <c r="B385">
        <v>7.7814916042950405E-2</v>
      </c>
      <c r="C385">
        <v>0.21926229508196721</v>
      </c>
    </row>
    <row r="386" spans="2:3" x14ac:dyDescent="0.2">
      <c r="B386">
        <v>7.70234706117017E-2</v>
      </c>
      <c r="C386">
        <v>0.21721311475409835</v>
      </c>
    </row>
    <row r="387" spans="2:3" x14ac:dyDescent="0.2">
      <c r="B387">
        <v>7.6587649518391296E-2</v>
      </c>
      <c r="C387">
        <v>0.2151639344262295</v>
      </c>
    </row>
    <row r="388" spans="2:3" x14ac:dyDescent="0.2">
      <c r="B388">
        <v>7.5274455642606597E-2</v>
      </c>
      <c r="C388">
        <v>0.21311475409836064</v>
      </c>
    </row>
    <row r="389" spans="2:3" x14ac:dyDescent="0.2">
      <c r="B389">
        <v>7.4050355837289E-2</v>
      </c>
      <c r="C389">
        <v>0.21106557377049182</v>
      </c>
    </row>
    <row r="390" spans="2:3" x14ac:dyDescent="0.2">
      <c r="B390">
        <v>7.3948787709316399E-2</v>
      </c>
      <c r="C390">
        <v>0.20901639344262296</v>
      </c>
    </row>
    <row r="391" spans="2:3" x14ac:dyDescent="0.2">
      <c r="B391">
        <v>7.3836472158057401E-2</v>
      </c>
      <c r="C391">
        <v>0.20696721311475411</v>
      </c>
    </row>
    <row r="392" spans="2:3" x14ac:dyDescent="0.2">
      <c r="B392">
        <v>7.3285775220146301E-2</v>
      </c>
      <c r="C392">
        <v>0.20491803278688525</v>
      </c>
    </row>
    <row r="393" spans="2:3" x14ac:dyDescent="0.2">
      <c r="B393">
        <v>7.2853623324762695E-2</v>
      </c>
      <c r="C393">
        <v>0.2028688524590164</v>
      </c>
    </row>
    <row r="394" spans="2:3" x14ac:dyDescent="0.2">
      <c r="B394">
        <v>7.1454432308463503E-2</v>
      </c>
      <c r="C394">
        <v>0.20081967213114754</v>
      </c>
    </row>
    <row r="395" spans="2:3" x14ac:dyDescent="0.2">
      <c r="B395">
        <v>7.0986602066842805E-2</v>
      </c>
      <c r="C395">
        <v>0.19877049180327869</v>
      </c>
    </row>
    <row r="396" spans="2:3" x14ac:dyDescent="0.2">
      <c r="B396">
        <v>7.0225278323272897E-2</v>
      </c>
      <c r="C396">
        <v>0.19672131147540983</v>
      </c>
    </row>
    <row r="397" spans="2:3" x14ac:dyDescent="0.2">
      <c r="B397">
        <v>7.0193665194713206E-2</v>
      </c>
      <c r="C397">
        <v>0.19467213114754098</v>
      </c>
    </row>
    <row r="398" spans="2:3" x14ac:dyDescent="0.2">
      <c r="B398">
        <v>7.0158509705097502E-2</v>
      </c>
      <c r="C398">
        <v>0.19262295081967212</v>
      </c>
    </row>
    <row r="399" spans="2:3" x14ac:dyDescent="0.2">
      <c r="B399">
        <v>7.0111905644910405E-2</v>
      </c>
      <c r="C399">
        <v>0.19057377049180327</v>
      </c>
    </row>
    <row r="400" spans="2:3" x14ac:dyDescent="0.2">
      <c r="B400">
        <v>7.0086356474215697E-2</v>
      </c>
      <c r="C400">
        <v>0.18852459016393441</v>
      </c>
    </row>
    <row r="401" spans="2:3" x14ac:dyDescent="0.2">
      <c r="B401">
        <v>6.8438536435944095E-2</v>
      </c>
      <c r="C401">
        <v>0.18647540983606559</v>
      </c>
    </row>
    <row r="402" spans="2:3" x14ac:dyDescent="0.2">
      <c r="B402">
        <v>6.7919531643255301E-2</v>
      </c>
      <c r="C402">
        <v>0.18442622950819673</v>
      </c>
    </row>
    <row r="403" spans="2:3" x14ac:dyDescent="0.2">
      <c r="B403">
        <v>6.77599420440754E-2</v>
      </c>
      <c r="C403">
        <v>0.18237704918032788</v>
      </c>
    </row>
    <row r="404" spans="2:3" x14ac:dyDescent="0.2">
      <c r="B404">
        <v>6.6821897260277596E-2</v>
      </c>
      <c r="C404">
        <v>0.18032786885245902</v>
      </c>
    </row>
    <row r="405" spans="2:3" x14ac:dyDescent="0.2">
      <c r="B405">
        <v>6.6683314610048297E-2</v>
      </c>
      <c r="C405">
        <v>0.17827868852459017</v>
      </c>
    </row>
    <row r="406" spans="2:3" x14ac:dyDescent="0.2">
      <c r="B406">
        <v>6.6664244581874296E-2</v>
      </c>
      <c r="C406">
        <v>0.17622950819672131</v>
      </c>
    </row>
    <row r="407" spans="2:3" x14ac:dyDescent="0.2">
      <c r="B407">
        <v>6.5899196057089507E-2</v>
      </c>
      <c r="C407">
        <v>0.17418032786885246</v>
      </c>
    </row>
    <row r="408" spans="2:3" x14ac:dyDescent="0.2">
      <c r="B408">
        <v>6.5663579679140105E-2</v>
      </c>
      <c r="C408">
        <v>0.1721311475409836</v>
      </c>
    </row>
    <row r="409" spans="2:3" x14ac:dyDescent="0.2">
      <c r="B409">
        <v>6.4911409671528503E-2</v>
      </c>
      <c r="C409">
        <v>0.17008196721311475</v>
      </c>
    </row>
    <row r="410" spans="2:3" x14ac:dyDescent="0.2">
      <c r="B410">
        <v>6.4692541525284003E-2</v>
      </c>
      <c r="C410">
        <v>0.16803278688524589</v>
      </c>
    </row>
    <row r="411" spans="2:3" x14ac:dyDescent="0.2">
      <c r="B411">
        <v>6.4173366350188193E-2</v>
      </c>
      <c r="C411">
        <v>0.16598360655737704</v>
      </c>
    </row>
    <row r="412" spans="2:3" x14ac:dyDescent="0.2">
      <c r="B412">
        <v>6.3484069988255495E-2</v>
      </c>
      <c r="C412">
        <v>0.16393442622950818</v>
      </c>
    </row>
    <row r="413" spans="2:3" x14ac:dyDescent="0.2">
      <c r="B413">
        <v>6.3110517905018995E-2</v>
      </c>
      <c r="C413">
        <v>0.16188524590163936</v>
      </c>
    </row>
    <row r="414" spans="2:3" x14ac:dyDescent="0.2">
      <c r="B414">
        <v>6.3078845787283594E-2</v>
      </c>
      <c r="C414">
        <v>0.1598360655737705</v>
      </c>
    </row>
    <row r="415" spans="2:3" x14ac:dyDescent="0.2">
      <c r="B415">
        <v>6.2542939715018397E-2</v>
      </c>
      <c r="C415">
        <v>0.15778688524590165</v>
      </c>
    </row>
    <row r="416" spans="2:3" x14ac:dyDescent="0.2">
      <c r="B416">
        <v>6.1491797528858902E-2</v>
      </c>
      <c r="C416">
        <v>0.15573770491803279</v>
      </c>
    </row>
    <row r="417" spans="2:3" x14ac:dyDescent="0.2">
      <c r="B417">
        <v>6.1410250575872002E-2</v>
      </c>
      <c r="C417">
        <v>0.15368852459016394</v>
      </c>
    </row>
    <row r="418" spans="2:3" x14ac:dyDescent="0.2">
      <c r="B418">
        <v>6.0672895888083098E-2</v>
      </c>
      <c r="C418">
        <v>0.15163934426229508</v>
      </c>
    </row>
    <row r="419" spans="2:3" x14ac:dyDescent="0.2">
      <c r="B419">
        <v>5.9823037408409399E-2</v>
      </c>
      <c r="C419">
        <v>0.14959016393442623</v>
      </c>
    </row>
    <row r="420" spans="2:3" x14ac:dyDescent="0.2">
      <c r="B420">
        <v>5.9731403161977503E-2</v>
      </c>
      <c r="C420">
        <v>0.14754098360655737</v>
      </c>
    </row>
    <row r="421" spans="2:3" x14ac:dyDescent="0.2">
      <c r="B421">
        <v>5.95481628446013E-2</v>
      </c>
      <c r="C421">
        <v>0.14549180327868852</v>
      </c>
    </row>
    <row r="422" spans="2:3" x14ac:dyDescent="0.2">
      <c r="B422">
        <v>5.9037460126752601E-2</v>
      </c>
      <c r="C422">
        <v>0.14344262295081966</v>
      </c>
    </row>
    <row r="423" spans="2:3" x14ac:dyDescent="0.2">
      <c r="B423">
        <v>5.8953716139653001E-2</v>
      </c>
      <c r="C423">
        <v>0.14139344262295081</v>
      </c>
    </row>
    <row r="424" spans="2:3" x14ac:dyDescent="0.2">
      <c r="B424">
        <v>5.8539879133386902E-2</v>
      </c>
      <c r="C424">
        <v>0.13934426229508196</v>
      </c>
    </row>
    <row r="425" spans="2:3" x14ac:dyDescent="0.2">
      <c r="B425">
        <v>5.82129938308482E-2</v>
      </c>
      <c r="C425">
        <v>0.13729508196721313</v>
      </c>
    </row>
    <row r="426" spans="2:3" x14ac:dyDescent="0.2">
      <c r="B426">
        <v>5.8010199441356602E-2</v>
      </c>
      <c r="C426">
        <v>0.13524590163934427</v>
      </c>
    </row>
    <row r="427" spans="2:3" x14ac:dyDescent="0.2">
      <c r="B427">
        <v>5.6751855033461203E-2</v>
      </c>
      <c r="C427">
        <v>0.13319672131147542</v>
      </c>
    </row>
    <row r="428" spans="2:3" x14ac:dyDescent="0.2">
      <c r="B428">
        <v>5.6323034591040599E-2</v>
      </c>
      <c r="C428">
        <v>0.13114754098360656</v>
      </c>
    </row>
    <row r="429" spans="2:3" x14ac:dyDescent="0.2">
      <c r="B429">
        <v>5.5313920154666997E-2</v>
      </c>
      <c r="C429">
        <v>0.12909836065573771</v>
      </c>
    </row>
    <row r="430" spans="2:3" x14ac:dyDescent="0.2">
      <c r="B430">
        <v>5.4524454404450202E-2</v>
      </c>
      <c r="C430">
        <v>0.12704918032786885</v>
      </c>
    </row>
    <row r="431" spans="2:3" x14ac:dyDescent="0.2">
      <c r="B431">
        <v>5.3723136750721802E-2</v>
      </c>
      <c r="C431">
        <v>0.125</v>
      </c>
    </row>
    <row r="432" spans="2:3" x14ac:dyDescent="0.2">
      <c r="B432">
        <v>5.3615036265672197E-2</v>
      </c>
      <c r="C432">
        <v>0.12295081967213115</v>
      </c>
    </row>
    <row r="433" spans="2:3" x14ac:dyDescent="0.2">
      <c r="B433">
        <v>5.3047133682949298E-2</v>
      </c>
      <c r="C433">
        <v>0.12090163934426229</v>
      </c>
    </row>
    <row r="434" spans="2:3" x14ac:dyDescent="0.2">
      <c r="B434">
        <v>5.2097274284924902E-2</v>
      </c>
      <c r="C434">
        <v>0.11885245901639344</v>
      </c>
    </row>
    <row r="435" spans="2:3" x14ac:dyDescent="0.2">
      <c r="B435">
        <v>5.1285890770752803E-2</v>
      </c>
      <c r="C435">
        <v>0.11680327868852459</v>
      </c>
    </row>
    <row r="436" spans="2:3" x14ac:dyDescent="0.2">
      <c r="B436">
        <v>5.09171624081632E-2</v>
      </c>
      <c r="C436">
        <v>0.11475409836065574</v>
      </c>
    </row>
    <row r="437" spans="2:3" x14ac:dyDescent="0.2">
      <c r="B437">
        <v>5.0890603680890198E-2</v>
      </c>
      <c r="C437">
        <v>0.11270491803278689</v>
      </c>
    </row>
    <row r="438" spans="2:3" x14ac:dyDescent="0.2">
      <c r="B438">
        <v>5.0798795826712997E-2</v>
      </c>
      <c r="C438">
        <v>0.11065573770491803</v>
      </c>
    </row>
    <row r="439" spans="2:3" x14ac:dyDescent="0.2">
      <c r="B439">
        <v>4.9647627018973801E-2</v>
      </c>
      <c r="C439">
        <v>0.10860655737704918</v>
      </c>
    </row>
    <row r="440" spans="2:3" x14ac:dyDescent="0.2">
      <c r="B440">
        <v>4.8377927364996902E-2</v>
      </c>
      <c r="C440">
        <v>0.10655737704918032</v>
      </c>
    </row>
    <row r="441" spans="2:3" x14ac:dyDescent="0.2">
      <c r="B441">
        <v>4.8376843543225002E-2</v>
      </c>
      <c r="C441">
        <v>0.10450819672131148</v>
      </c>
    </row>
    <row r="442" spans="2:3" x14ac:dyDescent="0.2">
      <c r="B442">
        <v>4.7958959811493798E-2</v>
      </c>
      <c r="C442">
        <v>0.10245901639344263</v>
      </c>
    </row>
    <row r="443" spans="2:3" x14ac:dyDescent="0.2">
      <c r="B443">
        <v>4.7396816684003903E-2</v>
      </c>
      <c r="C443">
        <v>0.10040983606557377</v>
      </c>
    </row>
    <row r="444" spans="2:3" x14ac:dyDescent="0.2">
      <c r="B444">
        <v>4.6415813741994202E-2</v>
      </c>
      <c r="C444">
        <v>9.8360655737704916E-2</v>
      </c>
    </row>
    <row r="445" spans="2:3" x14ac:dyDescent="0.2">
      <c r="B445">
        <v>4.6274800223371902E-2</v>
      </c>
      <c r="C445">
        <v>9.6311475409836061E-2</v>
      </c>
    </row>
    <row r="446" spans="2:3" x14ac:dyDescent="0.2">
      <c r="B446">
        <v>4.6082419692808199E-2</v>
      </c>
      <c r="C446">
        <v>9.4262295081967207E-2</v>
      </c>
    </row>
    <row r="447" spans="2:3" x14ac:dyDescent="0.2">
      <c r="B447">
        <v>4.49260840162111E-2</v>
      </c>
      <c r="C447">
        <v>9.2213114754098366E-2</v>
      </c>
    </row>
    <row r="448" spans="2:3" x14ac:dyDescent="0.2">
      <c r="B448">
        <v>4.38634564580156E-2</v>
      </c>
      <c r="C448">
        <v>9.0163934426229511E-2</v>
      </c>
    </row>
    <row r="449" spans="2:3" x14ac:dyDescent="0.2">
      <c r="B449">
        <v>4.3098338748726199E-2</v>
      </c>
      <c r="C449">
        <v>8.8114754098360656E-2</v>
      </c>
    </row>
    <row r="450" spans="2:3" x14ac:dyDescent="0.2">
      <c r="B450">
        <v>4.3021688297205901E-2</v>
      </c>
      <c r="C450">
        <v>8.6065573770491802E-2</v>
      </c>
    </row>
    <row r="451" spans="2:3" x14ac:dyDescent="0.2">
      <c r="B451">
        <v>4.29864476502205E-2</v>
      </c>
      <c r="C451">
        <v>8.4016393442622947E-2</v>
      </c>
    </row>
    <row r="452" spans="2:3" x14ac:dyDescent="0.2">
      <c r="B452">
        <v>4.2634124156994198E-2</v>
      </c>
      <c r="C452">
        <v>8.1967213114754092E-2</v>
      </c>
    </row>
    <row r="453" spans="2:3" x14ac:dyDescent="0.2">
      <c r="B453">
        <v>4.2299992321337403E-2</v>
      </c>
      <c r="C453">
        <v>7.9918032786885251E-2</v>
      </c>
    </row>
    <row r="454" spans="2:3" x14ac:dyDescent="0.2">
      <c r="B454">
        <v>4.2154459147081901E-2</v>
      </c>
      <c r="C454">
        <v>7.7868852459016397E-2</v>
      </c>
    </row>
    <row r="455" spans="2:3" x14ac:dyDescent="0.2">
      <c r="B455">
        <v>4.1298204436462198E-2</v>
      </c>
      <c r="C455">
        <v>7.5819672131147542E-2</v>
      </c>
    </row>
    <row r="456" spans="2:3" x14ac:dyDescent="0.2">
      <c r="B456">
        <v>4.1200487578387797E-2</v>
      </c>
      <c r="C456">
        <v>7.3770491803278687E-2</v>
      </c>
    </row>
    <row r="457" spans="2:3" x14ac:dyDescent="0.2">
      <c r="B457">
        <v>4.1159311507128801E-2</v>
      </c>
      <c r="C457">
        <v>7.1721311475409832E-2</v>
      </c>
    </row>
    <row r="458" spans="2:3" x14ac:dyDescent="0.2">
      <c r="B458">
        <v>3.9234921673580801E-2</v>
      </c>
      <c r="C458">
        <v>6.9672131147540978E-2</v>
      </c>
    </row>
    <row r="459" spans="2:3" x14ac:dyDescent="0.2">
      <c r="B459">
        <v>3.9157043544412698E-2</v>
      </c>
      <c r="C459">
        <v>6.7622950819672137E-2</v>
      </c>
    </row>
    <row r="460" spans="2:3" x14ac:dyDescent="0.2">
      <c r="B460">
        <v>3.7285154494914902E-2</v>
      </c>
      <c r="C460">
        <v>6.5573770491803282E-2</v>
      </c>
    </row>
    <row r="461" spans="2:3" x14ac:dyDescent="0.2">
      <c r="B461">
        <v>3.6142306767257097E-2</v>
      </c>
      <c r="C461">
        <v>6.3524590163934427E-2</v>
      </c>
    </row>
    <row r="462" spans="2:3" x14ac:dyDescent="0.2">
      <c r="B462">
        <v>3.5898045232595002E-2</v>
      </c>
      <c r="C462">
        <v>6.1475409836065573E-2</v>
      </c>
    </row>
    <row r="463" spans="2:3" x14ac:dyDescent="0.2">
      <c r="B463">
        <v>3.5656655729836201E-2</v>
      </c>
      <c r="C463">
        <v>5.9426229508196718E-2</v>
      </c>
    </row>
    <row r="464" spans="2:3" x14ac:dyDescent="0.2">
      <c r="B464">
        <v>3.4613039320735901E-2</v>
      </c>
      <c r="C464">
        <v>5.737704918032787E-2</v>
      </c>
    </row>
    <row r="465" spans="2:3" x14ac:dyDescent="0.2">
      <c r="B465">
        <v>3.4427597825963802E-2</v>
      </c>
      <c r="C465">
        <v>5.5327868852459015E-2</v>
      </c>
    </row>
    <row r="466" spans="2:3" x14ac:dyDescent="0.2">
      <c r="B466">
        <v>3.4221384895546998E-2</v>
      </c>
      <c r="C466">
        <v>5.3278688524590161E-2</v>
      </c>
    </row>
    <row r="467" spans="2:3" x14ac:dyDescent="0.2">
      <c r="B467">
        <v>3.35117612884459E-2</v>
      </c>
      <c r="C467">
        <v>5.1229508196721313E-2</v>
      </c>
    </row>
    <row r="468" spans="2:3" x14ac:dyDescent="0.2">
      <c r="B468">
        <v>3.2193157060950897E-2</v>
      </c>
      <c r="C468">
        <v>4.9180327868852458E-2</v>
      </c>
    </row>
    <row r="469" spans="2:3" x14ac:dyDescent="0.2">
      <c r="B469">
        <v>2.85352550227671E-2</v>
      </c>
      <c r="C469">
        <v>4.7131147540983603E-2</v>
      </c>
    </row>
    <row r="470" spans="2:3" x14ac:dyDescent="0.2">
      <c r="B470">
        <v>2.67442787791515E-2</v>
      </c>
      <c r="C470">
        <v>4.5081967213114756E-2</v>
      </c>
    </row>
    <row r="471" spans="2:3" x14ac:dyDescent="0.2">
      <c r="B471">
        <v>2.6398039421871199E-2</v>
      </c>
      <c r="C471">
        <v>4.3032786885245901E-2</v>
      </c>
    </row>
    <row r="472" spans="2:3" x14ac:dyDescent="0.2">
      <c r="B472">
        <v>2.5835750892507101E-2</v>
      </c>
      <c r="C472">
        <v>4.0983606557377046E-2</v>
      </c>
    </row>
    <row r="473" spans="2:3" x14ac:dyDescent="0.2">
      <c r="B473">
        <v>2.5596358888877201E-2</v>
      </c>
      <c r="C473">
        <v>3.8934426229508198E-2</v>
      </c>
    </row>
    <row r="474" spans="2:3" x14ac:dyDescent="0.2">
      <c r="B474">
        <v>2.5513561615363198E-2</v>
      </c>
      <c r="C474">
        <v>3.6885245901639344E-2</v>
      </c>
    </row>
    <row r="475" spans="2:3" x14ac:dyDescent="0.2">
      <c r="B475">
        <v>2.4462078359288601E-2</v>
      </c>
      <c r="C475">
        <v>3.4836065573770489E-2</v>
      </c>
    </row>
    <row r="476" spans="2:3" x14ac:dyDescent="0.2">
      <c r="B476">
        <v>2.4007438671223E-2</v>
      </c>
      <c r="C476">
        <v>3.2786885245901641E-2</v>
      </c>
    </row>
    <row r="477" spans="2:3" x14ac:dyDescent="0.2">
      <c r="B477">
        <v>2.3067403893458099E-2</v>
      </c>
      <c r="C477">
        <v>3.0737704918032786E-2</v>
      </c>
    </row>
    <row r="478" spans="2:3" x14ac:dyDescent="0.2">
      <c r="B478">
        <v>2.2729144206037302E-2</v>
      </c>
      <c r="C478">
        <v>2.8688524590163935E-2</v>
      </c>
    </row>
    <row r="479" spans="2:3" x14ac:dyDescent="0.2">
      <c r="B479">
        <v>2.2599537125891401E-2</v>
      </c>
      <c r="C479">
        <v>2.663934426229508E-2</v>
      </c>
    </row>
    <row r="480" spans="2:3" x14ac:dyDescent="0.2">
      <c r="B480">
        <v>2.2303824094174099E-2</v>
      </c>
      <c r="C480">
        <v>2.4590163934426229E-2</v>
      </c>
    </row>
    <row r="481" spans="2:3" x14ac:dyDescent="0.2">
      <c r="B481">
        <v>2.2298361763258799E-2</v>
      </c>
      <c r="C481">
        <v>2.2540983606557378E-2</v>
      </c>
    </row>
    <row r="482" spans="2:3" x14ac:dyDescent="0.2">
      <c r="B482">
        <v>2.00956302435496E-2</v>
      </c>
      <c r="C482">
        <v>2.0491803278688523E-2</v>
      </c>
    </row>
    <row r="483" spans="2:3" x14ac:dyDescent="0.2">
      <c r="B483">
        <v>1.5721624251492799E-2</v>
      </c>
      <c r="C483">
        <v>1.8442622950819672E-2</v>
      </c>
    </row>
    <row r="484" spans="2:3" x14ac:dyDescent="0.2">
      <c r="B484">
        <v>1.45816561117635E-2</v>
      </c>
      <c r="C484">
        <v>1.6393442622950821E-2</v>
      </c>
    </row>
    <row r="485" spans="2:3" x14ac:dyDescent="0.2">
      <c r="B485">
        <v>1.43540623955644E-2</v>
      </c>
      <c r="C485">
        <v>1.4344262295081968E-2</v>
      </c>
    </row>
    <row r="486" spans="2:3" x14ac:dyDescent="0.2">
      <c r="B486">
        <v>1.25495297394771E-2</v>
      </c>
      <c r="C486">
        <v>1.2295081967213115E-2</v>
      </c>
    </row>
    <row r="487" spans="2:3" x14ac:dyDescent="0.2">
      <c r="B487">
        <v>1.1803321686785301E-2</v>
      </c>
      <c r="C487">
        <v>1.0245901639344262E-2</v>
      </c>
    </row>
    <row r="488" spans="2:3" x14ac:dyDescent="0.2">
      <c r="B488">
        <v>1.0187430162571801E-2</v>
      </c>
      <c r="C488">
        <v>8.1967213114754103E-3</v>
      </c>
    </row>
    <row r="489" spans="2:3" x14ac:dyDescent="0.2">
      <c r="B489">
        <v>9.2954153925750901E-3</v>
      </c>
      <c r="C489">
        <v>6.1475409836065573E-3</v>
      </c>
    </row>
    <row r="490" spans="2:3" x14ac:dyDescent="0.2">
      <c r="B490">
        <v>3.1047836650232199E-3</v>
      </c>
      <c r="C490">
        <v>4.0983606557377051E-3</v>
      </c>
    </row>
    <row r="491" spans="2:3" x14ac:dyDescent="0.2">
      <c r="B491">
        <v>2.1710237067861901E-3</v>
      </c>
      <c r="C491">
        <v>2.0491803278688526E-3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313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247</v>
      </c>
      <c r="C1" t="s">
        <v>248</v>
      </c>
    </row>
    <row r="2" spans="2:6" x14ac:dyDescent="0.2">
      <c r="B2" cm="1">
        <f t="array" ref="B2:B313">_xlfn._xlws.SORT(_xlfn.UNIQUE(TblPolicyLevelAggregate[TotalClaimAmount]), 1, -1)</f>
        <v>1.346020486342421</v>
      </c>
      <c r="C2" cm="1">
        <f t="array" ref="C2:C313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1.3141841773420477</v>
      </c>
      <c r="C3">
        <v>0.998</v>
      </c>
      <c r="F3" t="s">
        <v>246</v>
      </c>
    </row>
    <row r="4" spans="2:6" x14ac:dyDescent="0.2">
      <c r="B4">
        <v>1.2807857636817359</v>
      </c>
      <c r="C4">
        <v>0.996</v>
      </c>
    </row>
    <row r="5" spans="2:6" x14ac:dyDescent="0.2">
      <c r="B5">
        <v>1.175044386715048</v>
      </c>
      <c r="C5">
        <v>0.99399999999999999</v>
      </c>
    </row>
    <row r="6" spans="2:6" x14ac:dyDescent="0.2">
      <c r="B6">
        <v>0.98109890612040196</v>
      </c>
      <c r="C6">
        <v>0.99199999999999999</v>
      </c>
    </row>
    <row r="7" spans="2:6" x14ac:dyDescent="0.2">
      <c r="B7">
        <v>0.976808500840744</v>
      </c>
      <c r="C7">
        <v>0.99</v>
      </c>
    </row>
    <row r="8" spans="2:6" x14ac:dyDescent="0.2">
      <c r="B8">
        <v>0.96648631445674593</v>
      </c>
      <c r="C8">
        <v>0.98799999999999999</v>
      </c>
    </row>
    <row r="9" spans="2:6" x14ac:dyDescent="0.2">
      <c r="B9">
        <v>0.95969159430471207</v>
      </c>
      <c r="C9">
        <v>0.98599999999999999</v>
      </c>
    </row>
    <row r="10" spans="2:6" x14ac:dyDescent="0.2">
      <c r="B10">
        <v>0.94215862489952906</v>
      </c>
      <c r="C10">
        <v>0.98399999999999999</v>
      </c>
    </row>
    <row r="11" spans="2:6" x14ac:dyDescent="0.2">
      <c r="B11">
        <v>0.93611225787623287</v>
      </c>
      <c r="C11">
        <v>0.98199999999999998</v>
      </c>
    </row>
    <row r="12" spans="2:6" x14ac:dyDescent="0.2">
      <c r="B12">
        <v>0.86464132215188405</v>
      </c>
      <c r="C12">
        <v>0.98</v>
      </c>
    </row>
    <row r="13" spans="2:6" x14ac:dyDescent="0.2">
      <c r="B13">
        <v>0.85846312938053915</v>
      </c>
      <c r="C13">
        <v>0.97799999999999998</v>
      </c>
    </row>
    <row r="14" spans="2:6" x14ac:dyDescent="0.2">
      <c r="B14">
        <v>0.80480026675243499</v>
      </c>
      <c r="C14">
        <v>0.97599999999999998</v>
      </c>
    </row>
    <row r="15" spans="2:6" x14ac:dyDescent="0.2">
      <c r="B15">
        <v>0.74759755760207458</v>
      </c>
      <c r="C15">
        <v>0.97399999999999998</v>
      </c>
    </row>
    <row r="16" spans="2:6" x14ac:dyDescent="0.2">
      <c r="B16">
        <v>0.74075706254224805</v>
      </c>
      <c r="C16">
        <v>0.97199999999999998</v>
      </c>
    </row>
    <row r="17" spans="2:3" x14ac:dyDescent="0.2">
      <c r="B17">
        <v>0.71200574415985296</v>
      </c>
      <c r="C17">
        <v>0.97</v>
      </c>
    </row>
    <row r="18" spans="2:3" x14ac:dyDescent="0.2">
      <c r="B18">
        <v>0.69142895016282602</v>
      </c>
      <c r="C18">
        <v>0.96799999999999997</v>
      </c>
    </row>
    <row r="19" spans="2:3" x14ac:dyDescent="0.2">
      <c r="B19">
        <v>0.68915475418598005</v>
      </c>
      <c r="C19">
        <v>0.96599999999999997</v>
      </c>
    </row>
    <row r="20" spans="2:3" x14ac:dyDescent="0.2">
      <c r="B20">
        <v>0.68778778470885804</v>
      </c>
      <c r="C20">
        <v>0.96399999999999997</v>
      </c>
    </row>
    <row r="21" spans="2:3" x14ac:dyDescent="0.2">
      <c r="B21">
        <v>0.66843944873945182</v>
      </c>
      <c r="C21">
        <v>0.96199999999999997</v>
      </c>
    </row>
    <row r="22" spans="2:3" x14ac:dyDescent="0.2">
      <c r="B22">
        <v>0.66696085972355401</v>
      </c>
      <c r="C22">
        <v>0.96</v>
      </c>
    </row>
    <row r="23" spans="2:3" x14ac:dyDescent="0.2">
      <c r="B23">
        <v>0.65076662576713806</v>
      </c>
      <c r="C23">
        <v>0.95799999999999996</v>
      </c>
    </row>
    <row r="24" spans="2:3" x14ac:dyDescent="0.2">
      <c r="B24">
        <v>0.64511047640919905</v>
      </c>
      <c r="C24">
        <v>0.95599999999999996</v>
      </c>
    </row>
    <row r="25" spans="2:3" x14ac:dyDescent="0.2">
      <c r="B25">
        <v>0.64185437693580405</v>
      </c>
      <c r="C25">
        <v>0.95399999999999996</v>
      </c>
    </row>
    <row r="26" spans="2:3" x14ac:dyDescent="0.2">
      <c r="B26">
        <v>0.64007521973278003</v>
      </c>
      <c r="C26">
        <v>0.95199999999999996</v>
      </c>
    </row>
    <row r="27" spans="2:3" x14ac:dyDescent="0.2">
      <c r="B27">
        <v>0.61198470479739797</v>
      </c>
      <c r="C27">
        <v>0.95</v>
      </c>
    </row>
    <row r="28" spans="2:3" x14ac:dyDescent="0.2">
      <c r="B28">
        <v>0.60941539388521404</v>
      </c>
      <c r="C28">
        <v>0.94799999999999995</v>
      </c>
    </row>
    <row r="29" spans="2:3" x14ac:dyDescent="0.2">
      <c r="B29">
        <v>0.60506402482038901</v>
      </c>
      <c r="C29">
        <v>0.94599999999999995</v>
      </c>
    </row>
    <row r="30" spans="2:3" x14ac:dyDescent="0.2">
      <c r="B30">
        <v>0.60233126070630494</v>
      </c>
      <c r="C30">
        <v>0.94399999999999995</v>
      </c>
    </row>
    <row r="31" spans="2:3" x14ac:dyDescent="0.2">
      <c r="B31">
        <v>0.60096924421195697</v>
      </c>
      <c r="C31">
        <v>0.94199999999999995</v>
      </c>
    </row>
    <row r="32" spans="2:3" x14ac:dyDescent="0.2">
      <c r="B32">
        <v>0.59297211137589456</v>
      </c>
      <c r="C32">
        <v>0.94</v>
      </c>
    </row>
    <row r="33" spans="2:3" x14ac:dyDescent="0.2">
      <c r="B33">
        <v>0.58170208548878344</v>
      </c>
      <c r="C33">
        <v>0.93799999999999994</v>
      </c>
    </row>
    <row r="34" spans="2:3" x14ac:dyDescent="0.2">
      <c r="B34">
        <v>0.58120660000768987</v>
      </c>
      <c r="C34">
        <v>0.93600000000000005</v>
      </c>
    </row>
    <row r="35" spans="2:3" x14ac:dyDescent="0.2">
      <c r="B35">
        <v>0.57754981294449537</v>
      </c>
      <c r="C35">
        <v>0.93400000000000005</v>
      </c>
    </row>
    <row r="36" spans="2:3" x14ac:dyDescent="0.2">
      <c r="B36">
        <v>0.57730768591164305</v>
      </c>
      <c r="C36">
        <v>0.93200000000000005</v>
      </c>
    </row>
    <row r="37" spans="2:3" x14ac:dyDescent="0.2">
      <c r="B37">
        <v>0.56003986474471501</v>
      </c>
      <c r="C37">
        <v>0.93</v>
      </c>
    </row>
    <row r="38" spans="2:3" x14ac:dyDescent="0.2">
      <c r="B38">
        <v>0.559039806318685</v>
      </c>
      <c r="C38">
        <v>0.92800000000000005</v>
      </c>
    </row>
    <row r="39" spans="2:3" x14ac:dyDescent="0.2">
      <c r="B39">
        <v>0.55763175822650746</v>
      </c>
      <c r="C39">
        <v>0.92600000000000005</v>
      </c>
    </row>
    <row r="40" spans="2:3" x14ac:dyDescent="0.2">
      <c r="B40">
        <v>0.55660539890032945</v>
      </c>
      <c r="C40">
        <v>0.92400000000000004</v>
      </c>
    </row>
    <row r="41" spans="2:3" x14ac:dyDescent="0.2">
      <c r="B41">
        <v>0.55406327267497901</v>
      </c>
      <c r="C41">
        <v>0.92200000000000004</v>
      </c>
    </row>
    <row r="42" spans="2:3" x14ac:dyDescent="0.2">
      <c r="B42">
        <v>0.53814864490507097</v>
      </c>
      <c r="C42">
        <v>0.92</v>
      </c>
    </row>
    <row r="43" spans="2:3" x14ac:dyDescent="0.2">
      <c r="B43">
        <v>0.53561653409500909</v>
      </c>
      <c r="C43">
        <v>0.91800000000000004</v>
      </c>
    </row>
    <row r="44" spans="2:3" x14ac:dyDescent="0.2">
      <c r="B44">
        <v>0.52883926703072603</v>
      </c>
      <c r="C44">
        <v>0.91600000000000004</v>
      </c>
    </row>
    <row r="45" spans="2:3" x14ac:dyDescent="0.2">
      <c r="B45">
        <v>0.52077391122798899</v>
      </c>
      <c r="C45">
        <v>0.91400000000000003</v>
      </c>
    </row>
    <row r="46" spans="2:3" x14ac:dyDescent="0.2">
      <c r="B46">
        <v>0.52051774976180543</v>
      </c>
      <c r="C46">
        <v>0.91200000000000003</v>
      </c>
    </row>
    <row r="47" spans="2:3" x14ac:dyDescent="0.2">
      <c r="B47">
        <v>0.507743453199763</v>
      </c>
      <c r="C47">
        <v>0.91</v>
      </c>
    </row>
    <row r="48" spans="2:3" x14ac:dyDescent="0.2">
      <c r="B48">
        <v>0.50738527964664704</v>
      </c>
      <c r="C48">
        <v>0.90800000000000003</v>
      </c>
    </row>
    <row r="49" spans="2:3" x14ac:dyDescent="0.2">
      <c r="B49">
        <v>0.50404262240269393</v>
      </c>
      <c r="C49">
        <v>0.90600000000000003</v>
      </c>
    </row>
    <row r="50" spans="2:3" x14ac:dyDescent="0.2">
      <c r="B50">
        <v>0.50136190500107491</v>
      </c>
      <c r="C50">
        <v>0.90400000000000003</v>
      </c>
    </row>
    <row r="51" spans="2:3" x14ac:dyDescent="0.2">
      <c r="B51">
        <v>0.492791559213696</v>
      </c>
      <c r="C51">
        <v>0.90200000000000002</v>
      </c>
    </row>
    <row r="52" spans="2:3" x14ac:dyDescent="0.2">
      <c r="B52">
        <v>0.49238791938955351</v>
      </c>
      <c r="C52">
        <v>0.9</v>
      </c>
    </row>
    <row r="53" spans="2:3" x14ac:dyDescent="0.2">
      <c r="B53">
        <v>0.49001032062292271</v>
      </c>
      <c r="C53">
        <v>0.89800000000000002</v>
      </c>
    </row>
    <row r="54" spans="2:3" x14ac:dyDescent="0.2">
      <c r="B54">
        <v>0.48378996410293701</v>
      </c>
      <c r="C54">
        <v>0.89600000000000002</v>
      </c>
    </row>
    <row r="55" spans="2:3" x14ac:dyDescent="0.2">
      <c r="B55">
        <v>0.47029961824279665</v>
      </c>
      <c r="C55">
        <v>0.89400000000000002</v>
      </c>
    </row>
    <row r="56" spans="2:3" x14ac:dyDescent="0.2">
      <c r="B56">
        <v>0.46690531495944498</v>
      </c>
      <c r="C56">
        <v>0.89200000000000002</v>
      </c>
    </row>
    <row r="57" spans="2:3" x14ac:dyDescent="0.2">
      <c r="B57">
        <v>0.45601613728770651</v>
      </c>
      <c r="C57">
        <v>0.89</v>
      </c>
    </row>
    <row r="58" spans="2:3" x14ac:dyDescent="0.2">
      <c r="B58">
        <v>0.45550765080717698</v>
      </c>
      <c r="C58">
        <v>0.88800000000000001</v>
      </c>
    </row>
    <row r="59" spans="2:3" x14ac:dyDescent="0.2">
      <c r="B59">
        <v>0.44584538977926302</v>
      </c>
      <c r="C59">
        <v>0.88600000000000001</v>
      </c>
    </row>
    <row r="60" spans="2:3" x14ac:dyDescent="0.2">
      <c r="B60">
        <v>0.43920747855191145</v>
      </c>
      <c r="C60">
        <v>0.88400000000000001</v>
      </c>
    </row>
    <row r="61" spans="2:3" x14ac:dyDescent="0.2">
      <c r="B61">
        <v>0.43471750232116302</v>
      </c>
      <c r="C61">
        <v>0.88200000000000001</v>
      </c>
    </row>
    <row r="62" spans="2:3" x14ac:dyDescent="0.2">
      <c r="B62">
        <v>0.43410066739044401</v>
      </c>
      <c r="C62">
        <v>0.88</v>
      </c>
    </row>
    <row r="63" spans="2:3" x14ac:dyDescent="0.2">
      <c r="B63">
        <v>0.43263751305353004</v>
      </c>
      <c r="C63">
        <v>0.878</v>
      </c>
    </row>
    <row r="64" spans="2:3" x14ac:dyDescent="0.2">
      <c r="B64">
        <v>0.43249317683124117</v>
      </c>
      <c r="C64">
        <v>0.876</v>
      </c>
    </row>
    <row r="65" spans="2:3" x14ac:dyDescent="0.2">
      <c r="B65">
        <v>0.43095364777225798</v>
      </c>
      <c r="C65">
        <v>0.874</v>
      </c>
    </row>
    <row r="66" spans="2:3" x14ac:dyDescent="0.2">
      <c r="B66">
        <v>0.42837720277289004</v>
      </c>
      <c r="C66">
        <v>0.872</v>
      </c>
    </row>
    <row r="67" spans="2:3" x14ac:dyDescent="0.2">
      <c r="B67">
        <v>0.41774981804627864</v>
      </c>
      <c r="C67">
        <v>0.87</v>
      </c>
    </row>
    <row r="68" spans="2:3" x14ac:dyDescent="0.2">
      <c r="B68">
        <v>0.41253208622901993</v>
      </c>
      <c r="C68">
        <v>0.86799999999999999</v>
      </c>
    </row>
    <row r="69" spans="2:3" x14ac:dyDescent="0.2">
      <c r="B69">
        <v>0.41061580411658999</v>
      </c>
      <c r="C69">
        <v>0.86599999999999999</v>
      </c>
    </row>
    <row r="70" spans="2:3" x14ac:dyDescent="0.2">
      <c r="B70">
        <v>0.4046057271390478</v>
      </c>
      <c r="C70">
        <v>0.86399999999999999</v>
      </c>
    </row>
    <row r="71" spans="2:3" x14ac:dyDescent="0.2">
      <c r="B71">
        <v>0.40424613041023677</v>
      </c>
      <c r="C71">
        <v>0.86199999999999999</v>
      </c>
    </row>
    <row r="72" spans="2:3" x14ac:dyDescent="0.2">
      <c r="B72">
        <v>0.39379027394434202</v>
      </c>
      <c r="C72">
        <v>0.86</v>
      </c>
    </row>
    <row r="73" spans="2:3" x14ac:dyDescent="0.2">
      <c r="B73">
        <v>0.39325743421961767</v>
      </c>
      <c r="C73">
        <v>0.85799999999999998</v>
      </c>
    </row>
    <row r="74" spans="2:3" x14ac:dyDescent="0.2">
      <c r="B74">
        <v>0.38863316576322987</v>
      </c>
      <c r="C74">
        <v>0.85599999999999998</v>
      </c>
    </row>
    <row r="75" spans="2:3" x14ac:dyDescent="0.2">
      <c r="B75">
        <v>0.38840178949289705</v>
      </c>
      <c r="C75">
        <v>0.85399999999999998</v>
      </c>
    </row>
    <row r="76" spans="2:3" x14ac:dyDescent="0.2">
      <c r="B76">
        <v>0.38290505198468799</v>
      </c>
      <c r="C76">
        <v>0.85199999999999998</v>
      </c>
    </row>
    <row r="77" spans="2:3" x14ac:dyDescent="0.2">
      <c r="B77">
        <v>0.38261164632753603</v>
      </c>
      <c r="C77">
        <v>0.85</v>
      </c>
    </row>
    <row r="78" spans="2:3" x14ac:dyDescent="0.2">
      <c r="B78">
        <v>0.38177311221424898</v>
      </c>
      <c r="C78">
        <v>0.84799999999999998</v>
      </c>
    </row>
    <row r="79" spans="2:3" x14ac:dyDescent="0.2">
      <c r="B79">
        <v>0.380207814852352</v>
      </c>
      <c r="C79">
        <v>0.84599999999999997</v>
      </c>
    </row>
    <row r="80" spans="2:3" x14ac:dyDescent="0.2">
      <c r="B80">
        <v>0.37479833806122398</v>
      </c>
      <c r="C80">
        <v>0.84399999999999997</v>
      </c>
    </row>
    <row r="81" spans="2:3" x14ac:dyDescent="0.2">
      <c r="B81">
        <v>0.37419131015632801</v>
      </c>
      <c r="C81">
        <v>0.84199999999999997</v>
      </c>
    </row>
    <row r="82" spans="2:3" x14ac:dyDescent="0.2">
      <c r="B82">
        <v>0.37333439720030231</v>
      </c>
      <c r="C82">
        <v>0.84</v>
      </c>
    </row>
    <row r="83" spans="2:3" x14ac:dyDescent="0.2">
      <c r="B83">
        <v>0.3692567797988151</v>
      </c>
      <c r="C83">
        <v>0.83799999999999997</v>
      </c>
    </row>
    <row r="84" spans="2:3" x14ac:dyDescent="0.2">
      <c r="B84">
        <v>0.359953222596198</v>
      </c>
      <c r="C84">
        <v>0.83599999999999997</v>
      </c>
    </row>
    <row r="85" spans="2:3" x14ac:dyDescent="0.2">
      <c r="B85">
        <v>0.35951969798435102</v>
      </c>
      <c r="C85">
        <v>0.83399999999999996</v>
      </c>
    </row>
    <row r="86" spans="2:3" x14ac:dyDescent="0.2">
      <c r="B86">
        <v>0.35801304319870542</v>
      </c>
      <c r="C86">
        <v>0.83199999999999996</v>
      </c>
    </row>
    <row r="87" spans="2:3" x14ac:dyDescent="0.2">
      <c r="B87">
        <v>0.35796906492716601</v>
      </c>
      <c r="C87">
        <v>0.83</v>
      </c>
    </row>
    <row r="88" spans="2:3" x14ac:dyDescent="0.2">
      <c r="B88">
        <v>0.35777921371458193</v>
      </c>
      <c r="C88">
        <v>0.82799999999999996</v>
      </c>
    </row>
    <row r="89" spans="2:3" x14ac:dyDescent="0.2">
      <c r="B89">
        <v>0.35448175121283299</v>
      </c>
      <c r="C89">
        <v>0.82599999999999996</v>
      </c>
    </row>
    <row r="90" spans="2:3" x14ac:dyDescent="0.2">
      <c r="B90">
        <v>0.35132079260531801</v>
      </c>
      <c r="C90">
        <v>0.82399999999999995</v>
      </c>
    </row>
    <row r="91" spans="2:3" x14ac:dyDescent="0.2">
      <c r="B91">
        <v>0.35097404404080201</v>
      </c>
      <c r="C91">
        <v>0.82199999999999995</v>
      </c>
    </row>
    <row r="92" spans="2:3" x14ac:dyDescent="0.2">
      <c r="B92">
        <v>0.34688705077892901</v>
      </c>
      <c r="C92">
        <v>0.82</v>
      </c>
    </row>
    <row r="93" spans="2:3" x14ac:dyDescent="0.2">
      <c r="B93">
        <v>0.34508696918116699</v>
      </c>
      <c r="C93">
        <v>0.81799999999999995</v>
      </c>
    </row>
    <row r="94" spans="2:3" x14ac:dyDescent="0.2">
      <c r="B94">
        <v>0.34441069516898881</v>
      </c>
      <c r="C94">
        <v>0.81599999999999995</v>
      </c>
    </row>
    <row r="95" spans="2:3" x14ac:dyDescent="0.2">
      <c r="B95">
        <v>0.340132217857464</v>
      </c>
      <c r="C95">
        <v>0.81399999999999995</v>
      </c>
    </row>
    <row r="96" spans="2:3" x14ac:dyDescent="0.2">
      <c r="B96">
        <v>0.33957218635974801</v>
      </c>
      <c r="C96">
        <v>0.81200000000000006</v>
      </c>
    </row>
    <row r="97" spans="2:3" x14ac:dyDescent="0.2">
      <c r="B97">
        <v>0.33854581501681119</v>
      </c>
      <c r="C97">
        <v>0.81</v>
      </c>
    </row>
    <row r="98" spans="2:3" x14ac:dyDescent="0.2">
      <c r="B98">
        <v>0.33783755671220589</v>
      </c>
      <c r="C98">
        <v>0.80800000000000005</v>
      </c>
    </row>
    <row r="99" spans="2:3" x14ac:dyDescent="0.2">
      <c r="B99">
        <v>0.33658991224957258</v>
      </c>
      <c r="C99">
        <v>0.80600000000000005</v>
      </c>
    </row>
    <row r="100" spans="2:3" x14ac:dyDescent="0.2">
      <c r="B100">
        <v>0.319727189042813</v>
      </c>
      <c r="C100">
        <v>0.80400000000000005</v>
      </c>
    </row>
    <row r="101" spans="2:3" x14ac:dyDescent="0.2">
      <c r="B101">
        <v>0.31850781056713101</v>
      </c>
      <c r="C101">
        <v>0.80200000000000005</v>
      </c>
    </row>
    <row r="102" spans="2:3" x14ac:dyDescent="0.2">
      <c r="B102">
        <v>0.318102190228987</v>
      </c>
      <c r="C102">
        <v>0.8</v>
      </c>
    </row>
    <row r="103" spans="2:3" x14ac:dyDescent="0.2">
      <c r="B103">
        <v>0.31019538650107698</v>
      </c>
      <c r="C103">
        <v>0.79800000000000004</v>
      </c>
    </row>
    <row r="104" spans="2:3" x14ac:dyDescent="0.2">
      <c r="B104">
        <v>0.30927760708272301</v>
      </c>
      <c r="C104">
        <v>0.79600000000000004</v>
      </c>
    </row>
    <row r="105" spans="2:3" x14ac:dyDescent="0.2">
      <c r="B105">
        <v>0.30892252047166302</v>
      </c>
      <c r="C105">
        <v>0.79400000000000004</v>
      </c>
    </row>
    <row r="106" spans="2:3" x14ac:dyDescent="0.2">
      <c r="B106">
        <v>0.30678735921811801</v>
      </c>
      <c r="C106">
        <v>0.79200000000000004</v>
      </c>
    </row>
    <row r="107" spans="2:3" x14ac:dyDescent="0.2">
      <c r="B107">
        <v>0.30571085635744899</v>
      </c>
      <c r="C107">
        <v>0.79</v>
      </c>
    </row>
    <row r="108" spans="2:3" x14ac:dyDescent="0.2">
      <c r="B108">
        <v>0.30380228762349099</v>
      </c>
      <c r="C108">
        <v>0.78800000000000003</v>
      </c>
    </row>
    <row r="109" spans="2:3" x14ac:dyDescent="0.2">
      <c r="B109">
        <v>0.30130781255732603</v>
      </c>
      <c r="C109">
        <v>0.78600000000000003</v>
      </c>
    </row>
    <row r="110" spans="2:3" x14ac:dyDescent="0.2">
      <c r="B110">
        <v>0.29817622426043838</v>
      </c>
      <c r="C110">
        <v>0.78400000000000003</v>
      </c>
    </row>
    <row r="111" spans="2:3" x14ac:dyDescent="0.2">
      <c r="B111">
        <v>0.29696290717306001</v>
      </c>
      <c r="C111">
        <v>0.78200000000000003</v>
      </c>
    </row>
    <row r="112" spans="2:3" x14ac:dyDescent="0.2">
      <c r="B112">
        <v>0.29563360857981402</v>
      </c>
      <c r="C112">
        <v>0.78</v>
      </c>
    </row>
    <row r="113" spans="2:3" x14ac:dyDescent="0.2">
      <c r="B113">
        <v>0.29453546122070701</v>
      </c>
      <c r="C113">
        <v>0.77800000000000002</v>
      </c>
    </row>
    <row r="114" spans="2:3" x14ac:dyDescent="0.2">
      <c r="B114">
        <v>0.29420785741074501</v>
      </c>
      <c r="C114">
        <v>0.77600000000000002</v>
      </c>
    </row>
    <row r="115" spans="2:3" x14ac:dyDescent="0.2">
      <c r="B115">
        <v>0.29157162509207901</v>
      </c>
      <c r="C115">
        <v>0.77400000000000002</v>
      </c>
    </row>
    <row r="116" spans="2:3" x14ac:dyDescent="0.2">
      <c r="B116">
        <v>0.29155510941182461</v>
      </c>
      <c r="C116">
        <v>0.77200000000000002</v>
      </c>
    </row>
    <row r="117" spans="2:3" x14ac:dyDescent="0.2">
      <c r="B117">
        <v>0.29069392609702882</v>
      </c>
      <c r="C117">
        <v>0.77</v>
      </c>
    </row>
    <row r="118" spans="2:3" x14ac:dyDescent="0.2">
      <c r="B118">
        <v>0.28953327940136697</v>
      </c>
      <c r="C118">
        <v>0.76800000000000002</v>
      </c>
    </row>
    <row r="119" spans="2:3" x14ac:dyDescent="0.2">
      <c r="B119">
        <v>0.28899174742972122</v>
      </c>
      <c r="C119">
        <v>0.76600000000000001</v>
      </c>
    </row>
    <row r="120" spans="2:3" x14ac:dyDescent="0.2">
      <c r="B120">
        <v>0.28821810054227398</v>
      </c>
      <c r="C120">
        <v>0.76400000000000001</v>
      </c>
    </row>
    <row r="121" spans="2:3" x14ac:dyDescent="0.2">
      <c r="B121">
        <v>0.28762949969781099</v>
      </c>
      <c r="C121">
        <v>0.76200000000000001</v>
      </c>
    </row>
    <row r="122" spans="2:3" x14ac:dyDescent="0.2">
      <c r="B122">
        <v>0.28735781023477269</v>
      </c>
      <c r="C122">
        <v>0.76</v>
      </c>
    </row>
    <row r="123" spans="2:3" x14ac:dyDescent="0.2">
      <c r="B123">
        <v>0.28386160296985102</v>
      </c>
      <c r="C123">
        <v>0.75800000000000001</v>
      </c>
    </row>
    <row r="124" spans="2:3" x14ac:dyDescent="0.2">
      <c r="B124">
        <v>0.28361006299609043</v>
      </c>
      <c r="C124">
        <v>0.75600000000000001</v>
      </c>
    </row>
    <row r="125" spans="2:3" x14ac:dyDescent="0.2">
      <c r="B125">
        <v>0.28274942516763513</v>
      </c>
      <c r="C125">
        <v>0.754</v>
      </c>
    </row>
    <row r="126" spans="2:3" x14ac:dyDescent="0.2">
      <c r="B126">
        <v>0.28202610837402298</v>
      </c>
      <c r="C126">
        <v>0.752</v>
      </c>
    </row>
    <row r="127" spans="2:3" x14ac:dyDescent="0.2">
      <c r="B127">
        <v>0.281944291136494</v>
      </c>
      <c r="C127">
        <v>0.75</v>
      </c>
    </row>
    <row r="128" spans="2:3" x14ac:dyDescent="0.2">
      <c r="B128">
        <v>0.28127703302405399</v>
      </c>
      <c r="C128">
        <v>0.748</v>
      </c>
    </row>
    <row r="129" spans="2:3" x14ac:dyDescent="0.2">
      <c r="B129">
        <v>0.28102069471000102</v>
      </c>
      <c r="C129">
        <v>0.746</v>
      </c>
    </row>
    <row r="130" spans="2:3" x14ac:dyDescent="0.2">
      <c r="B130">
        <v>0.27952257039449713</v>
      </c>
      <c r="C130">
        <v>0.74399999999999999</v>
      </c>
    </row>
    <row r="131" spans="2:3" x14ac:dyDescent="0.2">
      <c r="B131">
        <v>0.279181372033032</v>
      </c>
      <c r="C131">
        <v>0.74199999999999999</v>
      </c>
    </row>
    <row r="132" spans="2:3" x14ac:dyDescent="0.2">
      <c r="B132">
        <v>0.276838364198075</v>
      </c>
      <c r="C132">
        <v>0.74</v>
      </c>
    </row>
    <row r="133" spans="2:3" x14ac:dyDescent="0.2">
      <c r="B133">
        <v>0.27576019275202801</v>
      </c>
      <c r="C133">
        <v>0.73799999999999999</v>
      </c>
    </row>
    <row r="134" spans="2:3" x14ac:dyDescent="0.2">
      <c r="B134">
        <v>0.27568063971297202</v>
      </c>
      <c r="C134">
        <v>0.73599999999999999</v>
      </c>
    </row>
    <row r="135" spans="2:3" x14ac:dyDescent="0.2">
      <c r="B135">
        <v>0.273142709948556</v>
      </c>
      <c r="C135">
        <v>0.73399999999999999</v>
      </c>
    </row>
    <row r="136" spans="2:3" x14ac:dyDescent="0.2">
      <c r="B136">
        <v>0.27244745512371099</v>
      </c>
      <c r="C136">
        <v>0.73199999999999998</v>
      </c>
    </row>
    <row r="137" spans="2:3" x14ac:dyDescent="0.2">
      <c r="B137">
        <v>0.27144640065078202</v>
      </c>
      <c r="C137">
        <v>0.73</v>
      </c>
    </row>
    <row r="138" spans="2:3" x14ac:dyDescent="0.2">
      <c r="B138">
        <v>0.26496828975687248</v>
      </c>
      <c r="C138">
        <v>0.72799999999999998</v>
      </c>
    </row>
    <row r="139" spans="2:3" x14ac:dyDescent="0.2">
      <c r="B139">
        <v>0.26463638384661198</v>
      </c>
      <c r="C139">
        <v>0.72599999999999998</v>
      </c>
    </row>
    <row r="140" spans="2:3" x14ac:dyDescent="0.2">
      <c r="B140">
        <v>0.26440852331858422</v>
      </c>
      <c r="C140">
        <v>0.72399999999999998</v>
      </c>
    </row>
    <row r="141" spans="2:3" x14ac:dyDescent="0.2">
      <c r="B141">
        <v>0.26374204235940502</v>
      </c>
      <c r="C141">
        <v>0.72199999999999998</v>
      </c>
    </row>
    <row r="142" spans="2:3" x14ac:dyDescent="0.2">
      <c r="B142">
        <v>0.26309378134703698</v>
      </c>
      <c r="C142">
        <v>0.72</v>
      </c>
    </row>
    <row r="143" spans="2:3" x14ac:dyDescent="0.2">
      <c r="B143">
        <v>0.26043978602927498</v>
      </c>
      <c r="C143">
        <v>0.71799999999999997</v>
      </c>
    </row>
    <row r="144" spans="2:3" x14ac:dyDescent="0.2">
      <c r="B144">
        <v>0.25544767354590903</v>
      </c>
      <c r="C144">
        <v>0.71599999999999997</v>
      </c>
    </row>
    <row r="145" spans="2:3" x14ac:dyDescent="0.2">
      <c r="B145">
        <v>0.25322483650766398</v>
      </c>
      <c r="C145">
        <v>0.71399999999999997</v>
      </c>
    </row>
    <row r="146" spans="2:3" x14ac:dyDescent="0.2">
      <c r="B146">
        <v>0.25145788687490939</v>
      </c>
      <c r="C146">
        <v>0.71199999999999997</v>
      </c>
    </row>
    <row r="147" spans="2:3" x14ac:dyDescent="0.2">
      <c r="B147">
        <v>0.25004987022648822</v>
      </c>
      <c r="C147">
        <v>0.71</v>
      </c>
    </row>
    <row r="148" spans="2:3" x14ac:dyDescent="0.2">
      <c r="B148">
        <v>0.249795670859779</v>
      </c>
      <c r="C148">
        <v>0.70799999999999996</v>
      </c>
    </row>
    <row r="149" spans="2:3" x14ac:dyDescent="0.2">
      <c r="B149">
        <v>0.24959403155774801</v>
      </c>
      <c r="C149">
        <v>0.70599999999999996</v>
      </c>
    </row>
    <row r="150" spans="2:3" x14ac:dyDescent="0.2">
      <c r="B150">
        <v>0.24302346111838199</v>
      </c>
      <c r="C150">
        <v>0.70399999999999996</v>
      </c>
    </row>
    <row r="151" spans="2:3" x14ac:dyDescent="0.2">
      <c r="B151">
        <v>0.240884598113073</v>
      </c>
      <c r="C151">
        <v>0.70199999999999996</v>
      </c>
    </row>
    <row r="152" spans="2:3" x14ac:dyDescent="0.2">
      <c r="B152">
        <v>0.23537974857060801</v>
      </c>
      <c r="C152">
        <v>0.7</v>
      </c>
    </row>
    <row r="153" spans="2:3" x14ac:dyDescent="0.2">
      <c r="B153">
        <v>0.234707516598987</v>
      </c>
      <c r="C153">
        <v>0.69799999999999995</v>
      </c>
    </row>
    <row r="154" spans="2:3" x14ac:dyDescent="0.2">
      <c r="B154">
        <v>0.23454373271985901</v>
      </c>
      <c r="C154">
        <v>0.69599999999999995</v>
      </c>
    </row>
    <row r="155" spans="2:3" x14ac:dyDescent="0.2">
      <c r="B155">
        <v>0.23358568921494799</v>
      </c>
      <c r="C155">
        <v>0.69399999999999995</v>
      </c>
    </row>
    <row r="156" spans="2:3" x14ac:dyDescent="0.2">
      <c r="B156">
        <v>0.23316655194521518</v>
      </c>
      <c r="C156">
        <v>0.69199999999999995</v>
      </c>
    </row>
    <row r="157" spans="2:3" x14ac:dyDescent="0.2">
      <c r="B157">
        <v>0.23196446594099931</v>
      </c>
      <c r="C157">
        <v>0.69</v>
      </c>
    </row>
    <row r="158" spans="2:3" x14ac:dyDescent="0.2">
      <c r="B158">
        <v>0.22898476020757899</v>
      </c>
      <c r="C158">
        <v>0.68799999999999994</v>
      </c>
    </row>
    <row r="159" spans="2:3" x14ac:dyDescent="0.2">
      <c r="B159">
        <v>0.22796045681975699</v>
      </c>
      <c r="C159">
        <v>0.68600000000000005</v>
      </c>
    </row>
    <row r="160" spans="2:3" x14ac:dyDescent="0.2">
      <c r="B160">
        <v>0.22778238404279499</v>
      </c>
      <c r="C160">
        <v>0.68400000000000005</v>
      </c>
    </row>
    <row r="161" spans="2:3" x14ac:dyDescent="0.2">
      <c r="B161">
        <v>0.222844577105727</v>
      </c>
      <c r="C161">
        <v>0.68200000000000005</v>
      </c>
    </row>
    <row r="162" spans="2:3" x14ac:dyDescent="0.2">
      <c r="B162">
        <v>0.22248257475576</v>
      </c>
      <c r="C162">
        <v>0.68</v>
      </c>
    </row>
    <row r="163" spans="2:3" x14ac:dyDescent="0.2">
      <c r="B163">
        <v>0.22196916306064499</v>
      </c>
      <c r="C163">
        <v>0.67800000000000005</v>
      </c>
    </row>
    <row r="164" spans="2:3" x14ac:dyDescent="0.2">
      <c r="B164">
        <v>0.22126270168989801</v>
      </c>
      <c r="C164">
        <v>0.67600000000000005</v>
      </c>
    </row>
    <row r="165" spans="2:3" x14ac:dyDescent="0.2">
      <c r="B165">
        <v>0.22024605835452049</v>
      </c>
      <c r="C165">
        <v>0.67400000000000004</v>
      </c>
    </row>
    <row r="166" spans="2:3" x14ac:dyDescent="0.2">
      <c r="B166">
        <v>0.22006606292887099</v>
      </c>
      <c r="C166">
        <v>0.67200000000000004</v>
      </c>
    </row>
    <row r="167" spans="2:3" x14ac:dyDescent="0.2">
      <c r="B167">
        <v>0.2200638681604852</v>
      </c>
      <c r="C167">
        <v>0.67</v>
      </c>
    </row>
    <row r="168" spans="2:3" x14ac:dyDescent="0.2">
      <c r="B168">
        <v>0.21844687110657601</v>
      </c>
      <c r="C168">
        <v>0.66800000000000004</v>
      </c>
    </row>
    <row r="169" spans="2:3" x14ac:dyDescent="0.2">
      <c r="B169">
        <v>0.218087868249906</v>
      </c>
      <c r="C169">
        <v>0.66600000000000004</v>
      </c>
    </row>
    <row r="170" spans="2:3" x14ac:dyDescent="0.2">
      <c r="B170">
        <v>0.21533893107518182</v>
      </c>
      <c r="C170">
        <v>0.66400000000000003</v>
      </c>
    </row>
    <row r="171" spans="2:3" x14ac:dyDescent="0.2">
      <c r="B171">
        <v>0.214588452736652</v>
      </c>
      <c r="C171">
        <v>0.66200000000000003</v>
      </c>
    </row>
    <row r="172" spans="2:3" x14ac:dyDescent="0.2">
      <c r="B172">
        <v>0.21320679669485401</v>
      </c>
      <c r="C172">
        <v>0.66</v>
      </c>
    </row>
    <row r="173" spans="2:3" x14ac:dyDescent="0.2">
      <c r="B173">
        <v>0.21286070986789801</v>
      </c>
      <c r="C173">
        <v>0.65800000000000003</v>
      </c>
    </row>
    <row r="174" spans="2:3" x14ac:dyDescent="0.2">
      <c r="B174">
        <v>0.2120075368575973</v>
      </c>
      <c r="C174">
        <v>0.65600000000000003</v>
      </c>
    </row>
    <row r="175" spans="2:3" x14ac:dyDescent="0.2">
      <c r="B175">
        <v>0.210979524099244</v>
      </c>
      <c r="C175">
        <v>0.65400000000000003</v>
      </c>
    </row>
    <row r="176" spans="2:3" x14ac:dyDescent="0.2">
      <c r="B176">
        <v>0.210701515123602</v>
      </c>
      <c r="C176">
        <v>0.65200000000000002</v>
      </c>
    </row>
    <row r="177" spans="2:3" x14ac:dyDescent="0.2">
      <c r="B177">
        <v>0.20989060990798999</v>
      </c>
      <c r="C177">
        <v>0.65</v>
      </c>
    </row>
    <row r="178" spans="2:3" x14ac:dyDescent="0.2">
      <c r="B178">
        <v>0.208392332693694</v>
      </c>
      <c r="C178">
        <v>0.64800000000000002</v>
      </c>
    </row>
    <row r="179" spans="2:3" x14ac:dyDescent="0.2">
      <c r="B179">
        <v>0.20477016945738599</v>
      </c>
      <c r="C179">
        <v>0.64600000000000002</v>
      </c>
    </row>
    <row r="180" spans="2:3" x14ac:dyDescent="0.2">
      <c r="B180">
        <v>0.20462238616769901</v>
      </c>
      <c r="C180">
        <v>0.64400000000000002</v>
      </c>
    </row>
    <row r="181" spans="2:3" x14ac:dyDescent="0.2">
      <c r="B181">
        <v>0.204554453567526</v>
      </c>
      <c r="C181">
        <v>0.64200000000000002</v>
      </c>
    </row>
    <row r="182" spans="2:3" x14ac:dyDescent="0.2">
      <c r="B182">
        <v>0.20080325258803822</v>
      </c>
      <c r="C182">
        <v>0.64</v>
      </c>
    </row>
    <row r="183" spans="2:3" x14ac:dyDescent="0.2">
      <c r="B183">
        <v>0.19910893140434399</v>
      </c>
      <c r="C183">
        <v>0.63800000000000001</v>
      </c>
    </row>
    <row r="184" spans="2:3" x14ac:dyDescent="0.2">
      <c r="B184">
        <v>0.19512672548368501</v>
      </c>
      <c r="C184">
        <v>0.63600000000000001</v>
      </c>
    </row>
    <row r="185" spans="2:3" x14ac:dyDescent="0.2">
      <c r="B185">
        <v>0.19503152465641699</v>
      </c>
      <c r="C185">
        <v>0.63400000000000001</v>
      </c>
    </row>
    <row r="186" spans="2:3" x14ac:dyDescent="0.2">
      <c r="B186">
        <v>0.19360577133177609</v>
      </c>
      <c r="C186">
        <v>0.63200000000000001</v>
      </c>
    </row>
    <row r="187" spans="2:3" x14ac:dyDescent="0.2">
      <c r="B187">
        <v>0.19031691215045299</v>
      </c>
      <c r="C187">
        <v>0.63</v>
      </c>
    </row>
    <row r="188" spans="2:3" x14ac:dyDescent="0.2">
      <c r="B188">
        <v>0.18914453600637299</v>
      </c>
      <c r="C188">
        <v>0.628</v>
      </c>
    </row>
    <row r="189" spans="2:3" x14ac:dyDescent="0.2">
      <c r="B189">
        <v>0.188916455378519</v>
      </c>
      <c r="C189">
        <v>0.626</v>
      </c>
    </row>
    <row r="190" spans="2:3" x14ac:dyDescent="0.2">
      <c r="B190">
        <v>0.18820243128675301</v>
      </c>
      <c r="C190">
        <v>0.624</v>
      </c>
    </row>
    <row r="191" spans="2:3" x14ac:dyDescent="0.2">
      <c r="B191">
        <v>0.187129400944608</v>
      </c>
      <c r="C191">
        <v>0.622</v>
      </c>
    </row>
    <row r="192" spans="2:3" x14ac:dyDescent="0.2">
      <c r="B192">
        <v>0.18081811475013901</v>
      </c>
      <c r="C192">
        <v>0.62</v>
      </c>
    </row>
    <row r="193" spans="2:3" x14ac:dyDescent="0.2">
      <c r="B193">
        <v>0.179692156203418</v>
      </c>
      <c r="C193">
        <v>0.61799999999999999</v>
      </c>
    </row>
    <row r="194" spans="2:3" x14ac:dyDescent="0.2">
      <c r="B194">
        <v>0.17655947315892101</v>
      </c>
      <c r="C194">
        <v>0.61599999999999999</v>
      </c>
    </row>
    <row r="195" spans="2:3" x14ac:dyDescent="0.2">
      <c r="B195">
        <v>0.17600700413398601</v>
      </c>
      <c r="C195">
        <v>0.61399999999999999</v>
      </c>
    </row>
    <row r="196" spans="2:3" x14ac:dyDescent="0.2">
      <c r="B196">
        <v>0.17439552653899501</v>
      </c>
      <c r="C196">
        <v>0.61199999999999999</v>
      </c>
    </row>
    <row r="197" spans="2:3" x14ac:dyDescent="0.2">
      <c r="B197">
        <v>0.17376677972167981</v>
      </c>
      <c r="C197">
        <v>0.61</v>
      </c>
    </row>
    <row r="198" spans="2:3" x14ac:dyDescent="0.2">
      <c r="B198">
        <v>0.17306539521351999</v>
      </c>
      <c r="C198">
        <v>0.60799999999999998</v>
      </c>
    </row>
    <row r="199" spans="2:3" x14ac:dyDescent="0.2">
      <c r="B199">
        <v>0.172316755714017</v>
      </c>
      <c r="C199">
        <v>0.60599999999999998</v>
      </c>
    </row>
    <row r="200" spans="2:3" x14ac:dyDescent="0.2">
      <c r="B200">
        <v>0.17110625292599899</v>
      </c>
      <c r="C200">
        <v>0.60399999999999998</v>
      </c>
    </row>
    <row r="201" spans="2:3" x14ac:dyDescent="0.2">
      <c r="B201">
        <v>0.17048205519226101</v>
      </c>
      <c r="C201">
        <v>0.60199999999999998</v>
      </c>
    </row>
    <row r="202" spans="2:3" x14ac:dyDescent="0.2">
      <c r="B202">
        <v>0.16886396356309299</v>
      </c>
      <c r="C202">
        <v>0.6</v>
      </c>
    </row>
    <row r="203" spans="2:3" x14ac:dyDescent="0.2">
      <c r="B203">
        <v>0.16654348888951698</v>
      </c>
      <c r="C203">
        <v>0.59799999999999998</v>
      </c>
    </row>
    <row r="204" spans="2:3" x14ac:dyDescent="0.2">
      <c r="B204">
        <v>0.16564961170869799</v>
      </c>
      <c r="C204">
        <v>0.59599999999999997</v>
      </c>
    </row>
    <row r="205" spans="2:3" x14ac:dyDescent="0.2">
      <c r="B205">
        <v>0.16560100010067</v>
      </c>
      <c r="C205">
        <v>0.59399999999999997</v>
      </c>
    </row>
    <row r="206" spans="2:3" x14ac:dyDescent="0.2">
      <c r="B206">
        <v>0.165198016412749</v>
      </c>
      <c r="C206">
        <v>0.59199999999999997</v>
      </c>
    </row>
    <row r="207" spans="2:3" x14ac:dyDescent="0.2">
      <c r="B207">
        <v>0.165017364881582</v>
      </c>
      <c r="C207">
        <v>0.59</v>
      </c>
    </row>
    <row r="208" spans="2:3" x14ac:dyDescent="0.2">
      <c r="B208">
        <v>0.16421729579928901</v>
      </c>
      <c r="C208">
        <v>0.58799999999999997</v>
      </c>
    </row>
    <row r="209" spans="2:3" x14ac:dyDescent="0.2">
      <c r="B209">
        <v>0.160235418331441</v>
      </c>
      <c r="C209">
        <v>0.58599999999999997</v>
      </c>
    </row>
    <row r="210" spans="2:3" x14ac:dyDescent="0.2">
      <c r="B210">
        <v>0.15801900145651282</v>
      </c>
      <c r="C210">
        <v>0.58399999999999996</v>
      </c>
    </row>
    <row r="211" spans="2:3" x14ac:dyDescent="0.2">
      <c r="B211">
        <v>0.157985178662431</v>
      </c>
      <c r="C211">
        <v>0.58199999999999996</v>
      </c>
    </row>
    <row r="212" spans="2:3" x14ac:dyDescent="0.2">
      <c r="B212">
        <v>0.15653910249819</v>
      </c>
      <c r="C212">
        <v>0.57999999999999996</v>
      </c>
    </row>
    <row r="213" spans="2:3" x14ac:dyDescent="0.2">
      <c r="B213">
        <v>0.156018359251966</v>
      </c>
      <c r="C213">
        <v>0.57799999999999996</v>
      </c>
    </row>
    <row r="214" spans="2:3" x14ac:dyDescent="0.2">
      <c r="B214">
        <v>0.15571806457147899</v>
      </c>
      <c r="C214">
        <v>0.57599999999999996</v>
      </c>
    </row>
    <row r="215" spans="2:3" x14ac:dyDescent="0.2">
      <c r="B215">
        <v>0.1551321688667</v>
      </c>
      <c r="C215">
        <v>0.57399999999999995</v>
      </c>
    </row>
    <row r="216" spans="2:3" x14ac:dyDescent="0.2">
      <c r="B216">
        <v>0.154792847051134</v>
      </c>
      <c r="C216">
        <v>0.57199999999999995</v>
      </c>
    </row>
    <row r="217" spans="2:3" x14ac:dyDescent="0.2">
      <c r="B217">
        <v>0.15432570630515699</v>
      </c>
      <c r="C217">
        <v>0.56999999999999995</v>
      </c>
    </row>
    <row r="218" spans="2:3" x14ac:dyDescent="0.2">
      <c r="B218">
        <v>0.154279728031508</v>
      </c>
      <c r="C218">
        <v>0.56799999999999995</v>
      </c>
    </row>
    <row r="219" spans="2:3" x14ac:dyDescent="0.2">
      <c r="B219">
        <v>0.15315301692813499</v>
      </c>
      <c r="C219">
        <v>0.56599999999999995</v>
      </c>
    </row>
    <row r="220" spans="2:3" x14ac:dyDescent="0.2">
      <c r="B220">
        <v>0.15098675255563501</v>
      </c>
      <c r="C220">
        <v>0.56399999999999995</v>
      </c>
    </row>
    <row r="221" spans="2:3" x14ac:dyDescent="0.2">
      <c r="B221">
        <v>0.14624978129557201</v>
      </c>
      <c r="C221">
        <v>0.56200000000000006</v>
      </c>
    </row>
    <row r="222" spans="2:3" x14ac:dyDescent="0.2">
      <c r="B222">
        <v>0.14543296534770411</v>
      </c>
      <c r="C222">
        <v>0.56000000000000005</v>
      </c>
    </row>
    <row r="223" spans="2:3" x14ac:dyDescent="0.2">
      <c r="B223">
        <v>0.14540181877335501</v>
      </c>
      <c r="C223">
        <v>0.55800000000000005</v>
      </c>
    </row>
    <row r="224" spans="2:3" x14ac:dyDescent="0.2">
      <c r="B224">
        <v>0.142546089504274</v>
      </c>
      <c r="C224">
        <v>0.55600000000000005</v>
      </c>
    </row>
    <row r="225" spans="2:3" x14ac:dyDescent="0.2">
      <c r="B225">
        <v>0.142526118194156</v>
      </c>
      <c r="C225">
        <v>0.55400000000000005</v>
      </c>
    </row>
    <row r="226" spans="2:3" x14ac:dyDescent="0.2">
      <c r="B226">
        <v>0.142417403386908</v>
      </c>
      <c r="C226">
        <v>0.55200000000000005</v>
      </c>
    </row>
    <row r="227" spans="2:3" x14ac:dyDescent="0.2">
      <c r="B227">
        <v>0.13865013256837699</v>
      </c>
      <c r="C227">
        <v>0.55000000000000004</v>
      </c>
    </row>
    <row r="228" spans="2:3" x14ac:dyDescent="0.2">
      <c r="B228">
        <v>0.13750831297541899</v>
      </c>
      <c r="C228">
        <v>0.54800000000000004</v>
      </c>
    </row>
    <row r="229" spans="2:3" x14ac:dyDescent="0.2">
      <c r="B229">
        <v>0.13657082912417001</v>
      </c>
      <c r="C229">
        <v>0.54600000000000004</v>
      </c>
    </row>
    <row r="230" spans="2:3" x14ac:dyDescent="0.2">
      <c r="B230">
        <v>0.13517614419392501</v>
      </c>
      <c r="C230">
        <v>0.54400000000000004</v>
      </c>
    </row>
    <row r="231" spans="2:3" x14ac:dyDescent="0.2">
      <c r="B231">
        <v>0.13380130344778701</v>
      </c>
      <c r="C231">
        <v>0.54200000000000004</v>
      </c>
    </row>
    <row r="232" spans="2:3" x14ac:dyDescent="0.2">
      <c r="B232">
        <v>0.133541714392693</v>
      </c>
      <c r="C232">
        <v>0.54</v>
      </c>
    </row>
    <row r="233" spans="2:3" x14ac:dyDescent="0.2">
      <c r="B233">
        <v>0.13145536059108001</v>
      </c>
      <c r="C233">
        <v>0.53800000000000003</v>
      </c>
    </row>
    <row r="234" spans="2:3" x14ac:dyDescent="0.2">
      <c r="B234">
        <v>0.13100962547928799</v>
      </c>
      <c r="C234">
        <v>0.53600000000000003</v>
      </c>
    </row>
    <row r="235" spans="2:3" x14ac:dyDescent="0.2">
      <c r="B235">
        <v>0.13039070358205601</v>
      </c>
      <c r="C235">
        <v>0.53400000000000003</v>
      </c>
    </row>
    <row r="236" spans="2:3" x14ac:dyDescent="0.2">
      <c r="B236">
        <v>0.126373308785173</v>
      </c>
      <c r="C236">
        <v>0.53200000000000003</v>
      </c>
    </row>
    <row r="237" spans="2:3" x14ac:dyDescent="0.2">
      <c r="B237">
        <v>0.125939230300291</v>
      </c>
      <c r="C237">
        <v>0.53</v>
      </c>
    </row>
    <row r="238" spans="2:3" x14ac:dyDescent="0.2">
      <c r="B238">
        <v>0.12449356040519299</v>
      </c>
      <c r="C238">
        <v>0.52800000000000002</v>
      </c>
    </row>
    <row r="239" spans="2:3" x14ac:dyDescent="0.2">
      <c r="B239">
        <v>0.12257428072182799</v>
      </c>
      <c r="C239">
        <v>0.52600000000000002</v>
      </c>
    </row>
    <row r="240" spans="2:3" x14ac:dyDescent="0.2">
      <c r="B240">
        <v>0.118855827349563</v>
      </c>
      <c r="C240">
        <v>0.52400000000000002</v>
      </c>
    </row>
    <row r="241" spans="2:3" x14ac:dyDescent="0.2">
      <c r="B241">
        <v>0.117068393562324</v>
      </c>
      <c r="C241">
        <v>0.52200000000000002</v>
      </c>
    </row>
    <row r="242" spans="2:3" x14ac:dyDescent="0.2">
      <c r="B242">
        <v>0.11642816878784699</v>
      </c>
      <c r="C242">
        <v>0.52</v>
      </c>
    </row>
    <row r="243" spans="2:3" x14ac:dyDescent="0.2">
      <c r="B243">
        <v>0.114561779316934</v>
      </c>
      <c r="C243">
        <v>0.51800000000000002</v>
      </c>
    </row>
    <row r="244" spans="2:3" x14ac:dyDescent="0.2">
      <c r="B244">
        <v>0.112943786595968</v>
      </c>
      <c r="C244">
        <v>0.51600000000000001</v>
      </c>
    </row>
    <row r="245" spans="2:3" x14ac:dyDescent="0.2">
      <c r="B245">
        <v>0.11283438595663101</v>
      </c>
      <c r="C245">
        <v>0.51400000000000001</v>
      </c>
    </row>
    <row r="246" spans="2:3" x14ac:dyDescent="0.2">
      <c r="B246">
        <v>0.1112339422042313</v>
      </c>
      <c r="C246">
        <v>0.51200000000000001</v>
      </c>
    </row>
    <row r="247" spans="2:3" x14ac:dyDescent="0.2">
      <c r="B247">
        <v>0.111016153532811</v>
      </c>
      <c r="C247">
        <v>0.51</v>
      </c>
    </row>
    <row r="248" spans="2:3" x14ac:dyDescent="0.2">
      <c r="B248">
        <v>0.10842626614299</v>
      </c>
      <c r="C248">
        <v>0.50800000000000001</v>
      </c>
    </row>
    <row r="249" spans="2:3" x14ac:dyDescent="0.2">
      <c r="B249">
        <v>0.107122638364737</v>
      </c>
      <c r="C249">
        <v>0.50600000000000001</v>
      </c>
    </row>
    <row r="250" spans="2:3" x14ac:dyDescent="0.2">
      <c r="B250">
        <v>0.107061646291556</v>
      </c>
      <c r="C250">
        <v>0.504</v>
      </c>
    </row>
    <row r="251" spans="2:3" x14ac:dyDescent="0.2">
      <c r="B251">
        <v>0.106903450854341</v>
      </c>
      <c r="C251">
        <v>0.502</v>
      </c>
    </row>
    <row r="252" spans="2:3" x14ac:dyDescent="0.2">
      <c r="B252">
        <v>0.105584661066281</v>
      </c>
      <c r="C252">
        <v>0.5</v>
      </c>
    </row>
    <row r="253" spans="2:3" x14ac:dyDescent="0.2">
      <c r="B253">
        <v>0.104586815388059</v>
      </c>
      <c r="C253">
        <v>0.498</v>
      </c>
    </row>
    <row r="254" spans="2:3" x14ac:dyDescent="0.2">
      <c r="B254">
        <v>0.104162111072632</v>
      </c>
      <c r="C254">
        <v>0.496</v>
      </c>
    </row>
    <row r="255" spans="2:3" x14ac:dyDescent="0.2">
      <c r="B255">
        <v>0.101795842580063</v>
      </c>
      <c r="C255">
        <v>0.49399999999999999</v>
      </c>
    </row>
    <row r="256" spans="2:3" x14ac:dyDescent="0.2">
      <c r="B256">
        <v>9.1508515772285901E-2</v>
      </c>
      <c r="C256">
        <v>0.49199999999999999</v>
      </c>
    </row>
    <row r="257" spans="2:3" x14ac:dyDescent="0.2">
      <c r="B257">
        <v>9.0662175279319607E-2</v>
      </c>
      <c r="C257">
        <v>0.49</v>
      </c>
    </row>
    <row r="258" spans="2:3" x14ac:dyDescent="0.2">
      <c r="B258">
        <v>8.9349957463014495E-2</v>
      </c>
      <c r="C258">
        <v>0.48799999999999999</v>
      </c>
    </row>
    <row r="259" spans="2:3" x14ac:dyDescent="0.2">
      <c r="B259">
        <v>8.7717855171256395E-2</v>
      </c>
      <c r="C259">
        <v>0.48599999999999999</v>
      </c>
    </row>
    <row r="260" spans="2:3" x14ac:dyDescent="0.2">
      <c r="B260">
        <v>8.4784697725346206E-2</v>
      </c>
      <c r="C260">
        <v>0.48399999999999999</v>
      </c>
    </row>
    <row r="261" spans="2:3" x14ac:dyDescent="0.2">
      <c r="B261">
        <v>8.1982075992533002E-2</v>
      </c>
      <c r="C261">
        <v>0.48199999999999998</v>
      </c>
    </row>
    <row r="262" spans="2:3" x14ac:dyDescent="0.2">
      <c r="B262">
        <v>8.0423912839763897E-2</v>
      </c>
      <c r="C262">
        <v>0.48</v>
      </c>
    </row>
    <row r="263" spans="2:3" x14ac:dyDescent="0.2">
      <c r="B263">
        <v>7.9908681222880196E-2</v>
      </c>
      <c r="C263">
        <v>0.47799999999999998</v>
      </c>
    </row>
    <row r="264" spans="2:3" x14ac:dyDescent="0.2">
      <c r="B264">
        <v>7.9821505492401107E-2</v>
      </c>
      <c r="C264">
        <v>0.47599999999999998</v>
      </c>
    </row>
    <row r="265" spans="2:3" x14ac:dyDescent="0.2">
      <c r="B265">
        <v>7.9458364105756601E-2</v>
      </c>
      <c r="C265">
        <v>0.47399999999999998</v>
      </c>
    </row>
    <row r="266" spans="2:3" x14ac:dyDescent="0.2">
      <c r="B266">
        <v>7.3285775220146301E-2</v>
      </c>
      <c r="C266">
        <v>0.47199999999999998</v>
      </c>
    </row>
    <row r="267" spans="2:3" x14ac:dyDescent="0.2">
      <c r="B267">
        <v>7.1454432308463503E-2</v>
      </c>
      <c r="C267">
        <v>0.47</v>
      </c>
    </row>
    <row r="268" spans="2:3" x14ac:dyDescent="0.2">
      <c r="B268">
        <v>7.0193665194713206E-2</v>
      </c>
      <c r="C268">
        <v>0.46800000000000003</v>
      </c>
    </row>
    <row r="269" spans="2:3" x14ac:dyDescent="0.2">
      <c r="B269">
        <v>7.0111905644910405E-2</v>
      </c>
      <c r="C269">
        <v>0.46600000000000003</v>
      </c>
    </row>
    <row r="270" spans="2:3" x14ac:dyDescent="0.2">
      <c r="B270">
        <v>6.7919531643255301E-2</v>
      </c>
      <c r="C270">
        <v>0.46400000000000002</v>
      </c>
    </row>
    <row r="271" spans="2:3" x14ac:dyDescent="0.2">
      <c r="B271">
        <v>6.6821897260277596E-2</v>
      </c>
      <c r="C271">
        <v>0.46200000000000002</v>
      </c>
    </row>
    <row r="272" spans="2:3" x14ac:dyDescent="0.2">
      <c r="B272">
        <v>6.6683314610048297E-2</v>
      </c>
      <c r="C272">
        <v>0.46</v>
      </c>
    </row>
    <row r="273" spans="2:3" x14ac:dyDescent="0.2">
      <c r="B273">
        <v>6.6664244581874296E-2</v>
      </c>
      <c r="C273">
        <v>0.45800000000000002</v>
      </c>
    </row>
    <row r="274" spans="2:3" x14ac:dyDescent="0.2">
      <c r="B274">
        <v>6.4173366350188193E-2</v>
      </c>
      <c r="C274">
        <v>0.45600000000000002</v>
      </c>
    </row>
    <row r="275" spans="2:3" x14ac:dyDescent="0.2">
      <c r="B275">
        <v>6.3110517905018995E-2</v>
      </c>
      <c r="C275">
        <v>0.45400000000000001</v>
      </c>
    </row>
    <row r="276" spans="2:3" x14ac:dyDescent="0.2">
      <c r="B276">
        <v>6.2542939715018397E-2</v>
      </c>
      <c r="C276">
        <v>0.45200000000000001</v>
      </c>
    </row>
    <row r="277" spans="2:3" x14ac:dyDescent="0.2">
      <c r="B277">
        <v>6.1491797528858902E-2</v>
      </c>
      <c r="C277">
        <v>0.45</v>
      </c>
    </row>
    <row r="278" spans="2:3" x14ac:dyDescent="0.2">
      <c r="B278">
        <v>6.0672895888083098E-2</v>
      </c>
      <c r="C278">
        <v>0.44800000000000001</v>
      </c>
    </row>
    <row r="279" spans="2:3" x14ac:dyDescent="0.2">
      <c r="B279">
        <v>5.9731403161977503E-2</v>
      </c>
      <c r="C279">
        <v>0.44600000000000001</v>
      </c>
    </row>
    <row r="280" spans="2:3" x14ac:dyDescent="0.2">
      <c r="B280">
        <v>5.95481628446013E-2</v>
      </c>
      <c r="C280">
        <v>0.44400000000000001</v>
      </c>
    </row>
    <row r="281" spans="2:3" x14ac:dyDescent="0.2">
      <c r="B281">
        <v>5.8010199441356602E-2</v>
      </c>
      <c r="C281">
        <v>0.442</v>
      </c>
    </row>
    <row r="282" spans="2:3" x14ac:dyDescent="0.2">
      <c r="B282">
        <v>5.6751855033461203E-2</v>
      </c>
      <c r="C282">
        <v>0.44</v>
      </c>
    </row>
    <row r="283" spans="2:3" x14ac:dyDescent="0.2">
      <c r="B283">
        <v>5.6323034591040599E-2</v>
      </c>
      <c r="C283">
        <v>0.438</v>
      </c>
    </row>
    <row r="284" spans="2:3" x14ac:dyDescent="0.2">
      <c r="B284">
        <v>5.5313920154666997E-2</v>
      </c>
      <c r="C284">
        <v>0.436</v>
      </c>
    </row>
    <row r="285" spans="2:3" x14ac:dyDescent="0.2">
      <c r="B285">
        <v>5.3615036265672197E-2</v>
      </c>
      <c r="C285">
        <v>0.434</v>
      </c>
    </row>
    <row r="286" spans="2:3" x14ac:dyDescent="0.2">
      <c r="B286">
        <v>5.09171624081632E-2</v>
      </c>
      <c r="C286">
        <v>0.432</v>
      </c>
    </row>
    <row r="287" spans="2:3" x14ac:dyDescent="0.2">
      <c r="B287">
        <v>4.8376843543225002E-2</v>
      </c>
      <c r="C287">
        <v>0.43</v>
      </c>
    </row>
    <row r="288" spans="2:3" x14ac:dyDescent="0.2">
      <c r="B288">
        <v>4.7958959811493798E-2</v>
      </c>
      <c r="C288">
        <v>0.42799999999999999</v>
      </c>
    </row>
    <row r="289" spans="2:3" x14ac:dyDescent="0.2">
      <c r="B289">
        <v>4.6415813741994202E-2</v>
      </c>
      <c r="C289">
        <v>0.42599999999999999</v>
      </c>
    </row>
    <row r="290" spans="2:3" x14ac:dyDescent="0.2">
      <c r="B290">
        <v>4.6274800223371902E-2</v>
      </c>
      <c r="C290">
        <v>0.42399999999999999</v>
      </c>
    </row>
    <row r="291" spans="2:3" x14ac:dyDescent="0.2">
      <c r="B291">
        <v>4.49260840162111E-2</v>
      </c>
      <c r="C291">
        <v>0.42199999999999999</v>
      </c>
    </row>
    <row r="292" spans="2:3" x14ac:dyDescent="0.2">
      <c r="B292">
        <v>4.3098338748726199E-2</v>
      </c>
      <c r="C292">
        <v>0.42</v>
      </c>
    </row>
    <row r="293" spans="2:3" x14ac:dyDescent="0.2">
      <c r="B293">
        <v>4.2154459147081901E-2</v>
      </c>
      <c r="C293">
        <v>0.41799999999999998</v>
      </c>
    </row>
    <row r="294" spans="2:3" x14ac:dyDescent="0.2">
      <c r="B294">
        <v>4.1298204436462198E-2</v>
      </c>
      <c r="C294">
        <v>0.41599999999999998</v>
      </c>
    </row>
    <row r="295" spans="2:3" x14ac:dyDescent="0.2">
      <c r="B295">
        <v>4.1200487578387797E-2</v>
      </c>
      <c r="C295">
        <v>0.41399999999999998</v>
      </c>
    </row>
    <row r="296" spans="2:3" x14ac:dyDescent="0.2">
      <c r="B296">
        <v>3.9234921673580801E-2</v>
      </c>
      <c r="C296">
        <v>0.41199999999999998</v>
      </c>
    </row>
    <row r="297" spans="2:3" x14ac:dyDescent="0.2">
      <c r="B297">
        <v>3.6142306767257097E-2</v>
      </c>
      <c r="C297">
        <v>0.41</v>
      </c>
    </row>
    <row r="298" spans="2:3" x14ac:dyDescent="0.2">
      <c r="B298">
        <v>3.5898045232595002E-2</v>
      </c>
      <c r="C298">
        <v>0.40799999999999997</v>
      </c>
    </row>
    <row r="299" spans="2:3" x14ac:dyDescent="0.2">
      <c r="B299">
        <v>3.5656655729836201E-2</v>
      </c>
      <c r="C299">
        <v>0.40600000000000003</v>
      </c>
    </row>
    <row r="300" spans="2:3" x14ac:dyDescent="0.2">
      <c r="B300">
        <v>3.4221384895546998E-2</v>
      </c>
      <c r="C300">
        <v>0.40400000000000003</v>
      </c>
    </row>
    <row r="301" spans="2:3" x14ac:dyDescent="0.2">
      <c r="B301">
        <v>3.35117612884459E-2</v>
      </c>
      <c r="C301">
        <v>0.40200000000000002</v>
      </c>
    </row>
    <row r="302" spans="2:3" x14ac:dyDescent="0.2">
      <c r="B302">
        <v>3.2193157060950897E-2</v>
      </c>
      <c r="C302">
        <v>0.4</v>
      </c>
    </row>
    <row r="303" spans="2:3" x14ac:dyDescent="0.2">
      <c r="B303">
        <v>2.67442787791515E-2</v>
      </c>
      <c r="C303">
        <v>0.39800000000000002</v>
      </c>
    </row>
    <row r="304" spans="2:3" x14ac:dyDescent="0.2">
      <c r="B304">
        <v>2.5835750892507101E-2</v>
      </c>
      <c r="C304">
        <v>0.39600000000000002</v>
      </c>
    </row>
    <row r="305" spans="2:3" x14ac:dyDescent="0.2">
      <c r="B305">
        <v>2.5596358888877201E-2</v>
      </c>
      <c r="C305">
        <v>0.39400000000000002</v>
      </c>
    </row>
    <row r="306" spans="2:3" x14ac:dyDescent="0.2">
      <c r="B306">
        <v>2.4462078359288601E-2</v>
      </c>
      <c r="C306">
        <v>0.39200000000000002</v>
      </c>
    </row>
    <row r="307" spans="2:3" x14ac:dyDescent="0.2">
      <c r="B307">
        <v>2.4007438671223E-2</v>
      </c>
      <c r="C307">
        <v>0.39</v>
      </c>
    </row>
    <row r="308" spans="2:3" x14ac:dyDescent="0.2">
      <c r="B308">
        <v>2.3067403893458099E-2</v>
      </c>
      <c r="C308">
        <v>0.38800000000000001</v>
      </c>
    </row>
    <row r="309" spans="2:3" x14ac:dyDescent="0.2">
      <c r="B309">
        <v>1.45816561117635E-2</v>
      </c>
      <c r="C309">
        <v>0.38600000000000001</v>
      </c>
    </row>
    <row r="310" spans="2:3" x14ac:dyDescent="0.2">
      <c r="B310">
        <v>1.43540623955644E-2</v>
      </c>
      <c r="C310">
        <v>0.38400000000000001</v>
      </c>
    </row>
    <row r="311" spans="2:3" x14ac:dyDescent="0.2">
      <c r="B311">
        <v>3.1047836650232199E-3</v>
      </c>
      <c r="C311">
        <v>0.38200000000000001</v>
      </c>
    </row>
    <row r="312" spans="2:3" x14ac:dyDescent="0.2">
      <c r="B312">
        <v>2.1710237067861901E-3</v>
      </c>
      <c r="C312">
        <v>0.38</v>
      </c>
    </row>
    <row r="313" spans="2:3" x14ac:dyDescent="0.2">
      <c r="B313">
        <v>0</v>
      </c>
      <c r="C313">
        <v>0.378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2025-02-15T06:47:06Z</dcterms:modified>
</cp:coreProperties>
</file>