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1_{3CB79C5E-8C9C-4748-8F5F-A7AE071CFBB5}" xr6:coauthVersionLast="47" xr6:coauthVersionMax="47" xr10:uidLastSave="{00000000-0000-0000-0000-000000000000}"/>
  <bookViews>
    <workbookView xWindow="0" yWindow="500" windowWidth="30420" windowHeight="20160" xr2:uid="{4BF5421F-6D43-8944-9C24-E443344B4663}"/>
  </bookViews>
  <sheets>
    <sheet name="Sheet1" sheetId="1" r:id="rId1"/>
    <sheet name="Settings" sheetId="7" r:id="rId2"/>
    <sheet name="ClaimCount" sheetId="13" r:id="rId3"/>
    <sheet name="claimSimResults" sheetId="6" r:id="rId4"/>
    <sheet name="SeverityHelpers" sheetId="15" r:id="rId5"/>
  </sheets>
  <functionGroups builtInGroupCount="19"/>
  <definedNames>
    <definedName name="_xlchart.v1.0" hidden="1">'claimSimResults'!$F$1</definedName>
    <definedName name="_xlchart.v1.1" hidden="1">'claimSimResults'!$F$2:$F$1080</definedName>
    <definedName name="_xleta.MIN" hidden="1" xlm="1">#NAME?</definedName>
    <definedName name="_xlpm.id" hidden="1" xlm="1">#NAME?</definedName>
    <definedName name="_xlpm.x" hidden="1" xlm="1">#NAME?</definedName>
    <definedName name="ClaimsByPolicy">'claimSimResults'!$J$7:$L$462</definedName>
    <definedName name="claimSimResults_" localSheetId="3" hidden="1">'claimSimResults'!$A$1:$F$1080</definedName>
    <definedName name="ExternalData_3" localSheetId="2" hidden="1">ClaimCount!$A$1:$B$501</definedName>
    <definedName name="frequency_distribution">Sheet1!$C$3</definedName>
    <definedName name="frequency_lambda">Sheet1!$C$4</definedName>
    <definedName name="frequency_prob">Sheet1!$C$5</definedName>
    <definedName name="frequency_trials">Sheet1!$C$6</definedName>
    <definedName name="max_claim_amount">Settings!$B$7</definedName>
    <definedName name="num_policies">Settings!$B$6</definedName>
    <definedName name="SevCDFValueRange">OFFSET(SeverityHelpers!$C$4, 0, 0, COUNTA(SeverityHelpers!$C:$C) - 1, 1)</definedName>
    <definedName name="SevClaimAmountRange">OFFSET(SeverityHelpers!$B$4, 0, 0, COUNTA(SeverityHelpers!$B:$B) - 1, 1)</definedName>
    <definedName name="severity_alpha">Sheet1!$J$4</definedName>
    <definedName name="severity_distribution">Sheet1!$J$3</definedName>
    <definedName name="severity_mu">Sheet1!$J$6</definedName>
    <definedName name="severity_sigma">Sheet1!$J$7</definedName>
    <definedName name="severity_theta">Sheet1!$J$5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39" r:id="rId6"/>
    <pivotCache cacheId="47" r:id="rId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7" i="1" l="1"/>
  <c r="C77" i="1"/>
  <c r="B88" i="1" a="1"/>
  <c r="B88" i="1" s="1"/>
  <c r="B43" i="1" a="1"/>
  <c r="B43" i="1" s="1"/>
  <c r="Q7" i="6" a="1"/>
  <c r="Q7" i="6" s="1"/>
  <c r="B4" i="15" a="1"/>
  <c r="B4" i="15" s="1"/>
  <c r="C78" i="1"/>
  <c r="C14" i="1"/>
  <c r="C13" i="1"/>
  <c r="J14" i="1"/>
  <c r="J13" i="1"/>
  <c r="C19" i="1"/>
  <c r="C20" i="1"/>
  <c r="C21" i="1"/>
  <c r="C22" i="1"/>
  <c r="C18" i="1"/>
  <c r="J22" i="1"/>
  <c r="J21" i="1"/>
  <c r="J20" i="1"/>
  <c r="J19" i="1"/>
  <c r="J18" i="1"/>
  <c r="J12" i="1"/>
  <c r="C12" i="1" a="1"/>
  <c r="C12" i="1" s="1"/>
  <c r="J11" i="1"/>
  <c r="C11" i="1"/>
  <c r="C4" i="15" l="1" a="1"/>
  <c r="C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refreshOnLoad="1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TblPolicyClaimCount" description="Connection to the 'TblPolicyClaimCount' query in the workbook." type="5" refreshedVersion="8" saveData="1">
    <dbPr connection="Provider=Microsoft.Mashup.OleDb.1;Data Source=$Workbook$;Location=TblPolicyClaimCount;Extended Properties=&quot;&quot;" command="SELECT * FROM [TblPolicyClaimCoun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<sst xmlns="http://schemas.openxmlformats.org/spreadsheetml/2006/main" count="2244" uniqueCount="1150">
  <si>
    <t>PolicyID</t>
  </si>
  <si>
    <t>ClaimAmount</t>
  </si>
  <si>
    <t>ClaimDate</t>
  </si>
  <si>
    <t>Frequency</t>
  </si>
  <si>
    <t>Severity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</si>
  <si>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</si>
  <si>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</si>
  <si>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</si>
  <si>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</si>
  <si>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</si>
  <si>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</si>
  <si>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</si>
  <si>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</si>
  <si>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</si>
  <si>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</si>
  <si>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</si>
  <si>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</si>
  <si>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</si>
  <si>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Distribution Summary</t>
  </si>
  <si>
    <t>Mean</t>
  </si>
  <si>
    <t>Standard Deviation</t>
  </si>
  <si>
    <t>Num Policies</t>
  </si>
  <si>
    <t>This is hardcoded in the simulate_claims.R, but in the future we should pass this to R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</si>
  <si>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</si>
  <si>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</si>
  <si>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</si>
  <si>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</si>
  <si>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</si>
  <si>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</si>
  <si>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&lt;- this is the mean number of claims per policy holder</t>
  </si>
  <si>
    <t>&lt;- this is the mean claim amount</t>
  </si>
  <si>
    <t>&lt;- this is the standard deviation of the claim amount</t>
  </si>
  <si>
    <t>&lt;- this is the standard deviation of the number of claims per policy holder</t>
  </si>
  <si>
    <t>Grand Total</t>
  </si>
  <si>
    <t>ClaimCount</t>
  </si>
  <si>
    <t>This sheet is an intermediate step to make building a chart so we can see the frequency distribution easier</t>
  </si>
  <si>
    <t>Claims</t>
  </si>
  <si>
    <t>NumberOfPolicies</t>
  </si>
  <si>
    <t>Binomial</t>
  </si>
  <si>
    <t>Claim Amount</t>
  </si>
  <si>
    <t>emp_CDF(amount)</t>
  </si>
  <si>
    <t>Empirical CDF of the claim amounts - sorted for a sanity check</t>
  </si>
  <si>
    <t>Gamma</t>
  </si>
  <si>
    <t>0.15013578804891</t>
  </si>
  <si>
    <t>0.33338483446879</t>
  </si>
  <si>
    <t>0.443153180671271</t>
  </si>
  <si>
    <t>0.179698192352091</t>
  </si>
  <si>
    <t>0.0893499574630145</t>
  </si>
  <si>
    <t>0.119615875182746</t>
  </si>
  <si>
    <t>0.124475269550402</t>
  </si>
  <si>
    <t>0.1842568009661</t>
  </si>
  <si>
    <t>0.081982075992533</t>
  </si>
  <si>
    <t>0.195525415822038</t>
  </si>
  <si>
    <t>0.102933769186563</t>
  </si>
  <si>
    <t>0.098035089555573</t>
  </si>
  <si>
    <t>0.301307812557326</t>
  </si>
  <si>
    <t>0.127029558524224</t>
  </si>
  <si>
    <t>0.0673357406177442</t>
  </si>
  <si>
    <t>0.149917411861046</t>
  </si>
  <si>
    <t>0.0267442787791515</t>
  </si>
  <si>
    <t>0.048378869804656</t>
  </si>
  <si>
    <t>0.0308039165297916</t>
  </si>
  <si>
    <t>0.245089594078217</t>
  </si>
  <si>
    <t>0.106247455715166</t>
  </si>
  <si>
    <t>0.2843798267786</t>
  </si>
  <si>
    <t>0.0767291398364568</t>
  </si>
  <si>
    <t>0.20637093662588</t>
  </si>
  <si>
    <t>0.158269944342548</t>
  </si>
  <si>
    <t>0.252121659121382</t>
  </si>
  <si>
    <t>0.262201234923209</t>
  </si>
  <si>
    <t>0.0346130393207359</t>
  </si>
  <si>
    <t>0.530732923417798</t>
  </si>
  <si>
    <t>0.058953716139653</t>
  </si>
  <si>
    <t>0.123288358999835</t>
  </si>
  <si>
    <t>0.0646514788782264</t>
  </si>
  <si>
    <t>0.0873487767241633</t>
  </si>
  <si>
    <t>0.136663491777014</t>
  </si>
  <si>
    <t>0.0964902870933051</t>
  </si>
  <si>
    <t>0.183032283301192</t>
  </si>
  <si>
    <t>0.0530471336829493</t>
  </si>
  <si>
    <t>0.152880271339092</t>
  </si>
  <si>
    <t>0.0309107706581428</t>
  </si>
  <si>
    <t>0.0984348161500462</t>
  </si>
  <si>
    <t>0.142417403386908</t>
  </si>
  <si>
    <t>0.302916501793584</t>
  </si>
  <si>
    <t>0.238427147333291</t>
  </si>
  <si>
    <t>0.12253670391672</t>
  </si>
  <si>
    <t>0.57386402372842</t>
  </si>
  <si>
    <t>0.230943360377949</t>
  </si>
  <si>
    <t>0.13657082912417</t>
  </si>
  <si>
    <t>0.371470784243607</t>
  </si>
  <si>
    <t>0.48015870850327</t>
  </si>
  <si>
    <t>0.099228894714108</t>
  </si>
  <si>
    <t>0.238160075380521</t>
  </si>
  <si>
    <t>0.107513201066155</t>
  </si>
  <si>
    <t>0.0255135616153632</t>
  </si>
  <si>
    <t>0.263478185814358</t>
  </si>
  <si>
    <t>0.237649114033665</t>
  </si>
  <si>
    <t>0.0814443230250028</t>
  </si>
  <si>
    <t>0.0398937068754725</t>
  </si>
  <si>
    <t>0.0992767259872455</t>
  </si>
  <si>
    <t>0.356739411300461</t>
  </si>
  <si>
    <t>0.181900420670437</t>
  </si>
  <si>
    <t>0.0896737471783113</t>
  </si>
  <si>
    <t>0.221981842106652</t>
  </si>
  <si>
    <t>0.0420535370660866</t>
  </si>
  <si>
    <t>0.173468490724874</t>
  </si>
  <si>
    <t>0.538068373272368</t>
  </si>
  <si>
    <t>0.0344275978259638</t>
  </si>
  <si>
    <t>0.159041090807135</t>
  </si>
  <si>
    <t>0.064692541525284</t>
  </si>
  <si>
    <t>0.118705726486683</t>
  </si>
  <si>
    <t>0.227480372989782</t>
  </si>
  <si>
    <t>0.0586909790262455</t>
  </si>
  <si>
    <t>0.162998504848213</t>
  </si>
  <si>
    <t>0.382611646327536</t>
  </si>
  <si>
    <t>0.0356566557298362</t>
  </si>
  <si>
    <t>0.267275878706695</t>
  </si>
  <si>
    <t>0.0462894425098008</t>
  </si>
  <si>
    <t>0.0335117612884459</t>
  </si>
  <si>
    <t>0.11371551685023</t>
  </si>
  <si>
    <t>0.208350347722487</t>
  </si>
  <si>
    <t>0.0508906036808902</t>
  </si>
  <si>
    <t>0.115284994992794</t>
  </si>
  <si>
    <t>0.28124033877899</t>
  </si>
  <si>
    <t>0.310940799649851</t>
  </si>
  <si>
    <t>0.0561911259146291</t>
  </si>
  <si>
    <t>0.336747804332997</t>
  </si>
  <si>
    <t>0.149755201124807</t>
  </si>
  <si>
    <t>0.2563322577928</t>
  </si>
  <si>
    <t>0.187350243769186</t>
  </si>
  <si>
    <t>0.0667136238879654</t>
  </si>
  <si>
    <t>0.157145007123487</t>
  </si>
  <si>
    <t>0.111998477881229</t>
  </si>
  <si>
    <t>0.104320582873619</t>
  </si>
  <si>
    <t>0.103842843850397</t>
  </si>
  <si>
    <t>0.15435634936189</t>
  </si>
  <si>
    <t>0.30325138366186</t>
  </si>
  <si>
    <t>0.0411593115071288</t>
  </si>
  <si>
    <t>0.0579612329262668</t>
  </si>
  <si>
    <t>0.0585398791333869</t>
  </si>
  <si>
    <t>0.0727487346457957</t>
  </si>
  <si>
    <t>0.0630312824290158</t>
  </si>
  <si>
    <t>0.0747361586241865</t>
  </si>
  <si>
    <t>0.204308891604992</t>
  </si>
  <si>
    <t>0.188916455378519</t>
  </si>
  <si>
    <t>0.182738203085682</t>
  </si>
  <si>
    <t>0.318038233054782</t>
  </si>
  <si>
    <t>0.0684385364359441</t>
  </si>
  <si>
    <t>0.123362918329042</t>
  </si>
  <si>
    <t>0.0918086082311043</t>
  </si>
  <si>
    <t>0.024007438671223</t>
  </si>
  <si>
    <t>0.280402480975094</t>
  </si>
  <si>
    <t>0.187921797266856</t>
  </si>
  <si>
    <t>0.037252837967464</t>
  </si>
  <si>
    <t>0.0628047683559443</t>
  </si>
  <si>
    <t>0.198854848774755</t>
  </si>
  <si>
    <t>0.123715947195471</t>
  </si>
  <si>
    <t>0.111143617919181</t>
  </si>
  <si>
    <t>0.170882490454842</t>
  </si>
  <si>
    <t>0.220986995932954</t>
  </si>
  <si>
    <t>0.0782314316524287</t>
  </si>
  <si>
    <t>0.0606964542878131</t>
  </si>
  <si>
    <t>0.194825911726992</t>
  </si>
  <si>
    <t>0.367193824970898</t>
  </si>
  <si>
    <t>0.247377860152418</t>
  </si>
  <si>
    <t>0.325402212800995</t>
  </si>
  <si>
    <t>0.0863115233205718</t>
  </si>
  <si>
    <t>0.0681369610226195</t>
  </si>
  <si>
    <t>0.216123917408016</t>
  </si>
  <si>
    <t>0.0595998947443303</t>
  </si>
  <si>
    <t>0.284830709904857</t>
  </si>
  <si>
    <t>0.161289351409576</t>
  </si>
  <si>
    <t>0.253849327433497</t>
  </si>
  <si>
    <t>0.273380504851655</t>
  </si>
  <si>
    <t>0.368368152775509</t>
  </si>
  <si>
    <t>0.185872867403795</t>
  </si>
  <si>
    <t>0.135160456563538</t>
  </si>
  <si>
    <t>0.185815009505245</t>
  </si>
  <si>
    <t>0.0916280489695936</t>
  </si>
  <si>
    <t>0.288177186904379</t>
  </si>
  <si>
    <t>0.169216679024445</t>
  </si>
  <si>
    <t>0.128014623043011</t>
  </si>
  <si>
    <t>0.368624575962546</t>
  </si>
  <si>
    <t>0.129556286049017</t>
  </si>
  <si>
    <t>0.190088655752446</t>
  </si>
  <si>
    <t>0.0924874650085057</t>
  </si>
  <si>
    <t>0.342070391415565</t>
  </si>
  <si>
    <t>0.2531665850157</t>
  </si>
  <si>
    <t>0.00590092687781265</t>
  </si>
  <si>
    <t>0.23032937261544</t>
  </si>
  <si>
    <t>0.11411569843655</t>
  </si>
  <si>
    <t>0.25167851285474</t>
  </si>
  <si>
    <t>0.0855439727819513</t>
  </si>
  <si>
    <t>0.113785210130881</t>
  </si>
  <si>
    <t>0.101259658273774</t>
  </si>
  <si>
    <t>0.214878381741899</t>
  </si>
  <si>
    <t>0.456343450997534</t>
  </si>
  <si>
    <t>0.167119753154755</t>
  </si>
  <si>
    <t>0.0326218272826815</t>
  </si>
  <si>
    <t>0.0571928851250427</t>
  </si>
  <si>
    <t>0.198480618082065</t>
  </si>
  <si>
    <t>0.0840048978015275</t>
  </si>
  <si>
    <t>0.285276643577125</t>
  </si>
  <si>
    <t>0.171941528147867</t>
  </si>
  <si>
    <t>0.173417430549469</t>
  </si>
  <si>
    <t>0.0706995359316622</t>
  </si>
  <si>
    <t>0.146512183737297</t>
  </si>
  <si>
    <t>0.16675221274288</t>
  </si>
  <si>
    <t>0.323081320768544</t>
  </si>
  <si>
    <t>0.120728691584569</t>
  </si>
  <si>
    <t>0.130548286179371</t>
  </si>
  <si>
    <t>0.11157394521225</t>
  </si>
  <si>
    <t>0.238387965118919</t>
  </si>
  <si>
    <t>0.252281520042069</t>
  </si>
  <si>
    <t>0.121918383233014</t>
  </si>
  <si>
    <t>0.430887424178527</t>
  </si>
  <si>
    <t>0.321825507964824</t>
  </si>
  <si>
    <t>0.147914482479906</t>
  </si>
  <si>
    <t>0.433473526626931</t>
  </si>
  <si>
    <t>0.235871640693813</t>
  </si>
  <si>
    <t>0.392207538272602</t>
  </si>
  <si>
    <t>0.0860329117682852</t>
  </si>
  <si>
    <t>0.436003621968337</t>
  </si>
  <si>
    <t>0.216590392521416</t>
  </si>
  <si>
    <t>0.19250135275038</t>
  </si>
  <si>
    <t>0.0796425061188172</t>
  </si>
  <si>
    <t>0.00961271370766002</t>
  </si>
  <si>
    <t>0.0248662564699702</t>
  </si>
  <si>
    <t>0.047585453259113</t>
  </si>
  <si>
    <t>0.279794362256036</t>
  </si>
  <si>
    <t>0.384100762363657</t>
  </si>
  <si>
    <t>0.160026641484932</t>
  </si>
  <si>
    <t>0.0792716450019186</t>
  </si>
  <si>
    <t>0.537499214812935</t>
  </si>
  <si>
    <t>0.228609321622606</t>
  </si>
  <si>
    <t>0.35232342700518</t>
  </si>
  <si>
    <t>0.249011757220969</t>
  </si>
  <si>
    <t>0.306399433666551</t>
  </si>
  <si>
    <t>0.0580454900561059</t>
  </si>
  <si>
    <t>0.012847531110131</t>
  </si>
  <si>
    <t>0.110894517277282</t>
  </si>
  <si>
    <t>0.147949757225051</t>
  </si>
  <si>
    <t>0.225171513939732</t>
  </si>
  <si>
    <t>0.301041885749439</t>
  </si>
  <si>
    <t>0.241946798833054</t>
  </si>
  <si>
    <t>0.0734955297737097</t>
  </si>
  <si>
    <t>0.150770567879893</t>
  </si>
  <si>
    <t>0.101062917476363</t>
  </si>
  <si>
    <t>0.261812419849671</t>
  </si>
  <si>
    <t>0.197687360197463</t>
  </si>
  <si>
    <t>0.153548381843841</t>
  </si>
  <si>
    <t>0.0721403771984327</t>
  </si>
  <si>
    <t>0.341191643787952</t>
  </si>
  <si>
    <t>0.0775912875454801</t>
  </si>
  <si>
    <t>0.20867757063527</t>
  </si>
  <si>
    <t>0.190126006268423</t>
  </si>
  <si>
    <t>0.119121032254313</t>
  </si>
  <si>
    <t>0.0099601007322026</t>
  </si>
  <si>
    <t>0.0376192174622323</t>
  </si>
  <si>
    <t>0.135039423890759</t>
  </si>
  <si>
    <t>0.0995624825486584</t>
  </si>
  <si>
    <t>0.146471449106943</t>
  </si>
  <si>
    <t>0.165628693361476</t>
  </si>
  <si>
    <t>0.123353984016444</t>
  </si>
  <si>
    <t>0.0504762367412819</t>
  </si>
  <si>
    <t>0.156614431486954</t>
  </si>
  <si>
    <t>0.0449054137862972</t>
  </si>
  <si>
    <t>0.0183198889962293</t>
  </si>
  <si>
    <t>0.193905821251804</t>
  </si>
  <si>
    <t>0.100550052954302</t>
  </si>
  <si>
    <t>0.100103539838245</t>
  </si>
  <si>
    <t>0.308478046390136</t>
  </si>
  <si>
    <t>0.2004899663195</t>
  </si>
  <si>
    <t>0.210318254985283</t>
  </si>
  <si>
    <t>0.0806979079152595</t>
  </si>
  <si>
    <t>0.0436080225165568</t>
  </si>
  <si>
    <t>0.148478913108076</t>
  </si>
  <si>
    <t>0.388727863608285</t>
  </si>
  <si>
    <t>0.0500965080661989</t>
  </si>
  <si>
    <t>0.16180838847372</t>
  </si>
  <si>
    <t>0.261153247857564</t>
  </si>
  <si>
    <t>0.210472539682</t>
  </si>
  <si>
    <t>0.288838292598222</t>
  </si>
  <si>
    <t>0.0445702009431005</t>
  </si>
  <si>
    <t>0.0652749192934765</t>
  </si>
  <si>
    <t>0.181501730243174</t>
  </si>
  <si>
    <t>0.117362311814356</t>
  </si>
  <si>
    <t>0.101182189577553</t>
  </si>
  <si>
    <t>0.279130936468835</t>
  </si>
  <si>
    <t>0.344486074295704</t>
  </si>
  <si>
    <t>0.160483354460744</t>
  </si>
  <si>
    <t>0.116509294827845</t>
  </si>
  <si>
    <t>0.35043032237918</t>
  </si>
  <si>
    <t>0.090461633057958</t>
  </si>
  <si>
    <t>0.236758608730476</t>
  </si>
  <si>
    <t>0.61899187396623</t>
  </si>
  <si>
    <t>0.152874229182464</t>
  </si>
  <si>
    <t>0.0498837380766576</t>
  </si>
  <si>
    <t>0.0171201619148001</t>
  </si>
  <si>
    <t>0.198377544477158</t>
  </si>
  <si>
    <t>0.126595328771102</t>
  </si>
  <si>
    <t>0.00639705769895584</t>
  </si>
  <si>
    <t>0.101056081075688</t>
  </si>
  <si>
    <t>0.370754294028282</t>
  </si>
  <si>
    <t>0.0855733456770686</t>
  </si>
  <si>
    <t>0.0707413652356417</t>
  </si>
  <si>
    <t>0.22030373867517</t>
  </si>
  <si>
    <t>0.327261786389997</t>
  </si>
  <si>
    <t>0.170733680602294</t>
  </si>
  <si>
    <t>0.363059550222417</t>
  </si>
  <si>
    <t>0.106900888927197</t>
  </si>
  <si>
    <t>0.21521584387922</t>
  </si>
  <si>
    <t>0.112566659102318</t>
  </si>
  <si>
    <t>0.125464634947576</t>
  </si>
  <si>
    <t>0.0849442594023436</t>
  </si>
  <si>
    <t>0.277070234228488</t>
  </si>
  <si>
    <t>0.224506419432837</t>
  </si>
  <si>
    <t>0.261244033544569</t>
  </si>
  <si>
    <t>0.0954076233921743</t>
  </si>
  <si>
    <t>0.0783599205939336</t>
  </si>
  <si>
    <t>0.0782507223744175</t>
  </si>
  <si>
    <t>0.132150168728326</t>
  </si>
  <si>
    <t>0.0712571632706913</t>
  </si>
  <si>
    <t>0.183242027303886</t>
  </si>
  <si>
    <t>0.0269387418293125</t>
  </si>
  <si>
    <t>0.0877456337420858</t>
  </si>
  <si>
    <t>0.458479091125936</t>
  </si>
  <si>
    <t>0.187387683684675</t>
  </si>
  <si>
    <t>0.233408272147714</t>
  </si>
  <si>
    <t>0.179728895723683</t>
  </si>
  <si>
    <t>0.309874390341804</t>
  </si>
  <si>
    <t>0.446362728666577</t>
  </si>
  <si>
    <t>0.0545350128064577</t>
  </si>
  <si>
    <t>0.282725186188888</t>
  </si>
  <si>
    <t>0.28096551950149</t>
  </si>
  <si>
    <t>0.0752308634862764</t>
  </si>
  <si>
    <t>0.136642127490402</t>
  </si>
  <si>
    <t>0.0174772877747859</t>
  </si>
  <si>
    <t>0.50078769973396</t>
  </si>
  <si>
    <t>0.28880039131041</t>
  </si>
  <si>
    <t>0.276519897205073</t>
  </si>
  <si>
    <t>0.134841654579334</t>
  </si>
  <si>
    <t>0.0998008822452311</t>
  </si>
  <si>
    <t>0.224949944858989</t>
  </si>
  <si>
    <t>0.0722345773449415</t>
  </si>
  <si>
    <t>0.278847224856641</t>
  </si>
  <si>
    <t>0.533040823868727</t>
  </si>
  <si>
    <t>0.0860442467952475</t>
  </si>
  <si>
    <t>0.0471343935482631</t>
  </si>
  <si>
    <t>0.318132171579077</t>
  </si>
  <si>
    <t>0.0359548337640242</t>
  </si>
  <si>
    <t>0.144683694710279</t>
  </si>
  <si>
    <t>0.407848897635263</t>
  </si>
  <si>
    <t>0.0953487508050967</t>
  </si>
  <si>
    <t>0.178222967000376</t>
  </si>
  <si>
    <t>0.112952024686682</t>
  </si>
  <si>
    <t>0.144243036903879</t>
  </si>
  <si>
    <t>0.0977501535040124</t>
  </si>
  <si>
    <t>0.458855245396317</t>
  </si>
  <si>
    <t>0.254488921556881</t>
  </si>
  <si>
    <t>0.156520700593074</t>
  </si>
  <si>
    <t>0.188202431286753</t>
  </si>
  <si>
    <t>0.0590374601267526</t>
  </si>
  <si>
    <t>0.29368745625744</t>
  </si>
  <si>
    <t>0.214715718654642</t>
  </si>
  <si>
    <t>0.0494782205111798</t>
  </si>
  <si>
    <t>0.105613916174231</t>
  </si>
  <si>
    <t>0.292158002789994</t>
  </si>
  <si>
    <t>0.0738364721580574</t>
  </si>
  <si>
    <t>0.100859476501755</t>
  </si>
  <si>
    <t>0.354481751212833</t>
  </si>
  <si>
    <t>0.0118033216867853</t>
  </si>
  <si>
    <t>0.23133151779079</t>
  </si>
  <si>
    <t>0.138650132568377</t>
  </si>
  <si>
    <t>0.130390703582056</t>
  </si>
  <si>
    <t>0.148721135955337</t>
  </si>
  <si>
    <t>0.150121320569233</t>
  </si>
  <si>
    <t>0.107370364016353</t>
  </si>
  <si>
    <t>0.204481873668542</t>
  </si>
  <si>
    <t>0.308814009304628</t>
  </si>
  <si>
    <t>0.185869430362399</t>
  </si>
  <si>
    <t>0.29696290717306</t>
  </si>
  <si>
    <t>0.0770234706117017</t>
  </si>
  <si>
    <t>0.261069650230808</t>
  </si>
  <si>
    <t>0.107353305945828</t>
  </si>
  <si>
    <t>0.017518795833281</t>
  </si>
  <si>
    <t>0.0362700985442256</t>
  </si>
  <si>
    <t>0.388019936906847</t>
  </si>
  <si>
    <t>0.0244620783592886</t>
  </si>
  <si>
    <t>0.0582129938308482</t>
  </si>
  <si>
    <t>0.303595296925044</t>
  </si>
  <si>
    <t>0.0563230345910406</t>
  </si>
  <si>
    <t>0.0958556813308721</t>
  </si>
  <si>
    <t>0.156419370817976</t>
  </si>
  <si>
    <t>0.152231095363354</t>
  </si>
  <si>
    <t>0.0832378025223207</t>
  </si>
  <si>
    <t>0.264636383846612</t>
  </si>
  <si>
    <t>0.0873682137872651</t>
  </si>
  <si>
    <t>0.0118206393706828</t>
  </si>
  <si>
    <t>0.130193757697552</t>
  </si>
  <si>
    <t>0.0200778250004804</t>
  </si>
  <si>
    <t>0.600726726322401</t>
  </si>
  <si>
    <t>0.161226222047574</t>
  </si>
  <si>
    <t>0.483192053442368</t>
  </si>
  <si>
    <t>0.244659089535931</t>
  </si>
  <si>
    <t>0.0808083223706478</t>
  </si>
  <si>
    <t>0.0804239128397639</t>
  </si>
  <si>
    <t>0.271446400650782</t>
  </si>
  <si>
    <t>0.170992816295909</t>
  </si>
  <si>
    <t>0.0580101994413566</t>
  </si>
  <si>
    <t>0.251261118008413</t>
  </si>
  <si>
    <t>0.277578149022313</t>
  </si>
  <si>
    <t>0.176559473158921</t>
  </si>
  <si>
    <t>0.0645189359170164</t>
  </si>
  <si>
    <t>0.362229359492954</t>
  </si>
  <si>
    <t>0.112834385956631</t>
  </si>
  <si>
    <t>0.0418905515859919</t>
  </si>
  <si>
    <t>0.45130579394148</t>
  </si>
  <si>
    <t>0.107734012377205</t>
  </si>
  <si>
    <t>0.0473968166840039</t>
  </si>
  <si>
    <t>0.046817543681079</t>
  </si>
  <si>
    <t>0.310195386501077</t>
  </si>
  <si>
    <t>0.222736583560824</t>
  </si>
  <si>
    <t>0.0438634564580156</t>
  </si>
  <si>
    <t>0.134369055893649</t>
  </si>
  <si>
    <t>0.0644112055307508</t>
  </si>
  <si>
    <t>0.0765876495183913</t>
  </si>
  <si>
    <t>0.109688290168286</t>
  </si>
  <si>
    <t>0.0868649925277425</t>
  </si>
  <si>
    <t>0.270135489052185</t>
  </si>
  <si>
    <t>0.0634840699882555</t>
  </si>
  <si>
    <t>0.104162111072632</t>
  </si>
  <si>
    <t>0.0130454356358988</t>
  </si>
  <si>
    <t>0.11921265131619</t>
  </si>
  <si>
    <t>0.241896123942574</t>
  </si>
  <si>
    <t>0.0520211152421388</t>
  </si>
  <si>
    <t>0.154792847051134</t>
  </si>
  <si>
    <t>0.0546457762728901</t>
  </si>
  <si>
    <t>0.317846539795171</t>
  </si>
  <si>
    <t>0.101795842580063</t>
  </si>
  <si>
    <t>0.25947922774422</t>
  </si>
  <si>
    <t>0.135241674437086</t>
  </si>
  <si>
    <t>0.0635259911875661</t>
  </si>
  <si>
    <t>0.317454817998552</t>
  </si>
  <si>
    <t>0.238695313886947</t>
  </si>
  <si>
    <t>0.0430983387487262</t>
  </si>
  <si>
    <t>0.213027965488893</t>
  </si>
  <si>
    <t>0.124493560405193</t>
  </si>
  <si>
    <t>0.145547786017212</t>
  </si>
  <si>
    <t>0.234543732719859</t>
  </si>
  <si>
    <t>0.0834548950066078</t>
  </si>
  <si>
    <t>0.0343661861886344</t>
  </si>
  <si>
    <t>0.0461792690646268</t>
  </si>
  <si>
    <t>0.0304761342477876</t>
  </si>
  <si>
    <t>0.160442963152903</t>
  </si>
  <si>
    <t>0.408216805182645</t>
  </si>
  <si>
    <t>0.210701515123602</t>
  </si>
  <si>
    <t>0.336650483172625</t>
  </si>
  <si>
    <t>0.136186097737371</t>
  </si>
  <si>
    <t>0.203386088622377</t>
  </si>
  <si>
    <t>0.228984760207579</t>
  </si>
  <si>
    <t>0.451173096274361</t>
  </si>
  <si>
    <t>0.160982209684571</t>
  </si>
  <si>
    <t>0.324191459838558</t>
  </si>
  <si>
    <t>0.106258326960359</t>
  </si>
  <si>
    <t>0.127939634244868</t>
  </si>
  <si>
    <t>0.509250633519279</t>
  </si>
  <si>
    <t>0.10737576768164</t>
  </si>
  <si>
    <t>0.100687306014882</t>
  </si>
  <si>
    <t>Percentiles</t>
  </si>
  <si>
    <t>Min</t>
  </si>
  <si>
    <t>Max</t>
  </si>
  <si>
    <t>0.216981589551034</t>
  </si>
  <si>
    <t>0.108389748260627</t>
  </si>
  <si>
    <t>0.113064994450233</t>
  </si>
  <si>
    <t>0.278993382673747</t>
  </si>
  <si>
    <t>0.143891254648619</t>
  </si>
  <si>
    <t>0.0274293982105465</t>
  </si>
  <si>
    <t>0.0683548769083445</t>
  </si>
  <si>
    <t>0.286822890213163</t>
  </si>
  <si>
    <t>0.212974518890947</t>
  </si>
  <si>
    <t>0.0639348434095689</t>
  </si>
  <si>
    <t>0.305710856357449</t>
  </si>
  <si>
    <t>0.0280383823453104</t>
  </si>
  <si>
    <t>0.223117345989668</t>
  </si>
  <si>
    <t>0.0596463478432096</t>
  </si>
  <si>
    <t>0.200204215170812</t>
  </si>
  <si>
    <t>0.0963335694741557</t>
  </si>
  <si>
    <t>0.395913763789659</t>
  </si>
  <si>
    <t>0.0288429382942109</t>
  </si>
  <si>
    <t>0.094764907286521</t>
  </si>
  <si>
    <t>0.406919628547396</t>
  </si>
  <si>
    <t>0.0186236331832139</t>
  </si>
  <si>
    <t>0.257233309657684</t>
  </si>
  <si>
    <t>0.377654549520285</t>
  </si>
  <si>
    <t>0.0972461087846342</t>
  </si>
  <si>
    <t>0.318507810567131</t>
  </si>
  <si>
    <t>0.0420053286260418</t>
  </si>
  <si>
    <t>0.263062702178962</t>
  </si>
  <si>
    <t>0.107422759787035</t>
  </si>
  <si>
    <t>0.0775821430240499</t>
  </si>
  <si>
    <t>0.232807431685087</t>
  </si>
  <si>
    <t>0.0200956302435496</t>
  </si>
  <si>
    <t>0.122126085136939</t>
  </si>
  <si>
    <t>0.098213941854022</t>
  </si>
  <si>
    <t>0.360857552069241</t>
  </si>
  <si>
    <t>0.257138902274832</t>
  </si>
  <si>
    <t>0.102422458145538</t>
  </si>
  <si>
    <t>0.172532722778996</t>
  </si>
  <si>
    <t>0.106394471362976</t>
  </si>
  <si>
    <t>0.164217295799289</t>
  </si>
  <si>
    <t>0.133335809752696</t>
  </si>
  <si>
    <t>0.508457405358533</t>
  </si>
  <si>
    <t>0.148415074517303</t>
  </si>
  <si>
    <t>0.160235418331441</t>
  </si>
  <si>
    <t>0.336511373405715</t>
  </si>
  <si>
    <t>0.155551260370808</t>
  </si>
  <si>
    <t>0.0592999766382074</t>
  </si>
  <si>
    <t>0.0781563647771574</t>
  </si>
  <si>
    <t>0.214588452736652</t>
  </si>
  <si>
    <t>0.267432940694965</t>
  </si>
  <si>
    <t>0.0674011320738441</t>
  </si>
  <si>
    <t>0.0879171151400206</t>
  </si>
  <si>
    <t>0.0666642445818743</t>
  </si>
  <si>
    <t>0.0274671911361694</t>
  </si>
  <si>
    <t>0.039219138284823</t>
  </si>
  <si>
    <t>0.055313920154667</t>
  </si>
  <si>
    <t>0.521626582615622</t>
  </si>
  <si>
    <t>0.599125841013169</t>
  </si>
  <si>
    <t>0.422988751078192</t>
  </si>
  <si>
    <t>0.203289282699268</t>
  </si>
  <si>
    <t>0.0468250688023228</t>
  </si>
  <si>
    <t>0.147831571293941</t>
  </si>
  <si>
    <t>0.0798215054924011</t>
  </si>
  <si>
    <t>0.150917783831714</t>
  </si>
  <si>
    <t>0.281600924730603</t>
  </si>
  <si>
    <t>0.625676342525731</t>
  </si>
  <si>
    <t>0.0845415799501776</t>
  </si>
  <si>
    <t>0.267979427225526</t>
  </si>
  <si>
    <t>0.142505256562105</t>
  </si>
  <si>
    <t>0.14069936399427</t>
  </si>
  <si>
    <t>0.124863796969598</t>
  </si>
  <si>
    <t>0.163251394309507</t>
  </si>
  <si>
    <t>0.107566348385268</t>
  </si>
  <si>
    <t>0.132436710240947</t>
  </si>
  <si>
    <t>0.00755799266171204</t>
  </si>
  <si>
    <t>0.123613137574759</t>
  </si>
  <si>
    <t>0.0337751000041262</t>
  </si>
  <si>
    <t>0.22141158281244</t>
  </si>
  <si>
    <t>0.252397802014613</t>
  </si>
  <si>
    <t>0.0468618659508372</t>
  </si>
  <si>
    <t>0.105617088939874</t>
  </si>
  <si>
    <t>0.0566582880643631</t>
  </si>
  <si>
    <t>0.217513953950006</t>
  </si>
  <si>
    <t>0.107006629705209</t>
  </si>
  <si>
    <t>0.0649992983913582</t>
  </si>
  <si>
    <t>0.156090078889354</t>
  </si>
  <si>
    <t>0.0237989378638039</t>
  </si>
  <si>
    <t>0.0106333648206532</t>
  </si>
  <si>
    <t>0.102240218371265</t>
  </si>
  <si>
    <t>0.229182185029249</t>
  </si>
  <si>
    <t>0.106082167682305</t>
  </si>
  <si>
    <t>0.0926225400954995</t>
  </si>
  <si>
    <t>0.0782578365887439</t>
  </si>
  <si>
    <t>0.551988763148353</t>
  </si>
  <si>
    <t>0.268819119891401</t>
  </si>
  <si>
    <t>0.194430357613415</t>
  </si>
  <si>
    <t>0.157026230150874</t>
  </si>
  <si>
    <t>0.0962306228327969</t>
  </si>
  <si>
    <t>0.147161440886149</t>
  </si>
  <si>
    <t>0.345614049096455</t>
  </si>
  <si>
    <t>0.749194305601861</t>
  </si>
  <si>
    <t>0.060253109959621</t>
  </si>
  <si>
    <t>0.408565234366062</t>
  </si>
  <si>
    <t>0.0413228213030288</t>
  </si>
  <si>
    <t>0.574279417539964</t>
  </si>
  <si>
    <t>0.0393621452222011</t>
  </si>
  <si>
    <t>0.216357672794653</t>
  </si>
  <si>
    <t>0.269826087552475</t>
  </si>
  <si>
    <t>0.255429036487087</t>
  </si>
  <si>
    <t>0.0280942948738625</t>
  </si>
  <si>
    <t>0.173634991051228</t>
  </si>
  <si>
    <t>0.190067197454519</t>
  </si>
  <si>
    <t>0.0576889275606758</t>
  </si>
  <si>
    <t>0.266116389212368</t>
  </si>
  <si>
    <t>0.231389200331938</t>
  </si>
  <si>
    <t>0.41599581502399</t>
  </si>
  <si>
    <t>0.135974063457121</t>
  </si>
  <si>
    <t>0.352381134601424</t>
  </si>
  <si>
    <t>0.102188608065185</t>
  </si>
  <si>
    <t>0.204713424319816</t>
  </si>
  <si>
    <t>0.214820731480656</t>
  </si>
  <si>
    <t>0.285571363962003</t>
  </si>
  <si>
    <t>0.0313240829238287</t>
  </si>
  <si>
    <t>0.056483104612568</t>
  </si>
  <si>
    <t>0.0102167605840627</t>
  </si>
  <si>
    <t>0.0699993945501022</t>
  </si>
  <si>
    <t>0.013253671040202</t>
  </si>
  <si>
    <t>0.394923984969583</t>
  </si>
  <si>
    <t>0.174725544396124</t>
  </si>
  <si>
    <t>0.171537826145571</t>
  </si>
  <si>
    <t>0.121167481217458</t>
  </si>
  <si>
    <t>0.038640888963969</t>
  </si>
  <si>
    <t>0.137784568851432</t>
  </si>
  <si>
    <t>0.173764122742089</t>
  </si>
  <si>
    <t>0.109793388700102</t>
  </si>
  <si>
    <t>0.0524935829414521</t>
  </si>
  <si>
    <t>0.111959902869027</t>
  </si>
  <si>
    <t>0.311284589798739</t>
  </si>
  <si>
    <t>0.0858124147491079</t>
  </si>
  <si>
    <t>0.160128278445408</t>
  </si>
  <si>
    <t>0.0231281531861032</t>
  </si>
  <si>
    <t>Total Claims</t>
  </si>
  <si>
    <t>E [Loss/Policy]</t>
  </si>
  <si>
    <t>&lt;- this is the expected loss per policy</t>
  </si>
  <si>
    <t>Var[Loss / Policy]</t>
  </si>
  <si>
    <t>Policy's loss = sum_over_policy's_claims(claim_amount)</t>
  </si>
  <si>
    <t>TODO: should we try to reconstruct this distribution in a table ??</t>
  </si>
  <si>
    <t>TODO: is this called the "Aggregate" ??</t>
  </si>
  <si>
    <t>&lt;- TODO: this should be the variance of the loss per policy ?? Not sure how to do this - maybe make a new table to describe the empirical dist. Of the "aggregate" (or whatever it's called) thing ??</t>
  </si>
  <si>
    <t>Largest Claims</t>
  </si>
  <si>
    <t>NumberOfClaims</t>
  </si>
  <si>
    <t>TotalClaimAmount</t>
  </si>
  <si>
    <t>Note: this does NOT handle policies that have 0 claims (because they're not shown on the output csv)</t>
  </si>
  <si>
    <t>ClaimsByPolicy table: Helper pivot table for claim amounts by policy</t>
  </si>
  <si>
    <t>Testing - trying to get the max claims stuff cooking</t>
  </si>
  <si>
    <t xml:space="preserve"> </t>
  </si>
  <si>
    <t>TODO: why isn't the date working ??</t>
  </si>
  <si>
    <t>Most Expensive Policies</t>
  </si>
  <si>
    <t>TotalClaims</t>
  </si>
  <si>
    <t>Sum(Claims)</t>
  </si>
  <si>
    <t>0.372415726562987</t>
  </si>
  <si>
    <t>0.108494636248558</t>
  </si>
  <si>
    <t>0.231131627484837</t>
  </si>
  <si>
    <t>0.1930434305467</t>
  </si>
  <si>
    <t>0.511180864359281</t>
  </si>
  <si>
    <t>0.196254409076563</t>
  </si>
  <si>
    <t>0.255287482634581</t>
  </si>
  <si>
    <t>0.262835252632523</t>
  </si>
  <si>
    <t>0.22319766481089</t>
  </si>
  <si>
    <t>0.0252584112455409</t>
  </si>
  <si>
    <t>0.139124797487487</t>
  </si>
  <si>
    <t>0.115717353512869</t>
  </si>
  <si>
    <t>0.450455884114239</t>
  </si>
  <si>
    <t>0.0936734557434632</t>
  </si>
  <si>
    <t>0.0920334743745446</t>
  </si>
  <si>
    <t>0.0264950518807882</t>
  </si>
  <si>
    <t>0.137176526098346</t>
  </si>
  <si>
    <t>0.273191465168749</t>
  </si>
  <si>
    <t>0.0361423067672571</t>
  </si>
  <si>
    <t>0.260439786029275</t>
  </si>
  <si>
    <t>0.249795670859779</t>
  </si>
  <si>
    <t>0.264041795158099</t>
  </si>
  <si>
    <t>0.0725745621894767</t>
  </si>
  <si>
    <t>0.147647041289414</t>
  </si>
  <si>
    <t>0.0982968794040933</t>
  </si>
  <si>
    <t>0.0550457772989019</t>
  </si>
  <si>
    <t>0.142245248656407</t>
  </si>
  <si>
    <t>0.572952675012205</t>
  </si>
  <si>
    <t>0.224600436171964</t>
  </si>
  <si>
    <t>0.00463141386068223</t>
  </si>
  <si>
    <t>0.181719250502022</t>
  </si>
  <si>
    <t>0.0514149861094961</t>
  </si>
  <si>
    <t>0.538193557387558</t>
  </si>
  <si>
    <t>0.404335277171188</t>
  </si>
  <si>
    <t>0.1565115988228</t>
  </si>
  <si>
    <t>0.333046419156671</t>
  </si>
  <si>
    <t>0.250238586279774</t>
  </si>
  <si>
    <t>0.0718027525221105</t>
  </si>
  <si>
    <t>0.332244368287656</t>
  </si>
  <si>
    <t>0.148515620405257</t>
  </si>
  <si>
    <t>0.133428670731237</t>
  </si>
  <si>
    <t>0.0748474234435747</t>
  </si>
  <si>
    <t>0.143714382137285</t>
  </si>
  <si>
    <t>0.15377469671363</t>
  </si>
  <si>
    <t>0.118271819382656</t>
  </si>
  <si>
    <t>0.0945424440986238</t>
  </si>
  <si>
    <t>0.179694580306672</t>
  </si>
  <si>
    <t>0.0789947020504298</t>
  </si>
  <si>
    <t>0.1614920179401</t>
  </si>
  <si>
    <t>0.152249973634719</t>
  </si>
  <si>
    <t>0.153554554576033</t>
  </si>
  <si>
    <t>0.152290585513381</t>
  </si>
  <si>
    <t>0.101894177581257</t>
  </si>
  <si>
    <t>0.150986752555635</t>
  </si>
  <si>
    <t>0.0891711108528605</t>
  </si>
  <si>
    <t>0.455507650807177</t>
  </si>
  <si>
    <t>0.11528447458509</t>
  </si>
  <si>
    <t>0.104836371205341</t>
  </si>
  <si>
    <t>0.264391866579098</t>
  </si>
  <si>
    <t>0.111070257604355</t>
  </si>
  <si>
    <t>0.0913375732007006</t>
  </si>
  <si>
    <t>0.139285129322818</t>
  </si>
  <si>
    <t>0.125206394060754</t>
  </si>
  <si>
    <t>0.182138249479999</t>
  </si>
  <si>
    <t>0.17746214178611</t>
  </si>
  <si>
    <t>0.0614917975288589</t>
  </si>
  <si>
    <t>0.152220466697635</t>
  </si>
  <si>
    <t>0.422066672012914</t>
  </si>
  <si>
    <t>0.174117266183312</t>
  </si>
  <si>
    <t>0.0790098251745605</t>
  </si>
  <si>
    <t>0.224552436246474</t>
  </si>
  <si>
    <t>0.0332829466426017</t>
  </si>
  <si>
    <t>0.161492492223269</t>
  </si>
  <si>
    <t>0.0184792430343956</t>
  </si>
  <si>
    <t>0.12572920615993</t>
  </si>
  <si>
    <t>0.15993193644007</t>
  </si>
  <si>
    <t>0.353654858541214</t>
  </si>
  <si>
    <t>0.223554458464654</t>
  </si>
  <si>
    <t>0.398644966645756</t>
  </si>
  <si>
    <t>0.336711557261893</t>
  </si>
  <si>
    <t>0.263742042359405</t>
  </si>
  <si>
    <t>0.115425345144245</t>
  </si>
  <si>
    <t>0.728336795073678</t>
  </si>
  <si>
    <t>0.0157216242514928</t>
  </si>
  <si>
    <t>0.445552214425793</t>
  </si>
  <si>
    <t>0.378646428245708</t>
  </si>
  <si>
    <t>0.257659241538686</t>
  </si>
  <si>
    <t>0.168863963563093</t>
  </si>
  <si>
    <t>0.0177687215436687</t>
  </si>
  <si>
    <t>0.276740763543906</t>
  </si>
  <si>
    <t>0.18417063270655</t>
  </si>
  <si>
    <t>0.0530614460824467</t>
  </si>
  <si>
    <t>0.262726190110716</t>
  </si>
  <si>
    <t>0.0901017643594913</t>
  </si>
  <si>
    <t>0.0741217171595348</t>
  </si>
  <si>
    <t>0.0555430891846373</t>
  </si>
  <si>
    <t>0.35834421776682</t>
  </si>
  <si>
    <t>0.207424631599973</t>
  </si>
  <si>
    <t>0.01945061411886</t>
  </si>
  <si>
    <t>0.153187391670569</t>
  </si>
  <si>
    <t>0.377050745790566</t>
  </si>
  <si>
    <t>0.0877178551712564</t>
  </si>
  <si>
    <t>0.0569845506891346</t>
  </si>
  <si>
    <t>0.236966157747652</t>
  </si>
  <si>
    <t>0.101583901045106</t>
  </si>
  <si>
    <t>0.239627183368012</t>
  </si>
  <si>
    <t>0.35815985257262</t>
  </si>
  <si>
    <t>0.128652994234761</t>
  </si>
  <si>
    <t>0.206120903734521</t>
  </si>
  <si>
    <t>0.27345400977506</t>
  </si>
  <si>
    <t>0.00929541539257509</t>
  </si>
  <si>
    <t>0.0999445969319553</t>
  </si>
  <si>
    <t>0.189696062999592</t>
  </si>
  <si>
    <t>0.0147144512528577</t>
  </si>
  <si>
    <t>0.165198016412749</t>
  </si>
  <si>
    <t>0.196889023823141</t>
  </si>
  <si>
    <t>0.0882017541099678</t>
  </si>
  <si>
    <t>0.1137656078123</t>
  </si>
  <si>
    <t>0.197810505251761</t>
  </si>
  <si>
    <t>0.0679195316432553</t>
  </si>
  <si>
    <t>0.212211601139024</t>
  </si>
  <si>
    <t>0.170680398352948</t>
  </si>
  <si>
    <t>0.0229496395638617</t>
  </si>
  <si>
    <t>0.119320982351639</t>
  </si>
  <si>
    <t>0.575832642040436</t>
  </si>
  <si>
    <t>0.184696758886608</t>
  </si>
  <si>
    <t>0.0735444448710367</t>
  </si>
  <si>
    <t>0.0618731842038204</t>
  </si>
  <si>
    <t>0.165585550018699</t>
  </si>
  <si>
    <t>0.634011850913488</t>
  </si>
  <si>
    <t>0.0391570435444127</t>
  </si>
  <si>
    <t>0.409679487010691</t>
  </si>
  <si>
    <t>0.0794583641057566</t>
  </si>
  <si>
    <t>0.186898190721365</t>
  </si>
  <si>
    <t>0.192096768513563</t>
  </si>
  <si>
    <t>0.0537231367507218</t>
  </si>
  <si>
    <t>0.0792276785075541</t>
  </si>
  <si>
    <t>0.203771145114733</t>
  </si>
  <si>
    <t>0.413177323616798</t>
  </si>
  <si>
    <t>0.110214996565201</t>
  </si>
  <si>
    <t>0.090617424886421</t>
  </si>
  <si>
    <t>0.126971590535499</t>
  </si>
  <si>
    <t>0.273142709948556</t>
  </si>
  <si>
    <t>0.0751595866803777</t>
  </si>
  <si>
    <t>0.110461078525918</t>
  </si>
  <si>
    <t>0.0289944301286204</t>
  </si>
  <si>
    <t>0.0856199254643886</t>
  </si>
  <si>
    <t>0.539901594571339</t>
  </si>
  <si>
    <t>0.0534466920645192</t>
  </si>
  <si>
    <t>0.368158966147113</t>
  </si>
  <si>
    <t>0.0993275592636424</t>
  </si>
  <si>
    <t>0.149232872142784</t>
  </si>
  <si>
    <t>0.207743950027211</t>
  </si>
  <si>
    <t>0.0225995371258914</t>
  </si>
  <si>
    <t>0.351358598335681</t>
  </si>
  <si>
    <t>0.340132217857464</t>
  </si>
  <si>
    <t>0.0226513047132157</t>
  </si>
  <si>
    <t>0.206435266037074</t>
  </si>
  <si>
    <t>0.312283533180915</t>
  </si>
  <si>
    <t>0.0733678644899222</t>
  </si>
  <si>
    <t>0.061351642913535</t>
  </si>
  <si>
    <t>0.247652187031055</t>
  </si>
  <si>
    <t>0.06580240130081</t>
  </si>
  <si>
    <t>0.191565480298875</t>
  </si>
  <si>
    <t>0.263093781347037</t>
  </si>
  <si>
    <t>0.104989132653783</t>
  </si>
  <si>
    <t>0.179692156203418</t>
  </si>
  <si>
    <t>0.222844577105727</t>
  </si>
  <si>
    <t>0.29049431961333</t>
  </si>
  <si>
    <t>0.0567518550334612</t>
  </si>
  <si>
    <t>0.0877703569120007</t>
  </si>
  <si>
    <t>0.118467815011217</t>
  </si>
  <si>
    <t>0.259088911019204</t>
  </si>
  <si>
    <t>0.123917519528671</t>
  </si>
  <si>
    <t>0.749815483952616</t>
  </si>
  <si>
    <t>0.102906566485774</t>
  </si>
  <si>
    <t>0.227832997032699</t>
  </si>
  <si>
    <t>0.0656679993536921</t>
  </si>
  <si>
    <t>0.179437273971389</t>
  </si>
  <si>
    <t>0.246028390429872</t>
  </si>
  <si>
    <t>0.299030902888863</t>
  </si>
  <si>
    <t>0.225594771931608</t>
  </si>
  <si>
    <t>0.113111287098127</t>
  </si>
  <si>
    <t>0.280404502217382</t>
  </si>
  <si>
    <t>0.110494402316454</t>
  </si>
  <si>
    <t>0.126980179846665</t>
  </si>
  <si>
    <t>0.155703263464194</t>
  </si>
  <si>
    <t>0.0806164038260661</t>
  </si>
  <si>
    <t>0.0227291442060373</t>
  </si>
  <si>
    <t>0.0925371006839744</t>
  </si>
  <si>
    <t>0.505077392758391</t>
  </si>
  <si>
    <t>0.205358238777289</t>
  </si>
  <si>
    <t>0.104059971287397</t>
  </si>
  <si>
    <t>0.175758095347384</t>
  </si>
  <si>
    <t>0.165419980596504</t>
  </si>
  <si>
    <t>0.357982091203599</t>
  </si>
  <si>
    <t>0.191344055160159</t>
  </si>
  <si>
    <t>0.0576753300314491</t>
  </si>
  <si>
    <t>1.20154181782631</t>
  </si>
  <si>
    <t>0.123118893733121</t>
  </si>
  <si>
    <t>0.0562950068284935</t>
  </si>
  <si>
    <t>0.193458890868369</t>
  </si>
  <si>
    <t>0.345698870059581</t>
  </si>
  <si>
    <t>0.0537450749847474</t>
  </si>
  <si>
    <t>0.143643060019163</t>
  </si>
  <si>
    <t>0.049120138811448</t>
  </si>
  <si>
    <t>0.0406231906757077</t>
  </si>
  <si>
    <t>0.269410011968525</t>
  </si>
  <si>
    <t>0.140686599756046</t>
  </si>
  <si>
    <t>0.202591785404949</t>
  </si>
  <si>
    <t>0.257230093760634</t>
  </si>
  <si>
    <t>0.164158758826337</t>
  </si>
  <si>
    <t>0.242889357163901</t>
  </si>
  <si>
    <t>0.0820823699813579</t>
  </si>
  <si>
    <t>0.139482255775062</t>
  </si>
  <si>
    <t>0.161296697897508</t>
  </si>
  <si>
    <t>0.16072152030472</t>
  </si>
  <si>
    <t>0.386730356076454</t>
  </si>
  <si>
    <t>0.0792168922493408</t>
  </si>
  <si>
    <t>0.0822063532873732</t>
  </si>
  <si>
    <t>0.166281582388466</t>
  </si>
  <si>
    <t>0.13217016239069</t>
  </si>
  <si>
    <t>0.110557987221212</t>
  </si>
  <si>
    <t>0.103888840545487</t>
  </si>
  <si>
    <t>0.138163414282534</t>
  </si>
  <si>
    <t>0.413447599464386</t>
  </si>
  <si>
    <t>0.0804156064301318</t>
  </si>
  <si>
    <t>0.0963626660103359</t>
  </si>
  <si>
    <t>0.0800922112337606</t>
  </si>
  <si>
    <t>0.0441776493867286</t>
  </si>
  <si>
    <t>0.375747816775724</t>
  </si>
  <si>
    <t>0.233199618688658</t>
  </si>
  <si>
    <t>0.14672054828255</t>
  </si>
  <si>
    <t>0.258916297660442</t>
  </si>
  <si>
    <t>0.142418446599381</t>
  </si>
  <si>
    <t>0.0341007064356755</t>
  </si>
  <si>
    <t>0.159961539016013</t>
  </si>
  <si>
    <t>0.356733450938353</t>
  </si>
  <si>
    <t>0.115766611619208</t>
  </si>
  <si>
    <t>0.0694741967153795</t>
  </si>
  <si>
    <t>0.182817642921211</t>
  </si>
  <si>
    <t>0.0393285765750997</t>
  </si>
  <si>
    <t>0.0685114562187914</t>
  </si>
  <si>
    <t>0.101947069343574</t>
  </si>
  <si>
    <t>0.14855921036003</t>
  </si>
  <si>
    <t>0.372411821575578</t>
  </si>
  <si>
    <t>0.112899397526191</t>
  </si>
  <si>
    <t>0.392379784076018</t>
  </si>
  <si>
    <t>0.172649467862789</t>
  </si>
  <si>
    <t>0.0195411430148472</t>
  </si>
  <si>
    <t>0.170897501439446</t>
  </si>
  <si>
    <t>0.225553960638855</t>
  </si>
  <si>
    <t>0.240728388045398</t>
  </si>
  <si>
    <t>0.0560303652916858</t>
  </si>
  <si>
    <t>0.041951158408195</t>
  </si>
  <si>
    <t>0.0567813682972818</t>
  </si>
  <si>
    <t>0.366424246672566</t>
  </si>
  <si>
    <t>0.0454846455064262</t>
  </si>
  <si>
    <t>0.321230817875673</t>
  </si>
  <si>
    <t>0.390040572082156</t>
  </si>
  <si>
    <t>0.153613193222424</t>
  </si>
  <si>
    <t>0.158807894296093</t>
  </si>
  <si>
    <t>0.082171484411695</t>
  </si>
  <si>
    <t>0.110585262332064</t>
  </si>
  <si>
    <t>0.16111797783452</t>
  </si>
  <si>
    <t>0.0995174098767392</t>
  </si>
  <si>
    <t>0.072647578824807</t>
  </si>
  <si>
    <t>0.0913392550841299</t>
  </si>
  <si>
    <t>0.160651684677981</t>
  </si>
  <si>
    <t>0.188768533138727</t>
  </si>
  <si>
    <t>0.115301676434366</t>
  </si>
  <si>
    <t>0.045675675169668</t>
  </si>
  <si>
    <t>0.137096242060072</t>
  </si>
  <si>
    <t>0.365182955556272</t>
  </si>
  <si>
    <t>0.131799630435787</t>
  </si>
  <si>
    <t>0.00732748709930915</t>
  </si>
  <si>
    <t>0.336609088734861</t>
  </si>
  <si>
    <t>0.0387747540410904</t>
  </si>
  <si>
    <t>0.341300419960286</t>
  </si>
  <si>
    <t>0.0832834389358669</t>
  </si>
  <si>
    <t>0.0967128111154893</t>
  </si>
  <si>
    <t>0.229821147726931</t>
  </si>
  <si>
    <t>0.329592009094843</t>
  </si>
  <si>
    <t>0.120774072212465</t>
  </si>
  <si>
    <t>0.379486711283159</t>
  </si>
  <si>
    <t>0.100162108438515</t>
  </si>
  <si>
    <t>0.0451653271277637</t>
  </si>
  <si>
    <t>0.0176937101656243</t>
  </si>
  <si>
    <t>0.115424361015751</t>
  </si>
  <si>
    <t>0.223078623606394</t>
  </si>
  <si>
    <t>0.243985343529207</t>
  </si>
  <si>
    <t>0.63014249426182</t>
  </si>
  <si>
    <t>0.150091536695043</t>
  </si>
  <si>
    <t>0.141515561273175</t>
  </si>
  <si>
    <t>0.474388845884323</t>
  </si>
  <si>
    <t>0.11412439866518</t>
  </si>
  <si>
    <t>0.145030681518576</t>
  </si>
  <si>
    <t>0.193105185342042</t>
  </si>
  <si>
    <t>0.115678585024191</t>
  </si>
  <si>
    <t>0.222692157397802</t>
  </si>
  <si>
    <t>0.151222777616006</t>
  </si>
  <si>
    <t>0.103056399713559</t>
  </si>
  <si>
    <t>0.150874962133746</t>
  </si>
  <si>
    <t>0.131629727017224</t>
  </si>
  <si>
    <t>0.104005840390143</t>
  </si>
  <si>
    <t>0.194347764972646</t>
  </si>
  <si>
    <t>0.0848867292493965</t>
  </si>
  <si>
    <t>0.0481148597345016</t>
  </si>
  <si>
    <t>0.141038244475572</t>
  </si>
  <si>
    <t>0.30558889571795</t>
  </si>
  <si>
    <t>0.0921343658058325</t>
  </si>
  <si>
    <t>0.178003955040082</t>
  </si>
  <si>
    <t>0.157239543649452</t>
  </si>
  <si>
    <t>0.181143511909883</t>
  </si>
  <si>
    <t>0.0834651207088197</t>
  </si>
  <si>
    <t>0.209412433115747</t>
  </si>
  <si>
    <t>0.105546802097333</t>
  </si>
  <si>
    <t>0.122135697898172</t>
  </si>
  <si>
    <t>0.162791025983143</t>
  </si>
  <si>
    <t>0.114989607211526</t>
  </si>
  <si>
    <t>0.0628050298383109</t>
  </si>
  <si>
    <t>0.150235456910205</t>
  </si>
  <si>
    <t>0.131115749765496</t>
  </si>
  <si>
    <t>0.109531589065559</t>
  </si>
  <si>
    <t>0.0762127307223806</t>
  </si>
  <si>
    <t>0.126675153947502</t>
  </si>
  <si>
    <t>0.118343660174275</t>
  </si>
  <si>
    <t>0.18265333346206</t>
  </si>
  <si>
    <t>0.502440363958948</t>
  </si>
  <si>
    <t>0.196171674879578</t>
  </si>
  <si>
    <t>0.203610846960822</t>
  </si>
  <si>
    <t>0.142633919835308</t>
  </si>
  <si>
    <t>0.0992848825846035</t>
  </si>
  <si>
    <t>0.16257054192407</t>
  </si>
  <si>
    <t>0.106720430583579</t>
  </si>
  <si>
    <t>0.254348184298518</t>
  </si>
  <si>
    <t>0.120521336473955</t>
  </si>
  <si>
    <t>0.169767744917577</t>
  </si>
  <si>
    <t>0.272327232090202</t>
  </si>
  <si>
    <t>0.0840595276524054</t>
  </si>
  <si>
    <t>0.572038007233454</t>
  </si>
  <si>
    <t>0.0529439961378214</t>
  </si>
  <si>
    <t>0.255581048800733</t>
  </si>
  <si>
    <t>0.576705746792781</t>
  </si>
  <si>
    <t>0.10244789091085</t>
  </si>
  <si>
    <t>0.16070259013654</t>
  </si>
  <si>
    <t>0.081716866371617</t>
  </si>
  <si>
    <t>0.047981346113426</t>
  </si>
  <si>
    <t>0.110262436891627</t>
  </si>
  <si>
    <t>0.0948074484135648</t>
  </si>
  <si>
    <t>0.237564536162238</t>
  </si>
  <si>
    <t>0.255111499588851</t>
  </si>
  <si>
    <t>0.0544905102306259</t>
  </si>
  <si>
    <t>0.173870340170447</t>
  </si>
  <si>
    <t>0.133079259403981</t>
  </si>
  <si>
    <t>0.0437477837005294</t>
  </si>
  <si>
    <t>0.124550931901652</t>
  </si>
  <si>
    <t>0.201876771657043</t>
  </si>
  <si>
    <t>0.0856226325667452</t>
  </si>
  <si>
    <t>0.0349802893206202</t>
  </si>
  <si>
    <t>0.136827170227607</t>
  </si>
  <si>
    <t>0.378245135174611</t>
  </si>
  <si>
    <t>0.281168166569247</t>
  </si>
  <si>
    <t>0.205433047350334</t>
  </si>
  <si>
    <t>0.107757509572119</t>
  </si>
  <si>
    <t>0.215086579482126</t>
  </si>
  <si>
    <t>0.0560859216378412</t>
  </si>
  <si>
    <t>0.25198457709876</t>
  </si>
  <si>
    <t>0.0185524798377954</t>
  </si>
  <si>
    <t>0.0982651773663574</t>
  </si>
  <si>
    <t>0.214390357591702</t>
  </si>
  <si>
    <t>0.0468897756477594</t>
  </si>
  <si>
    <t>0.0469273039921843</t>
  </si>
  <si>
    <t>0.169578201188605</t>
  </si>
  <si>
    <t>0.0487563071702693</t>
  </si>
  <si>
    <t>0.157558152689209</t>
  </si>
  <si>
    <t>0.0842290490810939</t>
  </si>
  <si>
    <t>0.308010617083247</t>
  </si>
  <si>
    <t>0.0951676096090104</t>
  </si>
  <si>
    <t>0.188275168120018</t>
  </si>
  <si>
    <t>0.29672195355424</t>
  </si>
  <si>
    <t>0.214772195786694</t>
  </si>
  <si>
    <t>0.231546522164906</t>
  </si>
  <si>
    <t>0.0903661986920475</t>
  </si>
  <si>
    <t>0.680416820766625</t>
  </si>
  <si>
    <t>0.0928166206909787</t>
  </si>
  <si>
    <t>0.214983335875702</t>
  </si>
  <si>
    <t>0.124506671957311</t>
  </si>
  <si>
    <t>0.11385775443443</t>
  </si>
  <si>
    <t>0.0150496526242489</t>
  </si>
  <si>
    <t>0.495709580357157</t>
  </si>
  <si>
    <t>0.299657781209078</t>
  </si>
  <si>
    <t>0.178149482488141</t>
  </si>
  <si>
    <t>0.162672706744299</t>
  </si>
  <si>
    <t>0.229871412204165</t>
  </si>
  <si>
    <t>0.20388125884401</t>
  </si>
  <si>
    <t>0.0342226383042344</t>
  </si>
  <si>
    <t>0.141356219854297</t>
  </si>
  <si>
    <t>0.301469786184932</t>
  </si>
  <si>
    <t>0.0369592716107684</t>
  </si>
  <si>
    <t>0.671982463071994</t>
  </si>
  <si>
    <t>0.14739200263034</t>
  </si>
  <si>
    <t>0.0749210727852125</t>
  </si>
  <si>
    <t>0.15659149035352</t>
  </si>
  <si>
    <t>0.175687026117163</t>
  </si>
  <si>
    <t>0.114740855006304</t>
  </si>
  <si>
    <t>0.143674327140165</t>
  </si>
  <si>
    <t>0.0691330639906189</t>
  </si>
  <si>
    <t>0.182910613245308</t>
  </si>
  <si>
    <t>0.121984918742789</t>
  </si>
  <si>
    <t>0.12376484638095</t>
  </si>
  <si>
    <t>0.0452329402282281</t>
  </si>
  <si>
    <t>0.116134026662027</t>
  </si>
  <si>
    <t>0.0158344417972363</t>
  </si>
  <si>
    <t>0.0285770208756375</t>
  </si>
  <si>
    <t>0.0477214398405757</t>
  </si>
  <si>
    <t>0.123173779262851</t>
  </si>
  <si>
    <t>0.169546571490976</t>
  </si>
  <si>
    <t>0.114176145462586</t>
  </si>
  <si>
    <t>0.300840728519596</t>
  </si>
  <si>
    <t>0.244861162312463</t>
  </si>
  <si>
    <t>0.194494967850528</t>
  </si>
  <si>
    <t>0.0412957302990659</t>
  </si>
  <si>
    <t>0.273419937718551</t>
  </si>
  <si>
    <t>0.269857060541112</t>
  </si>
  <si>
    <t>0.00569807810985312</t>
  </si>
  <si>
    <t>0.0237486004954905</t>
  </si>
  <si>
    <t>0.0670425880559696</t>
  </si>
  <si>
    <t>0.177562595261153</t>
  </si>
  <si>
    <t>0.0767090271918752</t>
  </si>
  <si>
    <t>0.111148076664935</t>
  </si>
  <si>
    <t>0.194364907402171</t>
  </si>
  <si>
    <t>0.255010133506722</t>
  </si>
  <si>
    <t>0.259368999209643</t>
  </si>
  <si>
    <t>0.0795867920976142</t>
  </si>
  <si>
    <t>0.181771148153336</t>
  </si>
  <si>
    <t>0.0905281241428601</t>
  </si>
  <si>
    <t>0.0886631193209926</t>
  </si>
  <si>
    <t>0.102731025297677</t>
  </si>
  <si>
    <t>0.137606272680645</t>
  </si>
  <si>
    <t>0.0902703457901647</t>
  </si>
  <si>
    <t>0.0353576721057789</t>
  </si>
  <si>
    <t>0.434239240447385</t>
  </si>
  <si>
    <t>0.20750501787903</t>
  </si>
  <si>
    <t>0.178743359358657</t>
  </si>
  <si>
    <t>0.148326068812662</t>
  </si>
  <si>
    <t>0.605882869892196</t>
  </si>
  <si>
    <t>0.102366919154098</t>
  </si>
  <si>
    <t>0.0509414564039466</t>
  </si>
  <si>
    <t>0.121728723565742</t>
  </si>
  <si>
    <t>0.0212400879762668</t>
  </si>
  <si>
    <t>0.13218243313979</t>
  </si>
  <si>
    <t>0.245963884523851</t>
  </si>
  <si>
    <t>0.147452898149246</t>
  </si>
  <si>
    <t>0.159242118195914</t>
  </si>
  <si>
    <t>0.0432967216078666</t>
  </si>
  <si>
    <t>0.0977417173394391</t>
  </si>
  <si>
    <t>0.0886627206895952</t>
  </si>
  <si>
    <t>0.174128542348124</t>
  </si>
  <si>
    <t>0.147549976833413</t>
  </si>
  <si>
    <t>0.197314979330983</t>
  </si>
  <si>
    <t>0.0438397146204627</t>
  </si>
  <si>
    <t>0.131282402956356</t>
  </si>
  <si>
    <t>0.120796776564893</t>
  </si>
  <si>
    <t>0.0429207487603883</t>
  </si>
  <si>
    <t>0.353250052970137</t>
  </si>
  <si>
    <t>0.181044152615134</t>
  </si>
  <si>
    <t>0.166546414091354</t>
  </si>
  <si>
    <t>0.152023109206139</t>
  </si>
  <si>
    <t>0.218876160007369</t>
  </si>
  <si>
    <t>0.291092218281685</t>
  </si>
  <si>
    <t>0.132200288010914</t>
  </si>
  <si>
    <t>0.190676620733427</t>
  </si>
  <si>
    <t>0.307701769272346</t>
  </si>
  <si>
    <t>0.0397979430013424</t>
  </si>
  <si>
    <t>0.0355271506641742</t>
  </si>
  <si>
    <t>0.0790381860812429</t>
  </si>
  <si>
    <t>0.0618947129401471</t>
  </si>
  <si>
    <t>0.157640497115221</t>
  </si>
  <si>
    <t>0.253516531766483</t>
  </si>
  <si>
    <t>0.0371067918121443</t>
  </si>
  <si>
    <t>0.204174775661175</t>
  </si>
  <si>
    <t>0.259713126710288</t>
  </si>
  <si>
    <t>0.229471392774484</t>
  </si>
  <si>
    <t>0.0809019991137023</t>
  </si>
  <si>
    <t>0.0830210894192994</t>
  </si>
  <si>
    <t>0.0776092815721064</t>
  </si>
  <si>
    <t>0.165337160631565</t>
  </si>
  <si>
    <t>0.372838041859352</t>
  </si>
  <si>
    <t>0.387547263290331</t>
  </si>
  <si>
    <t>0.0819217131342786</t>
  </si>
  <si>
    <t>0.210437095405184</t>
  </si>
  <si>
    <t>0.0931109303712491</t>
  </si>
  <si>
    <t>0.111342024040837</t>
  </si>
  <si>
    <t>0.14490593934421</t>
  </si>
  <si>
    <t>0.114802831310502</t>
  </si>
  <si>
    <t>0.327059940812264</t>
  </si>
  <si>
    <t>0.175055822278586</t>
  </si>
  <si>
    <t>0.306506932575317</t>
  </si>
  <si>
    <t>0.13346793189872</t>
  </si>
  <si>
    <t>0.0512014763546212</t>
  </si>
  <si>
    <t>0.136498003937478</t>
  </si>
  <si>
    <t>0.125985923539827</t>
  </si>
  <si>
    <t>0.107639359520403</t>
  </si>
  <si>
    <t>0.299951782534341</t>
  </si>
  <si>
    <t>0.139731661419627</t>
  </si>
  <si>
    <t>0.186673767721216</t>
  </si>
  <si>
    <t>0.371607535065213</t>
  </si>
  <si>
    <t>0.096759566382773</t>
  </si>
  <si>
    <t>0.193605011444575</t>
  </si>
  <si>
    <t>0.265405618981022</t>
  </si>
  <si>
    <t>0.0673330689793272</t>
  </si>
  <si>
    <t>TODO: am I missing things in this section ?? I feel like there's a ton we could add</t>
  </si>
  <si>
    <t>TODO: Policy-Level Aggregate Distribution</t>
  </si>
  <si>
    <t>TODO: Portfolio Aggregate Distribution</t>
  </si>
  <si>
    <t>Aggregate Losses</t>
  </si>
  <si>
    <t>TODO: if we adjust this table (the TblPolicyClaimCount one) to also include a column for the sum of claims, is it the Policy-Level Aggregate ?? And if so, I think we can get rid of a bunch of other tables (like maybe the one in the claimSimResults sheet)</t>
  </si>
  <si>
    <t>TODO: update the helper table in the claimCount sheet to have the totalClaimAmount column, then we can update this table to just pull from that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</si>
</sst>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2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</font>
    <font>
      <b/>
      <sz val="15"/>
      <color theme="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44" fontId="5" fillId="0" borderId="0" applyFont="0" applyFill="0" applyBorder="0" applyAlignment="0" applyProtection="0"/>
    <xf numFmtId="0" fontId="8" fillId="0" borderId="2" applyNumberFormat="0" applyFill="0" applyAlignment="0" applyProtection="0"/>
  </cellStyleXfs>
  <cellXfs count="15">
    <xf numFmtId="0" fontId="0" fillId="0" borderId="0" xfId="0"/>
    <xf numFmtId="14" fontId="0" fillId="0" borderId="0" xfId="0" applyNumberFormat="1"/>
    <xf numFmtId="0" fontId="1" fillId="2" borderId="1" xfId="1"/>
    <xf numFmtId="0" fontId="0" fillId="4" borderId="0" xfId="0" applyFill="1"/>
    <xf numFmtId="0" fontId="1" fillId="2" borderId="1" xfId="1" applyAlignment="1">
      <alignment horizontal="right"/>
    </xf>
    <xf numFmtId="11" fontId="0" fillId="0" borderId="0" xfId="0" applyNumberFormat="1"/>
    <xf numFmtId="0" fontId="3" fillId="0" borderId="0" xfId="0" applyFont="1"/>
    <xf numFmtId="44" fontId="0" fillId="0" borderId="0" xfId="2" applyFont="1"/>
    <xf numFmtId="0" fontId="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8" fillId="0" borderId="2" xfId="3" applyAlignment="1">
      <alignment horizontal="center"/>
    </xf>
  </cellXfs>
  <cellStyles count="4">
    <cellStyle name="Currency" xfId="2" builtinId="4"/>
    <cellStyle name="Heading 1" xfId="3" builtinId="16"/>
    <cellStyle name="Input" xfId="1" builtinId="20"/>
    <cellStyle name="Normal" xfId="0" builtinId="0"/>
  </cellStyles>
  <dxfs count="10">
    <dxf>
      <numFmt numFmtId="0" formatCode="General"/>
    </dxf>
    <dxf>
      <numFmt numFmtId="19" formatCode="m/d/yy"/>
    </dxf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[ClaimsAnalysis.xlsm]ClaimCount!ClaimFrequencyDistribution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ClaimCount!$F$11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ClaimCount!$E$12:$E$16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ClaimCount!$F$12:$F$16</c:f>
              <c:numCache>
                <c:formatCode>General</c:formatCode>
                <c:ptCount val="4"/>
                <c:pt idx="0">
                  <c:v>121</c:v>
                </c:pt>
                <c:pt idx="1">
                  <c:v>183</c:v>
                </c:pt>
                <c:pt idx="2">
                  <c:v>165</c:v>
                </c:pt>
                <c:pt idx="3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4-9B41-AFCC-9A1129FBF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930658672"/>
        <c:axId val="2066908256"/>
      </c:barChart>
      <c:catAx>
        <c:axId val="193065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Claims Per Policy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908256"/>
        <c:crosses val="autoZero"/>
        <c:auto val="1"/>
        <c:lblAlgn val="ctr"/>
        <c:lblOffset val="100"/>
        <c:noMultiLvlLbl val="0"/>
      </c:catAx>
      <c:valAx>
        <c:axId val="20669082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Policies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65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Empirical CDF of Claim Amounts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[0]!SevClaimAmountRange</c:f>
              <c:numCache>
                <c:formatCode>General</c:formatCode>
                <c:ptCount val="1080"/>
                <c:pt idx="0">
                  <c:v>1.20154181782631</c:v>
                </c:pt>
                <c:pt idx="1">
                  <c:v>0.74981548395261599</c:v>
                </c:pt>
                <c:pt idx="2">
                  <c:v>0.74919430560186095</c:v>
                </c:pt>
                <c:pt idx="3">
                  <c:v>0.72833679507367799</c:v>
                </c:pt>
                <c:pt idx="4">
                  <c:v>0.68041682076662502</c:v>
                </c:pt>
                <c:pt idx="5">
                  <c:v>0.67198246307199405</c:v>
                </c:pt>
                <c:pt idx="6">
                  <c:v>0.634011850913488</c:v>
                </c:pt>
                <c:pt idx="7">
                  <c:v>0.63014249426182001</c:v>
                </c:pt>
                <c:pt idx="8">
                  <c:v>0.62567634252573101</c:v>
                </c:pt>
                <c:pt idx="9">
                  <c:v>0.61899187396623001</c:v>
                </c:pt>
                <c:pt idx="10">
                  <c:v>0.60588286989219597</c:v>
                </c:pt>
                <c:pt idx="11">
                  <c:v>0.60072672632240098</c:v>
                </c:pt>
                <c:pt idx="12">
                  <c:v>0.59912584101316901</c:v>
                </c:pt>
                <c:pt idx="13">
                  <c:v>0.57670574679278097</c:v>
                </c:pt>
                <c:pt idx="14">
                  <c:v>0.57583264204043605</c:v>
                </c:pt>
                <c:pt idx="15">
                  <c:v>0.57427941753996403</c:v>
                </c:pt>
                <c:pt idx="16">
                  <c:v>0.57386402372842005</c:v>
                </c:pt>
                <c:pt idx="17">
                  <c:v>0.57295267501220504</c:v>
                </c:pt>
                <c:pt idx="18">
                  <c:v>0.57203800723345399</c:v>
                </c:pt>
                <c:pt idx="19">
                  <c:v>0.55198876314835299</c:v>
                </c:pt>
                <c:pt idx="20">
                  <c:v>0.53990159457133902</c:v>
                </c:pt>
                <c:pt idx="21">
                  <c:v>0.53819355738755803</c:v>
                </c:pt>
                <c:pt idx="22">
                  <c:v>0.53806837327236801</c:v>
                </c:pt>
                <c:pt idx="23">
                  <c:v>0.53749921481293494</c:v>
                </c:pt>
                <c:pt idx="24">
                  <c:v>0.53304082386872698</c:v>
                </c:pt>
                <c:pt idx="25">
                  <c:v>0.53073292341779799</c:v>
                </c:pt>
                <c:pt idx="26">
                  <c:v>0.521626582615622</c:v>
                </c:pt>
                <c:pt idx="27">
                  <c:v>0.51118086435928101</c:v>
                </c:pt>
                <c:pt idx="28">
                  <c:v>0.50925063351927902</c:v>
                </c:pt>
                <c:pt idx="29">
                  <c:v>0.50845740535853301</c:v>
                </c:pt>
                <c:pt idx="30">
                  <c:v>0.50507739275839103</c:v>
                </c:pt>
                <c:pt idx="31">
                  <c:v>0.50244036395894798</c:v>
                </c:pt>
                <c:pt idx="32">
                  <c:v>0.50078769973395998</c:v>
                </c:pt>
                <c:pt idx="33">
                  <c:v>0.49570958035715701</c:v>
                </c:pt>
                <c:pt idx="34">
                  <c:v>0.48319205344236799</c:v>
                </c:pt>
                <c:pt idx="35">
                  <c:v>0.48015870850327003</c:v>
                </c:pt>
                <c:pt idx="36">
                  <c:v>0.47438884588432301</c:v>
                </c:pt>
                <c:pt idx="37">
                  <c:v>0.458855245396317</c:v>
                </c:pt>
                <c:pt idx="38">
                  <c:v>0.45847909112593599</c:v>
                </c:pt>
                <c:pt idx="39">
                  <c:v>0.45634345099753398</c:v>
                </c:pt>
                <c:pt idx="40">
                  <c:v>0.45550765080717698</c:v>
                </c:pt>
                <c:pt idx="41">
                  <c:v>0.45130579394148002</c:v>
                </c:pt>
                <c:pt idx="42">
                  <c:v>0.45117309627436097</c:v>
                </c:pt>
                <c:pt idx="43">
                  <c:v>0.45045588411423898</c:v>
                </c:pt>
                <c:pt idx="44">
                  <c:v>0.446362728666577</c:v>
                </c:pt>
                <c:pt idx="45">
                  <c:v>0.44555221442579301</c:v>
                </c:pt>
                <c:pt idx="46">
                  <c:v>0.44315318067127102</c:v>
                </c:pt>
                <c:pt idx="47">
                  <c:v>0.43600362196833697</c:v>
                </c:pt>
                <c:pt idx="48">
                  <c:v>0.43423924044738499</c:v>
                </c:pt>
                <c:pt idx="49">
                  <c:v>0.43347352662693101</c:v>
                </c:pt>
                <c:pt idx="50">
                  <c:v>0.43088742417852699</c:v>
                </c:pt>
                <c:pt idx="51">
                  <c:v>0.422988751078192</c:v>
                </c:pt>
                <c:pt idx="52">
                  <c:v>0.42206667201291398</c:v>
                </c:pt>
                <c:pt idx="53">
                  <c:v>0.41599581502399002</c:v>
                </c:pt>
                <c:pt idx="54">
                  <c:v>0.41344759946438597</c:v>
                </c:pt>
                <c:pt idx="55">
                  <c:v>0.41317732361679799</c:v>
                </c:pt>
                <c:pt idx="56">
                  <c:v>0.40967948701069101</c:v>
                </c:pt>
                <c:pt idx="57">
                  <c:v>0.40856523436606201</c:v>
                </c:pt>
                <c:pt idx="58">
                  <c:v>0.40821680518264503</c:v>
                </c:pt>
                <c:pt idx="59">
                  <c:v>0.407848897635263</c:v>
                </c:pt>
                <c:pt idx="60">
                  <c:v>0.406919628547396</c:v>
                </c:pt>
                <c:pt idx="61">
                  <c:v>0.404335277171188</c:v>
                </c:pt>
                <c:pt idx="62">
                  <c:v>0.39864496664575599</c:v>
                </c:pt>
                <c:pt idx="63">
                  <c:v>0.39591376378965898</c:v>
                </c:pt>
                <c:pt idx="64">
                  <c:v>0.39492398496958298</c:v>
                </c:pt>
                <c:pt idx="65">
                  <c:v>0.39237978407601798</c:v>
                </c:pt>
                <c:pt idx="66">
                  <c:v>0.39220753827260202</c:v>
                </c:pt>
                <c:pt idx="67">
                  <c:v>0.39004057208215598</c:v>
                </c:pt>
                <c:pt idx="68">
                  <c:v>0.38872786360828498</c:v>
                </c:pt>
                <c:pt idx="69">
                  <c:v>0.388019936906847</c:v>
                </c:pt>
                <c:pt idx="70">
                  <c:v>0.38754726329033101</c:v>
                </c:pt>
                <c:pt idx="71">
                  <c:v>0.38673035607645401</c:v>
                </c:pt>
                <c:pt idx="72">
                  <c:v>0.38410076236365698</c:v>
                </c:pt>
                <c:pt idx="73">
                  <c:v>0.38261164632753603</c:v>
                </c:pt>
                <c:pt idx="74">
                  <c:v>0.37948671128315897</c:v>
                </c:pt>
                <c:pt idx="75">
                  <c:v>0.37864642824570799</c:v>
                </c:pt>
                <c:pt idx="76">
                  <c:v>0.378245135174611</c:v>
                </c:pt>
                <c:pt idx="77">
                  <c:v>0.37765454952028499</c:v>
                </c:pt>
                <c:pt idx="78">
                  <c:v>0.37705074579056602</c:v>
                </c:pt>
                <c:pt idx="79">
                  <c:v>0.375747816775724</c:v>
                </c:pt>
                <c:pt idx="80">
                  <c:v>0.37283804185935199</c:v>
                </c:pt>
                <c:pt idx="81">
                  <c:v>0.37241572656298699</c:v>
                </c:pt>
                <c:pt idx="82">
                  <c:v>0.37241182157557801</c:v>
                </c:pt>
                <c:pt idx="83">
                  <c:v>0.37160753506521299</c:v>
                </c:pt>
                <c:pt idx="84">
                  <c:v>0.37147078424360702</c:v>
                </c:pt>
                <c:pt idx="85">
                  <c:v>0.37075429402828203</c:v>
                </c:pt>
                <c:pt idx="86">
                  <c:v>0.368624575962546</c:v>
                </c:pt>
                <c:pt idx="87">
                  <c:v>0.36836815277550899</c:v>
                </c:pt>
                <c:pt idx="88">
                  <c:v>0.36815896614711302</c:v>
                </c:pt>
                <c:pt idx="89">
                  <c:v>0.36719382497089798</c:v>
                </c:pt>
                <c:pt idx="90">
                  <c:v>0.36642424667256601</c:v>
                </c:pt>
                <c:pt idx="91">
                  <c:v>0.365182955556272</c:v>
                </c:pt>
                <c:pt idx="92">
                  <c:v>0.36305955022241698</c:v>
                </c:pt>
                <c:pt idx="93">
                  <c:v>0.36222935949295398</c:v>
                </c:pt>
                <c:pt idx="94">
                  <c:v>0.36085755206924103</c:v>
                </c:pt>
                <c:pt idx="95">
                  <c:v>0.35834421776682002</c:v>
                </c:pt>
                <c:pt idx="96">
                  <c:v>0.35815985257262001</c:v>
                </c:pt>
                <c:pt idx="97">
                  <c:v>0.35798209120359897</c:v>
                </c:pt>
                <c:pt idx="98">
                  <c:v>0.356739411300461</c:v>
                </c:pt>
                <c:pt idx="99">
                  <c:v>0.35673345093835301</c:v>
                </c:pt>
                <c:pt idx="100">
                  <c:v>0.35448175121283299</c:v>
                </c:pt>
                <c:pt idx="101">
                  <c:v>0.35365485854121398</c:v>
                </c:pt>
                <c:pt idx="102">
                  <c:v>0.35325005297013701</c:v>
                </c:pt>
                <c:pt idx="103">
                  <c:v>0.35238113460142401</c:v>
                </c:pt>
                <c:pt idx="104">
                  <c:v>0.35232342700517999</c:v>
                </c:pt>
                <c:pt idx="105">
                  <c:v>0.351358598335681</c:v>
                </c:pt>
                <c:pt idx="106">
                  <c:v>0.35043032237917998</c:v>
                </c:pt>
                <c:pt idx="107">
                  <c:v>0.345698870059581</c:v>
                </c:pt>
                <c:pt idx="108">
                  <c:v>0.34561404909645499</c:v>
                </c:pt>
                <c:pt idx="109">
                  <c:v>0.34448607429570399</c:v>
                </c:pt>
                <c:pt idx="110">
                  <c:v>0.342070391415565</c:v>
                </c:pt>
                <c:pt idx="111">
                  <c:v>0.34130041996028598</c:v>
                </c:pt>
                <c:pt idx="112">
                  <c:v>0.34119164378795203</c:v>
                </c:pt>
                <c:pt idx="113">
                  <c:v>0.340132217857464</c:v>
                </c:pt>
                <c:pt idx="114">
                  <c:v>0.336747804332997</c:v>
                </c:pt>
                <c:pt idx="115">
                  <c:v>0.336711557261893</c:v>
                </c:pt>
                <c:pt idx="116">
                  <c:v>0.33665048317262503</c:v>
                </c:pt>
                <c:pt idx="117">
                  <c:v>0.33660908873486101</c:v>
                </c:pt>
                <c:pt idx="118">
                  <c:v>0.33651137340571502</c:v>
                </c:pt>
                <c:pt idx="119">
                  <c:v>0.33338483446879003</c:v>
                </c:pt>
                <c:pt idx="120">
                  <c:v>0.33304641915667099</c:v>
                </c:pt>
                <c:pt idx="121">
                  <c:v>0.33224436828765602</c:v>
                </c:pt>
                <c:pt idx="122">
                  <c:v>0.32959200909484299</c:v>
                </c:pt>
                <c:pt idx="123">
                  <c:v>0.32726178638999698</c:v>
                </c:pt>
                <c:pt idx="124">
                  <c:v>0.32705994081226403</c:v>
                </c:pt>
                <c:pt idx="125">
                  <c:v>0.32540221280099502</c:v>
                </c:pt>
                <c:pt idx="126">
                  <c:v>0.32419145983855802</c:v>
                </c:pt>
                <c:pt idx="127">
                  <c:v>0.32308132076854401</c:v>
                </c:pt>
                <c:pt idx="128">
                  <c:v>0.32182550796482401</c:v>
                </c:pt>
                <c:pt idx="129">
                  <c:v>0.32123081787567298</c:v>
                </c:pt>
                <c:pt idx="130">
                  <c:v>0.31850781056713101</c:v>
                </c:pt>
                <c:pt idx="131">
                  <c:v>0.31813217157907703</c:v>
                </c:pt>
                <c:pt idx="132">
                  <c:v>0.31803823305478202</c:v>
                </c:pt>
                <c:pt idx="133">
                  <c:v>0.31784653979517102</c:v>
                </c:pt>
                <c:pt idx="134">
                  <c:v>0.31745481799855202</c:v>
                </c:pt>
                <c:pt idx="135">
                  <c:v>0.31228353318091501</c:v>
                </c:pt>
                <c:pt idx="136">
                  <c:v>0.31128458979873902</c:v>
                </c:pt>
                <c:pt idx="137">
                  <c:v>0.310940799649851</c:v>
                </c:pt>
                <c:pt idx="138">
                  <c:v>0.31019538650107698</c:v>
                </c:pt>
                <c:pt idx="139">
                  <c:v>0.30987439034180397</c:v>
                </c:pt>
                <c:pt idx="140">
                  <c:v>0.30881400930462799</c:v>
                </c:pt>
                <c:pt idx="141">
                  <c:v>0.30847804639013598</c:v>
                </c:pt>
                <c:pt idx="142">
                  <c:v>0.30801061708324701</c:v>
                </c:pt>
                <c:pt idx="143">
                  <c:v>0.30770176927234599</c:v>
                </c:pt>
                <c:pt idx="144">
                  <c:v>0.30650693257531703</c:v>
                </c:pt>
                <c:pt idx="145">
                  <c:v>0.30639943366655098</c:v>
                </c:pt>
                <c:pt idx="146">
                  <c:v>0.30571085635744899</c:v>
                </c:pt>
                <c:pt idx="147">
                  <c:v>0.30558889571795</c:v>
                </c:pt>
                <c:pt idx="148">
                  <c:v>0.303595296925044</c:v>
                </c:pt>
                <c:pt idx="149">
                  <c:v>0.30325138366186</c:v>
                </c:pt>
                <c:pt idx="150">
                  <c:v>0.30291650179358398</c:v>
                </c:pt>
                <c:pt idx="151">
                  <c:v>0.30146978618493198</c:v>
                </c:pt>
                <c:pt idx="152">
                  <c:v>0.30130781255732603</c:v>
                </c:pt>
                <c:pt idx="153">
                  <c:v>0.30104188574943902</c:v>
                </c:pt>
                <c:pt idx="154">
                  <c:v>0.30084072851959598</c:v>
                </c:pt>
                <c:pt idx="155">
                  <c:v>0.29995178253434102</c:v>
                </c:pt>
                <c:pt idx="156">
                  <c:v>0.29965778120907799</c:v>
                </c:pt>
                <c:pt idx="157">
                  <c:v>0.29903090288886303</c:v>
                </c:pt>
                <c:pt idx="158">
                  <c:v>0.29696290717306001</c:v>
                </c:pt>
                <c:pt idx="159">
                  <c:v>0.29672195355424003</c:v>
                </c:pt>
                <c:pt idx="160">
                  <c:v>0.29368745625744003</c:v>
                </c:pt>
                <c:pt idx="161">
                  <c:v>0.29215800278999399</c:v>
                </c:pt>
                <c:pt idx="162">
                  <c:v>0.29109221828168502</c:v>
                </c:pt>
                <c:pt idx="163">
                  <c:v>0.29049431961333</c:v>
                </c:pt>
                <c:pt idx="164">
                  <c:v>0.28883829259822202</c:v>
                </c:pt>
                <c:pt idx="165">
                  <c:v>0.28880039131041002</c:v>
                </c:pt>
                <c:pt idx="166">
                  <c:v>0.28817718690437899</c:v>
                </c:pt>
                <c:pt idx="167">
                  <c:v>0.28682289021316298</c:v>
                </c:pt>
                <c:pt idx="168">
                  <c:v>0.285571363962003</c:v>
                </c:pt>
                <c:pt idx="169">
                  <c:v>0.28527664357712501</c:v>
                </c:pt>
                <c:pt idx="170">
                  <c:v>0.28483070990485698</c:v>
                </c:pt>
                <c:pt idx="171">
                  <c:v>0.28437982677860002</c:v>
                </c:pt>
                <c:pt idx="172">
                  <c:v>0.28272518618888798</c:v>
                </c:pt>
                <c:pt idx="173">
                  <c:v>0.281600924730603</c:v>
                </c:pt>
                <c:pt idx="174">
                  <c:v>0.28124033877899002</c:v>
                </c:pt>
                <c:pt idx="175">
                  <c:v>0.28116816656924698</c:v>
                </c:pt>
                <c:pt idx="176">
                  <c:v>0.28096551950149001</c:v>
                </c:pt>
                <c:pt idx="177">
                  <c:v>0.280404502217382</c:v>
                </c:pt>
                <c:pt idx="178">
                  <c:v>0.28040248097509402</c:v>
                </c:pt>
                <c:pt idx="179">
                  <c:v>0.27979436225603599</c:v>
                </c:pt>
                <c:pt idx="180">
                  <c:v>0.27913093646883502</c:v>
                </c:pt>
                <c:pt idx="181">
                  <c:v>0.27899338267374701</c:v>
                </c:pt>
                <c:pt idx="182">
                  <c:v>0.27884722485664099</c:v>
                </c:pt>
                <c:pt idx="183">
                  <c:v>0.27757814902231298</c:v>
                </c:pt>
                <c:pt idx="184">
                  <c:v>0.27707023422848798</c:v>
                </c:pt>
                <c:pt idx="185">
                  <c:v>0.27674076354390598</c:v>
                </c:pt>
                <c:pt idx="186">
                  <c:v>0.27651989720507297</c:v>
                </c:pt>
                <c:pt idx="187">
                  <c:v>0.27345400977506001</c:v>
                </c:pt>
                <c:pt idx="188">
                  <c:v>0.273419937718551</c:v>
                </c:pt>
                <c:pt idx="189">
                  <c:v>0.27338050485165499</c:v>
                </c:pt>
                <c:pt idx="190">
                  <c:v>0.27319146516874898</c:v>
                </c:pt>
                <c:pt idx="191">
                  <c:v>0.273142709948556</c:v>
                </c:pt>
                <c:pt idx="192">
                  <c:v>0.27232723209020199</c:v>
                </c:pt>
                <c:pt idx="193">
                  <c:v>0.27144640065078202</c:v>
                </c:pt>
                <c:pt idx="194">
                  <c:v>0.27013548905218498</c:v>
                </c:pt>
                <c:pt idx="195">
                  <c:v>0.26985706054111203</c:v>
                </c:pt>
                <c:pt idx="196">
                  <c:v>0.269826087552475</c:v>
                </c:pt>
                <c:pt idx="197">
                  <c:v>0.26941001196852499</c:v>
                </c:pt>
                <c:pt idx="198">
                  <c:v>0.268819119891401</c:v>
                </c:pt>
                <c:pt idx="199">
                  <c:v>0.26797942722552598</c:v>
                </c:pt>
                <c:pt idx="200">
                  <c:v>0.26743294069496498</c:v>
                </c:pt>
                <c:pt idx="201">
                  <c:v>0.267275878706695</c:v>
                </c:pt>
                <c:pt idx="202">
                  <c:v>0.26611638921236802</c:v>
                </c:pt>
                <c:pt idx="203">
                  <c:v>0.265405618981022</c:v>
                </c:pt>
                <c:pt idx="204">
                  <c:v>0.26463638384661198</c:v>
                </c:pt>
                <c:pt idx="205">
                  <c:v>0.26439186657909802</c:v>
                </c:pt>
                <c:pt idx="206">
                  <c:v>0.264041795158099</c:v>
                </c:pt>
                <c:pt idx="207">
                  <c:v>0.26374204235940502</c:v>
                </c:pt>
                <c:pt idx="208">
                  <c:v>0.263478185814358</c:v>
                </c:pt>
                <c:pt idx="209">
                  <c:v>0.26309378134703698</c:v>
                </c:pt>
                <c:pt idx="210">
                  <c:v>0.26306270217896199</c:v>
                </c:pt>
                <c:pt idx="211">
                  <c:v>0.262835252632523</c:v>
                </c:pt>
                <c:pt idx="212">
                  <c:v>0.26272619011071602</c:v>
                </c:pt>
                <c:pt idx="213">
                  <c:v>0.26220123492320901</c:v>
                </c:pt>
                <c:pt idx="214">
                  <c:v>0.26181241984967102</c:v>
                </c:pt>
                <c:pt idx="215">
                  <c:v>0.26124403354456899</c:v>
                </c:pt>
                <c:pt idx="216">
                  <c:v>0.261153247857564</c:v>
                </c:pt>
                <c:pt idx="217">
                  <c:v>0.26106965023080803</c:v>
                </c:pt>
                <c:pt idx="218">
                  <c:v>0.26043978602927498</c:v>
                </c:pt>
                <c:pt idx="219">
                  <c:v>0.25971312671028801</c:v>
                </c:pt>
                <c:pt idx="220">
                  <c:v>0.25947922774422</c:v>
                </c:pt>
                <c:pt idx="221">
                  <c:v>0.25936899920964301</c:v>
                </c:pt>
                <c:pt idx="222">
                  <c:v>0.259088911019204</c:v>
                </c:pt>
                <c:pt idx="223">
                  <c:v>0.258916297660442</c:v>
                </c:pt>
                <c:pt idx="224">
                  <c:v>0.25765924153868602</c:v>
                </c:pt>
                <c:pt idx="225">
                  <c:v>0.25723330965768398</c:v>
                </c:pt>
                <c:pt idx="226">
                  <c:v>0.25723009376063399</c:v>
                </c:pt>
                <c:pt idx="227">
                  <c:v>0.25713890227483199</c:v>
                </c:pt>
                <c:pt idx="228">
                  <c:v>0.2563322577928</c:v>
                </c:pt>
                <c:pt idx="229">
                  <c:v>0.25558104880073301</c:v>
                </c:pt>
                <c:pt idx="230">
                  <c:v>0.25542903648708698</c:v>
                </c:pt>
                <c:pt idx="231">
                  <c:v>0.25528748263458101</c:v>
                </c:pt>
                <c:pt idx="232">
                  <c:v>0.25511149958885099</c:v>
                </c:pt>
                <c:pt idx="233">
                  <c:v>0.25501013350672203</c:v>
                </c:pt>
                <c:pt idx="234">
                  <c:v>0.25448892155688102</c:v>
                </c:pt>
                <c:pt idx="235">
                  <c:v>0.25434818429851802</c:v>
                </c:pt>
                <c:pt idx="236">
                  <c:v>0.25384932743349697</c:v>
                </c:pt>
                <c:pt idx="237">
                  <c:v>0.25351653176648298</c:v>
                </c:pt>
                <c:pt idx="238">
                  <c:v>0.2531665850157</c:v>
                </c:pt>
                <c:pt idx="239">
                  <c:v>0.25239780201461298</c:v>
                </c:pt>
                <c:pt idx="240">
                  <c:v>0.252281520042069</c:v>
                </c:pt>
                <c:pt idx="241">
                  <c:v>0.25212165912138201</c:v>
                </c:pt>
                <c:pt idx="242">
                  <c:v>0.25198457709875999</c:v>
                </c:pt>
                <c:pt idx="243">
                  <c:v>0.25167851285474002</c:v>
                </c:pt>
                <c:pt idx="244">
                  <c:v>0.251261118008413</c:v>
                </c:pt>
                <c:pt idx="245">
                  <c:v>0.25023858627977402</c:v>
                </c:pt>
                <c:pt idx="246">
                  <c:v>0.249795670859779</c:v>
                </c:pt>
                <c:pt idx="247">
                  <c:v>0.24901175722096899</c:v>
                </c:pt>
                <c:pt idx="248">
                  <c:v>0.24765218703105499</c:v>
                </c:pt>
                <c:pt idx="249">
                  <c:v>0.247377860152418</c:v>
                </c:pt>
                <c:pt idx="250">
                  <c:v>0.24602839042987201</c:v>
                </c:pt>
                <c:pt idx="251">
                  <c:v>0.24596388452385101</c:v>
                </c:pt>
                <c:pt idx="252">
                  <c:v>0.24508959407821701</c:v>
                </c:pt>
                <c:pt idx="253">
                  <c:v>0.24486116231246299</c:v>
                </c:pt>
                <c:pt idx="254">
                  <c:v>0.24465908953593099</c:v>
                </c:pt>
                <c:pt idx="255">
                  <c:v>0.243985343529207</c:v>
                </c:pt>
                <c:pt idx="256">
                  <c:v>0.242889357163901</c:v>
                </c:pt>
                <c:pt idx="257">
                  <c:v>0.24194679883305401</c:v>
                </c:pt>
                <c:pt idx="258">
                  <c:v>0.24189612394257401</c:v>
                </c:pt>
                <c:pt idx="259">
                  <c:v>0.24072838804539801</c:v>
                </c:pt>
                <c:pt idx="260">
                  <c:v>0.239627183368012</c:v>
                </c:pt>
                <c:pt idx="261">
                  <c:v>0.23869531388694701</c:v>
                </c:pt>
                <c:pt idx="262">
                  <c:v>0.23842714733329101</c:v>
                </c:pt>
                <c:pt idx="263">
                  <c:v>0.23838796511891899</c:v>
                </c:pt>
                <c:pt idx="264">
                  <c:v>0.238160075380521</c:v>
                </c:pt>
                <c:pt idx="265">
                  <c:v>0.23764911403366501</c:v>
                </c:pt>
                <c:pt idx="266">
                  <c:v>0.23756453616223799</c:v>
                </c:pt>
                <c:pt idx="267">
                  <c:v>0.23696615774765201</c:v>
                </c:pt>
                <c:pt idx="268">
                  <c:v>0.23675860873047599</c:v>
                </c:pt>
                <c:pt idx="269">
                  <c:v>0.235871640693813</c:v>
                </c:pt>
                <c:pt idx="270">
                  <c:v>0.23454373271985901</c:v>
                </c:pt>
                <c:pt idx="271">
                  <c:v>0.23340827214771401</c:v>
                </c:pt>
                <c:pt idx="272">
                  <c:v>0.23319961868865799</c:v>
                </c:pt>
                <c:pt idx="273">
                  <c:v>0.232807431685087</c:v>
                </c:pt>
                <c:pt idx="274">
                  <c:v>0.23154652216490601</c:v>
                </c:pt>
                <c:pt idx="275">
                  <c:v>0.23138920033193799</c:v>
                </c:pt>
                <c:pt idx="276">
                  <c:v>0.23133151779079</c:v>
                </c:pt>
                <c:pt idx="277">
                  <c:v>0.23113162748483701</c:v>
                </c:pt>
                <c:pt idx="278">
                  <c:v>0.23094336037794899</c:v>
                </c:pt>
                <c:pt idx="279">
                  <c:v>0.23032937261544001</c:v>
                </c:pt>
                <c:pt idx="280">
                  <c:v>0.22987141220416499</c:v>
                </c:pt>
                <c:pt idx="281">
                  <c:v>0.22982114772693099</c:v>
                </c:pt>
                <c:pt idx="282">
                  <c:v>0.229471392774484</c:v>
                </c:pt>
                <c:pt idx="283">
                  <c:v>0.229182185029249</c:v>
                </c:pt>
                <c:pt idx="284">
                  <c:v>0.22898476020757899</c:v>
                </c:pt>
                <c:pt idx="285">
                  <c:v>0.228609321622606</c:v>
                </c:pt>
                <c:pt idx="286">
                  <c:v>0.22783299703269899</c:v>
                </c:pt>
                <c:pt idx="287">
                  <c:v>0.22748037298978199</c:v>
                </c:pt>
                <c:pt idx="288">
                  <c:v>0.22559477193160801</c:v>
                </c:pt>
                <c:pt idx="289">
                  <c:v>0.22555396063885499</c:v>
                </c:pt>
                <c:pt idx="290">
                  <c:v>0.225171513939732</c:v>
                </c:pt>
                <c:pt idx="291">
                  <c:v>0.224949944858989</c:v>
                </c:pt>
                <c:pt idx="292">
                  <c:v>0.22460043617196401</c:v>
                </c:pt>
                <c:pt idx="293">
                  <c:v>0.224552436246474</c:v>
                </c:pt>
                <c:pt idx="294">
                  <c:v>0.224506419432837</c:v>
                </c:pt>
                <c:pt idx="295">
                  <c:v>0.22355445846465399</c:v>
                </c:pt>
                <c:pt idx="296">
                  <c:v>0.22319766481089001</c:v>
                </c:pt>
                <c:pt idx="297">
                  <c:v>0.22311734598966801</c:v>
                </c:pt>
                <c:pt idx="298">
                  <c:v>0.22307862360639399</c:v>
                </c:pt>
                <c:pt idx="299">
                  <c:v>0.222844577105727</c:v>
                </c:pt>
                <c:pt idx="300">
                  <c:v>0.22273658356082399</c:v>
                </c:pt>
                <c:pt idx="301">
                  <c:v>0.22269215739780199</c:v>
                </c:pt>
                <c:pt idx="302">
                  <c:v>0.22198184210665201</c:v>
                </c:pt>
                <c:pt idx="303">
                  <c:v>0.22141158281244</c:v>
                </c:pt>
                <c:pt idx="304">
                  <c:v>0.22098699593295401</c:v>
                </c:pt>
                <c:pt idx="305">
                  <c:v>0.22030373867517</c:v>
                </c:pt>
                <c:pt idx="306">
                  <c:v>0.21887616000736901</c:v>
                </c:pt>
                <c:pt idx="307">
                  <c:v>0.217513953950006</c:v>
                </c:pt>
                <c:pt idx="308">
                  <c:v>0.216981589551034</c:v>
                </c:pt>
                <c:pt idx="309">
                  <c:v>0.21659039252141599</c:v>
                </c:pt>
                <c:pt idx="310">
                  <c:v>0.21635767279465301</c:v>
                </c:pt>
                <c:pt idx="311">
                  <c:v>0.21612391740801601</c:v>
                </c:pt>
                <c:pt idx="312">
                  <c:v>0.21521584387921999</c:v>
                </c:pt>
                <c:pt idx="313">
                  <c:v>0.21508657948212601</c:v>
                </c:pt>
                <c:pt idx="314">
                  <c:v>0.21498333587570201</c:v>
                </c:pt>
                <c:pt idx="315">
                  <c:v>0.21487838174189899</c:v>
                </c:pt>
                <c:pt idx="316">
                  <c:v>0.214820731480656</c:v>
                </c:pt>
                <c:pt idx="317">
                  <c:v>0.21477219578669399</c:v>
                </c:pt>
                <c:pt idx="318">
                  <c:v>0.21471571865464201</c:v>
                </c:pt>
                <c:pt idx="319">
                  <c:v>0.214588452736652</c:v>
                </c:pt>
                <c:pt idx="320">
                  <c:v>0.214390357591702</c:v>
                </c:pt>
                <c:pt idx="321">
                  <c:v>0.213027965488893</c:v>
                </c:pt>
                <c:pt idx="322">
                  <c:v>0.21297451889094701</c:v>
                </c:pt>
                <c:pt idx="323">
                  <c:v>0.21221160113902399</c:v>
                </c:pt>
                <c:pt idx="324">
                  <c:v>0.210701515123602</c:v>
                </c:pt>
                <c:pt idx="325">
                  <c:v>0.210472539682</c:v>
                </c:pt>
                <c:pt idx="326">
                  <c:v>0.21043709540518399</c:v>
                </c:pt>
                <c:pt idx="327">
                  <c:v>0.210318254985283</c:v>
                </c:pt>
                <c:pt idx="328">
                  <c:v>0.209412433115747</c:v>
                </c:pt>
                <c:pt idx="329">
                  <c:v>0.20867757063527001</c:v>
                </c:pt>
                <c:pt idx="330">
                  <c:v>0.20835034772248701</c:v>
                </c:pt>
                <c:pt idx="331">
                  <c:v>0.20774395002721099</c:v>
                </c:pt>
                <c:pt idx="332">
                  <c:v>0.20750501787903</c:v>
                </c:pt>
                <c:pt idx="333">
                  <c:v>0.20742463159997299</c:v>
                </c:pt>
                <c:pt idx="334">
                  <c:v>0.20643526603707399</c:v>
                </c:pt>
                <c:pt idx="335">
                  <c:v>0.20637093662587999</c:v>
                </c:pt>
                <c:pt idx="336">
                  <c:v>0.20612090373452099</c:v>
                </c:pt>
                <c:pt idx="337">
                  <c:v>0.20543304735033399</c:v>
                </c:pt>
                <c:pt idx="338">
                  <c:v>0.20535823877728901</c:v>
                </c:pt>
                <c:pt idx="339">
                  <c:v>0.20471342431981601</c:v>
                </c:pt>
                <c:pt idx="340">
                  <c:v>0.20448187366854201</c:v>
                </c:pt>
                <c:pt idx="341">
                  <c:v>0.20430889160499199</c:v>
                </c:pt>
                <c:pt idx="342">
                  <c:v>0.20417477566117501</c:v>
                </c:pt>
                <c:pt idx="343">
                  <c:v>0.20388125884401001</c:v>
                </c:pt>
                <c:pt idx="344">
                  <c:v>0.20377114511473299</c:v>
                </c:pt>
                <c:pt idx="345">
                  <c:v>0.20361084696082199</c:v>
                </c:pt>
                <c:pt idx="346">
                  <c:v>0.203386088622377</c:v>
                </c:pt>
                <c:pt idx="347">
                  <c:v>0.20328928269926799</c:v>
                </c:pt>
                <c:pt idx="348">
                  <c:v>0.20259178540494899</c:v>
                </c:pt>
                <c:pt idx="349">
                  <c:v>0.20187677165704301</c:v>
                </c:pt>
                <c:pt idx="350">
                  <c:v>0.2004899663195</c:v>
                </c:pt>
                <c:pt idx="351">
                  <c:v>0.20020421517081199</c:v>
                </c:pt>
                <c:pt idx="352">
                  <c:v>0.19885484877475501</c:v>
                </c:pt>
                <c:pt idx="353">
                  <c:v>0.19848061808206499</c:v>
                </c:pt>
                <c:pt idx="354">
                  <c:v>0.198377544477158</c:v>
                </c:pt>
                <c:pt idx="355">
                  <c:v>0.197810505251761</c:v>
                </c:pt>
                <c:pt idx="356">
                  <c:v>0.197687360197463</c:v>
                </c:pt>
                <c:pt idx="357">
                  <c:v>0.19731497933098299</c:v>
                </c:pt>
                <c:pt idx="358">
                  <c:v>0.196889023823141</c:v>
                </c:pt>
                <c:pt idx="359">
                  <c:v>0.196254409076563</c:v>
                </c:pt>
                <c:pt idx="360">
                  <c:v>0.19617167487957801</c:v>
                </c:pt>
                <c:pt idx="361">
                  <c:v>0.195525415822038</c:v>
                </c:pt>
                <c:pt idx="362">
                  <c:v>0.19482591172699201</c:v>
                </c:pt>
                <c:pt idx="363">
                  <c:v>0.194494967850528</c:v>
                </c:pt>
                <c:pt idx="364">
                  <c:v>0.19443035761341501</c:v>
                </c:pt>
                <c:pt idx="365">
                  <c:v>0.19436490740217099</c:v>
                </c:pt>
                <c:pt idx="366">
                  <c:v>0.194347764972646</c:v>
                </c:pt>
                <c:pt idx="367">
                  <c:v>0.193905821251804</c:v>
                </c:pt>
                <c:pt idx="368">
                  <c:v>0.19360501144457501</c:v>
                </c:pt>
                <c:pt idx="369">
                  <c:v>0.19345889086836901</c:v>
                </c:pt>
                <c:pt idx="370">
                  <c:v>0.19310518534204199</c:v>
                </c:pt>
                <c:pt idx="371">
                  <c:v>0.19304343054670001</c:v>
                </c:pt>
                <c:pt idx="372">
                  <c:v>0.19250135275037999</c:v>
                </c:pt>
                <c:pt idx="373">
                  <c:v>0.192096768513563</c:v>
                </c:pt>
                <c:pt idx="374">
                  <c:v>0.19156548029887499</c:v>
                </c:pt>
                <c:pt idx="375">
                  <c:v>0.19134405516015901</c:v>
                </c:pt>
                <c:pt idx="376">
                  <c:v>0.190676620733427</c:v>
                </c:pt>
                <c:pt idx="377">
                  <c:v>0.19012600626842299</c:v>
                </c:pt>
                <c:pt idx="378">
                  <c:v>0.19008865575244599</c:v>
                </c:pt>
                <c:pt idx="379">
                  <c:v>0.190067197454519</c:v>
                </c:pt>
                <c:pt idx="380">
                  <c:v>0.18969606299959199</c:v>
                </c:pt>
                <c:pt idx="381">
                  <c:v>0.188916455378519</c:v>
                </c:pt>
                <c:pt idx="382">
                  <c:v>0.18876853313872699</c:v>
                </c:pt>
                <c:pt idx="383">
                  <c:v>0.18827516812001799</c:v>
                </c:pt>
                <c:pt idx="384">
                  <c:v>0.18820243128675301</c:v>
                </c:pt>
                <c:pt idx="385">
                  <c:v>0.18792179726685601</c:v>
                </c:pt>
                <c:pt idx="386">
                  <c:v>0.18738768368467501</c:v>
                </c:pt>
                <c:pt idx="387">
                  <c:v>0.18735024376918599</c:v>
                </c:pt>
                <c:pt idx="388">
                  <c:v>0.18689819072136499</c:v>
                </c:pt>
                <c:pt idx="389">
                  <c:v>0.18667376772121599</c:v>
                </c:pt>
                <c:pt idx="390">
                  <c:v>0.18587286740379499</c:v>
                </c:pt>
                <c:pt idx="391">
                  <c:v>0.185869430362399</c:v>
                </c:pt>
                <c:pt idx="392">
                  <c:v>0.18581500950524499</c:v>
                </c:pt>
                <c:pt idx="393">
                  <c:v>0.184696758886608</c:v>
                </c:pt>
                <c:pt idx="394">
                  <c:v>0.1842568009661</c:v>
                </c:pt>
                <c:pt idx="395">
                  <c:v>0.18417063270655001</c:v>
                </c:pt>
                <c:pt idx="396">
                  <c:v>0.183242027303886</c:v>
                </c:pt>
                <c:pt idx="397">
                  <c:v>0.18303228330119201</c:v>
                </c:pt>
                <c:pt idx="398">
                  <c:v>0.182910613245308</c:v>
                </c:pt>
                <c:pt idx="399">
                  <c:v>0.182817642921211</c:v>
                </c:pt>
                <c:pt idx="400">
                  <c:v>0.182738203085682</c:v>
                </c:pt>
                <c:pt idx="401">
                  <c:v>0.18265333346206</c:v>
                </c:pt>
                <c:pt idx="402">
                  <c:v>0.18213824947999899</c:v>
                </c:pt>
                <c:pt idx="403">
                  <c:v>0.18190042067043699</c:v>
                </c:pt>
                <c:pt idx="404">
                  <c:v>0.181771148153336</c:v>
                </c:pt>
                <c:pt idx="405">
                  <c:v>0.18171925050202201</c:v>
                </c:pt>
                <c:pt idx="406">
                  <c:v>0.18150173024317401</c:v>
                </c:pt>
                <c:pt idx="407">
                  <c:v>0.18114351190988301</c:v>
                </c:pt>
                <c:pt idx="408">
                  <c:v>0.18104415261513401</c:v>
                </c:pt>
                <c:pt idx="409">
                  <c:v>0.179728895723683</c:v>
                </c:pt>
                <c:pt idx="410">
                  <c:v>0.179698192352091</c:v>
                </c:pt>
                <c:pt idx="411">
                  <c:v>0.17969458030667201</c:v>
                </c:pt>
                <c:pt idx="412">
                  <c:v>0.179692156203418</c:v>
                </c:pt>
                <c:pt idx="413">
                  <c:v>0.17943727397138901</c:v>
                </c:pt>
                <c:pt idx="414">
                  <c:v>0.17874335935865701</c:v>
                </c:pt>
                <c:pt idx="415">
                  <c:v>0.17822296700037599</c:v>
                </c:pt>
                <c:pt idx="416">
                  <c:v>0.178149482488141</c:v>
                </c:pt>
                <c:pt idx="417">
                  <c:v>0.17800395504008201</c:v>
                </c:pt>
                <c:pt idx="418">
                  <c:v>0.17756259526115301</c:v>
                </c:pt>
                <c:pt idx="419">
                  <c:v>0.17746214178611</c:v>
                </c:pt>
                <c:pt idx="420">
                  <c:v>0.17655947315892101</c:v>
                </c:pt>
                <c:pt idx="421">
                  <c:v>0.17575809534738401</c:v>
                </c:pt>
                <c:pt idx="422">
                  <c:v>0.175687026117163</c:v>
                </c:pt>
                <c:pt idx="423">
                  <c:v>0.17505582227858599</c:v>
                </c:pt>
                <c:pt idx="424">
                  <c:v>0.17472554439612401</c:v>
                </c:pt>
                <c:pt idx="425">
                  <c:v>0.174128542348124</c:v>
                </c:pt>
                <c:pt idx="426">
                  <c:v>0.174117266183312</c:v>
                </c:pt>
                <c:pt idx="427">
                  <c:v>0.173870340170447</c:v>
                </c:pt>
                <c:pt idx="428">
                  <c:v>0.17376412274208899</c:v>
                </c:pt>
                <c:pt idx="429">
                  <c:v>0.17363499105122801</c:v>
                </c:pt>
                <c:pt idx="430">
                  <c:v>0.173468490724874</c:v>
                </c:pt>
                <c:pt idx="431">
                  <c:v>0.17341743054946901</c:v>
                </c:pt>
                <c:pt idx="432">
                  <c:v>0.17264946786278901</c:v>
                </c:pt>
                <c:pt idx="433">
                  <c:v>0.17253272277899601</c:v>
                </c:pt>
                <c:pt idx="434">
                  <c:v>0.17194152814786701</c:v>
                </c:pt>
                <c:pt idx="435">
                  <c:v>0.171537826145571</c:v>
                </c:pt>
                <c:pt idx="436">
                  <c:v>0.17099281629590901</c:v>
                </c:pt>
                <c:pt idx="437">
                  <c:v>0.17089750143944599</c:v>
                </c:pt>
                <c:pt idx="438">
                  <c:v>0.170882490454842</c:v>
                </c:pt>
                <c:pt idx="439">
                  <c:v>0.17073368060229399</c:v>
                </c:pt>
                <c:pt idx="440">
                  <c:v>0.17068039835294799</c:v>
                </c:pt>
                <c:pt idx="441">
                  <c:v>0.16976774491757701</c:v>
                </c:pt>
                <c:pt idx="442">
                  <c:v>0.169578201188605</c:v>
                </c:pt>
                <c:pt idx="443">
                  <c:v>0.16954657149097599</c:v>
                </c:pt>
                <c:pt idx="444">
                  <c:v>0.16921667902444501</c:v>
                </c:pt>
                <c:pt idx="445">
                  <c:v>0.16886396356309299</c:v>
                </c:pt>
                <c:pt idx="446">
                  <c:v>0.167119753154755</c:v>
                </c:pt>
                <c:pt idx="447">
                  <c:v>0.16675221274287999</c:v>
                </c:pt>
                <c:pt idx="448">
                  <c:v>0.16654641409135401</c:v>
                </c:pt>
                <c:pt idx="449">
                  <c:v>0.16628158238846599</c:v>
                </c:pt>
                <c:pt idx="450">
                  <c:v>0.16562869336147601</c:v>
                </c:pt>
                <c:pt idx="451">
                  <c:v>0.16558555001869901</c:v>
                </c:pt>
                <c:pt idx="452">
                  <c:v>0.16541998059650401</c:v>
                </c:pt>
                <c:pt idx="453">
                  <c:v>0.16533716063156501</c:v>
                </c:pt>
                <c:pt idx="454">
                  <c:v>0.165198016412749</c:v>
                </c:pt>
                <c:pt idx="455">
                  <c:v>0.16421729579928901</c:v>
                </c:pt>
                <c:pt idx="456">
                  <c:v>0.16415875882633699</c:v>
                </c:pt>
                <c:pt idx="457">
                  <c:v>0.163251394309507</c:v>
                </c:pt>
                <c:pt idx="458">
                  <c:v>0.16299850484821299</c:v>
                </c:pt>
                <c:pt idx="459">
                  <c:v>0.16279102598314299</c:v>
                </c:pt>
                <c:pt idx="460">
                  <c:v>0.16267270674429901</c:v>
                </c:pt>
                <c:pt idx="461">
                  <c:v>0.16257054192407</c:v>
                </c:pt>
                <c:pt idx="462">
                  <c:v>0.16180838847372001</c:v>
                </c:pt>
                <c:pt idx="463">
                  <c:v>0.161492492223269</c:v>
                </c:pt>
                <c:pt idx="464">
                  <c:v>0.16149201794010001</c:v>
                </c:pt>
                <c:pt idx="465">
                  <c:v>0.161296697897508</c:v>
                </c:pt>
                <c:pt idx="466">
                  <c:v>0.16128935140957601</c:v>
                </c:pt>
                <c:pt idx="467">
                  <c:v>0.161226222047574</c:v>
                </c:pt>
                <c:pt idx="468">
                  <c:v>0.16111797783452</c:v>
                </c:pt>
                <c:pt idx="469">
                  <c:v>0.160982209684571</c:v>
                </c:pt>
                <c:pt idx="470">
                  <c:v>0.16072152030472001</c:v>
                </c:pt>
                <c:pt idx="471">
                  <c:v>0.16070259013654001</c:v>
                </c:pt>
                <c:pt idx="472">
                  <c:v>0.16065168467798099</c:v>
                </c:pt>
                <c:pt idx="473">
                  <c:v>0.16048335446074399</c:v>
                </c:pt>
                <c:pt idx="474">
                  <c:v>0.16044296315290299</c:v>
                </c:pt>
                <c:pt idx="475">
                  <c:v>0.160235418331441</c:v>
                </c:pt>
                <c:pt idx="476">
                  <c:v>0.160128278445408</c:v>
                </c:pt>
                <c:pt idx="477">
                  <c:v>0.16002664148493201</c:v>
                </c:pt>
                <c:pt idx="478">
                  <c:v>0.15996153901601301</c:v>
                </c:pt>
                <c:pt idx="479">
                  <c:v>0.15993193644007</c:v>
                </c:pt>
                <c:pt idx="480">
                  <c:v>0.159242118195914</c:v>
                </c:pt>
                <c:pt idx="481">
                  <c:v>0.15904109080713499</c:v>
                </c:pt>
                <c:pt idx="482">
                  <c:v>0.15880789429609299</c:v>
                </c:pt>
                <c:pt idx="483">
                  <c:v>0.15826994434254801</c:v>
                </c:pt>
                <c:pt idx="484">
                  <c:v>0.15764049711522099</c:v>
                </c:pt>
                <c:pt idx="485">
                  <c:v>0.157558152689209</c:v>
                </c:pt>
                <c:pt idx="486">
                  <c:v>0.157239543649452</c:v>
                </c:pt>
                <c:pt idx="487">
                  <c:v>0.157145007123487</c:v>
                </c:pt>
                <c:pt idx="488">
                  <c:v>0.157026230150874</c:v>
                </c:pt>
                <c:pt idx="489">
                  <c:v>0.156614431486954</c:v>
                </c:pt>
                <c:pt idx="490">
                  <c:v>0.15659149035351999</c:v>
                </c:pt>
                <c:pt idx="491">
                  <c:v>0.15652070059307399</c:v>
                </c:pt>
                <c:pt idx="492">
                  <c:v>0.1565115988228</c:v>
                </c:pt>
                <c:pt idx="493">
                  <c:v>0.15641937081797599</c:v>
                </c:pt>
                <c:pt idx="494">
                  <c:v>0.156090078889354</c:v>
                </c:pt>
                <c:pt idx="495">
                  <c:v>0.155703263464194</c:v>
                </c:pt>
                <c:pt idx="496">
                  <c:v>0.15555126037080799</c:v>
                </c:pt>
                <c:pt idx="497">
                  <c:v>0.154792847051134</c:v>
                </c:pt>
                <c:pt idx="498">
                  <c:v>0.15435634936188999</c:v>
                </c:pt>
                <c:pt idx="499">
                  <c:v>0.15377469671363</c:v>
                </c:pt>
                <c:pt idx="500">
                  <c:v>0.153613193222424</c:v>
                </c:pt>
                <c:pt idx="501">
                  <c:v>0.15355455457603301</c:v>
                </c:pt>
                <c:pt idx="502">
                  <c:v>0.15354838184384101</c:v>
                </c:pt>
                <c:pt idx="503">
                  <c:v>0.153187391670569</c:v>
                </c:pt>
                <c:pt idx="504">
                  <c:v>0.15288027133909199</c:v>
                </c:pt>
                <c:pt idx="505">
                  <c:v>0.15287422918246399</c:v>
                </c:pt>
                <c:pt idx="506">
                  <c:v>0.15229058551338101</c:v>
                </c:pt>
                <c:pt idx="507">
                  <c:v>0.15224997363471901</c:v>
                </c:pt>
                <c:pt idx="508">
                  <c:v>0.152231095363354</c:v>
                </c:pt>
                <c:pt idx="509">
                  <c:v>0.152220466697635</c:v>
                </c:pt>
                <c:pt idx="510">
                  <c:v>0.15202310920613901</c:v>
                </c:pt>
                <c:pt idx="511">
                  <c:v>0.151222777616006</c:v>
                </c:pt>
                <c:pt idx="512">
                  <c:v>0.15098675255563501</c:v>
                </c:pt>
                <c:pt idx="513">
                  <c:v>0.150917783831714</c:v>
                </c:pt>
                <c:pt idx="514">
                  <c:v>0.15087496213374599</c:v>
                </c:pt>
                <c:pt idx="515">
                  <c:v>0.15077056787989301</c:v>
                </c:pt>
                <c:pt idx="516">
                  <c:v>0.15023545691020501</c:v>
                </c:pt>
                <c:pt idx="517">
                  <c:v>0.15013578804891001</c:v>
                </c:pt>
                <c:pt idx="518">
                  <c:v>0.150121320569233</c:v>
                </c:pt>
                <c:pt idx="519">
                  <c:v>0.15009153669504299</c:v>
                </c:pt>
                <c:pt idx="520">
                  <c:v>0.14991741186104601</c:v>
                </c:pt>
                <c:pt idx="521">
                  <c:v>0.149755201124807</c:v>
                </c:pt>
                <c:pt idx="522">
                  <c:v>0.149232872142784</c:v>
                </c:pt>
                <c:pt idx="523">
                  <c:v>0.14872113595533701</c:v>
                </c:pt>
                <c:pt idx="524">
                  <c:v>0.14855921036003</c:v>
                </c:pt>
                <c:pt idx="525">
                  <c:v>0.14851562040525701</c:v>
                </c:pt>
                <c:pt idx="526">
                  <c:v>0.14847891310807601</c:v>
                </c:pt>
                <c:pt idx="527">
                  <c:v>0.14841507451730299</c:v>
                </c:pt>
                <c:pt idx="528">
                  <c:v>0.148326068812662</c:v>
                </c:pt>
                <c:pt idx="529">
                  <c:v>0.14794975722505099</c:v>
                </c:pt>
                <c:pt idx="530">
                  <c:v>0.14791448247990599</c:v>
                </c:pt>
                <c:pt idx="531">
                  <c:v>0.14783157129394101</c:v>
                </c:pt>
                <c:pt idx="532">
                  <c:v>0.147647041289414</c:v>
                </c:pt>
                <c:pt idx="533">
                  <c:v>0.147549976833413</c:v>
                </c:pt>
                <c:pt idx="534">
                  <c:v>0.147452898149246</c:v>
                </c:pt>
                <c:pt idx="535">
                  <c:v>0.14739200263034</c:v>
                </c:pt>
                <c:pt idx="536">
                  <c:v>0.14716144088614899</c:v>
                </c:pt>
                <c:pt idx="537">
                  <c:v>0.14672054828254999</c:v>
                </c:pt>
                <c:pt idx="538">
                  <c:v>0.14651218373729699</c:v>
                </c:pt>
                <c:pt idx="539">
                  <c:v>0.14647144910694301</c:v>
                </c:pt>
                <c:pt idx="540">
                  <c:v>0.14554778601721199</c:v>
                </c:pt>
                <c:pt idx="541">
                  <c:v>0.14503068151857601</c:v>
                </c:pt>
                <c:pt idx="542">
                  <c:v>0.14490593934421001</c:v>
                </c:pt>
                <c:pt idx="543">
                  <c:v>0.144683694710279</c:v>
                </c:pt>
                <c:pt idx="544">
                  <c:v>0.14424303690387899</c:v>
                </c:pt>
                <c:pt idx="545">
                  <c:v>0.14389125464861899</c:v>
                </c:pt>
                <c:pt idx="546">
                  <c:v>0.14371438213728499</c:v>
                </c:pt>
                <c:pt idx="547">
                  <c:v>0.14367432714016501</c:v>
                </c:pt>
                <c:pt idx="548">
                  <c:v>0.14364306001916299</c:v>
                </c:pt>
                <c:pt idx="549">
                  <c:v>0.14263391983530799</c:v>
                </c:pt>
                <c:pt idx="550">
                  <c:v>0.142505256562105</c:v>
                </c:pt>
                <c:pt idx="551">
                  <c:v>0.14241844659938099</c:v>
                </c:pt>
                <c:pt idx="552">
                  <c:v>0.142417403386908</c:v>
                </c:pt>
                <c:pt idx="553">
                  <c:v>0.142245248656407</c:v>
                </c:pt>
                <c:pt idx="554">
                  <c:v>0.14151556127317499</c:v>
                </c:pt>
                <c:pt idx="555">
                  <c:v>0.141356219854297</c:v>
                </c:pt>
                <c:pt idx="556">
                  <c:v>0.14103824447557201</c:v>
                </c:pt>
                <c:pt idx="557">
                  <c:v>0.14069936399426999</c:v>
                </c:pt>
                <c:pt idx="558">
                  <c:v>0.140686599756046</c:v>
                </c:pt>
                <c:pt idx="559">
                  <c:v>0.13973166141962701</c:v>
                </c:pt>
                <c:pt idx="560">
                  <c:v>0.13948225577506199</c:v>
                </c:pt>
                <c:pt idx="561">
                  <c:v>0.139285129322818</c:v>
                </c:pt>
                <c:pt idx="562">
                  <c:v>0.13912479748748699</c:v>
                </c:pt>
                <c:pt idx="563">
                  <c:v>0.13865013256837699</c:v>
                </c:pt>
                <c:pt idx="564">
                  <c:v>0.13816341428253401</c:v>
                </c:pt>
                <c:pt idx="565">
                  <c:v>0.137784568851432</c:v>
                </c:pt>
                <c:pt idx="566">
                  <c:v>0.13760627268064499</c:v>
                </c:pt>
                <c:pt idx="567">
                  <c:v>0.13717652609834599</c:v>
                </c:pt>
                <c:pt idx="568">
                  <c:v>0.13709624206007201</c:v>
                </c:pt>
                <c:pt idx="569">
                  <c:v>0.13682717022760699</c:v>
                </c:pt>
                <c:pt idx="570">
                  <c:v>0.13666349177701401</c:v>
                </c:pt>
                <c:pt idx="571">
                  <c:v>0.136642127490402</c:v>
                </c:pt>
                <c:pt idx="572">
                  <c:v>0.13657082912417001</c:v>
                </c:pt>
                <c:pt idx="573">
                  <c:v>0.13649800393747799</c:v>
                </c:pt>
                <c:pt idx="574">
                  <c:v>0.136186097737371</c:v>
                </c:pt>
                <c:pt idx="575">
                  <c:v>0.13597406345712101</c:v>
                </c:pt>
                <c:pt idx="576">
                  <c:v>0.13524167443708601</c:v>
                </c:pt>
                <c:pt idx="577">
                  <c:v>0.13516045656353801</c:v>
                </c:pt>
                <c:pt idx="578">
                  <c:v>0.13503942389075901</c:v>
                </c:pt>
                <c:pt idx="579">
                  <c:v>0.134841654579334</c:v>
                </c:pt>
                <c:pt idx="580">
                  <c:v>0.134369055893649</c:v>
                </c:pt>
                <c:pt idx="581">
                  <c:v>0.13346793189872</c:v>
                </c:pt>
                <c:pt idx="582">
                  <c:v>0.13342867073123699</c:v>
                </c:pt>
                <c:pt idx="583">
                  <c:v>0.13333580975269599</c:v>
                </c:pt>
                <c:pt idx="584">
                  <c:v>0.13307925940398099</c:v>
                </c:pt>
                <c:pt idx="585">
                  <c:v>0.132436710240947</c:v>
                </c:pt>
                <c:pt idx="586">
                  <c:v>0.13220028801091399</c:v>
                </c:pt>
                <c:pt idx="587">
                  <c:v>0.13218243313979</c:v>
                </c:pt>
                <c:pt idx="588">
                  <c:v>0.13217016239068999</c:v>
                </c:pt>
                <c:pt idx="589">
                  <c:v>0.132150168728326</c:v>
                </c:pt>
                <c:pt idx="590">
                  <c:v>0.13179963043578699</c:v>
                </c:pt>
                <c:pt idx="591">
                  <c:v>0.131629727017224</c:v>
                </c:pt>
                <c:pt idx="592">
                  <c:v>0.13128240295635599</c:v>
                </c:pt>
                <c:pt idx="593">
                  <c:v>0.131115749765496</c:v>
                </c:pt>
                <c:pt idx="594">
                  <c:v>0.130548286179371</c:v>
                </c:pt>
                <c:pt idx="595">
                  <c:v>0.13039070358205601</c:v>
                </c:pt>
                <c:pt idx="596">
                  <c:v>0.13019375769755201</c:v>
                </c:pt>
                <c:pt idx="597">
                  <c:v>0.12955628604901701</c:v>
                </c:pt>
                <c:pt idx="598">
                  <c:v>0.12865299423476101</c:v>
                </c:pt>
                <c:pt idx="599">
                  <c:v>0.12801462304301101</c:v>
                </c:pt>
                <c:pt idx="600">
                  <c:v>0.12793963424486801</c:v>
                </c:pt>
                <c:pt idx="601">
                  <c:v>0.12702955852422401</c:v>
                </c:pt>
                <c:pt idx="602">
                  <c:v>0.12698017984666499</c:v>
                </c:pt>
                <c:pt idx="603">
                  <c:v>0.126971590535499</c:v>
                </c:pt>
                <c:pt idx="604">
                  <c:v>0.12667515394750201</c:v>
                </c:pt>
                <c:pt idx="605">
                  <c:v>0.12659532877110199</c:v>
                </c:pt>
                <c:pt idx="606">
                  <c:v>0.12598592353982699</c:v>
                </c:pt>
                <c:pt idx="607">
                  <c:v>0.12572920615993</c:v>
                </c:pt>
                <c:pt idx="608">
                  <c:v>0.12546463494757601</c:v>
                </c:pt>
                <c:pt idx="609">
                  <c:v>0.12520639406075401</c:v>
                </c:pt>
                <c:pt idx="610">
                  <c:v>0.124863796969598</c:v>
                </c:pt>
                <c:pt idx="611">
                  <c:v>0.12455093190165201</c:v>
                </c:pt>
                <c:pt idx="612">
                  <c:v>0.12450667195731099</c:v>
                </c:pt>
                <c:pt idx="613">
                  <c:v>0.12449356040519299</c:v>
                </c:pt>
                <c:pt idx="614">
                  <c:v>0.124475269550402</c:v>
                </c:pt>
                <c:pt idx="615">
                  <c:v>0.123917519528671</c:v>
                </c:pt>
                <c:pt idx="616">
                  <c:v>0.12376484638095001</c:v>
                </c:pt>
                <c:pt idx="617">
                  <c:v>0.12371594719547099</c:v>
                </c:pt>
                <c:pt idx="618">
                  <c:v>0.123613137574759</c:v>
                </c:pt>
                <c:pt idx="619">
                  <c:v>0.123362918329042</c:v>
                </c:pt>
                <c:pt idx="620">
                  <c:v>0.123353984016444</c:v>
                </c:pt>
                <c:pt idx="621">
                  <c:v>0.12328835899983499</c:v>
                </c:pt>
                <c:pt idx="622">
                  <c:v>0.123173779262851</c:v>
                </c:pt>
                <c:pt idx="623">
                  <c:v>0.123118893733121</c:v>
                </c:pt>
                <c:pt idx="624">
                  <c:v>0.12253670391672</c:v>
                </c:pt>
                <c:pt idx="625">
                  <c:v>0.122135697898172</c:v>
                </c:pt>
                <c:pt idx="626">
                  <c:v>0.122126085136939</c:v>
                </c:pt>
                <c:pt idx="627">
                  <c:v>0.12198491874278899</c:v>
                </c:pt>
                <c:pt idx="628">
                  <c:v>0.121918383233014</c:v>
                </c:pt>
                <c:pt idx="629">
                  <c:v>0.12172872356574201</c:v>
                </c:pt>
                <c:pt idx="630">
                  <c:v>0.121167481217458</c:v>
                </c:pt>
                <c:pt idx="631">
                  <c:v>0.120796776564893</c:v>
                </c:pt>
                <c:pt idx="632">
                  <c:v>0.120774072212465</c:v>
                </c:pt>
                <c:pt idx="633">
                  <c:v>0.120728691584569</c:v>
                </c:pt>
                <c:pt idx="634">
                  <c:v>0.12052133647395501</c:v>
                </c:pt>
                <c:pt idx="635">
                  <c:v>0.119615875182746</c:v>
                </c:pt>
                <c:pt idx="636">
                  <c:v>0.119320982351639</c:v>
                </c:pt>
                <c:pt idx="637">
                  <c:v>0.11921265131618999</c:v>
                </c:pt>
                <c:pt idx="638">
                  <c:v>0.119121032254313</c:v>
                </c:pt>
                <c:pt idx="639">
                  <c:v>0.118705726486683</c:v>
                </c:pt>
                <c:pt idx="640">
                  <c:v>0.118467815011217</c:v>
                </c:pt>
                <c:pt idx="641">
                  <c:v>0.118343660174275</c:v>
                </c:pt>
                <c:pt idx="642">
                  <c:v>0.118271819382656</c:v>
                </c:pt>
                <c:pt idx="643">
                  <c:v>0.117362311814356</c:v>
                </c:pt>
                <c:pt idx="644">
                  <c:v>0.116509294827845</c:v>
                </c:pt>
                <c:pt idx="645">
                  <c:v>0.116134026662027</c:v>
                </c:pt>
                <c:pt idx="646">
                  <c:v>0.115766611619208</c:v>
                </c:pt>
                <c:pt idx="647">
                  <c:v>0.11571735351286901</c:v>
                </c:pt>
                <c:pt idx="648">
                  <c:v>0.115678585024191</c:v>
                </c:pt>
                <c:pt idx="649">
                  <c:v>0.115425345144245</c:v>
                </c:pt>
                <c:pt idx="650">
                  <c:v>0.115424361015751</c:v>
                </c:pt>
                <c:pt idx="651">
                  <c:v>0.11530167643436599</c:v>
                </c:pt>
                <c:pt idx="652">
                  <c:v>0.115284994992794</c:v>
                </c:pt>
                <c:pt idx="653">
                  <c:v>0.11528447458509</c:v>
                </c:pt>
                <c:pt idx="654">
                  <c:v>0.114989607211526</c:v>
                </c:pt>
                <c:pt idx="655">
                  <c:v>0.11480283131050199</c:v>
                </c:pt>
                <c:pt idx="656">
                  <c:v>0.114740855006304</c:v>
                </c:pt>
                <c:pt idx="657">
                  <c:v>0.114176145462586</c:v>
                </c:pt>
                <c:pt idx="658">
                  <c:v>0.11412439866518</c:v>
                </c:pt>
                <c:pt idx="659">
                  <c:v>0.11411569843655001</c:v>
                </c:pt>
                <c:pt idx="660">
                  <c:v>0.11385775443443</c:v>
                </c:pt>
                <c:pt idx="661">
                  <c:v>0.113785210130881</c:v>
                </c:pt>
                <c:pt idx="662">
                  <c:v>0.1137656078123</c:v>
                </c:pt>
                <c:pt idx="663">
                  <c:v>0.11371551685023</c:v>
                </c:pt>
                <c:pt idx="664">
                  <c:v>0.113111287098127</c:v>
                </c:pt>
                <c:pt idx="665">
                  <c:v>0.11306499445023301</c:v>
                </c:pt>
                <c:pt idx="666">
                  <c:v>0.112952024686682</c:v>
                </c:pt>
                <c:pt idx="667">
                  <c:v>0.11289939752619101</c:v>
                </c:pt>
                <c:pt idx="668">
                  <c:v>0.11283438595663101</c:v>
                </c:pt>
                <c:pt idx="669">
                  <c:v>0.112566659102318</c:v>
                </c:pt>
                <c:pt idx="670">
                  <c:v>0.11199847788122901</c:v>
                </c:pt>
                <c:pt idx="671">
                  <c:v>0.111959902869027</c:v>
                </c:pt>
                <c:pt idx="672">
                  <c:v>0.11157394521225</c:v>
                </c:pt>
                <c:pt idx="673">
                  <c:v>0.111342024040837</c:v>
                </c:pt>
                <c:pt idx="674">
                  <c:v>0.11114807666493499</c:v>
                </c:pt>
                <c:pt idx="675">
                  <c:v>0.111143617919181</c:v>
                </c:pt>
                <c:pt idx="676">
                  <c:v>0.111070257604355</c:v>
                </c:pt>
                <c:pt idx="677">
                  <c:v>0.110894517277282</c:v>
                </c:pt>
                <c:pt idx="678">
                  <c:v>0.110585262332064</c:v>
                </c:pt>
                <c:pt idx="679">
                  <c:v>0.110557987221212</c:v>
                </c:pt>
                <c:pt idx="680">
                  <c:v>0.11049440231645399</c:v>
                </c:pt>
                <c:pt idx="681">
                  <c:v>0.11046107852591799</c:v>
                </c:pt>
                <c:pt idx="682">
                  <c:v>0.110262436891627</c:v>
                </c:pt>
                <c:pt idx="683">
                  <c:v>0.11021499656520101</c:v>
                </c:pt>
                <c:pt idx="684">
                  <c:v>0.109793388700102</c:v>
                </c:pt>
                <c:pt idx="685">
                  <c:v>0.109688290168286</c:v>
                </c:pt>
                <c:pt idx="686">
                  <c:v>0.109531589065559</c:v>
                </c:pt>
                <c:pt idx="687">
                  <c:v>0.108494636248558</c:v>
                </c:pt>
                <c:pt idx="688">
                  <c:v>0.108389748260627</c:v>
                </c:pt>
                <c:pt idx="689">
                  <c:v>0.10775750957211901</c:v>
                </c:pt>
                <c:pt idx="690">
                  <c:v>0.10773401237720499</c:v>
                </c:pt>
                <c:pt idx="691">
                  <c:v>0.107639359520403</c:v>
                </c:pt>
                <c:pt idx="692">
                  <c:v>0.107566348385268</c:v>
                </c:pt>
                <c:pt idx="693">
                  <c:v>0.107513201066155</c:v>
                </c:pt>
                <c:pt idx="694">
                  <c:v>0.107422759787035</c:v>
                </c:pt>
                <c:pt idx="695">
                  <c:v>0.10737576768164001</c:v>
                </c:pt>
                <c:pt idx="696">
                  <c:v>0.107370364016353</c:v>
                </c:pt>
                <c:pt idx="697">
                  <c:v>0.107353305945828</c:v>
                </c:pt>
                <c:pt idx="698">
                  <c:v>0.10700662970520899</c:v>
                </c:pt>
                <c:pt idx="699">
                  <c:v>0.106900888927197</c:v>
                </c:pt>
                <c:pt idx="700">
                  <c:v>0.106720430583579</c:v>
                </c:pt>
                <c:pt idx="701">
                  <c:v>0.106394471362976</c:v>
                </c:pt>
                <c:pt idx="702">
                  <c:v>0.106258326960359</c:v>
                </c:pt>
                <c:pt idx="703">
                  <c:v>0.106247455715166</c:v>
                </c:pt>
                <c:pt idx="704">
                  <c:v>0.106082167682305</c:v>
                </c:pt>
                <c:pt idx="705">
                  <c:v>0.105617088939874</c:v>
                </c:pt>
                <c:pt idx="706">
                  <c:v>0.10561391617423101</c:v>
                </c:pt>
                <c:pt idx="707">
                  <c:v>0.105546802097333</c:v>
                </c:pt>
                <c:pt idx="708">
                  <c:v>0.104989132653783</c:v>
                </c:pt>
                <c:pt idx="709">
                  <c:v>0.10483637120534101</c:v>
                </c:pt>
                <c:pt idx="710">
                  <c:v>0.10432058287361901</c:v>
                </c:pt>
                <c:pt idx="711">
                  <c:v>0.104162111072632</c:v>
                </c:pt>
                <c:pt idx="712">
                  <c:v>0.104059971287397</c:v>
                </c:pt>
                <c:pt idx="713">
                  <c:v>0.104005840390143</c:v>
                </c:pt>
                <c:pt idx="714">
                  <c:v>0.103888840545487</c:v>
                </c:pt>
                <c:pt idx="715">
                  <c:v>0.10384284385039701</c:v>
                </c:pt>
                <c:pt idx="716">
                  <c:v>0.103056399713559</c:v>
                </c:pt>
                <c:pt idx="717">
                  <c:v>0.102933769186563</c:v>
                </c:pt>
                <c:pt idx="718">
                  <c:v>0.102906566485774</c:v>
                </c:pt>
                <c:pt idx="719">
                  <c:v>0.102731025297677</c:v>
                </c:pt>
                <c:pt idx="720">
                  <c:v>0.10244789091085001</c:v>
                </c:pt>
                <c:pt idx="721">
                  <c:v>0.10242245814553801</c:v>
                </c:pt>
                <c:pt idx="722">
                  <c:v>0.102366919154098</c:v>
                </c:pt>
                <c:pt idx="723">
                  <c:v>0.102240218371265</c:v>
                </c:pt>
                <c:pt idx="724">
                  <c:v>0.102188608065185</c:v>
                </c:pt>
                <c:pt idx="725">
                  <c:v>0.101947069343574</c:v>
                </c:pt>
                <c:pt idx="726">
                  <c:v>0.101894177581257</c:v>
                </c:pt>
                <c:pt idx="727">
                  <c:v>0.101795842580063</c:v>
                </c:pt>
                <c:pt idx="728">
                  <c:v>0.10158390104510601</c:v>
                </c:pt>
                <c:pt idx="729">
                  <c:v>0.10125965827377401</c:v>
                </c:pt>
                <c:pt idx="730">
                  <c:v>0.101182189577553</c:v>
                </c:pt>
                <c:pt idx="731">
                  <c:v>0.10106291747636301</c:v>
                </c:pt>
                <c:pt idx="732">
                  <c:v>0.101056081075688</c:v>
                </c:pt>
                <c:pt idx="733">
                  <c:v>0.100859476501755</c:v>
                </c:pt>
                <c:pt idx="734">
                  <c:v>0.100687306014882</c:v>
                </c:pt>
                <c:pt idx="735">
                  <c:v>0.100550052954302</c:v>
                </c:pt>
                <c:pt idx="736">
                  <c:v>0.100162108438515</c:v>
                </c:pt>
                <c:pt idx="737">
                  <c:v>0.10010353983824501</c:v>
                </c:pt>
                <c:pt idx="738">
                  <c:v>9.9944596931955301E-2</c:v>
                </c:pt>
                <c:pt idx="739">
                  <c:v>9.9800882245231107E-2</c:v>
                </c:pt>
                <c:pt idx="740">
                  <c:v>9.9562482548658404E-2</c:v>
                </c:pt>
                <c:pt idx="741">
                  <c:v>9.9517409876739196E-2</c:v>
                </c:pt>
                <c:pt idx="742">
                  <c:v>9.9327559263642395E-2</c:v>
                </c:pt>
                <c:pt idx="743">
                  <c:v>9.9284882584603495E-2</c:v>
                </c:pt>
                <c:pt idx="744">
                  <c:v>9.9276725987245504E-2</c:v>
                </c:pt>
                <c:pt idx="745">
                  <c:v>9.9228894714108007E-2</c:v>
                </c:pt>
                <c:pt idx="746">
                  <c:v>9.8434816150046206E-2</c:v>
                </c:pt>
                <c:pt idx="747">
                  <c:v>9.8296879404093304E-2</c:v>
                </c:pt>
                <c:pt idx="748">
                  <c:v>9.8265177366357398E-2</c:v>
                </c:pt>
                <c:pt idx="749">
                  <c:v>9.8213941854022005E-2</c:v>
                </c:pt>
                <c:pt idx="750">
                  <c:v>9.8035089555572996E-2</c:v>
                </c:pt>
                <c:pt idx="751">
                  <c:v>9.7750153504012394E-2</c:v>
                </c:pt>
                <c:pt idx="752">
                  <c:v>9.7741717339439094E-2</c:v>
                </c:pt>
                <c:pt idx="753">
                  <c:v>9.7246108784634203E-2</c:v>
                </c:pt>
                <c:pt idx="754">
                  <c:v>9.6759566382772999E-2</c:v>
                </c:pt>
                <c:pt idx="755">
                  <c:v>9.6712811115489294E-2</c:v>
                </c:pt>
                <c:pt idx="756">
                  <c:v>9.6490287093305094E-2</c:v>
                </c:pt>
                <c:pt idx="757">
                  <c:v>9.6362666010335898E-2</c:v>
                </c:pt>
                <c:pt idx="758">
                  <c:v>9.6333569474155695E-2</c:v>
                </c:pt>
                <c:pt idx="759">
                  <c:v>9.6230622832796903E-2</c:v>
                </c:pt>
                <c:pt idx="760">
                  <c:v>9.5855681330872106E-2</c:v>
                </c:pt>
                <c:pt idx="761">
                  <c:v>9.5407623392174304E-2</c:v>
                </c:pt>
                <c:pt idx="762">
                  <c:v>9.5348750805096694E-2</c:v>
                </c:pt>
                <c:pt idx="763">
                  <c:v>9.5167609609010398E-2</c:v>
                </c:pt>
                <c:pt idx="764">
                  <c:v>9.4807448413564796E-2</c:v>
                </c:pt>
                <c:pt idx="765">
                  <c:v>9.4764907286520997E-2</c:v>
                </c:pt>
                <c:pt idx="766">
                  <c:v>9.4542444098623807E-2</c:v>
                </c:pt>
                <c:pt idx="767">
                  <c:v>9.3673455743463196E-2</c:v>
                </c:pt>
                <c:pt idx="768">
                  <c:v>9.3110930371249095E-2</c:v>
                </c:pt>
                <c:pt idx="769">
                  <c:v>9.2816620690978693E-2</c:v>
                </c:pt>
                <c:pt idx="770">
                  <c:v>9.26225400954995E-2</c:v>
                </c:pt>
                <c:pt idx="771">
                  <c:v>9.2537100683974402E-2</c:v>
                </c:pt>
                <c:pt idx="772">
                  <c:v>9.2487465008505701E-2</c:v>
                </c:pt>
                <c:pt idx="773">
                  <c:v>9.2134365805832494E-2</c:v>
                </c:pt>
                <c:pt idx="774">
                  <c:v>9.2033474374544594E-2</c:v>
                </c:pt>
                <c:pt idx="775">
                  <c:v>9.1808608231104302E-2</c:v>
                </c:pt>
                <c:pt idx="776">
                  <c:v>9.1628048969593603E-2</c:v>
                </c:pt>
                <c:pt idx="777">
                  <c:v>9.1339255084129906E-2</c:v>
                </c:pt>
                <c:pt idx="778">
                  <c:v>9.13375732007006E-2</c:v>
                </c:pt>
                <c:pt idx="779">
                  <c:v>9.0617424886420994E-2</c:v>
                </c:pt>
                <c:pt idx="780">
                  <c:v>9.05281241428601E-2</c:v>
                </c:pt>
                <c:pt idx="781">
                  <c:v>9.0461633057957999E-2</c:v>
                </c:pt>
                <c:pt idx="782">
                  <c:v>9.0366198692047497E-2</c:v>
                </c:pt>
                <c:pt idx="783">
                  <c:v>9.0270345790164699E-2</c:v>
                </c:pt>
                <c:pt idx="784">
                  <c:v>9.0101764359491299E-2</c:v>
                </c:pt>
                <c:pt idx="785">
                  <c:v>8.9673747178311294E-2</c:v>
                </c:pt>
                <c:pt idx="786">
                  <c:v>8.9349957463014495E-2</c:v>
                </c:pt>
                <c:pt idx="787">
                  <c:v>8.9171110852860502E-2</c:v>
                </c:pt>
                <c:pt idx="788">
                  <c:v>8.8663119320992606E-2</c:v>
                </c:pt>
                <c:pt idx="789">
                  <c:v>8.8662720689595201E-2</c:v>
                </c:pt>
                <c:pt idx="790">
                  <c:v>8.8201754109967806E-2</c:v>
                </c:pt>
                <c:pt idx="791">
                  <c:v>8.7917115140020596E-2</c:v>
                </c:pt>
                <c:pt idx="792">
                  <c:v>8.7770356912000705E-2</c:v>
                </c:pt>
                <c:pt idx="793">
                  <c:v>8.7745633742085799E-2</c:v>
                </c:pt>
                <c:pt idx="794">
                  <c:v>8.7717855171256395E-2</c:v>
                </c:pt>
                <c:pt idx="795">
                  <c:v>8.73682137872651E-2</c:v>
                </c:pt>
                <c:pt idx="796">
                  <c:v>8.7348776724163302E-2</c:v>
                </c:pt>
                <c:pt idx="797">
                  <c:v>8.6864992527742504E-2</c:v>
                </c:pt>
                <c:pt idx="798">
                  <c:v>8.6311523320571806E-2</c:v>
                </c:pt>
                <c:pt idx="799">
                  <c:v>8.6044246795247498E-2</c:v>
                </c:pt>
                <c:pt idx="800">
                  <c:v>8.6032911768285203E-2</c:v>
                </c:pt>
                <c:pt idx="801">
                  <c:v>8.5812414749107904E-2</c:v>
                </c:pt>
                <c:pt idx="802">
                  <c:v>8.5622632566745197E-2</c:v>
                </c:pt>
                <c:pt idx="803">
                  <c:v>8.5619925464388597E-2</c:v>
                </c:pt>
                <c:pt idx="804">
                  <c:v>8.5573345677068605E-2</c:v>
                </c:pt>
                <c:pt idx="805">
                  <c:v>8.5543972781951305E-2</c:v>
                </c:pt>
                <c:pt idx="806">
                  <c:v>8.4944259402343597E-2</c:v>
                </c:pt>
                <c:pt idx="807">
                  <c:v>8.4886729249396498E-2</c:v>
                </c:pt>
                <c:pt idx="808">
                  <c:v>8.4541579950177595E-2</c:v>
                </c:pt>
                <c:pt idx="809">
                  <c:v>8.4229049081093896E-2</c:v>
                </c:pt>
                <c:pt idx="810">
                  <c:v>8.4059527652405402E-2</c:v>
                </c:pt>
                <c:pt idx="811">
                  <c:v>8.4004897801527506E-2</c:v>
                </c:pt>
                <c:pt idx="812">
                  <c:v>8.3465120708819701E-2</c:v>
                </c:pt>
                <c:pt idx="813">
                  <c:v>8.3454895006607799E-2</c:v>
                </c:pt>
                <c:pt idx="814">
                  <c:v>8.3283438935866899E-2</c:v>
                </c:pt>
                <c:pt idx="815">
                  <c:v>8.32378025223207E-2</c:v>
                </c:pt>
                <c:pt idx="816">
                  <c:v>8.3021089419299393E-2</c:v>
                </c:pt>
                <c:pt idx="817">
                  <c:v>8.2206353287373204E-2</c:v>
                </c:pt>
                <c:pt idx="818">
                  <c:v>8.2171484411695001E-2</c:v>
                </c:pt>
                <c:pt idx="819">
                  <c:v>8.20823699813579E-2</c:v>
                </c:pt>
                <c:pt idx="820">
                  <c:v>8.1982075992533002E-2</c:v>
                </c:pt>
                <c:pt idx="821">
                  <c:v>8.1921713134278595E-2</c:v>
                </c:pt>
                <c:pt idx="822">
                  <c:v>8.1716866371617E-2</c:v>
                </c:pt>
                <c:pt idx="823">
                  <c:v>8.1444323025002804E-2</c:v>
                </c:pt>
                <c:pt idx="824">
                  <c:v>8.09019991137023E-2</c:v>
                </c:pt>
                <c:pt idx="825">
                  <c:v>8.0808322370647806E-2</c:v>
                </c:pt>
                <c:pt idx="826">
                  <c:v>8.0697907915259506E-2</c:v>
                </c:pt>
                <c:pt idx="827">
                  <c:v>8.0616403826066094E-2</c:v>
                </c:pt>
                <c:pt idx="828">
                  <c:v>8.0423912839763897E-2</c:v>
                </c:pt>
                <c:pt idx="829">
                  <c:v>8.0415606430131806E-2</c:v>
                </c:pt>
                <c:pt idx="830">
                  <c:v>8.0092211233760605E-2</c:v>
                </c:pt>
                <c:pt idx="831">
                  <c:v>7.9821505492401107E-2</c:v>
                </c:pt>
                <c:pt idx="832">
                  <c:v>7.9642506118817194E-2</c:v>
                </c:pt>
                <c:pt idx="833">
                  <c:v>7.9586792097614198E-2</c:v>
                </c:pt>
                <c:pt idx="834">
                  <c:v>7.9458364105756601E-2</c:v>
                </c:pt>
                <c:pt idx="835">
                  <c:v>7.9271645001918606E-2</c:v>
                </c:pt>
                <c:pt idx="836">
                  <c:v>7.9227678507554106E-2</c:v>
                </c:pt>
                <c:pt idx="837">
                  <c:v>7.9216892249340795E-2</c:v>
                </c:pt>
                <c:pt idx="838">
                  <c:v>7.9038186081242898E-2</c:v>
                </c:pt>
                <c:pt idx="839">
                  <c:v>7.9009825174560497E-2</c:v>
                </c:pt>
                <c:pt idx="840">
                  <c:v>7.8994702050429799E-2</c:v>
                </c:pt>
                <c:pt idx="841">
                  <c:v>7.8359920593933596E-2</c:v>
                </c:pt>
                <c:pt idx="842">
                  <c:v>7.8257836588743898E-2</c:v>
                </c:pt>
                <c:pt idx="843">
                  <c:v>7.8250722374417506E-2</c:v>
                </c:pt>
                <c:pt idx="844">
                  <c:v>7.8231431652428698E-2</c:v>
                </c:pt>
                <c:pt idx="845">
                  <c:v>7.81563647771574E-2</c:v>
                </c:pt>
                <c:pt idx="846">
                  <c:v>7.7609281572106406E-2</c:v>
                </c:pt>
                <c:pt idx="847">
                  <c:v>7.75912875454801E-2</c:v>
                </c:pt>
                <c:pt idx="848">
                  <c:v>7.7582143024049893E-2</c:v>
                </c:pt>
                <c:pt idx="849">
                  <c:v>7.70234706117017E-2</c:v>
                </c:pt>
                <c:pt idx="850">
                  <c:v>7.6729139836456794E-2</c:v>
                </c:pt>
                <c:pt idx="851">
                  <c:v>7.6709027191875195E-2</c:v>
                </c:pt>
                <c:pt idx="852">
                  <c:v>7.6587649518391296E-2</c:v>
                </c:pt>
                <c:pt idx="853">
                  <c:v>7.6212730722380606E-2</c:v>
                </c:pt>
                <c:pt idx="854">
                  <c:v>7.5230863486276403E-2</c:v>
                </c:pt>
                <c:pt idx="855">
                  <c:v>7.5159586680377699E-2</c:v>
                </c:pt>
                <c:pt idx="856">
                  <c:v>7.4921072785212497E-2</c:v>
                </c:pt>
                <c:pt idx="857">
                  <c:v>7.4847423443574701E-2</c:v>
                </c:pt>
                <c:pt idx="858">
                  <c:v>7.4736158624186505E-2</c:v>
                </c:pt>
                <c:pt idx="859">
                  <c:v>7.4121717159534806E-2</c:v>
                </c:pt>
                <c:pt idx="860">
                  <c:v>7.3836472158057401E-2</c:v>
                </c:pt>
                <c:pt idx="861">
                  <c:v>7.3544444871036702E-2</c:v>
                </c:pt>
                <c:pt idx="862">
                  <c:v>7.3495529773709697E-2</c:v>
                </c:pt>
                <c:pt idx="863">
                  <c:v>7.3367864489922205E-2</c:v>
                </c:pt>
                <c:pt idx="864">
                  <c:v>7.2748734645795704E-2</c:v>
                </c:pt>
                <c:pt idx="865">
                  <c:v>7.2647578824807005E-2</c:v>
                </c:pt>
                <c:pt idx="866">
                  <c:v>7.2574562189476693E-2</c:v>
                </c:pt>
                <c:pt idx="867">
                  <c:v>7.22345773449415E-2</c:v>
                </c:pt>
                <c:pt idx="868">
                  <c:v>7.2140377198432706E-2</c:v>
                </c:pt>
                <c:pt idx="869">
                  <c:v>7.1802752522110505E-2</c:v>
                </c:pt>
                <c:pt idx="870">
                  <c:v>7.1257163270691301E-2</c:v>
                </c:pt>
                <c:pt idx="871">
                  <c:v>7.0741365235641701E-2</c:v>
                </c:pt>
                <c:pt idx="872">
                  <c:v>7.06995359316622E-2</c:v>
                </c:pt>
                <c:pt idx="873">
                  <c:v>6.9999394550102206E-2</c:v>
                </c:pt>
                <c:pt idx="874">
                  <c:v>6.9474196715379494E-2</c:v>
                </c:pt>
                <c:pt idx="875">
                  <c:v>6.9133063990618901E-2</c:v>
                </c:pt>
                <c:pt idx="876">
                  <c:v>6.85114562187914E-2</c:v>
                </c:pt>
                <c:pt idx="877">
                  <c:v>6.8438536435944095E-2</c:v>
                </c:pt>
                <c:pt idx="878">
                  <c:v>6.8354876908344506E-2</c:v>
                </c:pt>
                <c:pt idx="879">
                  <c:v>6.8136961022619499E-2</c:v>
                </c:pt>
                <c:pt idx="880">
                  <c:v>6.7919531643255301E-2</c:v>
                </c:pt>
                <c:pt idx="881">
                  <c:v>6.74011320738441E-2</c:v>
                </c:pt>
                <c:pt idx="882">
                  <c:v>6.7335740617744194E-2</c:v>
                </c:pt>
                <c:pt idx="883">
                  <c:v>6.7333068979327199E-2</c:v>
                </c:pt>
                <c:pt idx="884">
                  <c:v>6.7042588055969604E-2</c:v>
                </c:pt>
                <c:pt idx="885">
                  <c:v>6.6713623887965395E-2</c:v>
                </c:pt>
                <c:pt idx="886">
                  <c:v>6.6664244581874296E-2</c:v>
                </c:pt>
                <c:pt idx="887">
                  <c:v>6.5802401300809998E-2</c:v>
                </c:pt>
                <c:pt idx="888">
                  <c:v>6.5667999353692094E-2</c:v>
                </c:pt>
                <c:pt idx="889">
                  <c:v>6.5274919293476494E-2</c:v>
                </c:pt>
                <c:pt idx="890">
                  <c:v>6.4999298391358207E-2</c:v>
                </c:pt>
                <c:pt idx="891">
                  <c:v>6.4692541525284003E-2</c:v>
                </c:pt>
                <c:pt idx="892">
                  <c:v>6.4651478878226407E-2</c:v>
                </c:pt>
                <c:pt idx="893">
                  <c:v>6.4518935917016407E-2</c:v>
                </c:pt>
                <c:pt idx="894">
                  <c:v>6.4411205530750804E-2</c:v>
                </c:pt>
                <c:pt idx="895">
                  <c:v>6.3934843409568898E-2</c:v>
                </c:pt>
                <c:pt idx="896">
                  <c:v>6.3525991187566105E-2</c:v>
                </c:pt>
                <c:pt idx="897">
                  <c:v>6.3484069988255495E-2</c:v>
                </c:pt>
                <c:pt idx="898">
                  <c:v>6.3031282429015803E-2</c:v>
                </c:pt>
                <c:pt idx="899">
                  <c:v>6.2805029838310905E-2</c:v>
                </c:pt>
                <c:pt idx="900">
                  <c:v>6.2804768355944299E-2</c:v>
                </c:pt>
                <c:pt idx="901">
                  <c:v>6.1894712940147097E-2</c:v>
                </c:pt>
                <c:pt idx="902">
                  <c:v>6.1873184203820403E-2</c:v>
                </c:pt>
                <c:pt idx="903">
                  <c:v>6.1491797528858902E-2</c:v>
                </c:pt>
                <c:pt idx="904">
                  <c:v>6.1351642913535002E-2</c:v>
                </c:pt>
                <c:pt idx="905">
                  <c:v>6.0696454287813097E-2</c:v>
                </c:pt>
                <c:pt idx="906">
                  <c:v>6.0253109959621E-2</c:v>
                </c:pt>
                <c:pt idx="907">
                  <c:v>5.9646347843209602E-2</c:v>
                </c:pt>
                <c:pt idx="908">
                  <c:v>5.9599894744330299E-2</c:v>
                </c:pt>
                <c:pt idx="909">
                  <c:v>5.9299976638207401E-2</c:v>
                </c:pt>
                <c:pt idx="910">
                  <c:v>5.9037460126752601E-2</c:v>
                </c:pt>
                <c:pt idx="911">
                  <c:v>5.8953716139653001E-2</c:v>
                </c:pt>
                <c:pt idx="912">
                  <c:v>5.8690979026245503E-2</c:v>
                </c:pt>
                <c:pt idx="913">
                  <c:v>5.8539879133386902E-2</c:v>
                </c:pt>
                <c:pt idx="914">
                  <c:v>5.82129938308482E-2</c:v>
                </c:pt>
                <c:pt idx="915">
                  <c:v>5.8045490056105903E-2</c:v>
                </c:pt>
                <c:pt idx="916">
                  <c:v>5.8010199441356602E-2</c:v>
                </c:pt>
                <c:pt idx="917">
                  <c:v>5.7961232926266801E-2</c:v>
                </c:pt>
                <c:pt idx="918">
                  <c:v>5.7688927560675798E-2</c:v>
                </c:pt>
                <c:pt idx="919">
                  <c:v>5.7675330031449097E-2</c:v>
                </c:pt>
                <c:pt idx="920">
                  <c:v>5.7192885125042697E-2</c:v>
                </c:pt>
                <c:pt idx="921">
                  <c:v>5.6984550689134598E-2</c:v>
                </c:pt>
                <c:pt idx="922">
                  <c:v>5.6781368297281802E-2</c:v>
                </c:pt>
                <c:pt idx="923">
                  <c:v>5.6751855033461203E-2</c:v>
                </c:pt>
                <c:pt idx="924">
                  <c:v>5.6658288064363099E-2</c:v>
                </c:pt>
                <c:pt idx="925">
                  <c:v>5.6483104612568003E-2</c:v>
                </c:pt>
                <c:pt idx="926">
                  <c:v>5.6323034591040599E-2</c:v>
                </c:pt>
                <c:pt idx="927">
                  <c:v>5.6295006828493498E-2</c:v>
                </c:pt>
                <c:pt idx="928">
                  <c:v>5.6191125914629103E-2</c:v>
                </c:pt>
                <c:pt idx="929">
                  <c:v>5.60859216378412E-2</c:v>
                </c:pt>
                <c:pt idx="930">
                  <c:v>5.6030365291685799E-2</c:v>
                </c:pt>
                <c:pt idx="931">
                  <c:v>5.5543089184637302E-2</c:v>
                </c:pt>
                <c:pt idx="932">
                  <c:v>5.5313920154666997E-2</c:v>
                </c:pt>
                <c:pt idx="933">
                  <c:v>5.50457772989019E-2</c:v>
                </c:pt>
                <c:pt idx="934">
                  <c:v>5.4645776272890099E-2</c:v>
                </c:pt>
                <c:pt idx="935">
                  <c:v>5.45350128064577E-2</c:v>
                </c:pt>
                <c:pt idx="936">
                  <c:v>5.4490510230625899E-2</c:v>
                </c:pt>
                <c:pt idx="937">
                  <c:v>5.3745074984747399E-2</c:v>
                </c:pt>
                <c:pt idx="938">
                  <c:v>5.3723136750721802E-2</c:v>
                </c:pt>
                <c:pt idx="939">
                  <c:v>5.34466920645192E-2</c:v>
                </c:pt>
                <c:pt idx="940">
                  <c:v>5.30614460824467E-2</c:v>
                </c:pt>
                <c:pt idx="941">
                  <c:v>5.3047133682949298E-2</c:v>
                </c:pt>
                <c:pt idx="942">
                  <c:v>5.29439961378214E-2</c:v>
                </c:pt>
                <c:pt idx="943">
                  <c:v>5.2493582941452101E-2</c:v>
                </c:pt>
                <c:pt idx="944">
                  <c:v>5.2021115242138802E-2</c:v>
                </c:pt>
                <c:pt idx="945">
                  <c:v>5.1414986109496102E-2</c:v>
                </c:pt>
                <c:pt idx="946">
                  <c:v>5.1201476354621203E-2</c:v>
                </c:pt>
                <c:pt idx="947">
                  <c:v>5.0941456403946601E-2</c:v>
                </c:pt>
                <c:pt idx="948">
                  <c:v>5.0890603680890198E-2</c:v>
                </c:pt>
                <c:pt idx="949">
                  <c:v>5.0476236741281898E-2</c:v>
                </c:pt>
                <c:pt idx="950">
                  <c:v>5.0096508066198898E-2</c:v>
                </c:pt>
                <c:pt idx="951">
                  <c:v>4.9883738076657601E-2</c:v>
                </c:pt>
                <c:pt idx="952">
                  <c:v>4.9478220511179803E-2</c:v>
                </c:pt>
                <c:pt idx="953">
                  <c:v>4.9120138811448E-2</c:v>
                </c:pt>
                <c:pt idx="954">
                  <c:v>4.8756307170269297E-2</c:v>
                </c:pt>
                <c:pt idx="955">
                  <c:v>4.8378869804656E-2</c:v>
                </c:pt>
                <c:pt idx="956">
                  <c:v>4.8114859734501601E-2</c:v>
                </c:pt>
                <c:pt idx="957">
                  <c:v>4.7981346113425999E-2</c:v>
                </c:pt>
                <c:pt idx="958">
                  <c:v>4.7721439840575697E-2</c:v>
                </c:pt>
                <c:pt idx="959">
                  <c:v>4.7585453259113002E-2</c:v>
                </c:pt>
                <c:pt idx="960">
                  <c:v>4.7396816684003903E-2</c:v>
                </c:pt>
                <c:pt idx="961">
                  <c:v>4.7134393548263098E-2</c:v>
                </c:pt>
                <c:pt idx="962">
                  <c:v>4.6927303992184297E-2</c:v>
                </c:pt>
                <c:pt idx="963">
                  <c:v>4.6889775647759403E-2</c:v>
                </c:pt>
                <c:pt idx="964">
                  <c:v>4.6861865950837203E-2</c:v>
                </c:pt>
                <c:pt idx="965">
                  <c:v>4.6825068802322803E-2</c:v>
                </c:pt>
                <c:pt idx="966">
                  <c:v>4.6817543681079002E-2</c:v>
                </c:pt>
                <c:pt idx="967">
                  <c:v>4.6289442509800799E-2</c:v>
                </c:pt>
                <c:pt idx="968">
                  <c:v>4.6179269064626799E-2</c:v>
                </c:pt>
                <c:pt idx="969">
                  <c:v>4.5675675169668001E-2</c:v>
                </c:pt>
                <c:pt idx="970">
                  <c:v>4.5484645506426197E-2</c:v>
                </c:pt>
                <c:pt idx="971">
                  <c:v>4.5232940228228102E-2</c:v>
                </c:pt>
                <c:pt idx="972">
                  <c:v>4.5165327127763701E-2</c:v>
                </c:pt>
                <c:pt idx="973">
                  <c:v>4.4905413786297199E-2</c:v>
                </c:pt>
                <c:pt idx="974">
                  <c:v>4.4570200943100498E-2</c:v>
                </c:pt>
                <c:pt idx="975">
                  <c:v>4.41776493867286E-2</c:v>
                </c:pt>
                <c:pt idx="976">
                  <c:v>4.38634564580156E-2</c:v>
                </c:pt>
                <c:pt idx="977">
                  <c:v>4.3839714620462697E-2</c:v>
                </c:pt>
                <c:pt idx="978">
                  <c:v>4.3747783700529397E-2</c:v>
                </c:pt>
                <c:pt idx="979">
                  <c:v>4.3608022516556801E-2</c:v>
                </c:pt>
                <c:pt idx="980">
                  <c:v>4.3296721607866601E-2</c:v>
                </c:pt>
                <c:pt idx="981">
                  <c:v>4.3098338748726199E-2</c:v>
                </c:pt>
                <c:pt idx="982">
                  <c:v>4.2920748760388303E-2</c:v>
                </c:pt>
                <c:pt idx="983">
                  <c:v>4.2053537066086603E-2</c:v>
                </c:pt>
                <c:pt idx="984">
                  <c:v>4.2005328626041803E-2</c:v>
                </c:pt>
                <c:pt idx="985">
                  <c:v>4.1951158408195001E-2</c:v>
                </c:pt>
                <c:pt idx="986">
                  <c:v>4.1890551585991899E-2</c:v>
                </c:pt>
                <c:pt idx="987">
                  <c:v>4.1322821303028799E-2</c:v>
                </c:pt>
                <c:pt idx="988">
                  <c:v>4.12957302990659E-2</c:v>
                </c:pt>
                <c:pt idx="989">
                  <c:v>4.1159311507128801E-2</c:v>
                </c:pt>
                <c:pt idx="990">
                  <c:v>4.0623190675707702E-2</c:v>
                </c:pt>
                <c:pt idx="991">
                  <c:v>3.9893706875472501E-2</c:v>
                </c:pt>
                <c:pt idx="992">
                  <c:v>3.9797943001342401E-2</c:v>
                </c:pt>
                <c:pt idx="993">
                  <c:v>3.9362145222201099E-2</c:v>
                </c:pt>
                <c:pt idx="994">
                  <c:v>3.9328576575099701E-2</c:v>
                </c:pt>
                <c:pt idx="995">
                  <c:v>3.9219138284822999E-2</c:v>
                </c:pt>
                <c:pt idx="996">
                  <c:v>3.9157043544412698E-2</c:v>
                </c:pt>
                <c:pt idx="997">
                  <c:v>3.8774754041090403E-2</c:v>
                </c:pt>
                <c:pt idx="998">
                  <c:v>3.8640888963969E-2</c:v>
                </c:pt>
                <c:pt idx="999">
                  <c:v>3.7619217462232298E-2</c:v>
                </c:pt>
                <c:pt idx="1000">
                  <c:v>3.7252837967464002E-2</c:v>
                </c:pt>
                <c:pt idx="1001">
                  <c:v>3.7106791812144303E-2</c:v>
                </c:pt>
                <c:pt idx="1002">
                  <c:v>3.6959271610768403E-2</c:v>
                </c:pt>
                <c:pt idx="1003">
                  <c:v>3.6270098544225603E-2</c:v>
                </c:pt>
                <c:pt idx="1004">
                  <c:v>3.6142306767257097E-2</c:v>
                </c:pt>
                <c:pt idx="1005">
                  <c:v>3.5954833764024197E-2</c:v>
                </c:pt>
                <c:pt idx="1006">
                  <c:v>3.5656655729836201E-2</c:v>
                </c:pt>
                <c:pt idx="1007">
                  <c:v>3.5527150664174202E-2</c:v>
                </c:pt>
                <c:pt idx="1008">
                  <c:v>3.5357672105778899E-2</c:v>
                </c:pt>
                <c:pt idx="1009">
                  <c:v>3.4980289320620202E-2</c:v>
                </c:pt>
                <c:pt idx="1010">
                  <c:v>3.4613039320735901E-2</c:v>
                </c:pt>
                <c:pt idx="1011">
                  <c:v>3.4427597825963802E-2</c:v>
                </c:pt>
                <c:pt idx="1012">
                  <c:v>3.43661861886344E-2</c:v>
                </c:pt>
                <c:pt idx="1013">
                  <c:v>3.4222638304234401E-2</c:v>
                </c:pt>
                <c:pt idx="1014">
                  <c:v>3.4100706435675497E-2</c:v>
                </c:pt>
                <c:pt idx="1015">
                  <c:v>3.3775100004126202E-2</c:v>
                </c:pt>
                <c:pt idx="1016">
                  <c:v>3.35117612884459E-2</c:v>
                </c:pt>
                <c:pt idx="1017">
                  <c:v>3.3282946642601702E-2</c:v>
                </c:pt>
                <c:pt idx="1018">
                  <c:v>3.2621827282681502E-2</c:v>
                </c:pt>
                <c:pt idx="1019">
                  <c:v>3.1324082923828697E-2</c:v>
                </c:pt>
                <c:pt idx="1020">
                  <c:v>3.0910770658142801E-2</c:v>
                </c:pt>
                <c:pt idx="1021">
                  <c:v>3.08039165297916E-2</c:v>
                </c:pt>
                <c:pt idx="1022">
                  <c:v>3.0476134247787601E-2</c:v>
                </c:pt>
                <c:pt idx="1023">
                  <c:v>2.8994430128620401E-2</c:v>
                </c:pt>
                <c:pt idx="1024">
                  <c:v>2.8842938294210901E-2</c:v>
                </c:pt>
                <c:pt idx="1025">
                  <c:v>2.8577020875637502E-2</c:v>
                </c:pt>
                <c:pt idx="1026">
                  <c:v>2.8094294873862499E-2</c:v>
                </c:pt>
                <c:pt idx="1027">
                  <c:v>2.8038382345310399E-2</c:v>
                </c:pt>
                <c:pt idx="1028">
                  <c:v>2.7467191136169401E-2</c:v>
                </c:pt>
                <c:pt idx="1029">
                  <c:v>2.7429398210546501E-2</c:v>
                </c:pt>
                <c:pt idx="1030">
                  <c:v>2.6938741829312499E-2</c:v>
                </c:pt>
                <c:pt idx="1031">
                  <c:v>2.67442787791515E-2</c:v>
                </c:pt>
                <c:pt idx="1032">
                  <c:v>2.6495051880788201E-2</c:v>
                </c:pt>
                <c:pt idx="1033">
                  <c:v>2.5513561615363198E-2</c:v>
                </c:pt>
                <c:pt idx="1034">
                  <c:v>2.5258411245540902E-2</c:v>
                </c:pt>
                <c:pt idx="1035">
                  <c:v>2.4866256469970201E-2</c:v>
                </c:pt>
                <c:pt idx="1036">
                  <c:v>2.4462078359288601E-2</c:v>
                </c:pt>
                <c:pt idx="1037">
                  <c:v>2.4007438671223E-2</c:v>
                </c:pt>
                <c:pt idx="1038">
                  <c:v>2.3798937863803899E-2</c:v>
                </c:pt>
                <c:pt idx="1039">
                  <c:v>2.3748600495490501E-2</c:v>
                </c:pt>
                <c:pt idx="1040">
                  <c:v>2.3128153186103201E-2</c:v>
                </c:pt>
                <c:pt idx="1041">
                  <c:v>2.2949639563861701E-2</c:v>
                </c:pt>
                <c:pt idx="1042">
                  <c:v>2.2729144206037302E-2</c:v>
                </c:pt>
                <c:pt idx="1043">
                  <c:v>2.2651304713215699E-2</c:v>
                </c:pt>
                <c:pt idx="1044">
                  <c:v>2.2599537125891401E-2</c:v>
                </c:pt>
                <c:pt idx="1045">
                  <c:v>2.1240087976266801E-2</c:v>
                </c:pt>
                <c:pt idx="1046">
                  <c:v>2.00956302435496E-2</c:v>
                </c:pt>
                <c:pt idx="1047">
                  <c:v>2.0077825000480401E-2</c:v>
                </c:pt>
                <c:pt idx="1048">
                  <c:v>1.95411430148472E-2</c:v>
                </c:pt>
                <c:pt idx="1049">
                  <c:v>1.945061411886E-2</c:v>
                </c:pt>
                <c:pt idx="1050">
                  <c:v>1.8623633183213899E-2</c:v>
                </c:pt>
                <c:pt idx="1051">
                  <c:v>1.8552479837795399E-2</c:v>
                </c:pt>
                <c:pt idx="1052">
                  <c:v>1.84792430343956E-2</c:v>
                </c:pt>
                <c:pt idx="1053">
                  <c:v>1.83198889962293E-2</c:v>
                </c:pt>
                <c:pt idx="1054">
                  <c:v>1.7768721543668702E-2</c:v>
                </c:pt>
                <c:pt idx="1055">
                  <c:v>1.76937101656243E-2</c:v>
                </c:pt>
                <c:pt idx="1056">
                  <c:v>1.7518795833281E-2</c:v>
                </c:pt>
                <c:pt idx="1057">
                  <c:v>1.74772877747859E-2</c:v>
                </c:pt>
                <c:pt idx="1058">
                  <c:v>1.7120161914800099E-2</c:v>
                </c:pt>
                <c:pt idx="1059">
                  <c:v>1.5834441797236299E-2</c:v>
                </c:pt>
                <c:pt idx="1060">
                  <c:v>1.5721624251492799E-2</c:v>
                </c:pt>
                <c:pt idx="1061">
                  <c:v>1.5049652624248899E-2</c:v>
                </c:pt>
                <c:pt idx="1062">
                  <c:v>1.47144512528577E-2</c:v>
                </c:pt>
                <c:pt idx="1063">
                  <c:v>1.3253671040202E-2</c:v>
                </c:pt>
                <c:pt idx="1064">
                  <c:v>1.30454356358988E-2</c:v>
                </c:pt>
                <c:pt idx="1065">
                  <c:v>1.2847531110131E-2</c:v>
                </c:pt>
                <c:pt idx="1066">
                  <c:v>1.18206393706828E-2</c:v>
                </c:pt>
                <c:pt idx="1067">
                  <c:v>1.1803321686785301E-2</c:v>
                </c:pt>
                <c:pt idx="1068">
                  <c:v>1.0633364820653199E-2</c:v>
                </c:pt>
                <c:pt idx="1069">
                  <c:v>1.0216760584062699E-2</c:v>
                </c:pt>
                <c:pt idx="1070">
                  <c:v>9.9601007322026001E-3</c:v>
                </c:pt>
                <c:pt idx="1071">
                  <c:v>9.6127137076600193E-3</c:v>
                </c:pt>
                <c:pt idx="1072">
                  <c:v>9.2954153925750901E-3</c:v>
                </c:pt>
                <c:pt idx="1073">
                  <c:v>7.5579926617120397E-3</c:v>
                </c:pt>
                <c:pt idx="1074">
                  <c:v>7.32748709930915E-3</c:v>
                </c:pt>
                <c:pt idx="1075">
                  <c:v>6.3970576989558397E-3</c:v>
                </c:pt>
                <c:pt idx="1076">
                  <c:v>5.9009268778126497E-3</c:v>
                </c:pt>
                <c:pt idx="1077">
                  <c:v>5.6980781098531202E-3</c:v>
                </c:pt>
                <c:pt idx="1078">
                  <c:v>4.6314138606822304E-3</c:v>
                </c:pt>
              </c:numCache>
            </c:numRef>
          </c:xVal>
          <c:yVal>
            <c:numRef>
              <c:f>[0]!SevCDFValueRange</c:f>
              <c:numCache>
                <c:formatCode>General</c:formatCode>
                <c:ptCount val="1079"/>
                <c:pt idx="0">
                  <c:v>1</c:v>
                </c:pt>
                <c:pt idx="1">
                  <c:v>0.99907321594068577</c:v>
                </c:pt>
                <c:pt idx="2">
                  <c:v>0.99814643188137164</c:v>
                </c:pt>
                <c:pt idx="3">
                  <c:v>0.99721964782205741</c:v>
                </c:pt>
                <c:pt idx="4">
                  <c:v>0.99629286376274329</c:v>
                </c:pt>
                <c:pt idx="5">
                  <c:v>0.99536607970342905</c:v>
                </c:pt>
                <c:pt idx="6">
                  <c:v>0.99443929564411493</c:v>
                </c:pt>
                <c:pt idx="7">
                  <c:v>0.99351251158480069</c:v>
                </c:pt>
                <c:pt idx="8">
                  <c:v>0.99258572752548657</c:v>
                </c:pt>
                <c:pt idx="9">
                  <c:v>0.99165894346617234</c:v>
                </c:pt>
                <c:pt idx="10">
                  <c:v>0.99073215940685821</c:v>
                </c:pt>
                <c:pt idx="11">
                  <c:v>0.98980537534754398</c:v>
                </c:pt>
                <c:pt idx="12">
                  <c:v>0.98887859128822986</c:v>
                </c:pt>
                <c:pt idx="13">
                  <c:v>0.98795180722891562</c:v>
                </c:pt>
                <c:pt idx="14">
                  <c:v>0.9870250231696015</c:v>
                </c:pt>
                <c:pt idx="15">
                  <c:v>0.98609823911028727</c:v>
                </c:pt>
                <c:pt idx="16">
                  <c:v>0.98517145505097314</c:v>
                </c:pt>
                <c:pt idx="17">
                  <c:v>0.98424467099165891</c:v>
                </c:pt>
                <c:pt idx="18">
                  <c:v>0.98331788693234479</c:v>
                </c:pt>
                <c:pt idx="19">
                  <c:v>0.98239110287303055</c:v>
                </c:pt>
                <c:pt idx="20">
                  <c:v>0.98146431881371643</c:v>
                </c:pt>
                <c:pt idx="21">
                  <c:v>0.9805375347544022</c:v>
                </c:pt>
                <c:pt idx="22">
                  <c:v>0.97961075069508807</c:v>
                </c:pt>
                <c:pt idx="23">
                  <c:v>0.97868396663577384</c:v>
                </c:pt>
                <c:pt idx="24">
                  <c:v>0.97775718257645972</c:v>
                </c:pt>
                <c:pt idx="25">
                  <c:v>0.97683039851714548</c:v>
                </c:pt>
                <c:pt idx="26">
                  <c:v>0.97590361445783136</c:v>
                </c:pt>
                <c:pt idx="27">
                  <c:v>0.97497683039851712</c:v>
                </c:pt>
                <c:pt idx="28">
                  <c:v>0.974050046339203</c:v>
                </c:pt>
                <c:pt idx="29">
                  <c:v>0.97312326227988877</c:v>
                </c:pt>
                <c:pt idx="30">
                  <c:v>0.97219647822057464</c:v>
                </c:pt>
                <c:pt idx="31">
                  <c:v>0.97126969416126041</c:v>
                </c:pt>
                <c:pt idx="32">
                  <c:v>0.97034291010194629</c:v>
                </c:pt>
                <c:pt idx="33">
                  <c:v>0.96941612604263205</c:v>
                </c:pt>
                <c:pt idx="34">
                  <c:v>0.96848934198331793</c:v>
                </c:pt>
                <c:pt idx="35">
                  <c:v>0.9675625579240037</c:v>
                </c:pt>
                <c:pt idx="36">
                  <c:v>0.96663577386468957</c:v>
                </c:pt>
                <c:pt idx="37">
                  <c:v>0.96570898980537534</c:v>
                </c:pt>
                <c:pt idx="38">
                  <c:v>0.96478220574606122</c:v>
                </c:pt>
                <c:pt idx="39">
                  <c:v>0.96385542168674698</c:v>
                </c:pt>
                <c:pt idx="40">
                  <c:v>0.96292863762743286</c:v>
                </c:pt>
                <c:pt idx="41">
                  <c:v>0.96200185356811863</c:v>
                </c:pt>
                <c:pt idx="42">
                  <c:v>0.9610750695088045</c:v>
                </c:pt>
                <c:pt idx="43">
                  <c:v>0.96014828544949027</c:v>
                </c:pt>
                <c:pt idx="44">
                  <c:v>0.95922150139017603</c:v>
                </c:pt>
                <c:pt idx="45">
                  <c:v>0.95829471733086191</c:v>
                </c:pt>
                <c:pt idx="46">
                  <c:v>0.95736793327154768</c:v>
                </c:pt>
                <c:pt idx="47">
                  <c:v>0.95644114921223355</c:v>
                </c:pt>
                <c:pt idx="48">
                  <c:v>0.95551436515291932</c:v>
                </c:pt>
                <c:pt idx="49">
                  <c:v>0.9545875810936052</c:v>
                </c:pt>
                <c:pt idx="50">
                  <c:v>0.95366079703429096</c:v>
                </c:pt>
                <c:pt idx="51">
                  <c:v>0.95273401297497684</c:v>
                </c:pt>
                <c:pt idx="52">
                  <c:v>0.95180722891566261</c:v>
                </c:pt>
                <c:pt idx="53">
                  <c:v>0.95088044485634848</c:v>
                </c:pt>
                <c:pt idx="54">
                  <c:v>0.94995366079703425</c:v>
                </c:pt>
                <c:pt idx="55">
                  <c:v>0.94902687673772013</c:v>
                </c:pt>
                <c:pt idx="56">
                  <c:v>0.94810009267840589</c:v>
                </c:pt>
                <c:pt idx="57">
                  <c:v>0.94717330861909177</c:v>
                </c:pt>
                <c:pt idx="58">
                  <c:v>0.94624652455977754</c:v>
                </c:pt>
                <c:pt idx="59">
                  <c:v>0.94531974050046341</c:v>
                </c:pt>
                <c:pt idx="60">
                  <c:v>0.94439295644114918</c:v>
                </c:pt>
                <c:pt idx="61">
                  <c:v>0.94346617238183506</c:v>
                </c:pt>
                <c:pt idx="62">
                  <c:v>0.94253938832252082</c:v>
                </c:pt>
                <c:pt idx="63">
                  <c:v>0.9416126042632067</c:v>
                </c:pt>
                <c:pt idx="64">
                  <c:v>0.94068582020389246</c:v>
                </c:pt>
                <c:pt idx="65">
                  <c:v>0.93975903614457834</c:v>
                </c:pt>
                <c:pt idx="66">
                  <c:v>0.93883225208526411</c:v>
                </c:pt>
                <c:pt idx="67">
                  <c:v>0.93790546802594998</c:v>
                </c:pt>
                <c:pt idx="68">
                  <c:v>0.93697868396663575</c:v>
                </c:pt>
                <c:pt idx="69">
                  <c:v>0.93605189990732163</c:v>
                </c:pt>
                <c:pt idx="70">
                  <c:v>0.93512511584800739</c:v>
                </c:pt>
                <c:pt idx="71">
                  <c:v>0.93419833178869327</c:v>
                </c:pt>
                <c:pt idx="72">
                  <c:v>0.93327154772937904</c:v>
                </c:pt>
                <c:pt idx="73">
                  <c:v>0.93234476367006491</c:v>
                </c:pt>
                <c:pt idx="74">
                  <c:v>0.93141797961075068</c:v>
                </c:pt>
                <c:pt idx="75">
                  <c:v>0.93049119555143656</c:v>
                </c:pt>
                <c:pt idx="76">
                  <c:v>0.92956441149212232</c:v>
                </c:pt>
                <c:pt idx="77">
                  <c:v>0.9286376274328082</c:v>
                </c:pt>
                <c:pt idx="78">
                  <c:v>0.92771084337349397</c:v>
                </c:pt>
                <c:pt idx="79">
                  <c:v>0.92678405931417984</c:v>
                </c:pt>
                <c:pt idx="80">
                  <c:v>0.92585727525486561</c:v>
                </c:pt>
                <c:pt idx="81">
                  <c:v>0.92493049119555149</c:v>
                </c:pt>
                <c:pt idx="82">
                  <c:v>0.92400370713623725</c:v>
                </c:pt>
                <c:pt idx="83">
                  <c:v>0.92307692307692313</c:v>
                </c:pt>
                <c:pt idx="84">
                  <c:v>0.92215013901760889</c:v>
                </c:pt>
                <c:pt idx="85">
                  <c:v>0.92122335495829477</c:v>
                </c:pt>
                <c:pt idx="86">
                  <c:v>0.92029657089898054</c:v>
                </c:pt>
                <c:pt idx="87">
                  <c:v>0.9193697868396663</c:v>
                </c:pt>
                <c:pt idx="88">
                  <c:v>0.91844300278035218</c:v>
                </c:pt>
                <c:pt idx="89">
                  <c:v>0.91751621872103795</c:v>
                </c:pt>
                <c:pt idx="90">
                  <c:v>0.91658943466172382</c:v>
                </c:pt>
                <c:pt idx="91">
                  <c:v>0.91566265060240959</c:v>
                </c:pt>
                <c:pt idx="92">
                  <c:v>0.91473586654309547</c:v>
                </c:pt>
                <c:pt idx="93">
                  <c:v>0.91380908248378123</c:v>
                </c:pt>
                <c:pt idx="94">
                  <c:v>0.91288229842446711</c:v>
                </c:pt>
                <c:pt idx="95">
                  <c:v>0.91195551436515288</c:v>
                </c:pt>
                <c:pt idx="96">
                  <c:v>0.91102873030583875</c:v>
                </c:pt>
                <c:pt idx="97">
                  <c:v>0.91010194624652452</c:v>
                </c:pt>
                <c:pt idx="98">
                  <c:v>0.9091751621872104</c:v>
                </c:pt>
                <c:pt idx="99">
                  <c:v>0.90824837812789616</c:v>
                </c:pt>
                <c:pt idx="100">
                  <c:v>0.90732159406858204</c:v>
                </c:pt>
                <c:pt idx="101">
                  <c:v>0.9063948100092678</c:v>
                </c:pt>
                <c:pt idx="102">
                  <c:v>0.90546802594995368</c:v>
                </c:pt>
                <c:pt idx="103">
                  <c:v>0.90454124189063945</c:v>
                </c:pt>
                <c:pt idx="104">
                  <c:v>0.90361445783132532</c:v>
                </c:pt>
                <c:pt idx="105">
                  <c:v>0.90268767377201109</c:v>
                </c:pt>
                <c:pt idx="106">
                  <c:v>0.90176088971269697</c:v>
                </c:pt>
                <c:pt idx="107">
                  <c:v>0.90083410565338273</c:v>
                </c:pt>
                <c:pt idx="108">
                  <c:v>0.89990732159406861</c:v>
                </c:pt>
                <c:pt idx="109">
                  <c:v>0.89898053753475438</c:v>
                </c:pt>
                <c:pt idx="110">
                  <c:v>0.89805375347544025</c:v>
                </c:pt>
                <c:pt idx="111">
                  <c:v>0.89712696941612602</c:v>
                </c:pt>
                <c:pt idx="112">
                  <c:v>0.8962001853568119</c:v>
                </c:pt>
                <c:pt idx="113">
                  <c:v>0.89527340129749766</c:v>
                </c:pt>
                <c:pt idx="114">
                  <c:v>0.89434661723818354</c:v>
                </c:pt>
                <c:pt idx="115">
                  <c:v>0.8934198331788693</c:v>
                </c:pt>
                <c:pt idx="116">
                  <c:v>0.89249304911955518</c:v>
                </c:pt>
                <c:pt idx="117">
                  <c:v>0.89156626506024095</c:v>
                </c:pt>
                <c:pt idx="118">
                  <c:v>0.89063948100092682</c:v>
                </c:pt>
                <c:pt idx="119">
                  <c:v>0.88971269694161259</c:v>
                </c:pt>
                <c:pt idx="120">
                  <c:v>0.88878591288229847</c:v>
                </c:pt>
                <c:pt idx="121">
                  <c:v>0.88785912882298423</c:v>
                </c:pt>
                <c:pt idx="122">
                  <c:v>0.88693234476367011</c:v>
                </c:pt>
                <c:pt idx="123">
                  <c:v>0.88600556070435588</c:v>
                </c:pt>
                <c:pt idx="124">
                  <c:v>0.88507877664504175</c:v>
                </c:pt>
                <c:pt idx="125">
                  <c:v>0.88415199258572752</c:v>
                </c:pt>
                <c:pt idx="126">
                  <c:v>0.8832252085264134</c:v>
                </c:pt>
                <c:pt idx="127">
                  <c:v>0.88229842446709916</c:v>
                </c:pt>
                <c:pt idx="128">
                  <c:v>0.88137164040778504</c:v>
                </c:pt>
                <c:pt idx="129">
                  <c:v>0.88044485634847081</c:v>
                </c:pt>
                <c:pt idx="130">
                  <c:v>0.87951807228915657</c:v>
                </c:pt>
                <c:pt idx="131">
                  <c:v>0.87859128822984245</c:v>
                </c:pt>
                <c:pt idx="132">
                  <c:v>0.87766450417052821</c:v>
                </c:pt>
                <c:pt idx="133">
                  <c:v>0.87673772011121409</c:v>
                </c:pt>
                <c:pt idx="134">
                  <c:v>0.87581093605189986</c:v>
                </c:pt>
                <c:pt idx="135">
                  <c:v>0.87488415199258573</c:v>
                </c:pt>
                <c:pt idx="136">
                  <c:v>0.8739573679332715</c:v>
                </c:pt>
                <c:pt idx="137">
                  <c:v>0.87303058387395738</c:v>
                </c:pt>
                <c:pt idx="138">
                  <c:v>0.87210379981464314</c:v>
                </c:pt>
                <c:pt idx="139">
                  <c:v>0.87117701575532902</c:v>
                </c:pt>
                <c:pt idx="140">
                  <c:v>0.87025023169601479</c:v>
                </c:pt>
                <c:pt idx="141">
                  <c:v>0.86932344763670066</c:v>
                </c:pt>
                <c:pt idx="142">
                  <c:v>0.86839666357738643</c:v>
                </c:pt>
                <c:pt idx="143">
                  <c:v>0.86746987951807231</c:v>
                </c:pt>
                <c:pt idx="144">
                  <c:v>0.86654309545875807</c:v>
                </c:pt>
                <c:pt idx="145">
                  <c:v>0.86561631139944395</c:v>
                </c:pt>
                <c:pt idx="146">
                  <c:v>0.86468952734012972</c:v>
                </c:pt>
                <c:pt idx="147">
                  <c:v>0.86376274328081559</c:v>
                </c:pt>
                <c:pt idx="148">
                  <c:v>0.86283595922150136</c:v>
                </c:pt>
                <c:pt idx="149">
                  <c:v>0.86190917516218724</c:v>
                </c:pt>
                <c:pt idx="150">
                  <c:v>0.860982391102873</c:v>
                </c:pt>
                <c:pt idx="151">
                  <c:v>0.86005560704355888</c:v>
                </c:pt>
                <c:pt idx="152">
                  <c:v>0.85912882298424464</c:v>
                </c:pt>
                <c:pt idx="153">
                  <c:v>0.85820203892493052</c:v>
                </c:pt>
                <c:pt idx="154">
                  <c:v>0.85727525486561629</c:v>
                </c:pt>
                <c:pt idx="155">
                  <c:v>0.85634847080630216</c:v>
                </c:pt>
                <c:pt idx="156">
                  <c:v>0.85542168674698793</c:v>
                </c:pt>
                <c:pt idx="157">
                  <c:v>0.85449490268767381</c:v>
                </c:pt>
                <c:pt idx="158">
                  <c:v>0.85356811862835957</c:v>
                </c:pt>
                <c:pt idx="159">
                  <c:v>0.85264133456904545</c:v>
                </c:pt>
                <c:pt idx="160">
                  <c:v>0.85171455050973122</c:v>
                </c:pt>
                <c:pt idx="161">
                  <c:v>0.85078776645041709</c:v>
                </c:pt>
                <c:pt idx="162">
                  <c:v>0.84986098239110286</c:v>
                </c:pt>
                <c:pt idx="163">
                  <c:v>0.84893419833178874</c:v>
                </c:pt>
                <c:pt idx="164">
                  <c:v>0.8480074142724745</c:v>
                </c:pt>
                <c:pt idx="165">
                  <c:v>0.84708063021316038</c:v>
                </c:pt>
                <c:pt idx="166">
                  <c:v>0.84615384615384615</c:v>
                </c:pt>
                <c:pt idx="167">
                  <c:v>0.84522706209453202</c:v>
                </c:pt>
                <c:pt idx="168">
                  <c:v>0.84430027803521779</c:v>
                </c:pt>
                <c:pt idx="169">
                  <c:v>0.84337349397590367</c:v>
                </c:pt>
                <c:pt idx="170">
                  <c:v>0.84244670991658943</c:v>
                </c:pt>
                <c:pt idx="171">
                  <c:v>0.84151992585727531</c:v>
                </c:pt>
                <c:pt idx="172">
                  <c:v>0.84059314179796107</c:v>
                </c:pt>
                <c:pt idx="173">
                  <c:v>0.83966635773864684</c:v>
                </c:pt>
                <c:pt idx="174">
                  <c:v>0.83873957367933272</c:v>
                </c:pt>
                <c:pt idx="175">
                  <c:v>0.83781278962001848</c:v>
                </c:pt>
                <c:pt idx="176">
                  <c:v>0.83688600556070436</c:v>
                </c:pt>
                <c:pt idx="177">
                  <c:v>0.83595922150139013</c:v>
                </c:pt>
                <c:pt idx="178">
                  <c:v>0.835032437442076</c:v>
                </c:pt>
                <c:pt idx="179">
                  <c:v>0.83410565338276177</c:v>
                </c:pt>
                <c:pt idx="180">
                  <c:v>0.83317886932344765</c:v>
                </c:pt>
                <c:pt idx="181">
                  <c:v>0.83225208526413341</c:v>
                </c:pt>
                <c:pt idx="182">
                  <c:v>0.83132530120481929</c:v>
                </c:pt>
                <c:pt idx="183">
                  <c:v>0.83039851714550506</c:v>
                </c:pt>
                <c:pt idx="184">
                  <c:v>0.82947173308619093</c:v>
                </c:pt>
                <c:pt idx="185">
                  <c:v>0.8285449490268767</c:v>
                </c:pt>
                <c:pt idx="186">
                  <c:v>0.82761816496756258</c:v>
                </c:pt>
                <c:pt idx="187">
                  <c:v>0.82669138090824834</c:v>
                </c:pt>
                <c:pt idx="188">
                  <c:v>0.82576459684893422</c:v>
                </c:pt>
                <c:pt idx="189">
                  <c:v>0.82483781278961998</c:v>
                </c:pt>
                <c:pt idx="190">
                  <c:v>0.82391102873030586</c:v>
                </c:pt>
                <c:pt idx="191">
                  <c:v>0.82298424467099163</c:v>
                </c:pt>
                <c:pt idx="192">
                  <c:v>0.8220574606116775</c:v>
                </c:pt>
                <c:pt idx="193">
                  <c:v>0.82113067655236327</c:v>
                </c:pt>
                <c:pt idx="194">
                  <c:v>0.82020389249304915</c:v>
                </c:pt>
                <c:pt idx="195">
                  <c:v>0.81927710843373491</c:v>
                </c:pt>
                <c:pt idx="196">
                  <c:v>0.81835032437442079</c:v>
                </c:pt>
                <c:pt idx="197">
                  <c:v>0.81742354031510656</c:v>
                </c:pt>
                <c:pt idx="198">
                  <c:v>0.81649675625579243</c:v>
                </c:pt>
                <c:pt idx="199">
                  <c:v>0.8155699721964782</c:v>
                </c:pt>
                <c:pt idx="200">
                  <c:v>0.81464318813716408</c:v>
                </c:pt>
                <c:pt idx="201">
                  <c:v>0.81371640407784984</c:v>
                </c:pt>
                <c:pt idx="202">
                  <c:v>0.81278962001853572</c:v>
                </c:pt>
                <c:pt idx="203">
                  <c:v>0.81186283595922148</c:v>
                </c:pt>
                <c:pt idx="204">
                  <c:v>0.81093605189990736</c:v>
                </c:pt>
                <c:pt idx="205">
                  <c:v>0.81000926784059313</c:v>
                </c:pt>
                <c:pt idx="206">
                  <c:v>0.809082483781279</c:v>
                </c:pt>
                <c:pt idx="207">
                  <c:v>0.80815569972196477</c:v>
                </c:pt>
                <c:pt idx="208">
                  <c:v>0.80722891566265065</c:v>
                </c:pt>
                <c:pt idx="209">
                  <c:v>0.80630213160333641</c:v>
                </c:pt>
                <c:pt idx="210">
                  <c:v>0.80537534754402229</c:v>
                </c:pt>
                <c:pt idx="211">
                  <c:v>0.80444856348470806</c:v>
                </c:pt>
                <c:pt idx="212">
                  <c:v>0.80352177942539393</c:v>
                </c:pt>
                <c:pt idx="213">
                  <c:v>0.8025949953660797</c:v>
                </c:pt>
                <c:pt idx="214">
                  <c:v>0.80166821130676558</c:v>
                </c:pt>
                <c:pt idx="215">
                  <c:v>0.80074142724745134</c:v>
                </c:pt>
                <c:pt idx="216">
                  <c:v>0.79981464318813711</c:v>
                </c:pt>
                <c:pt idx="217">
                  <c:v>0.79888785912882299</c:v>
                </c:pt>
                <c:pt idx="218">
                  <c:v>0.79796107506950875</c:v>
                </c:pt>
                <c:pt idx="219">
                  <c:v>0.79703429101019463</c:v>
                </c:pt>
                <c:pt idx="220">
                  <c:v>0.79610750695088039</c:v>
                </c:pt>
                <c:pt idx="221">
                  <c:v>0.79518072289156627</c:v>
                </c:pt>
                <c:pt idx="222">
                  <c:v>0.79425393883225204</c:v>
                </c:pt>
                <c:pt idx="223">
                  <c:v>0.79332715477293791</c:v>
                </c:pt>
                <c:pt idx="224">
                  <c:v>0.79240037071362368</c:v>
                </c:pt>
                <c:pt idx="225">
                  <c:v>0.79147358665430956</c:v>
                </c:pt>
                <c:pt idx="226">
                  <c:v>0.79054680259499532</c:v>
                </c:pt>
                <c:pt idx="227">
                  <c:v>0.7896200185356812</c:v>
                </c:pt>
                <c:pt idx="228">
                  <c:v>0.78869323447636697</c:v>
                </c:pt>
                <c:pt idx="229">
                  <c:v>0.78776645041705284</c:v>
                </c:pt>
                <c:pt idx="230">
                  <c:v>0.78683966635773861</c:v>
                </c:pt>
                <c:pt idx="231">
                  <c:v>0.78591288229842449</c:v>
                </c:pt>
                <c:pt idx="232">
                  <c:v>0.78498609823911025</c:v>
                </c:pt>
                <c:pt idx="233">
                  <c:v>0.78405931417979613</c:v>
                </c:pt>
                <c:pt idx="234">
                  <c:v>0.7831325301204819</c:v>
                </c:pt>
                <c:pt idx="235">
                  <c:v>0.78220574606116777</c:v>
                </c:pt>
                <c:pt idx="236">
                  <c:v>0.78127896200185354</c:v>
                </c:pt>
                <c:pt idx="237">
                  <c:v>0.78035217794253942</c:v>
                </c:pt>
                <c:pt idx="238">
                  <c:v>0.77942539388322518</c:v>
                </c:pt>
                <c:pt idx="239">
                  <c:v>0.77849860982391106</c:v>
                </c:pt>
                <c:pt idx="240">
                  <c:v>0.77757182576459682</c:v>
                </c:pt>
                <c:pt idx="241">
                  <c:v>0.7766450417052827</c:v>
                </c:pt>
                <c:pt idx="242">
                  <c:v>0.77571825764596847</c:v>
                </c:pt>
                <c:pt idx="243">
                  <c:v>0.77479147358665434</c:v>
                </c:pt>
                <c:pt idx="244">
                  <c:v>0.77386468952734011</c:v>
                </c:pt>
                <c:pt idx="245">
                  <c:v>0.77293790546802599</c:v>
                </c:pt>
                <c:pt idx="246">
                  <c:v>0.77201112140871175</c:v>
                </c:pt>
                <c:pt idx="247">
                  <c:v>0.77108433734939763</c:v>
                </c:pt>
                <c:pt idx="248">
                  <c:v>0.7701575532900834</c:v>
                </c:pt>
                <c:pt idx="249">
                  <c:v>0.76923076923076927</c:v>
                </c:pt>
                <c:pt idx="250">
                  <c:v>0.76830398517145504</c:v>
                </c:pt>
                <c:pt idx="251">
                  <c:v>0.76737720111214092</c:v>
                </c:pt>
                <c:pt idx="252">
                  <c:v>0.76645041705282668</c:v>
                </c:pt>
                <c:pt idx="253">
                  <c:v>0.76552363299351256</c:v>
                </c:pt>
                <c:pt idx="254">
                  <c:v>0.76459684893419833</c:v>
                </c:pt>
                <c:pt idx="255">
                  <c:v>0.7636700648748842</c:v>
                </c:pt>
                <c:pt idx="256">
                  <c:v>0.76274328081556997</c:v>
                </c:pt>
                <c:pt idx="257">
                  <c:v>0.76181649675625585</c:v>
                </c:pt>
                <c:pt idx="258">
                  <c:v>0.76088971269694161</c:v>
                </c:pt>
                <c:pt idx="259">
                  <c:v>0.75996292863762738</c:v>
                </c:pt>
                <c:pt idx="260">
                  <c:v>0.75903614457831325</c:v>
                </c:pt>
                <c:pt idx="261">
                  <c:v>0.75810936051899902</c:v>
                </c:pt>
                <c:pt idx="262">
                  <c:v>0.7571825764596849</c:v>
                </c:pt>
                <c:pt idx="263">
                  <c:v>0.75625579240037066</c:v>
                </c:pt>
                <c:pt idx="264">
                  <c:v>0.75532900834105654</c:v>
                </c:pt>
                <c:pt idx="265">
                  <c:v>0.75440222428174231</c:v>
                </c:pt>
                <c:pt idx="266">
                  <c:v>0.75347544022242818</c:v>
                </c:pt>
                <c:pt idx="267">
                  <c:v>0.75254865616311395</c:v>
                </c:pt>
                <c:pt idx="268">
                  <c:v>0.75162187210379983</c:v>
                </c:pt>
                <c:pt idx="269">
                  <c:v>0.75069508804448559</c:v>
                </c:pt>
                <c:pt idx="270">
                  <c:v>0.74976830398517147</c:v>
                </c:pt>
                <c:pt idx="271">
                  <c:v>0.74884151992585724</c:v>
                </c:pt>
                <c:pt idx="272">
                  <c:v>0.74791473586654311</c:v>
                </c:pt>
                <c:pt idx="273">
                  <c:v>0.74698795180722888</c:v>
                </c:pt>
                <c:pt idx="274">
                  <c:v>0.74606116774791476</c:v>
                </c:pt>
                <c:pt idx="275">
                  <c:v>0.74513438368860052</c:v>
                </c:pt>
                <c:pt idx="276">
                  <c:v>0.7442075996292864</c:v>
                </c:pt>
                <c:pt idx="277">
                  <c:v>0.74328081556997216</c:v>
                </c:pt>
                <c:pt idx="278">
                  <c:v>0.74235403151065804</c:v>
                </c:pt>
                <c:pt idx="279">
                  <c:v>0.74142724745134381</c:v>
                </c:pt>
                <c:pt idx="280">
                  <c:v>0.74050046339202968</c:v>
                </c:pt>
                <c:pt idx="281">
                  <c:v>0.73957367933271545</c:v>
                </c:pt>
                <c:pt idx="282">
                  <c:v>0.73864689527340133</c:v>
                </c:pt>
                <c:pt idx="283">
                  <c:v>0.73772011121408709</c:v>
                </c:pt>
                <c:pt idx="284">
                  <c:v>0.73679332715477297</c:v>
                </c:pt>
                <c:pt idx="285">
                  <c:v>0.73586654309545874</c:v>
                </c:pt>
                <c:pt idx="286">
                  <c:v>0.73493975903614461</c:v>
                </c:pt>
                <c:pt idx="287">
                  <c:v>0.73401297497683038</c:v>
                </c:pt>
                <c:pt idx="288">
                  <c:v>0.73308619091751626</c:v>
                </c:pt>
                <c:pt idx="289">
                  <c:v>0.73215940685820202</c:v>
                </c:pt>
                <c:pt idx="290">
                  <c:v>0.7312326227988879</c:v>
                </c:pt>
                <c:pt idx="291">
                  <c:v>0.73030583873957367</c:v>
                </c:pt>
                <c:pt idx="292">
                  <c:v>0.72937905468025954</c:v>
                </c:pt>
                <c:pt idx="293">
                  <c:v>0.72845227062094531</c:v>
                </c:pt>
                <c:pt idx="294">
                  <c:v>0.72752548656163119</c:v>
                </c:pt>
                <c:pt idx="295">
                  <c:v>0.72659870250231695</c:v>
                </c:pt>
                <c:pt idx="296">
                  <c:v>0.72567191844300283</c:v>
                </c:pt>
                <c:pt idx="297">
                  <c:v>0.72474513438368859</c:v>
                </c:pt>
                <c:pt idx="298">
                  <c:v>0.72381835032437447</c:v>
                </c:pt>
                <c:pt idx="299">
                  <c:v>0.72289156626506024</c:v>
                </c:pt>
                <c:pt idx="300">
                  <c:v>0.72196478220574611</c:v>
                </c:pt>
                <c:pt idx="301">
                  <c:v>0.72103799814643188</c:v>
                </c:pt>
                <c:pt idx="302">
                  <c:v>0.72011121408711776</c:v>
                </c:pt>
                <c:pt idx="303">
                  <c:v>0.71918443002780352</c:v>
                </c:pt>
                <c:pt idx="304">
                  <c:v>0.71825764596848929</c:v>
                </c:pt>
                <c:pt idx="305">
                  <c:v>0.71733086190917517</c:v>
                </c:pt>
                <c:pt idx="306">
                  <c:v>0.71640407784986093</c:v>
                </c:pt>
                <c:pt idx="307">
                  <c:v>0.71547729379054681</c:v>
                </c:pt>
                <c:pt idx="308">
                  <c:v>0.71455050973123257</c:v>
                </c:pt>
                <c:pt idx="309">
                  <c:v>0.71362372567191845</c:v>
                </c:pt>
                <c:pt idx="310">
                  <c:v>0.71269694161260422</c:v>
                </c:pt>
                <c:pt idx="311">
                  <c:v>0.71177015755329009</c:v>
                </c:pt>
                <c:pt idx="312">
                  <c:v>0.71084337349397586</c:v>
                </c:pt>
                <c:pt idx="313">
                  <c:v>0.70991658943466174</c:v>
                </c:pt>
                <c:pt idx="314">
                  <c:v>0.7089898053753475</c:v>
                </c:pt>
                <c:pt idx="315">
                  <c:v>0.70806302131603338</c:v>
                </c:pt>
                <c:pt idx="316">
                  <c:v>0.70713623725671915</c:v>
                </c:pt>
                <c:pt idx="317">
                  <c:v>0.70620945319740502</c:v>
                </c:pt>
                <c:pt idx="318">
                  <c:v>0.70528266913809079</c:v>
                </c:pt>
                <c:pt idx="319">
                  <c:v>0.70435588507877667</c:v>
                </c:pt>
                <c:pt idx="320">
                  <c:v>0.70342910101946243</c:v>
                </c:pt>
                <c:pt idx="321">
                  <c:v>0.70250231696014831</c:v>
                </c:pt>
                <c:pt idx="322">
                  <c:v>0.70157553290083408</c:v>
                </c:pt>
                <c:pt idx="323">
                  <c:v>0.70064874884151995</c:v>
                </c:pt>
                <c:pt idx="324">
                  <c:v>0.69972196478220572</c:v>
                </c:pt>
                <c:pt idx="325">
                  <c:v>0.6987951807228916</c:v>
                </c:pt>
                <c:pt idx="326">
                  <c:v>0.69786839666357736</c:v>
                </c:pt>
                <c:pt idx="327">
                  <c:v>0.69694161260426324</c:v>
                </c:pt>
                <c:pt idx="328">
                  <c:v>0.696014828544949</c:v>
                </c:pt>
                <c:pt idx="329">
                  <c:v>0.69508804448563488</c:v>
                </c:pt>
                <c:pt idx="330">
                  <c:v>0.69416126042632065</c:v>
                </c:pt>
                <c:pt idx="331">
                  <c:v>0.69323447636700652</c:v>
                </c:pt>
                <c:pt idx="332">
                  <c:v>0.69230769230769229</c:v>
                </c:pt>
                <c:pt idx="333">
                  <c:v>0.69138090824837817</c:v>
                </c:pt>
                <c:pt idx="334">
                  <c:v>0.69045412418906393</c:v>
                </c:pt>
                <c:pt idx="335">
                  <c:v>0.68952734012974981</c:v>
                </c:pt>
                <c:pt idx="336">
                  <c:v>0.68860055607043558</c:v>
                </c:pt>
                <c:pt idx="337">
                  <c:v>0.68767377201112145</c:v>
                </c:pt>
                <c:pt idx="338">
                  <c:v>0.68674698795180722</c:v>
                </c:pt>
                <c:pt idx="339">
                  <c:v>0.6858202038924931</c:v>
                </c:pt>
                <c:pt idx="340">
                  <c:v>0.68489341983317886</c:v>
                </c:pt>
                <c:pt idx="341">
                  <c:v>0.68396663577386474</c:v>
                </c:pt>
                <c:pt idx="342">
                  <c:v>0.68303985171455051</c:v>
                </c:pt>
                <c:pt idx="343">
                  <c:v>0.68211306765523638</c:v>
                </c:pt>
                <c:pt idx="344">
                  <c:v>0.68118628359592215</c:v>
                </c:pt>
                <c:pt idx="345">
                  <c:v>0.68025949953660803</c:v>
                </c:pt>
                <c:pt idx="346">
                  <c:v>0.67933271547729379</c:v>
                </c:pt>
                <c:pt idx="347">
                  <c:v>0.67840593141797956</c:v>
                </c:pt>
                <c:pt idx="348">
                  <c:v>0.67747914735866543</c:v>
                </c:pt>
                <c:pt idx="349">
                  <c:v>0.6765523632993512</c:v>
                </c:pt>
                <c:pt idx="350">
                  <c:v>0.67562557924003708</c:v>
                </c:pt>
                <c:pt idx="351">
                  <c:v>0.67469879518072284</c:v>
                </c:pt>
                <c:pt idx="352">
                  <c:v>0.67377201112140872</c:v>
                </c:pt>
                <c:pt idx="353">
                  <c:v>0.67284522706209449</c:v>
                </c:pt>
                <c:pt idx="354">
                  <c:v>0.67191844300278036</c:v>
                </c:pt>
                <c:pt idx="355">
                  <c:v>0.67099165894346613</c:v>
                </c:pt>
                <c:pt idx="356">
                  <c:v>0.67006487488415201</c:v>
                </c:pt>
                <c:pt idx="357">
                  <c:v>0.66913809082483777</c:v>
                </c:pt>
                <c:pt idx="358">
                  <c:v>0.66821130676552365</c:v>
                </c:pt>
                <c:pt idx="359">
                  <c:v>0.66728452270620942</c:v>
                </c:pt>
                <c:pt idx="360">
                  <c:v>0.66635773864689529</c:v>
                </c:pt>
                <c:pt idx="361">
                  <c:v>0.66543095458758106</c:v>
                </c:pt>
                <c:pt idx="362">
                  <c:v>0.66450417052826694</c:v>
                </c:pt>
                <c:pt idx="363">
                  <c:v>0.6635773864689527</c:v>
                </c:pt>
                <c:pt idx="364">
                  <c:v>0.66265060240963858</c:v>
                </c:pt>
                <c:pt idx="365">
                  <c:v>0.66172381835032434</c:v>
                </c:pt>
                <c:pt idx="366">
                  <c:v>0.66079703429101022</c:v>
                </c:pt>
                <c:pt idx="367">
                  <c:v>0.65987025023169599</c:v>
                </c:pt>
                <c:pt idx="368">
                  <c:v>0.65894346617238186</c:v>
                </c:pt>
                <c:pt idx="369">
                  <c:v>0.65801668211306763</c:v>
                </c:pt>
                <c:pt idx="370">
                  <c:v>0.65708989805375351</c:v>
                </c:pt>
                <c:pt idx="371">
                  <c:v>0.65616311399443927</c:v>
                </c:pt>
                <c:pt idx="372">
                  <c:v>0.65523632993512515</c:v>
                </c:pt>
                <c:pt idx="373">
                  <c:v>0.65430954587581092</c:v>
                </c:pt>
                <c:pt idx="374">
                  <c:v>0.65338276181649679</c:v>
                </c:pt>
                <c:pt idx="375">
                  <c:v>0.65245597775718256</c:v>
                </c:pt>
                <c:pt idx="376">
                  <c:v>0.65152919369786844</c:v>
                </c:pt>
                <c:pt idx="377">
                  <c:v>0.6506024096385542</c:v>
                </c:pt>
                <c:pt idx="378">
                  <c:v>0.64967562557924008</c:v>
                </c:pt>
                <c:pt idx="379">
                  <c:v>0.64874884151992585</c:v>
                </c:pt>
                <c:pt idx="380">
                  <c:v>0.64782205746061172</c:v>
                </c:pt>
                <c:pt idx="381">
                  <c:v>0.64689527340129749</c:v>
                </c:pt>
                <c:pt idx="382">
                  <c:v>0.64596848934198337</c:v>
                </c:pt>
                <c:pt idx="383">
                  <c:v>0.64504170528266913</c:v>
                </c:pt>
                <c:pt idx="384">
                  <c:v>0.64411492122335501</c:v>
                </c:pt>
                <c:pt idx="385">
                  <c:v>0.64318813716404077</c:v>
                </c:pt>
                <c:pt idx="386">
                  <c:v>0.64226135310472665</c:v>
                </c:pt>
                <c:pt idx="387">
                  <c:v>0.64133456904541242</c:v>
                </c:pt>
                <c:pt idx="388">
                  <c:v>0.64040778498609829</c:v>
                </c:pt>
                <c:pt idx="389">
                  <c:v>0.63948100092678406</c:v>
                </c:pt>
                <c:pt idx="390">
                  <c:v>0.63855421686746983</c:v>
                </c:pt>
                <c:pt idx="391">
                  <c:v>0.6376274328081557</c:v>
                </c:pt>
                <c:pt idx="392">
                  <c:v>0.63670064874884147</c:v>
                </c:pt>
                <c:pt idx="393">
                  <c:v>0.63577386468952735</c:v>
                </c:pt>
                <c:pt idx="394">
                  <c:v>0.63484708063021311</c:v>
                </c:pt>
                <c:pt idx="395">
                  <c:v>0.63392029657089899</c:v>
                </c:pt>
                <c:pt idx="396">
                  <c:v>0.63299351251158475</c:v>
                </c:pt>
                <c:pt idx="397">
                  <c:v>0.63206672845227063</c:v>
                </c:pt>
                <c:pt idx="398">
                  <c:v>0.6311399443929564</c:v>
                </c:pt>
                <c:pt idx="399">
                  <c:v>0.63021316033364227</c:v>
                </c:pt>
                <c:pt idx="400">
                  <c:v>0.62928637627432804</c:v>
                </c:pt>
                <c:pt idx="401">
                  <c:v>0.62835959221501392</c:v>
                </c:pt>
                <c:pt idx="402">
                  <c:v>0.62743280815569968</c:v>
                </c:pt>
                <c:pt idx="403">
                  <c:v>0.62650602409638556</c:v>
                </c:pt>
                <c:pt idx="404">
                  <c:v>0.62557924003707133</c:v>
                </c:pt>
                <c:pt idx="405">
                  <c:v>0.6246524559777572</c:v>
                </c:pt>
                <c:pt idx="406">
                  <c:v>0.62372567191844297</c:v>
                </c:pt>
                <c:pt idx="407">
                  <c:v>0.62279888785912885</c:v>
                </c:pt>
                <c:pt idx="408">
                  <c:v>0.62187210379981461</c:v>
                </c:pt>
                <c:pt idx="409">
                  <c:v>0.62094531974050049</c:v>
                </c:pt>
                <c:pt idx="410">
                  <c:v>0.62001853568118626</c:v>
                </c:pt>
                <c:pt idx="411">
                  <c:v>0.61909175162187213</c:v>
                </c:pt>
                <c:pt idx="412">
                  <c:v>0.6181649675625579</c:v>
                </c:pt>
                <c:pt idx="413">
                  <c:v>0.61723818350324378</c:v>
                </c:pt>
                <c:pt idx="414">
                  <c:v>0.61631139944392954</c:v>
                </c:pt>
                <c:pt idx="415">
                  <c:v>0.61538461538461542</c:v>
                </c:pt>
                <c:pt idx="416">
                  <c:v>0.61445783132530118</c:v>
                </c:pt>
                <c:pt idx="417">
                  <c:v>0.61353104726598706</c:v>
                </c:pt>
                <c:pt idx="418">
                  <c:v>0.61260426320667283</c:v>
                </c:pt>
                <c:pt idx="419">
                  <c:v>0.6116774791473587</c:v>
                </c:pt>
                <c:pt idx="420">
                  <c:v>0.61075069508804447</c:v>
                </c:pt>
                <c:pt idx="421">
                  <c:v>0.60982391102873035</c:v>
                </c:pt>
                <c:pt idx="422">
                  <c:v>0.60889712696941611</c:v>
                </c:pt>
                <c:pt idx="423">
                  <c:v>0.60797034291010199</c:v>
                </c:pt>
                <c:pt idx="424">
                  <c:v>0.60704355885078776</c:v>
                </c:pt>
                <c:pt idx="425">
                  <c:v>0.60611677479147363</c:v>
                </c:pt>
                <c:pt idx="426">
                  <c:v>0.6051899907321594</c:v>
                </c:pt>
                <c:pt idx="427">
                  <c:v>0.60426320667284528</c:v>
                </c:pt>
                <c:pt idx="428">
                  <c:v>0.60333642261353104</c:v>
                </c:pt>
                <c:pt idx="429">
                  <c:v>0.60240963855421692</c:v>
                </c:pt>
                <c:pt idx="430">
                  <c:v>0.60148285449490269</c:v>
                </c:pt>
                <c:pt idx="431">
                  <c:v>0.60055607043558856</c:v>
                </c:pt>
                <c:pt idx="432">
                  <c:v>0.59962928637627433</c:v>
                </c:pt>
                <c:pt idx="433">
                  <c:v>0.59870250231696009</c:v>
                </c:pt>
                <c:pt idx="434">
                  <c:v>0.59777571825764597</c:v>
                </c:pt>
                <c:pt idx="435">
                  <c:v>0.59684893419833174</c:v>
                </c:pt>
                <c:pt idx="436">
                  <c:v>0.59592215013901761</c:v>
                </c:pt>
                <c:pt idx="437">
                  <c:v>0.59499536607970338</c:v>
                </c:pt>
                <c:pt idx="438">
                  <c:v>0.59406858202038926</c:v>
                </c:pt>
                <c:pt idx="439">
                  <c:v>0.59314179796107502</c:v>
                </c:pt>
                <c:pt idx="440">
                  <c:v>0.5922150139017609</c:v>
                </c:pt>
                <c:pt idx="441">
                  <c:v>0.59128822984244667</c:v>
                </c:pt>
                <c:pt idx="442">
                  <c:v>0.59036144578313254</c:v>
                </c:pt>
                <c:pt idx="443">
                  <c:v>0.58943466172381831</c:v>
                </c:pt>
                <c:pt idx="444">
                  <c:v>0.58850787766450419</c:v>
                </c:pt>
                <c:pt idx="445">
                  <c:v>0.58758109360518995</c:v>
                </c:pt>
                <c:pt idx="446">
                  <c:v>0.58665430954587583</c:v>
                </c:pt>
                <c:pt idx="447">
                  <c:v>0.5857275254865616</c:v>
                </c:pt>
                <c:pt idx="448">
                  <c:v>0.58480074142724747</c:v>
                </c:pt>
                <c:pt idx="449">
                  <c:v>0.58387395736793324</c:v>
                </c:pt>
                <c:pt idx="450">
                  <c:v>0.58294717330861912</c:v>
                </c:pt>
                <c:pt idx="451">
                  <c:v>0.58202038924930488</c:v>
                </c:pt>
                <c:pt idx="452">
                  <c:v>0.58109360518999076</c:v>
                </c:pt>
                <c:pt idx="453">
                  <c:v>0.58016682113067652</c:v>
                </c:pt>
                <c:pt idx="454">
                  <c:v>0.5792400370713624</c:v>
                </c:pt>
                <c:pt idx="455">
                  <c:v>0.57831325301204817</c:v>
                </c:pt>
                <c:pt idx="456">
                  <c:v>0.57738646895273404</c:v>
                </c:pt>
                <c:pt idx="457">
                  <c:v>0.57645968489341981</c:v>
                </c:pt>
                <c:pt idx="458">
                  <c:v>0.57553290083410569</c:v>
                </c:pt>
                <c:pt idx="459">
                  <c:v>0.57460611677479145</c:v>
                </c:pt>
                <c:pt idx="460">
                  <c:v>0.57367933271547733</c:v>
                </c:pt>
                <c:pt idx="461">
                  <c:v>0.5727525486561631</c:v>
                </c:pt>
                <c:pt idx="462">
                  <c:v>0.57182576459684897</c:v>
                </c:pt>
                <c:pt idx="463">
                  <c:v>0.57089898053753474</c:v>
                </c:pt>
                <c:pt idx="464">
                  <c:v>0.56997219647822062</c:v>
                </c:pt>
                <c:pt idx="465">
                  <c:v>0.56904541241890638</c:v>
                </c:pt>
                <c:pt idx="466">
                  <c:v>0.56811862835959226</c:v>
                </c:pt>
                <c:pt idx="467">
                  <c:v>0.56719184430027803</c:v>
                </c:pt>
                <c:pt idx="468">
                  <c:v>0.5662650602409639</c:v>
                </c:pt>
                <c:pt idx="469">
                  <c:v>0.56533827618164967</c:v>
                </c:pt>
                <c:pt idx="470">
                  <c:v>0.56441149212233555</c:v>
                </c:pt>
                <c:pt idx="471">
                  <c:v>0.56348470806302131</c:v>
                </c:pt>
                <c:pt idx="472">
                  <c:v>0.56255792400370719</c:v>
                </c:pt>
                <c:pt idx="473">
                  <c:v>0.56163113994439295</c:v>
                </c:pt>
                <c:pt idx="474">
                  <c:v>0.56070435588507883</c:v>
                </c:pt>
                <c:pt idx="475">
                  <c:v>0.5597775718257646</c:v>
                </c:pt>
                <c:pt idx="476">
                  <c:v>0.55885078776645036</c:v>
                </c:pt>
                <c:pt idx="477">
                  <c:v>0.55792400370713624</c:v>
                </c:pt>
                <c:pt idx="478">
                  <c:v>0.55699721964782201</c:v>
                </c:pt>
                <c:pt idx="479">
                  <c:v>0.55607043558850788</c:v>
                </c:pt>
                <c:pt idx="480">
                  <c:v>0.55514365152919365</c:v>
                </c:pt>
                <c:pt idx="481">
                  <c:v>0.55421686746987953</c:v>
                </c:pt>
                <c:pt idx="482">
                  <c:v>0.55329008341056529</c:v>
                </c:pt>
                <c:pt idx="483">
                  <c:v>0.55236329935125117</c:v>
                </c:pt>
                <c:pt idx="484">
                  <c:v>0.55143651529193694</c:v>
                </c:pt>
                <c:pt idx="485">
                  <c:v>0.55050973123262281</c:v>
                </c:pt>
                <c:pt idx="486">
                  <c:v>0.54958294717330858</c:v>
                </c:pt>
                <c:pt idx="487">
                  <c:v>0.54865616311399446</c:v>
                </c:pt>
                <c:pt idx="488">
                  <c:v>0.54772937905468022</c:v>
                </c:pt>
                <c:pt idx="489">
                  <c:v>0.5468025949953661</c:v>
                </c:pt>
                <c:pt idx="490">
                  <c:v>0.54587581093605186</c:v>
                </c:pt>
                <c:pt idx="491">
                  <c:v>0.54494902687673774</c:v>
                </c:pt>
                <c:pt idx="492">
                  <c:v>0.54402224281742351</c:v>
                </c:pt>
                <c:pt idx="493">
                  <c:v>0.54309545875810938</c:v>
                </c:pt>
                <c:pt idx="494">
                  <c:v>0.54216867469879515</c:v>
                </c:pt>
                <c:pt idx="495">
                  <c:v>0.54124189063948103</c:v>
                </c:pt>
                <c:pt idx="496">
                  <c:v>0.54031510658016679</c:v>
                </c:pt>
                <c:pt idx="497">
                  <c:v>0.53938832252085267</c:v>
                </c:pt>
                <c:pt idx="498">
                  <c:v>0.53846153846153844</c:v>
                </c:pt>
                <c:pt idx="499">
                  <c:v>0.53753475440222431</c:v>
                </c:pt>
                <c:pt idx="500">
                  <c:v>0.53660797034291008</c:v>
                </c:pt>
                <c:pt idx="501">
                  <c:v>0.53568118628359596</c:v>
                </c:pt>
                <c:pt idx="502">
                  <c:v>0.53475440222428172</c:v>
                </c:pt>
                <c:pt idx="503">
                  <c:v>0.5338276181649676</c:v>
                </c:pt>
                <c:pt idx="504">
                  <c:v>0.53290083410565336</c:v>
                </c:pt>
                <c:pt idx="505">
                  <c:v>0.53197405004633924</c:v>
                </c:pt>
                <c:pt idx="506">
                  <c:v>0.53104726598702501</c:v>
                </c:pt>
                <c:pt idx="507">
                  <c:v>0.53012048192771088</c:v>
                </c:pt>
                <c:pt idx="508">
                  <c:v>0.52919369786839665</c:v>
                </c:pt>
                <c:pt idx="509">
                  <c:v>0.52826691380908253</c:v>
                </c:pt>
                <c:pt idx="510">
                  <c:v>0.52734012974976829</c:v>
                </c:pt>
                <c:pt idx="511">
                  <c:v>0.52641334569045417</c:v>
                </c:pt>
                <c:pt idx="512">
                  <c:v>0.52548656163113994</c:v>
                </c:pt>
                <c:pt idx="513">
                  <c:v>0.52455977757182581</c:v>
                </c:pt>
                <c:pt idx="514">
                  <c:v>0.52363299351251158</c:v>
                </c:pt>
                <c:pt idx="515">
                  <c:v>0.52270620945319746</c:v>
                </c:pt>
                <c:pt idx="516">
                  <c:v>0.52177942539388322</c:v>
                </c:pt>
                <c:pt idx="517">
                  <c:v>0.5208526413345691</c:v>
                </c:pt>
                <c:pt idx="518">
                  <c:v>0.51992585727525487</c:v>
                </c:pt>
                <c:pt idx="519">
                  <c:v>0.51899907321594063</c:v>
                </c:pt>
                <c:pt idx="520">
                  <c:v>0.51807228915662651</c:v>
                </c:pt>
                <c:pt idx="521">
                  <c:v>0.51714550509731227</c:v>
                </c:pt>
                <c:pt idx="522">
                  <c:v>0.51621872103799815</c:v>
                </c:pt>
                <c:pt idx="523">
                  <c:v>0.51529193697868392</c:v>
                </c:pt>
                <c:pt idx="524">
                  <c:v>0.51436515291936979</c:v>
                </c:pt>
                <c:pt idx="525">
                  <c:v>0.51343836886005556</c:v>
                </c:pt>
                <c:pt idx="526">
                  <c:v>0.51251158480074144</c:v>
                </c:pt>
                <c:pt idx="527">
                  <c:v>0.5115848007414272</c:v>
                </c:pt>
                <c:pt idx="528">
                  <c:v>0.51065801668211308</c:v>
                </c:pt>
                <c:pt idx="529">
                  <c:v>0.50973123262279885</c:v>
                </c:pt>
                <c:pt idx="530">
                  <c:v>0.50880444856348472</c:v>
                </c:pt>
                <c:pt idx="531">
                  <c:v>0.50787766450417049</c:v>
                </c:pt>
                <c:pt idx="532">
                  <c:v>0.50695088044485637</c:v>
                </c:pt>
                <c:pt idx="533">
                  <c:v>0.50602409638554213</c:v>
                </c:pt>
                <c:pt idx="534">
                  <c:v>0.50509731232622801</c:v>
                </c:pt>
                <c:pt idx="535">
                  <c:v>0.50417052826691378</c:v>
                </c:pt>
                <c:pt idx="536">
                  <c:v>0.50324374420759965</c:v>
                </c:pt>
                <c:pt idx="537">
                  <c:v>0.50231696014828542</c:v>
                </c:pt>
                <c:pt idx="538">
                  <c:v>0.5013901760889713</c:v>
                </c:pt>
                <c:pt idx="539">
                  <c:v>0.50046339202965706</c:v>
                </c:pt>
                <c:pt idx="540">
                  <c:v>0.49953660797034288</c:v>
                </c:pt>
                <c:pt idx="541">
                  <c:v>0.4986098239110287</c:v>
                </c:pt>
                <c:pt idx="542">
                  <c:v>0.49768303985171453</c:v>
                </c:pt>
                <c:pt idx="543">
                  <c:v>0.49675625579240035</c:v>
                </c:pt>
                <c:pt idx="544">
                  <c:v>0.49582947173308617</c:v>
                </c:pt>
                <c:pt idx="545">
                  <c:v>0.49490268767377199</c:v>
                </c:pt>
                <c:pt idx="546">
                  <c:v>0.49397590361445781</c:v>
                </c:pt>
                <c:pt idx="547">
                  <c:v>0.49304911955514363</c:v>
                </c:pt>
                <c:pt idx="548">
                  <c:v>0.49212233549582945</c:v>
                </c:pt>
                <c:pt idx="549">
                  <c:v>0.49119555143651528</c:v>
                </c:pt>
                <c:pt idx="550">
                  <c:v>0.4902687673772011</c:v>
                </c:pt>
                <c:pt idx="551">
                  <c:v>0.48934198331788692</c:v>
                </c:pt>
                <c:pt idx="552">
                  <c:v>0.48841519925857274</c:v>
                </c:pt>
                <c:pt idx="553">
                  <c:v>0.48748841519925856</c:v>
                </c:pt>
                <c:pt idx="554">
                  <c:v>0.48656163113994438</c:v>
                </c:pt>
                <c:pt idx="555">
                  <c:v>0.48563484708063021</c:v>
                </c:pt>
                <c:pt idx="556">
                  <c:v>0.48470806302131603</c:v>
                </c:pt>
                <c:pt idx="557">
                  <c:v>0.48378127896200185</c:v>
                </c:pt>
                <c:pt idx="558">
                  <c:v>0.48285449490268767</c:v>
                </c:pt>
                <c:pt idx="559">
                  <c:v>0.48192771084337349</c:v>
                </c:pt>
                <c:pt idx="560">
                  <c:v>0.48100092678405931</c:v>
                </c:pt>
                <c:pt idx="561">
                  <c:v>0.48007414272474513</c:v>
                </c:pt>
                <c:pt idx="562">
                  <c:v>0.47914735866543096</c:v>
                </c:pt>
                <c:pt idx="563">
                  <c:v>0.47822057460611678</c:v>
                </c:pt>
                <c:pt idx="564">
                  <c:v>0.4772937905468026</c:v>
                </c:pt>
                <c:pt idx="565">
                  <c:v>0.47636700648748842</c:v>
                </c:pt>
                <c:pt idx="566">
                  <c:v>0.47544022242817424</c:v>
                </c:pt>
                <c:pt idx="567">
                  <c:v>0.47451343836886006</c:v>
                </c:pt>
                <c:pt idx="568">
                  <c:v>0.47358665430954588</c:v>
                </c:pt>
                <c:pt idx="569">
                  <c:v>0.47265987025023171</c:v>
                </c:pt>
                <c:pt idx="570">
                  <c:v>0.47173308619091753</c:v>
                </c:pt>
                <c:pt idx="571">
                  <c:v>0.47080630213160335</c:v>
                </c:pt>
                <c:pt idx="572">
                  <c:v>0.46987951807228917</c:v>
                </c:pt>
                <c:pt idx="573">
                  <c:v>0.46895273401297499</c:v>
                </c:pt>
                <c:pt idx="574">
                  <c:v>0.46802594995366081</c:v>
                </c:pt>
                <c:pt idx="575">
                  <c:v>0.46709916589434664</c:v>
                </c:pt>
                <c:pt idx="576">
                  <c:v>0.46617238183503246</c:v>
                </c:pt>
                <c:pt idx="577">
                  <c:v>0.46524559777571828</c:v>
                </c:pt>
                <c:pt idx="578">
                  <c:v>0.4643188137164041</c:v>
                </c:pt>
                <c:pt idx="579">
                  <c:v>0.46339202965708992</c:v>
                </c:pt>
                <c:pt idx="580">
                  <c:v>0.46246524559777574</c:v>
                </c:pt>
                <c:pt idx="581">
                  <c:v>0.46153846153846156</c:v>
                </c:pt>
                <c:pt idx="582">
                  <c:v>0.46061167747914739</c:v>
                </c:pt>
                <c:pt idx="583">
                  <c:v>0.45968489341983315</c:v>
                </c:pt>
                <c:pt idx="584">
                  <c:v>0.45875810936051897</c:v>
                </c:pt>
                <c:pt idx="585">
                  <c:v>0.45783132530120479</c:v>
                </c:pt>
                <c:pt idx="586">
                  <c:v>0.45690454124189062</c:v>
                </c:pt>
                <c:pt idx="587">
                  <c:v>0.45597775718257644</c:v>
                </c:pt>
                <c:pt idx="588">
                  <c:v>0.45505097312326226</c:v>
                </c:pt>
                <c:pt idx="589">
                  <c:v>0.45412418906394808</c:v>
                </c:pt>
                <c:pt idx="590">
                  <c:v>0.4531974050046339</c:v>
                </c:pt>
                <c:pt idx="591">
                  <c:v>0.45227062094531972</c:v>
                </c:pt>
                <c:pt idx="592">
                  <c:v>0.45134383688600554</c:v>
                </c:pt>
                <c:pt idx="593">
                  <c:v>0.45041705282669137</c:v>
                </c:pt>
                <c:pt idx="594">
                  <c:v>0.44949026876737719</c:v>
                </c:pt>
                <c:pt idx="595">
                  <c:v>0.44856348470806301</c:v>
                </c:pt>
                <c:pt idx="596">
                  <c:v>0.44763670064874883</c:v>
                </c:pt>
                <c:pt idx="597">
                  <c:v>0.44670991658943465</c:v>
                </c:pt>
                <c:pt idx="598">
                  <c:v>0.44578313253012047</c:v>
                </c:pt>
                <c:pt idx="599">
                  <c:v>0.4448563484708063</c:v>
                </c:pt>
                <c:pt idx="600">
                  <c:v>0.44392956441149212</c:v>
                </c:pt>
                <c:pt idx="601">
                  <c:v>0.44300278035217794</c:v>
                </c:pt>
                <c:pt idx="602">
                  <c:v>0.44207599629286376</c:v>
                </c:pt>
                <c:pt idx="603">
                  <c:v>0.44114921223354958</c:v>
                </c:pt>
                <c:pt idx="604">
                  <c:v>0.4402224281742354</c:v>
                </c:pt>
                <c:pt idx="605">
                  <c:v>0.43929564411492122</c:v>
                </c:pt>
                <c:pt idx="606">
                  <c:v>0.43836886005560705</c:v>
                </c:pt>
                <c:pt idx="607">
                  <c:v>0.43744207599629287</c:v>
                </c:pt>
                <c:pt idx="608">
                  <c:v>0.43651529193697869</c:v>
                </c:pt>
                <c:pt idx="609">
                  <c:v>0.43558850787766451</c:v>
                </c:pt>
                <c:pt idx="610">
                  <c:v>0.43466172381835033</c:v>
                </c:pt>
                <c:pt idx="611">
                  <c:v>0.43373493975903615</c:v>
                </c:pt>
                <c:pt idx="612">
                  <c:v>0.43280815569972197</c:v>
                </c:pt>
                <c:pt idx="613">
                  <c:v>0.4318813716404078</c:v>
                </c:pt>
                <c:pt idx="614">
                  <c:v>0.43095458758109362</c:v>
                </c:pt>
                <c:pt idx="615">
                  <c:v>0.43002780352177944</c:v>
                </c:pt>
                <c:pt idx="616">
                  <c:v>0.42910101946246526</c:v>
                </c:pt>
                <c:pt idx="617">
                  <c:v>0.42817423540315108</c:v>
                </c:pt>
                <c:pt idx="618">
                  <c:v>0.4272474513438369</c:v>
                </c:pt>
                <c:pt idx="619">
                  <c:v>0.42632066728452273</c:v>
                </c:pt>
                <c:pt idx="620">
                  <c:v>0.42539388322520855</c:v>
                </c:pt>
                <c:pt idx="621">
                  <c:v>0.42446709916589437</c:v>
                </c:pt>
                <c:pt idx="622">
                  <c:v>0.42354031510658019</c:v>
                </c:pt>
                <c:pt idx="623">
                  <c:v>0.42261353104726601</c:v>
                </c:pt>
                <c:pt idx="624">
                  <c:v>0.42168674698795183</c:v>
                </c:pt>
                <c:pt idx="625">
                  <c:v>0.42075996292863765</c:v>
                </c:pt>
                <c:pt idx="626">
                  <c:v>0.41983317886932342</c:v>
                </c:pt>
                <c:pt idx="627">
                  <c:v>0.41890639481000924</c:v>
                </c:pt>
                <c:pt idx="628">
                  <c:v>0.41797961075069506</c:v>
                </c:pt>
                <c:pt idx="629">
                  <c:v>0.41705282669138088</c:v>
                </c:pt>
                <c:pt idx="630">
                  <c:v>0.41612604263206671</c:v>
                </c:pt>
                <c:pt idx="631">
                  <c:v>0.41519925857275253</c:v>
                </c:pt>
                <c:pt idx="632">
                  <c:v>0.41427247451343835</c:v>
                </c:pt>
                <c:pt idx="633">
                  <c:v>0.41334569045412417</c:v>
                </c:pt>
                <c:pt idx="634">
                  <c:v>0.41241890639480999</c:v>
                </c:pt>
                <c:pt idx="635">
                  <c:v>0.41149212233549581</c:v>
                </c:pt>
                <c:pt idx="636">
                  <c:v>0.41056533827618164</c:v>
                </c:pt>
                <c:pt idx="637">
                  <c:v>0.40963855421686746</c:v>
                </c:pt>
                <c:pt idx="638">
                  <c:v>0.40871177015755328</c:v>
                </c:pt>
                <c:pt idx="639">
                  <c:v>0.4077849860982391</c:v>
                </c:pt>
                <c:pt idx="640">
                  <c:v>0.40685820203892492</c:v>
                </c:pt>
                <c:pt idx="641">
                  <c:v>0.40593141797961074</c:v>
                </c:pt>
                <c:pt idx="642">
                  <c:v>0.40500463392029656</c:v>
                </c:pt>
                <c:pt idx="643">
                  <c:v>0.40407784986098239</c:v>
                </c:pt>
                <c:pt idx="644">
                  <c:v>0.40315106580166821</c:v>
                </c:pt>
                <c:pt idx="645">
                  <c:v>0.40222428174235403</c:v>
                </c:pt>
                <c:pt idx="646">
                  <c:v>0.40129749768303985</c:v>
                </c:pt>
                <c:pt idx="647">
                  <c:v>0.40037071362372567</c:v>
                </c:pt>
                <c:pt idx="648">
                  <c:v>0.39944392956441149</c:v>
                </c:pt>
                <c:pt idx="649">
                  <c:v>0.39851714550509731</c:v>
                </c:pt>
                <c:pt idx="650">
                  <c:v>0.39759036144578314</c:v>
                </c:pt>
                <c:pt idx="651">
                  <c:v>0.39666357738646896</c:v>
                </c:pt>
                <c:pt idx="652">
                  <c:v>0.39573679332715478</c:v>
                </c:pt>
                <c:pt idx="653">
                  <c:v>0.3948100092678406</c:v>
                </c:pt>
                <c:pt idx="654">
                  <c:v>0.39388322520852642</c:v>
                </c:pt>
                <c:pt idx="655">
                  <c:v>0.39295644114921224</c:v>
                </c:pt>
                <c:pt idx="656">
                  <c:v>0.39202965708989806</c:v>
                </c:pt>
                <c:pt idx="657">
                  <c:v>0.39110287303058389</c:v>
                </c:pt>
                <c:pt idx="658">
                  <c:v>0.39017608897126971</c:v>
                </c:pt>
                <c:pt idx="659">
                  <c:v>0.38924930491195553</c:v>
                </c:pt>
                <c:pt idx="660">
                  <c:v>0.38832252085264135</c:v>
                </c:pt>
                <c:pt idx="661">
                  <c:v>0.38739573679332717</c:v>
                </c:pt>
                <c:pt idx="662">
                  <c:v>0.38646895273401299</c:v>
                </c:pt>
                <c:pt idx="663">
                  <c:v>0.38554216867469882</c:v>
                </c:pt>
                <c:pt idx="664">
                  <c:v>0.38461538461538464</c:v>
                </c:pt>
                <c:pt idx="665">
                  <c:v>0.38368860055607046</c:v>
                </c:pt>
                <c:pt idx="666">
                  <c:v>0.38276181649675628</c:v>
                </c:pt>
                <c:pt idx="667">
                  <c:v>0.3818350324374421</c:v>
                </c:pt>
                <c:pt idx="668">
                  <c:v>0.38090824837812792</c:v>
                </c:pt>
                <c:pt idx="669">
                  <c:v>0.37998146431881369</c:v>
                </c:pt>
                <c:pt idx="670">
                  <c:v>0.37905468025949951</c:v>
                </c:pt>
                <c:pt idx="671">
                  <c:v>0.37812789620018533</c:v>
                </c:pt>
                <c:pt idx="672">
                  <c:v>0.37720111214087115</c:v>
                </c:pt>
                <c:pt idx="673">
                  <c:v>0.37627432808155697</c:v>
                </c:pt>
                <c:pt idx="674">
                  <c:v>0.3753475440222428</c:v>
                </c:pt>
                <c:pt idx="675">
                  <c:v>0.37442075996292862</c:v>
                </c:pt>
                <c:pt idx="676">
                  <c:v>0.37349397590361444</c:v>
                </c:pt>
                <c:pt idx="677">
                  <c:v>0.37256719184430026</c:v>
                </c:pt>
                <c:pt idx="678">
                  <c:v>0.37164040778498608</c:v>
                </c:pt>
                <c:pt idx="679">
                  <c:v>0.3707136237256719</c:v>
                </c:pt>
                <c:pt idx="680">
                  <c:v>0.36978683966635773</c:v>
                </c:pt>
                <c:pt idx="681">
                  <c:v>0.36886005560704355</c:v>
                </c:pt>
                <c:pt idx="682">
                  <c:v>0.36793327154772937</c:v>
                </c:pt>
                <c:pt idx="683">
                  <c:v>0.36700648748841519</c:v>
                </c:pt>
                <c:pt idx="684">
                  <c:v>0.36607970342910101</c:v>
                </c:pt>
                <c:pt idx="685">
                  <c:v>0.36515291936978683</c:v>
                </c:pt>
                <c:pt idx="686">
                  <c:v>0.36422613531047265</c:v>
                </c:pt>
                <c:pt idx="687">
                  <c:v>0.36329935125115848</c:v>
                </c:pt>
                <c:pt idx="688">
                  <c:v>0.3623725671918443</c:v>
                </c:pt>
                <c:pt idx="689">
                  <c:v>0.36144578313253012</c:v>
                </c:pt>
                <c:pt idx="690">
                  <c:v>0.36051899907321594</c:v>
                </c:pt>
                <c:pt idx="691">
                  <c:v>0.35959221501390176</c:v>
                </c:pt>
                <c:pt idx="692">
                  <c:v>0.35866543095458758</c:v>
                </c:pt>
                <c:pt idx="693">
                  <c:v>0.3577386468952734</c:v>
                </c:pt>
                <c:pt idx="694">
                  <c:v>0.35681186283595923</c:v>
                </c:pt>
                <c:pt idx="695">
                  <c:v>0.35588507877664505</c:v>
                </c:pt>
                <c:pt idx="696">
                  <c:v>0.35495829471733087</c:v>
                </c:pt>
                <c:pt idx="697">
                  <c:v>0.35403151065801669</c:v>
                </c:pt>
                <c:pt idx="698">
                  <c:v>0.35310472659870251</c:v>
                </c:pt>
                <c:pt idx="699">
                  <c:v>0.35217794253938833</c:v>
                </c:pt>
                <c:pt idx="700">
                  <c:v>0.35125115848007415</c:v>
                </c:pt>
                <c:pt idx="701">
                  <c:v>0.35032437442075998</c:v>
                </c:pt>
                <c:pt idx="702">
                  <c:v>0.3493975903614458</c:v>
                </c:pt>
                <c:pt idx="703">
                  <c:v>0.34847080630213162</c:v>
                </c:pt>
                <c:pt idx="704">
                  <c:v>0.34754402224281744</c:v>
                </c:pt>
                <c:pt idx="705">
                  <c:v>0.34661723818350326</c:v>
                </c:pt>
                <c:pt idx="706">
                  <c:v>0.34569045412418908</c:v>
                </c:pt>
                <c:pt idx="707">
                  <c:v>0.34476367006487491</c:v>
                </c:pt>
                <c:pt idx="708">
                  <c:v>0.34383688600556073</c:v>
                </c:pt>
                <c:pt idx="709">
                  <c:v>0.34291010194624655</c:v>
                </c:pt>
                <c:pt idx="710">
                  <c:v>0.34198331788693237</c:v>
                </c:pt>
                <c:pt idx="711">
                  <c:v>0.34105653382761819</c:v>
                </c:pt>
                <c:pt idx="712">
                  <c:v>0.34012974976830401</c:v>
                </c:pt>
                <c:pt idx="713">
                  <c:v>0.33920296570898978</c:v>
                </c:pt>
                <c:pt idx="714">
                  <c:v>0.3382761816496756</c:v>
                </c:pt>
                <c:pt idx="715">
                  <c:v>0.33734939759036142</c:v>
                </c:pt>
                <c:pt idx="716">
                  <c:v>0.33642261353104724</c:v>
                </c:pt>
                <c:pt idx="717">
                  <c:v>0.33549582947173306</c:v>
                </c:pt>
                <c:pt idx="718">
                  <c:v>0.33456904541241889</c:v>
                </c:pt>
                <c:pt idx="719">
                  <c:v>0.33364226135310471</c:v>
                </c:pt>
                <c:pt idx="720">
                  <c:v>0.33271547729379053</c:v>
                </c:pt>
                <c:pt idx="721">
                  <c:v>0.33178869323447635</c:v>
                </c:pt>
                <c:pt idx="722">
                  <c:v>0.33086190917516217</c:v>
                </c:pt>
                <c:pt idx="723">
                  <c:v>0.32993512511584799</c:v>
                </c:pt>
                <c:pt idx="724">
                  <c:v>0.32900834105653382</c:v>
                </c:pt>
                <c:pt idx="725">
                  <c:v>0.32808155699721964</c:v>
                </c:pt>
                <c:pt idx="726">
                  <c:v>0.32715477293790546</c:v>
                </c:pt>
                <c:pt idx="727">
                  <c:v>0.32622798887859128</c:v>
                </c:pt>
                <c:pt idx="728">
                  <c:v>0.3253012048192771</c:v>
                </c:pt>
                <c:pt idx="729">
                  <c:v>0.32437442075996292</c:v>
                </c:pt>
                <c:pt idx="730">
                  <c:v>0.32344763670064874</c:v>
                </c:pt>
                <c:pt idx="731">
                  <c:v>0.32252085264133457</c:v>
                </c:pt>
                <c:pt idx="732">
                  <c:v>0.32159406858202039</c:v>
                </c:pt>
                <c:pt idx="733">
                  <c:v>0.32066728452270621</c:v>
                </c:pt>
                <c:pt idx="734">
                  <c:v>0.31974050046339203</c:v>
                </c:pt>
                <c:pt idx="735">
                  <c:v>0.31881371640407785</c:v>
                </c:pt>
                <c:pt idx="736">
                  <c:v>0.31788693234476367</c:v>
                </c:pt>
                <c:pt idx="737">
                  <c:v>0.31696014828544949</c:v>
                </c:pt>
                <c:pt idx="738">
                  <c:v>0.31603336422613532</c:v>
                </c:pt>
                <c:pt idx="739">
                  <c:v>0.31510658016682114</c:v>
                </c:pt>
                <c:pt idx="740">
                  <c:v>0.31417979610750696</c:v>
                </c:pt>
                <c:pt idx="741">
                  <c:v>0.31325301204819278</c:v>
                </c:pt>
                <c:pt idx="742">
                  <c:v>0.3123262279888786</c:v>
                </c:pt>
                <c:pt idx="743">
                  <c:v>0.31139944392956442</c:v>
                </c:pt>
                <c:pt idx="744">
                  <c:v>0.31047265987025024</c:v>
                </c:pt>
                <c:pt idx="745">
                  <c:v>0.30954587581093607</c:v>
                </c:pt>
                <c:pt idx="746">
                  <c:v>0.30861909175162189</c:v>
                </c:pt>
                <c:pt idx="747">
                  <c:v>0.30769230769230771</c:v>
                </c:pt>
                <c:pt idx="748">
                  <c:v>0.30676552363299353</c:v>
                </c:pt>
                <c:pt idx="749">
                  <c:v>0.30583873957367935</c:v>
                </c:pt>
                <c:pt idx="750">
                  <c:v>0.30491195551436517</c:v>
                </c:pt>
                <c:pt idx="751">
                  <c:v>0.303985171455051</c:v>
                </c:pt>
                <c:pt idx="752">
                  <c:v>0.30305838739573682</c:v>
                </c:pt>
                <c:pt idx="753">
                  <c:v>0.30213160333642264</c:v>
                </c:pt>
                <c:pt idx="754">
                  <c:v>0.30120481927710846</c:v>
                </c:pt>
                <c:pt idx="755">
                  <c:v>0.30027803521779428</c:v>
                </c:pt>
                <c:pt idx="756">
                  <c:v>0.29935125115848005</c:v>
                </c:pt>
                <c:pt idx="757">
                  <c:v>0.29842446709916587</c:v>
                </c:pt>
                <c:pt idx="758">
                  <c:v>0.29749768303985169</c:v>
                </c:pt>
                <c:pt idx="759">
                  <c:v>0.29657089898053751</c:v>
                </c:pt>
                <c:pt idx="760">
                  <c:v>0.29564411492122333</c:v>
                </c:pt>
                <c:pt idx="761">
                  <c:v>0.29471733086190915</c:v>
                </c:pt>
                <c:pt idx="762">
                  <c:v>0.29379054680259498</c:v>
                </c:pt>
                <c:pt idx="763">
                  <c:v>0.2928637627432808</c:v>
                </c:pt>
                <c:pt idx="764">
                  <c:v>0.29193697868396662</c:v>
                </c:pt>
                <c:pt idx="765">
                  <c:v>0.29101019462465244</c:v>
                </c:pt>
                <c:pt idx="766">
                  <c:v>0.29008341056533826</c:v>
                </c:pt>
                <c:pt idx="767">
                  <c:v>0.28915662650602408</c:v>
                </c:pt>
                <c:pt idx="768">
                  <c:v>0.28822984244670991</c:v>
                </c:pt>
                <c:pt idx="769">
                  <c:v>0.28730305838739573</c:v>
                </c:pt>
                <c:pt idx="770">
                  <c:v>0.28637627432808155</c:v>
                </c:pt>
                <c:pt idx="771">
                  <c:v>0.28544949026876737</c:v>
                </c:pt>
                <c:pt idx="772">
                  <c:v>0.28452270620945319</c:v>
                </c:pt>
                <c:pt idx="773">
                  <c:v>0.28359592215013901</c:v>
                </c:pt>
                <c:pt idx="774">
                  <c:v>0.28266913809082483</c:v>
                </c:pt>
                <c:pt idx="775">
                  <c:v>0.28174235403151066</c:v>
                </c:pt>
                <c:pt idx="776">
                  <c:v>0.28081556997219648</c:v>
                </c:pt>
                <c:pt idx="777">
                  <c:v>0.2798887859128823</c:v>
                </c:pt>
                <c:pt idx="778">
                  <c:v>0.27896200185356812</c:v>
                </c:pt>
                <c:pt idx="779">
                  <c:v>0.27803521779425394</c:v>
                </c:pt>
                <c:pt idx="780">
                  <c:v>0.27710843373493976</c:v>
                </c:pt>
                <c:pt idx="781">
                  <c:v>0.27618164967562558</c:v>
                </c:pt>
                <c:pt idx="782">
                  <c:v>0.27525486561631141</c:v>
                </c:pt>
                <c:pt idx="783">
                  <c:v>0.27432808155699723</c:v>
                </c:pt>
                <c:pt idx="784">
                  <c:v>0.27340129749768305</c:v>
                </c:pt>
                <c:pt idx="785">
                  <c:v>0.27247451343836887</c:v>
                </c:pt>
                <c:pt idx="786">
                  <c:v>0.27154772937905469</c:v>
                </c:pt>
                <c:pt idx="787">
                  <c:v>0.27062094531974051</c:v>
                </c:pt>
                <c:pt idx="788">
                  <c:v>0.26969416126042633</c:v>
                </c:pt>
                <c:pt idx="789">
                  <c:v>0.26876737720111216</c:v>
                </c:pt>
                <c:pt idx="790">
                  <c:v>0.26784059314179798</c:v>
                </c:pt>
                <c:pt idx="791">
                  <c:v>0.2669138090824838</c:v>
                </c:pt>
                <c:pt idx="792">
                  <c:v>0.26598702502316962</c:v>
                </c:pt>
                <c:pt idx="793">
                  <c:v>0.26506024096385544</c:v>
                </c:pt>
                <c:pt idx="794">
                  <c:v>0.26413345690454126</c:v>
                </c:pt>
                <c:pt idx="795">
                  <c:v>0.26320667284522709</c:v>
                </c:pt>
                <c:pt idx="796">
                  <c:v>0.26227988878591291</c:v>
                </c:pt>
                <c:pt idx="797">
                  <c:v>0.26135310472659873</c:v>
                </c:pt>
                <c:pt idx="798">
                  <c:v>0.26042632066728455</c:v>
                </c:pt>
                <c:pt idx="799">
                  <c:v>0.25949953660797032</c:v>
                </c:pt>
                <c:pt idx="800">
                  <c:v>0.25857275254865614</c:v>
                </c:pt>
                <c:pt idx="801">
                  <c:v>0.25764596848934196</c:v>
                </c:pt>
                <c:pt idx="802">
                  <c:v>0.25671918443002778</c:v>
                </c:pt>
                <c:pt idx="803">
                  <c:v>0.2557924003707136</c:v>
                </c:pt>
                <c:pt idx="804">
                  <c:v>0.25486561631139942</c:v>
                </c:pt>
                <c:pt idx="805">
                  <c:v>0.25393883225208524</c:v>
                </c:pt>
                <c:pt idx="806">
                  <c:v>0.25301204819277107</c:v>
                </c:pt>
                <c:pt idx="807">
                  <c:v>0.25208526413345689</c:v>
                </c:pt>
                <c:pt idx="808">
                  <c:v>0.25115848007414271</c:v>
                </c:pt>
                <c:pt idx="809">
                  <c:v>0.25023169601482853</c:v>
                </c:pt>
                <c:pt idx="810">
                  <c:v>0.24930491195551435</c:v>
                </c:pt>
                <c:pt idx="811">
                  <c:v>0.24837812789620017</c:v>
                </c:pt>
                <c:pt idx="812">
                  <c:v>0.247451343836886</c:v>
                </c:pt>
                <c:pt idx="813">
                  <c:v>0.24652455977757182</c:v>
                </c:pt>
                <c:pt idx="814">
                  <c:v>0.24559777571825764</c:v>
                </c:pt>
                <c:pt idx="815">
                  <c:v>0.24467099165894346</c:v>
                </c:pt>
                <c:pt idx="816">
                  <c:v>0.24374420759962928</c:v>
                </c:pt>
                <c:pt idx="817">
                  <c:v>0.2428174235403151</c:v>
                </c:pt>
                <c:pt idx="818">
                  <c:v>0.24189063948100092</c:v>
                </c:pt>
                <c:pt idx="819">
                  <c:v>0.24096385542168675</c:v>
                </c:pt>
                <c:pt idx="820">
                  <c:v>0.24003707136237257</c:v>
                </c:pt>
                <c:pt idx="821">
                  <c:v>0.23911028730305839</c:v>
                </c:pt>
                <c:pt idx="822">
                  <c:v>0.23818350324374421</c:v>
                </c:pt>
                <c:pt idx="823">
                  <c:v>0.23725671918443003</c:v>
                </c:pt>
                <c:pt idx="824">
                  <c:v>0.23632993512511585</c:v>
                </c:pt>
                <c:pt idx="825">
                  <c:v>0.23540315106580167</c:v>
                </c:pt>
                <c:pt idx="826">
                  <c:v>0.2344763670064875</c:v>
                </c:pt>
                <c:pt idx="827">
                  <c:v>0.23354958294717332</c:v>
                </c:pt>
                <c:pt idx="828">
                  <c:v>0.23262279888785914</c:v>
                </c:pt>
                <c:pt idx="829">
                  <c:v>0.23169601482854496</c:v>
                </c:pt>
                <c:pt idx="830">
                  <c:v>0.23076923076923078</c:v>
                </c:pt>
                <c:pt idx="831">
                  <c:v>0.22984244670991658</c:v>
                </c:pt>
                <c:pt idx="832">
                  <c:v>0.2289156626506024</c:v>
                </c:pt>
                <c:pt idx="833">
                  <c:v>0.22798887859128822</c:v>
                </c:pt>
                <c:pt idx="834">
                  <c:v>0.22706209453197404</c:v>
                </c:pt>
                <c:pt idx="835">
                  <c:v>0.22613531047265986</c:v>
                </c:pt>
                <c:pt idx="836">
                  <c:v>0.22520852641334568</c:v>
                </c:pt>
                <c:pt idx="837">
                  <c:v>0.2242817423540315</c:v>
                </c:pt>
                <c:pt idx="838">
                  <c:v>0.22335495829471733</c:v>
                </c:pt>
                <c:pt idx="839">
                  <c:v>0.22242817423540315</c:v>
                </c:pt>
                <c:pt idx="840">
                  <c:v>0.22150139017608897</c:v>
                </c:pt>
                <c:pt idx="841">
                  <c:v>0.22057460611677479</c:v>
                </c:pt>
                <c:pt idx="842">
                  <c:v>0.21964782205746061</c:v>
                </c:pt>
                <c:pt idx="843">
                  <c:v>0.21872103799814643</c:v>
                </c:pt>
                <c:pt idx="844">
                  <c:v>0.21779425393883226</c:v>
                </c:pt>
                <c:pt idx="845">
                  <c:v>0.21686746987951808</c:v>
                </c:pt>
                <c:pt idx="846">
                  <c:v>0.2159406858202039</c:v>
                </c:pt>
                <c:pt idx="847">
                  <c:v>0.21501390176088972</c:v>
                </c:pt>
                <c:pt idx="848">
                  <c:v>0.21408711770157554</c:v>
                </c:pt>
                <c:pt idx="849">
                  <c:v>0.21316033364226136</c:v>
                </c:pt>
                <c:pt idx="850">
                  <c:v>0.21223354958294718</c:v>
                </c:pt>
                <c:pt idx="851">
                  <c:v>0.21130676552363301</c:v>
                </c:pt>
                <c:pt idx="852">
                  <c:v>0.21037998146431883</c:v>
                </c:pt>
                <c:pt idx="853">
                  <c:v>0.20945319740500462</c:v>
                </c:pt>
                <c:pt idx="854">
                  <c:v>0.20852641334569044</c:v>
                </c:pt>
                <c:pt idx="855">
                  <c:v>0.20759962928637626</c:v>
                </c:pt>
                <c:pt idx="856">
                  <c:v>0.20667284522706209</c:v>
                </c:pt>
                <c:pt idx="857">
                  <c:v>0.20574606116774791</c:v>
                </c:pt>
                <c:pt idx="858">
                  <c:v>0.20481927710843373</c:v>
                </c:pt>
                <c:pt idx="859">
                  <c:v>0.20389249304911955</c:v>
                </c:pt>
                <c:pt idx="860">
                  <c:v>0.20296570898980537</c:v>
                </c:pt>
                <c:pt idx="861">
                  <c:v>0.20203892493049119</c:v>
                </c:pt>
                <c:pt idx="862">
                  <c:v>0.20111214087117701</c:v>
                </c:pt>
                <c:pt idx="863">
                  <c:v>0.20018535681186284</c:v>
                </c:pt>
                <c:pt idx="864">
                  <c:v>0.19925857275254866</c:v>
                </c:pt>
                <c:pt idx="865">
                  <c:v>0.19833178869323448</c:v>
                </c:pt>
                <c:pt idx="866">
                  <c:v>0.1974050046339203</c:v>
                </c:pt>
                <c:pt idx="867">
                  <c:v>0.19647822057460612</c:v>
                </c:pt>
                <c:pt idx="868">
                  <c:v>0.19555143651529194</c:v>
                </c:pt>
                <c:pt idx="869">
                  <c:v>0.19462465245597776</c:v>
                </c:pt>
                <c:pt idx="870">
                  <c:v>0.19369786839666359</c:v>
                </c:pt>
                <c:pt idx="871">
                  <c:v>0.19277108433734941</c:v>
                </c:pt>
                <c:pt idx="872">
                  <c:v>0.19184430027803523</c:v>
                </c:pt>
                <c:pt idx="873">
                  <c:v>0.19091751621872105</c:v>
                </c:pt>
                <c:pt idx="874">
                  <c:v>0.18999073215940684</c:v>
                </c:pt>
                <c:pt idx="875">
                  <c:v>0.18906394810009267</c:v>
                </c:pt>
                <c:pt idx="876">
                  <c:v>0.18813716404077849</c:v>
                </c:pt>
                <c:pt idx="877">
                  <c:v>0.18721037998146431</c:v>
                </c:pt>
                <c:pt idx="878">
                  <c:v>0.18628359592215013</c:v>
                </c:pt>
                <c:pt idx="879">
                  <c:v>0.18535681186283595</c:v>
                </c:pt>
                <c:pt idx="880">
                  <c:v>0.18443002780352177</c:v>
                </c:pt>
                <c:pt idx="881">
                  <c:v>0.18350324374420759</c:v>
                </c:pt>
                <c:pt idx="882">
                  <c:v>0.18257645968489342</c:v>
                </c:pt>
                <c:pt idx="883">
                  <c:v>0.18164967562557924</c:v>
                </c:pt>
                <c:pt idx="884">
                  <c:v>0.18072289156626506</c:v>
                </c:pt>
                <c:pt idx="885">
                  <c:v>0.17979610750695088</c:v>
                </c:pt>
                <c:pt idx="886">
                  <c:v>0.1788693234476367</c:v>
                </c:pt>
                <c:pt idx="887">
                  <c:v>0.17794253938832252</c:v>
                </c:pt>
                <c:pt idx="888">
                  <c:v>0.17701575532900835</c:v>
                </c:pt>
                <c:pt idx="889">
                  <c:v>0.17608897126969417</c:v>
                </c:pt>
                <c:pt idx="890">
                  <c:v>0.17516218721037999</c:v>
                </c:pt>
                <c:pt idx="891">
                  <c:v>0.17423540315106581</c:v>
                </c:pt>
                <c:pt idx="892">
                  <c:v>0.17330861909175163</c:v>
                </c:pt>
                <c:pt idx="893">
                  <c:v>0.17238183503243745</c:v>
                </c:pt>
                <c:pt idx="894">
                  <c:v>0.17145505097312327</c:v>
                </c:pt>
                <c:pt idx="895">
                  <c:v>0.1705282669138091</c:v>
                </c:pt>
                <c:pt idx="896">
                  <c:v>0.16960148285449489</c:v>
                </c:pt>
                <c:pt idx="897">
                  <c:v>0.16867469879518071</c:v>
                </c:pt>
                <c:pt idx="898">
                  <c:v>0.16774791473586653</c:v>
                </c:pt>
                <c:pt idx="899">
                  <c:v>0.16682113067655235</c:v>
                </c:pt>
                <c:pt idx="900">
                  <c:v>0.16589434661723818</c:v>
                </c:pt>
                <c:pt idx="901">
                  <c:v>0.164967562557924</c:v>
                </c:pt>
                <c:pt idx="902">
                  <c:v>0.16404077849860982</c:v>
                </c:pt>
                <c:pt idx="903">
                  <c:v>0.16311399443929564</c:v>
                </c:pt>
                <c:pt idx="904">
                  <c:v>0.16218721037998146</c:v>
                </c:pt>
                <c:pt idx="905">
                  <c:v>0.16126042632066728</c:v>
                </c:pt>
                <c:pt idx="906">
                  <c:v>0.1603336422613531</c:v>
                </c:pt>
                <c:pt idx="907">
                  <c:v>0.15940685820203893</c:v>
                </c:pt>
                <c:pt idx="908">
                  <c:v>0.15848007414272475</c:v>
                </c:pt>
                <c:pt idx="909">
                  <c:v>0.15755329008341057</c:v>
                </c:pt>
                <c:pt idx="910">
                  <c:v>0.15662650602409639</c:v>
                </c:pt>
                <c:pt idx="911">
                  <c:v>0.15569972196478221</c:v>
                </c:pt>
                <c:pt idx="912">
                  <c:v>0.15477293790546803</c:v>
                </c:pt>
                <c:pt idx="913">
                  <c:v>0.15384615384615385</c:v>
                </c:pt>
                <c:pt idx="914">
                  <c:v>0.15291936978683968</c:v>
                </c:pt>
                <c:pt idx="915">
                  <c:v>0.1519925857275255</c:v>
                </c:pt>
                <c:pt idx="916">
                  <c:v>0.15106580166821132</c:v>
                </c:pt>
                <c:pt idx="917">
                  <c:v>0.15013901760889714</c:v>
                </c:pt>
                <c:pt idx="918">
                  <c:v>0.14921223354958293</c:v>
                </c:pt>
                <c:pt idx="919">
                  <c:v>0.14828544949026876</c:v>
                </c:pt>
                <c:pt idx="920">
                  <c:v>0.14735866543095458</c:v>
                </c:pt>
                <c:pt idx="921">
                  <c:v>0.1464318813716404</c:v>
                </c:pt>
                <c:pt idx="922">
                  <c:v>0.14550509731232622</c:v>
                </c:pt>
                <c:pt idx="923">
                  <c:v>0.14457831325301204</c:v>
                </c:pt>
                <c:pt idx="924">
                  <c:v>0.14365152919369786</c:v>
                </c:pt>
                <c:pt idx="925">
                  <c:v>0.14272474513438368</c:v>
                </c:pt>
                <c:pt idx="926">
                  <c:v>0.14179796107506951</c:v>
                </c:pt>
                <c:pt idx="927">
                  <c:v>0.14087117701575533</c:v>
                </c:pt>
                <c:pt idx="928">
                  <c:v>0.13994439295644115</c:v>
                </c:pt>
                <c:pt idx="929">
                  <c:v>0.13901760889712697</c:v>
                </c:pt>
                <c:pt idx="930">
                  <c:v>0.13809082483781279</c:v>
                </c:pt>
                <c:pt idx="931">
                  <c:v>0.13716404077849861</c:v>
                </c:pt>
                <c:pt idx="932">
                  <c:v>0.13623725671918444</c:v>
                </c:pt>
                <c:pt idx="933">
                  <c:v>0.13531047265987026</c:v>
                </c:pt>
                <c:pt idx="934">
                  <c:v>0.13438368860055608</c:v>
                </c:pt>
                <c:pt idx="935">
                  <c:v>0.1334569045412419</c:v>
                </c:pt>
                <c:pt idx="936">
                  <c:v>0.13253012048192772</c:v>
                </c:pt>
                <c:pt idx="937">
                  <c:v>0.13160333642261354</c:v>
                </c:pt>
                <c:pt idx="938">
                  <c:v>0.13067655236329936</c:v>
                </c:pt>
                <c:pt idx="939">
                  <c:v>0.12974976830398516</c:v>
                </c:pt>
                <c:pt idx="940">
                  <c:v>0.12882298424467098</c:v>
                </c:pt>
                <c:pt idx="941">
                  <c:v>0.1278962001853568</c:v>
                </c:pt>
                <c:pt idx="942">
                  <c:v>0.12696941612604262</c:v>
                </c:pt>
                <c:pt idx="943">
                  <c:v>0.12604263206672844</c:v>
                </c:pt>
                <c:pt idx="944">
                  <c:v>0.12511584800741427</c:v>
                </c:pt>
                <c:pt idx="945">
                  <c:v>0.12418906394810009</c:v>
                </c:pt>
                <c:pt idx="946">
                  <c:v>0.12326227988878591</c:v>
                </c:pt>
                <c:pt idx="947">
                  <c:v>0.12233549582947173</c:v>
                </c:pt>
                <c:pt idx="948">
                  <c:v>0.12140871177015755</c:v>
                </c:pt>
                <c:pt idx="949">
                  <c:v>0.12048192771084337</c:v>
                </c:pt>
                <c:pt idx="950">
                  <c:v>0.11955514365152919</c:v>
                </c:pt>
                <c:pt idx="951">
                  <c:v>0.11862835959221502</c:v>
                </c:pt>
                <c:pt idx="952">
                  <c:v>0.11770157553290084</c:v>
                </c:pt>
                <c:pt idx="953">
                  <c:v>0.11677479147358666</c:v>
                </c:pt>
                <c:pt idx="954">
                  <c:v>0.11584800741427248</c:v>
                </c:pt>
                <c:pt idx="955">
                  <c:v>0.11492122335495829</c:v>
                </c:pt>
                <c:pt idx="956">
                  <c:v>0.11399443929564411</c:v>
                </c:pt>
                <c:pt idx="957">
                  <c:v>0.11306765523632993</c:v>
                </c:pt>
                <c:pt idx="958">
                  <c:v>0.11214087117701575</c:v>
                </c:pt>
                <c:pt idx="959">
                  <c:v>0.11121408711770157</c:v>
                </c:pt>
                <c:pt idx="960">
                  <c:v>0.1102873030583874</c:v>
                </c:pt>
                <c:pt idx="961">
                  <c:v>0.10936051899907322</c:v>
                </c:pt>
                <c:pt idx="962">
                  <c:v>0.10843373493975904</c:v>
                </c:pt>
                <c:pt idx="963">
                  <c:v>0.10750695088044486</c:v>
                </c:pt>
                <c:pt idx="964">
                  <c:v>0.10658016682113068</c:v>
                </c:pt>
                <c:pt idx="965">
                  <c:v>0.1056533827618165</c:v>
                </c:pt>
                <c:pt idx="966">
                  <c:v>0.10472659870250231</c:v>
                </c:pt>
                <c:pt idx="967">
                  <c:v>0.10379981464318813</c:v>
                </c:pt>
                <c:pt idx="968">
                  <c:v>0.10287303058387395</c:v>
                </c:pt>
                <c:pt idx="969">
                  <c:v>0.10194624652455977</c:v>
                </c:pt>
                <c:pt idx="970">
                  <c:v>0.1010194624652456</c:v>
                </c:pt>
                <c:pt idx="971">
                  <c:v>0.10009267840593142</c:v>
                </c:pt>
                <c:pt idx="972">
                  <c:v>9.9165894346617239E-2</c:v>
                </c:pt>
                <c:pt idx="973">
                  <c:v>9.8239110287303061E-2</c:v>
                </c:pt>
                <c:pt idx="974">
                  <c:v>9.7312326227988882E-2</c:v>
                </c:pt>
                <c:pt idx="975">
                  <c:v>9.6385542168674704E-2</c:v>
                </c:pt>
                <c:pt idx="976">
                  <c:v>9.5458758109360525E-2</c:v>
                </c:pt>
                <c:pt idx="977">
                  <c:v>9.4531974050046333E-2</c:v>
                </c:pt>
                <c:pt idx="978">
                  <c:v>9.3605189990732154E-2</c:v>
                </c:pt>
                <c:pt idx="979">
                  <c:v>9.2678405931417976E-2</c:v>
                </c:pt>
                <c:pt idx="980">
                  <c:v>9.1751621872103797E-2</c:v>
                </c:pt>
                <c:pt idx="981">
                  <c:v>9.0824837812789619E-2</c:v>
                </c:pt>
                <c:pt idx="982">
                  <c:v>8.989805375347544E-2</c:v>
                </c:pt>
                <c:pt idx="983">
                  <c:v>8.8971269694161262E-2</c:v>
                </c:pt>
                <c:pt idx="984">
                  <c:v>8.8044485634847083E-2</c:v>
                </c:pt>
                <c:pt idx="985">
                  <c:v>8.7117701575532905E-2</c:v>
                </c:pt>
                <c:pt idx="986">
                  <c:v>8.6190917516218726E-2</c:v>
                </c:pt>
                <c:pt idx="987">
                  <c:v>8.5264133456904548E-2</c:v>
                </c:pt>
                <c:pt idx="988">
                  <c:v>8.4337349397590355E-2</c:v>
                </c:pt>
                <c:pt idx="989">
                  <c:v>8.3410565338276177E-2</c:v>
                </c:pt>
                <c:pt idx="990">
                  <c:v>8.2483781278961998E-2</c:v>
                </c:pt>
                <c:pt idx="991">
                  <c:v>8.155699721964782E-2</c:v>
                </c:pt>
                <c:pt idx="992">
                  <c:v>8.0630213160333641E-2</c:v>
                </c:pt>
                <c:pt idx="993">
                  <c:v>7.9703429101019463E-2</c:v>
                </c:pt>
                <c:pt idx="994">
                  <c:v>7.8776645041705284E-2</c:v>
                </c:pt>
                <c:pt idx="995">
                  <c:v>7.7849860982391106E-2</c:v>
                </c:pt>
                <c:pt idx="996">
                  <c:v>7.6923076923076927E-2</c:v>
                </c:pt>
                <c:pt idx="997">
                  <c:v>7.5996292863762749E-2</c:v>
                </c:pt>
                <c:pt idx="998">
                  <c:v>7.506950880444857E-2</c:v>
                </c:pt>
                <c:pt idx="999">
                  <c:v>7.4142724745134378E-2</c:v>
                </c:pt>
                <c:pt idx="1000">
                  <c:v>7.3215940685820199E-2</c:v>
                </c:pt>
                <c:pt idx="1001">
                  <c:v>7.2289156626506021E-2</c:v>
                </c:pt>
                <c:pt idx="1002">
                  <c:v>7.1362372567191842E-2</c:v>
                </c:pt>
                <c:pt idx="1003">
                  <c:v>7.0435588507877664E-2</c:v>
                </c:pt>
                <c:pt idx="1004">
                  <c:v>6.9508804448563485E-2</c:v>
                </c:pt>
                <c:pt idx="1005">
                  <c:v>6.8582020389249307E-2</c:v>
                </c:pt>
                <c:pt idx="1006">
                  <c:v>6.7655236329935128E-2</c:v>
                </c:pt>
                <c:pt idx="1007">
                  <c:v>6.672845227062095E-2</c:v>
                </c:pt>
                <c:pt idx="1008">
                  <c:v>6.5801668211306771E-2</c:v>
                </c:pt>
                <c:pt idx="1009">
                  <c:v>6.4874884151992579E-2</c:v>
                </c:pt>
                <c:pt idx="1010">
                  <c:v>6.39481000926784E-2</c:v>
                </c:pt>
                <c:pt idx="1011">
                  <c:v>6.3021316033364222E-2</c:v>
                </c:pt>
                <c:pt idx="1012">
                  <c:v>6.2094531974050043E-2</c:v>
                </c:pt>
                <c:pt idx="1013">
                  <c:v>6.1167747914735865E-2</c:v>
                </c:pt>
                <c:pt idx="1014">
                  <c:v>6.0240963855421686E-2</c:v>
                </c:pt>
                <c:pt idx="1015">
                  <c:v>5.9314179796107508E-2</c:v>
                </c:pt>
                <c:pt idx="1016">
                  <c:v>5.8387395736793329E-2</c:v>
                </c:pt>
                <c:pt idx="1017">
                  <c:v>5.7460611677479144E-2</c:v>
                </c:pt>
                <c:pt idx="1018">
                  <c:v>5.6533827618164965E-2</c:v>
                </c:pt>
                <c:pt idx="1019">
                  <c:v>5.5607043558850787E-2</c:v>
                </c:pt>
                <c:pt idx="1020">
                  <c:v>5.4680259499536608E-2</c:v>
                </c:pt>
                <c:pt idx="1021">
                  <c:v>5.375347544022243E-2</c:v>
                </c:pt>
                <c:pt idx="1022">
                  <c:v>5.2826691380908251E-2</c:v>
                </c:pt>
                <c:pt idx="1023">
                  <c:v>5.1899907321594066E-2</c:v>
                </c:pt>
                <c:pt idx="1024">
                  <c:v>5.0973123262279887E-2</c:v>
                </c:pt>
                <c:pt idx="1025">
                  <c:v>5.0046339202965709E-2</c:v>
                </c:pt>
                <c:pt idx="1026">
                  <c:v>4.911955514365153E-2</c:v>
                </c:pt>
                <c:pt idx="1027">
                  <c:v>4.8192771084337352E-2</c:v>
                </c:pt>
                <c:pt idx="1028">
                  <c:v>4.7265987025023166E-2</c:v>
                </c:pt>
                <c:pt idx="1029">
                  <c:v>4.6339202965708988E-2</c:v>
                </c:pt>
                <c:pt idx="1030">
                  <c:v>4.5412418906394809E-2</c:v>
                </c:pt>
                <c:pt idx="1031">
                  <c:v>4.4485634847080631E-2</c:v>
                </c:pt>
                <c:pt idx="1032">
                  <c:v>4.3558850787766452E-2</c:v>
                </c:pt>
                <c:pt idx="1033">
                  <c:v>4.2632066728452274E-2</c:v>
                </c:pt>
                <c:pt idx="1034">
                  <c:v>4.1705282669138088E-2</c:v>
                </c:pt>
                <c:pt idx="1035">
                  <c:v>4.077849860982391E-2</c:v>
                </c:pt>
                <c:pt idx="1036">
                  <c:v>3.9851714550509731E-2</c:v>
                </c:pt>
                <c:pt idx="1037">
                  <c:v>3.8924930491195553E-2</c:v>
                </c:pt>
                <c:pt idx="1038">
                  <c:v>3.7998146431881374E-2</c:v>
                </c:pt>
                <c:pt idx="1039">
                  <c:v>3.7071362372567189E-2</c:v>
                </c:pt>
                <c:pt idx="1040">
                  <c:v>3.614457831325301E-2</c:v>
                </c:pt>
                <c:pt idx="1041">
                  <c:v>3.5217794253938832E-2</c:v>
                </c:pt>
                <c:pt idx="1042">
                  <c:v>3.4291010194624653E-2</c:v>
                </c:pt>
                <c:pt idx="1043">
                  <c:v>3.3364226135310475E-2</c:v>
                </c:pt>
                <c:pt idx="1044">
                  <c:v>3.2437442075996289E-2</c:v>
                </c:pt>
                <c:pt idx="1045">
                  <c:v>3.1510658016682111E-2</c:v>
                </c:pt>
                <c:pt idx="1046">
                  <c:v>3.0583873957367932E-2</c:v>
                </c:pt>
                <c:pt idx="1047">
                  <c:v>2.9657089898053754E-2</c:v>
                </c:pt>
                <c:pt idx="1048">
                  <c:v>2.8730305838739572E-2</c:v>
                </c:pt>
                <c:pt idx="1049">
                  <c:v>2.7803521779425393E-2</c:v>
                </c:pt>
                <c:pt idx="1050">
                  <c:v>2.6876737720111215E-2</c:v>
                </c:pt>
                <c:pt idx="1051">
                  <c:v>2.5949953660797033E-2</c:v>
                </c:pt>
                <c:pt idx="1052">
                  <c:v>2.5023169601482854E-2</c:v>
                </c:pt>
                <c:pt idx="1053">
                  <c:v>2.4096385542168676E-2</c:v>
                </c:pt>
                <c:pt idx="1054">
                  <c:v>2.3169601482854494E-2</c:v>
                </c:pt>
                <c:pt idx="1055">
                  <c:v>2.2242817423540315E-2</c:v>
                </c:pt>
                <c:pt idx="1056">
                  <c:v>2.1316033364226137E-2</c:v>
                </c:pt>
                <c:pt idx="1057">
                  <c:v>2.0389249304911955E-2</c:v>
                </c:pt>
                <c:pt idx="1058">
                  <c:v>1.9462465245597776E-2</c:v>
                </c:pt>
                <c:pt idx="1059">
                  <c:v>1.8535681186283594E-2</c:v>
                </c:pt>
                <c:pt idx="1060">
                  <c:v>1.7608897126969416E-2</c:v>
                </c:pt>
                <c:pt idx="1061">
                  <c:v>1.6682113067655237E-2</c:v>
                </c:pt>
                <c:pt idx="1062">
                  <c:v>1.5755329008341055E-2</c:v>
                </c:pt>
                <c:pt idx="1063">
                  <c:v>1.4828544949026877E-2</c:v>
                </c:pt>
                <c:pt idx="1064">
                  <c:v>1.3901760889712697E-2</c:v>
                </c:pt>
                <c:pt idx="1065">
                  <c:v>1.2974976830398516E-2</c:v>
                </c:pt>
                <c:pt idx="1066">
                  <c:v>1.2048192771084338E-2</c:v>
                </c:pt>
                <c:pt idx="1067">
                  <c:v>1.1121408711770158E-2</c:v>
                </c:pt>
                <c:pt idx="1068">
                  <c:v>1.0194624652455977E-2</c:v>
                </c:pt>
                <c:pt idx="1069">
                  <c:v>9.2678405931417972E-3</c:v>
                </c:pt>
                <c:pt idx="1070">
                  <c:v>8.3410565338276187E-3</c:v>
                </c:pt>
                <c:pt idx="1071">
                  <c:v>7.4142724745134385E-3</c:v>
                </c:pt>
                <c:pt idx="1072">
                  <c:v>6.4874884151992582E-3</c:v>
                </c:pt>
                <c:pt idx="1073">
                  <c:v>5.5607043558850789E-3</c:v>
                </c:pt>
                <c:pt idx="1074">
                  <c:v>4.6339202965708986E-3</c:v>
                </c:pt>
                <c:pt idx="1075">
                  <c:v>3.7071362372567192E-3</c:v>
                </c:pt>
                <c:pt idx="1076">
                  <c:v>2.7803521779425394E-3</c:v>
                </c:pt>
                <c:pt idx="1077">
                  <c:v>1.8535681186283596E-3</c:v>
                </c:pt>
                <c:pt idx="1078">
                  <c:v>9.2678405931417981E-4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9-3442-9064-D22835E9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1.2015418178263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Claim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Proportion of Claims &lt;=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Distribution of Claim Amounts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Distribution of Claim Amounts</a:t>
          </a:r>
        </a:p>
      </cx:txPr>
    </cx:title>
    <cx:plotArea>
      <cx:plotAreaRegion>
        <cx:series layoutId="boxWhisker" uniqueId="{E7FA3D99-053A-CE43-88C2-A779CDAF53AE}">
          <cx:tx>
            <cx:txData>
              <cx:f>_xlchart.v1.0</cx:f>
              <cx:v>ValidClaimAmount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title>
          <cx:tx>
            <cx:txData>
              <cx:v>Claim Amount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Claim Amount</a:t>
              </a:r>
            </a:p>
          </cx:txPr>
        </cx:title>
        <cx:majorGridlines/>
        <cx:tickLabels/>
      </cx:axis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3</xdr:row>
          <xdr:rowOff>0</xdr:rowOff>
        </xdr:from>
        <xdr:to>
          <xdr:col>6</xdr:col>
          <xdr:colOff>1409700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63500</xdr:colOff>
      <xdr:row>25</xdr:row>
      <xdr:rowOff>0</xdr:rowOff>
    </xdr:from>
    <xdr:to>
      <xdr:col>5</xdr:col>
      <xdr:colOff>660400</xdr:colOff>
      <xdr:row>38</xdr:row>
      <xdr:rowOff>101600</xdr:rowOff>
    </xdr:to>
    <xdr:graphicFrame macro="">
      <xdr:nvGraphicFramePr>
        <xdr:cNvPr id="3" name="ClaimFrequency">
          <a:extLst>
            <a:ext uri="{FF2B5EF4-FFF2-40B4-BE49-F238E27FC236}">
              <a16:creationId xmlns:a16="http://schemas.microsoft.com/office/drawing/2014/main" id="{3273F966-B947-DB40-A60B-3186A9E07C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342900</xdr:colOff>
      <xdr:row>25</xdr:row>
      <xdr:rowOff>12700</xdr:rowOff>
    </xdr:from>
    <xdr:to>
      <xdr:col>10</xdr:col>
      <xdr:colOff>711200</xdr:colOff>
      <xdr:row>38</xdr:row>
      <xdr:rowOff>114300</xdr:rowOff>
    </xdr:to>
    <xdr:graphicFrame macro="">
      <xdr:nvGraphicFramePr>
        <xdr:cNvPr id="2" name="ClaimSeverityCDF">
          <a:extLst>
            <a:ext uri="{FF2B5EF4-FFF2-40B4-BE49-F238E27FC236}">
              <a16:creationId xmlns:a16="http://schemas.microsoft.com/office/drawing/2014/main" id="{50EFD192-2C3D-B64D-BAC6-038706BBE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381000</xdr:colOff>
      <xdr:row>41</xdr:row>
      <xdr:rowOff>38100</xdr:rowOff>
    </xdr:from>
    <xdr:to>
      <xdr:col>10</xdr:col>
      <xdr:colOff>749300</xdr:colOff>
      <xdr:row>54</xdr:row>
      <xdr:rowOff>139700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3D2F758-9EDE-E941-849C-D7233EDC06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50200" y="65405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 Berg" refreshedDate="45702.614950000003" createdVersion="8" refreshedVersion="8" minRefreshableVersion="3" recordCount="1079" xr:uid="{54ABA516-E43E-3348-8E5C-6B3B3AC0DFD8}">
  <cacheSource type="worksheet">
    <worksheetSource name="claimSimResults"/>
  </cacheSource>
  <cacheFields count="6">
    <cacheField name="PolicyID" numFmtId="0">
      <sharedItems containsSemiMixedTypes="0" containsString="0" containsNumber="1" containsInteger="1" minValue="1" maxValue="500" count="473">
        <n v="1"/>
        <n v="2"/>
        <n v="3"/>
        <n v="4"/>
        <n v="5"/>
        <n v="6"/>
        <n v="7"/>
        <n v="8"/>
        <n v="9"/>
        <n v="10"/>
        <n v="12"/>
        <n v="13"/>
        <n v="14"/>
        <n v="15"/>
        <n v="16"/>
        <n v="17"/>
        <n v="18"/>
        <n v="19"/>
        <n v="20"/>
        <n v="21"/>
        <n v="22"/>
        <n v="23"/>
        <n v="25"/>
        <n v="26"/>
        <n v="27"/>
        <n v="28"/>
        <n v="29"/>
        <n v="30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7"/>
        <n v="128"/>
        <n v="129"/>
        <n v="130"/>
        <n v="131"/>
        <n v="132"/>
        <n v="133"/>
        <n v="134"/>
        <n v="135"/>
        <n v="136"/>
        <n v="137"/>
        <n v="138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4"/>
        <n v="195"/>
        <n v="196"/>
        <n v="197"/>
        <n v="198"/>
        <n v="199"/>
        <n v="200"/>
        <n v="201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8"/>
        <n v="329"/>
        <n v="330"/>
        <n v="331"/>
        <n v="332"/>
        <n v="333"/>
        <n v="334"/>
        <n v="335"/>
        <n v="336"/>
        <n v="337"/>
        <n v="338"/>
        <n v="339"/>
        <n v="341"/>
        <n v="342"/>
        <n v="343"/>
        <n v="344"/>
        <n v="345"/>
        <n v="346"/>
        <n v="348"/>
        <n v="349"/>
        <n v="350"/>
        <n v="351"/>
        <n v="353"/>
        <n v="354"/>
        <n v="355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7"/>
        <n v="378"/>
        <n v="379"/>
        <n v="381"/>
        <n v="382"/>
        <n v="383"/>
        <n v="384"/>
        <n v="385"/>
        <n v="386"/>
        <n v="387"/>
        <n v="388"/>
        <n v="389"/>
        <n v="390"/>
        <n v="392"/>
        <n v="393"/>
        <n v="394"/>
        <n v="395"/>
        <n v="396"/>
        <n v="397"/>
        <n v="398"/>
        <n v="399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2"/>
        <n v="493"/>
        <n v="494"/>
        <n v="495"/>
        <n v="497"/>
        <n v="498"/>
        <n v="499"/>
        <n v="500"/>
      </sharedItems>
    </cacheField>
    <cacheField name="ClaimAmount" numFmtId="0">
      <sharedItems/>
    </cacheField>
    <cacheField name="ClaimDate" numFmtId="14">
      <sharedItems containsSemiMixedTypes="0" containsNonDate="0" containsDate="1" containsString="0" minDate="2024-01-01T00:00:00" maxDate="2025-01-01T00:00:00"/>
    </cacheField>
    <cacheField name="CleanedClaimAmountText" numFmtId="0">
      <sharedItems/>
    </cacheField>
    <cacheField name="ClaimAmountNumeric" numFmtId="0">
      <sharedItems containsSemiMixedTypes="0" containsString="0" containsNumber="1" minValue="4.6314138606822304E-3" maxValue="1.20154181782631"/>
    </cacheField>
    <cacheField name="ValidClaimAmount" numFmtId="0">
      <sharedItems containsSemiMixedTypes="0" containsString="0" containsNumber="1" minValue="4.6314138606822304E-3" maxValue="1.201541817826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 Berg" refreshedDate="45702.614953356482" createdVersion="8" refreshedVersion="8" minRefreshableVersion="3" recordCount="500" xr:uid="{4D4F94C6-548D-AD46-B2D1-28509BD8755E}">
  <cacheSource type="worksheet">
    <worksheetSource name="TblPolicyClaimCount"/>
  </cacheSource>
  <cacheFields count="2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1" maxValue="125" count="115">
        <n v="3"/>
        <n v="1"/>
        <n v="2"/>
        <n v="4"/>
        <n v="111" u="1"/>
        <n v="110" u="1"/>
        <n v="107" u="1"/>
        <n v="120" u="1"/>
        <n v="92" u="1"/>
        <n v="117" u="1"/>
        <n v="103" u="1"/>
        <n v="112" u="1"/>
        <n v="122" u="1"/>
        <n v="95" u="1"/>
        <n v="113" u="1"/>
        <n v="105" u="1"/>
        <n v="106" u="1"/>
        <n v="108" u="1"/>
        <n v="102" u="1"/>
        <n v="119" u="1"/>
        <n v="114" u="1"/>
        <n v="124" u="1"/>
        <n v="101" u="1"/>
        <n v="100" u="1"/>
        <n v="96" u="1"/>
        <n v="104" u="1"/>
        <n v="116" u="1"/>
        <n v="109" u="1"/>
        <n v="118" u="1"/>
        <n v="99" u="1"/>
        <n v="121" u="1"/>
        <n v="115" u="1"/>
        <n v="94" u="1"/>
        <n v="97" u="1"/>
        <n v="98" u="1"/>
        <n v="125" u="1"/>
        <n v="123" u="1"/>
        <n v="91" u="1"/>
        <n v="93" u="1"/>
        <n v="87" u="1"/>
        <n v="88" u="1"/>
        <n v="58" u="1"/>
        <n v="60" u="1"/>
        <n v="83" u="1"/>
        <n v="53" u="1"/>
        <n v="75" u="1"/>
        <n v="52" u="1"/>
        <n v="65" u="1"/>
        <n v="57" u="1"/>
        <n v="47" u="1"/>
        <n v="72" u="1"/>
        <n v="55" u="1"/>
        <n v="59" u="1"/>
        <n v="66" u="1"/>
        <n v="62" u="1"/>
        <n v="56" u="1"/>
        <n v="67" u="1"/>
        <n v="54" u="1"/>
        <n v="45" u="1"/>
        <n v="69" u="1"/>
        <n v="61" u="1"/>
        <n v="42" u="1"/>
        <n v="68" u="1"/>
        <n v="76" u="1"/>
        <n v="51" u="1"/>
        <n v="63" u="1"/>
        <n v="70" u="1"/>
        <n v="50" u="1"/>
        <n v="64" u="1"/>
        <n v="74" u="1"/>
        <n v="49" u="1"/>
        <n v="71" u="1"/>
        <n v="73" u="1"/>
        <n v="48" u="1"/>
        <n v="79" u="1"/>
        <n v="43" u="1"/>
        <n v="46" u="1"/>
        <n v="41" u="1"/>
        <n v="17" u="1"/>
        <n v="23" u="1"/>
        <n v="19" u="1"/>
        <n v="25" u="1"/>
        <n v="27" u="1"/>
        <n v="13" u="1"/>
        <n v="20" u="1"/>
        <n v="22" u="1"/>
        <n v="21" u="1"/>
        <n v="15" u="1"/>
        <n v="18" u="1"/>
        <n v="31" u="1"/>
        <n v="28" u="1"/>
        <n v="12" u="1"/>
        <n v="16" u="1"/>
        <n v="24" u="1"/>
        <n v="14" u="1"/>
        <n v="8" u="1"/>
        <n v="30" u="1"/>
        <n v="26" u="1"/>
        <n v="29" u="1"/>
        <n v="11" u="1"/>
        <n v="10" u="1"/>
        <n v="35" u="1"/>
        <n v="32" u="1"/>
        <n v="7" u="1"/>
        <n v="9" u="1"/>
        <n v="5" u="1"/>
        <n v="6" u="1"/>
        <n v="33" u="1"/>
        <n v="36" u="1"/>
        <n v="39" u="1"/>
        <n v="37" u="1"/>
        <n v="34" u="1"/>
        <n v="38" u="1"/>
        <n v="40" u="1"/>
        <n v="4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9">
  <r>
    <x v="0"/>
    <s v="0.0977501535040124"/>
    <d v="2024-09-04T00:00:00"/>
    <s v="0.0977501535040124"/>
    <n v="9.7750153504012394E-2"/>
    <n v="9.7750153504012394E-2"/>
  </r>
  <r>
    <x v="0"/>
    <s v="0.458855245396317"/>
    <d v="2024-10-15T00:00:00"/>
    <s v="0.458855245396317"/>
    <n v="0.458855245396317"/>
    <n v="0.458855245396317"/>
  </r>
  <r>
    <x v="0"/>
    <s v="0.372415726562987"/>
    <d v="2024-02-17T00:00:00"/>
    <s v="0.372415726562987"/>
    <n v="0.37241572656298699"/>
    <n v="0.37241572656298699"/>
  </r>
  <r>
    <x v="1"/>
    <s v="0.108494636248558"/>
    <d v="2024-04-17T00:00:00"/>
    <s v="0.108494636248558"/>
    <n v="0.108494636248558"/>
    <n v="0.108494636248558"/>
  </r>
  <r>
    <x v="2"/>
    <s v="0.231131627484837"/>
    <d v="2024-12-13T00:00:00"/>
    <s v="0.231131627484837"/>
    <n v="0.23113162748483701"/>
    <n v="0.23113162748483701"/>
  </r>
  <r>
    <x v="2"/>
    <s v="0.254488921556881"/>
    <d v="2024-07-27T00:00:00"/>
    <s v="0.254488921556881"/>
    <n v="0.25448892155688102"/>
    <n v="0.25448892155688102"/>
  </r>
  <r>
    <x v="3"/>
    <s v="0.1930434305467"/>
    <d v="2024-05-16T00:00:00"/>
    <s v="0.1930434305467"/>
    <n v="0.19304343054670001"/>
    <n v="0.19304343054670001"/>
  </r>
  <r>
    <x v="4"/>
    <s v="0.511180864359281"/>
    <d v="2024-04-17T00:00:00"/>
    <s v="0.511180864359281"/>
    <n v="0.51118086435928101"/>
    <n v="0.51118086435928101"/>
  </r>
  <r>
    <x v="5"/>
    <s v="0.196254409076563"/>
    <d v="2024-03-13T00:00:00"/>
    <s v="0.196254409076563"/>
    <n v="0.196254409076563"/>
    <n v="0.196254409076563"/>
  </r>
  <r>
    <x v="5"/>
    <s v="0.255287482634581"/>
    <d v="2024-09-23T00:00:00"/>
    <s v="0.255287482634581"/>
    <n v="0.25528748263458101"/>
    <n v="0.25528748263458101"/>
  </r>
  <r>
    <x v="5"/>
    <s v="0.216981589551034"/>
    <d v="2024-09-18T00:00:00"/>
    <s v="0.216981589551034"/>
    <n v="0.216981589551034"/>
    <n v="0.216981589551034"/>
  </r>
  <r>
    <x v="5"/>
    <s v="0.262835252632523"/>
    <d v="2024-08-11T00:00:00"/>
    <s v="0.262835252632523"/>
    <n v="0.262835252632523"/>
    <n v="0.262835252632523"/>
  </r>
  <r>
    <x v="6"/>
    <s v="0.22319766481089"/>
    <d v="2024-06-03T00:00:00"/>
    <s v="0.22319766481089"/>
    <n v="0.22319766481089001"/>
    <n v="0.22319766481089001"/>
  </r>
  <r>
    <x v="6"/>
    <s v="0.0252584112455409"/>
    <d v="2024-04-28T00:00:00"/>
    <s v="0.0252584112455409"/>
    <n v="2.5258411245540902E-2"/>
    <n v="2.5258411245540902E-2"/>
  </r>
  <r>
    <x v="7"/>
    <s v="0.156520700593074"/>
    <d v="2024-03-07T00:00:00"/>
    <s v="0.156520700593074"/>
    <n v="0.15652070059307399"/>
    <n v="0.15652070059307399"/>
  </r>
  <r>
    <x v="8"/>
    <s v="0.188202431286753"/>
    <d v="2024-02-24T00:00:00"/>
    <s v="0.188202431286753"/>
    <n v="0.18820243128675301"/>
    <n v="0.18820243128675301"/>
  </r>
  <r>
    <x v="8"/>
    <s v="0.139124797487487"/>
    <d v="2024-08-27T00:00:00"/>
    <s v="0.139124797487487"/>
    <n v="0.13912479748748699"/>
    <n v="0.13912479748748699"/>
  </r>
  <r>
    <x v="9"/>
    <s v="0.0590374601267526"/>
    <d v="2024-06-01T00:00:00"/>
    <s v="0.0590374601267526"/>
    <n v="5.9037460126752601E-2"/>
    <n v="5.9037460126752601E-2"/>
  </r>
  <r>
    <x v="9"/>
    <s v="0.108389748260627"/>
    <d v="2024-04-09T00:00:00"/>
    <s v="0.108389748260627"/>
    <n v="0.108389748260627"/>
    <n v="0.108389748260627"/>
  </r>
  <r>
    <x v="10"/>
    <s v="0.115717353512869"/>
    <d v="2024-08-28T00:00:00"/>
    <s v="0.115717353512869"/>
    <n v="0.11571735351286901"/>
    <n v="0.11571735351286901"/>
  </r>
  <r>
    <x v="10"/>
    <s v="0.113064994450233"/>
    <d v="2024-01-24T00:00:00"/>
    <s v="0.113064994450233"/>
    <n v="0.11306499445023301"/>
    <n v="0.11306499445023301"/>
  </r>
  <r>
    <x v="11"/>
    <s v="0.278993382673747"/>
    <d v="2024-02-06T00:00:00"/>
    <s v="0.278993382673747"/>
    <n v="0.27899338267374701"/>
    <n v="0.27899338267374701"/>
  </r>
  <r>
    <x v="11"/>
    <s v="0.29368745625744"/>
    <d v="2024-06-22T00:00:00"/>
    <s v="0.29368745625744"/>
    <n v="0.29368745625744003"/>
    <n v="0.29368745625744003"/>
  </r>
  <r>
    <x v="12"/>
    <s v="0.450455884114239"/>
    <d v="2024-01-19T00:00:00"/>
    <s v="0.450455884114239"/>
    <n v="0.45045588411423898"/>
    <n v="0.45045588411423898"/>
  </r>
  <r>
    <x v="12"/>
    <s v="0.143891254648619"/>
    <d v="2024-07-18T00:00:00"/>
    <s v="0.143891254648619"/>
    <n v="0.14389125464861899"/>
    <n v="0.14389125464861899"/>
  </r>
  <r>
    <x v="13"/>
    <s v="0.0274293982105465"/>
    <d v="2024-05-18T00:00:00"/>
    <s v="0.0274293982105465"/>
    <n v="2.7429398210546501E-2"/>
    <n v="2.7429398210546501E-2"/>
  </r>
  <r>
    <x v="13"/>
    <s v="0.0936734557434632"/>
    <d v="2024-10-25T00:00:00"/>
    <s v="0.0936734557434632"/>
    <n v="9.3673455743463196E-2"/>
    <n v="9.3673455743463196E-2"/>
  </r>
  <r>
    <x v="13"/>
    <s v="0.0683548769083445"/>
    <d v="2024-06-06T00:00:00"/>
    <s v="0.0683548769083445"/>
    <n v="6.8354876908344506E-2"/>
    <n v="6.8354876908344506E-2"/>
  </r>
  <r>
    <x v="14"/>
    <s v="0.0920334743745446"/>
    <d v="2024-07-07T00:00:00"/>
    <s v="0.0920334743745446"/>
    <n v="9.2033474374544594E-2"/>
    <n v="9.2033474374544594E-2"/>
  </r>
  <r>
    <x v="15"/>
    <s v="0.286822890213163"/>
    <d v="2024-08-31T00:00:00"/>
    <s v="0.286822890213163"/>
    <n v="0.28682289021316298"/>
    <n v="0.28682289021316298"/>
  </r>
  <r>
    <x v="15"/>
    <s v="0.212974518890947"/>
    <d v="2024-01-06T00:00:00"/>
    <s v="0.212974518890947"/>
    <n v="0.21297451889094701"/>
    <n v="0.21297451889094701"/>
  </r>
  <r>
    <x v="15"/>
    <s v="0.0639348434095689"/>
    <d v="2024-05-07T00:00:00"/>
    <s v="0.0639348434095689"/>
    <n v="6.3934843409568898E-2"/>
    <n v="6.3934843409568898E-2"/>
  </r>
  <r>
    <x v="16"/>
    <s v="0.305710856357449"/>
    <d v="2024-10-29T00:00:00"/>
    <s v="0.305710856357449"/>
    <n v="0.30571085635744899"/>
    <n v="0.30571085635744899"/>
  </r>
  <r>
    <x v="16"/>
    <s v="0.0280383823453104"/>
    <d v="2024-05-27T00:00:00"/>
    <s v="0.0280383823453104"/>
    <n v="2.8038382345310399E-2"/>
    <n v="2.8038382345310399E-2"/>
  </r>
  <r>
    <x v="16"/>
    <s v="0.0264950518807882"/>
    <d v="2024-07-08T00:00:00"/>
    <s v="0.0264950518807882"/>
    <n v="2.6495051880788201E-2"/>
    <n v="2.6495051880788201E-2"/>
  </r>
  <r>
    <x v="16"/>
    <s v="0.223117345989668"/>
    <d v="2024-04-21T00:00:00"/>
    <s v="0.223117345989668"/>
    <n v="0.22311734598966801"/>
    <n v="0.22311734598966801"/>
  </r>
  <r>
    <x v="17"/>
    <s v="0.137176526098346"/>
    <d v="2024-10-31T00:00:00"/>
    <s v="0.137176526098346"/>
    <n v="0.13717652609834599"/>
    <n v="0.13717652609834599"/>
  </r>
  <r>
    <x v="17"/>
    <s v="0.273191465168749"/>
    <d v="2024-03-01T00:00:00"/>
    <s v="0.273191465168749"/>
    <n v="0.27319146516874898"/>
    <n v="0.27319146516874898"/>
  </r>
  <r>
    <x v="17"/>
    <s v="0.0361423067672571"/>
    <d v="2024-04-17T00:00:00"/>
    <s v="0.0361423067672571"/>
    <n v="3.6142306767257097E-2"/>
    <n v="3.6142306767257097E-2"/>
  </r>
  <r>
    <x v="18"/>
    <s v="0.260439786029275"/>
    <d v="2024-03-28T00:00:00"/>
    <s v="0.260439786029275"/>
    <n v="0.26043978602927498"/>
    <n v="0.26043978602927498"/>
  </r>
  <r>
    <x v="19"/>
    <s v="0.249795670859779"/>
    <d v="2024-07-04T00:00:00"/>
    <s v="0.249795670859779"/>
    <n v="0.249795670859779"/>
    <n v="0.249795670859779"/>
  </r>
  <r>
    <x v="20"/>
    <s v="0.214715718654642"/>
    <d v="2024-09-02T00:00:00"/>
    <s v="0.214715718654642"/>
    <n v="0.21471571865464201"/>
    <n v="0.21471571865464201"/>
  </r>
  <r>
    <x v="20"/>
    <s v="0.264041795158099"/>
    <d v="2024-06-26T00:00:00"/>
    <s v="0.264041795158099"/>
    <n v="0.264041795158099"/>
    <n v="0.264041795158099"/>
  </r>
  <r>
    <x v="21"/>
    <s v="0.0725745621894767"/>
    <d v="2024-06-10T00:00:00"/>
    <s v="0.0725745621894767"/>
    <n v="7.2574562189476693E-2"/>
    <n v="7.2574562189476693E-2"/>
  </r>
  <r>
    <x v="21"/>
    <s v="0.147647041289414"/>
    <d v="2024-11-17T00:00:00"/>
    <s v="0.147647041289414"/>
    <n v="0.147647041289414"/>
    <n v="0.147647041289414"/>
  </r>
  <r>
    <x v="22"/>
    <s v="0.0494782205111798"/>
    <d v="2024-07-17T00:00:00"/>
    <s v="0.0494782205111798"/>
    <n v="4.9478220511179803E-2"/>
    <n v="4.9478220511179803E-2"/>
  </r>
  <r>
    <x v="22"/>
    <s v="0.0982968794040933"/>
    <d v="2024-04-04T00:00:00"/>
    <s v="0.0982968794040933"/>
    <n v="9.8296879404093304E-2"/>
    <n v="9.8296879404093304E-2"/>
  </r>
  <r>
    <x v="23"/>
    <s v="0.0550457772989019"/>
    <d v="2024-07-02T00:00:00"/>
    <s v="0.0550457772989019"/>
    <n v="5.50457772989019E-2"/>
    <n v="5.50457772989019E-2"/>
  </r>
  <r>
    <x v="23"/>
    <s v="0.142245248656407"/>
    <d v="2024-06-09T00:00:00"/>
    <s v="0.142245248656407"/>
    <n v="0.142245248656407"/>
    <n v="0.142245248656407"/>
  </r>
  <r>
    <x v="24"/>
    <s v="0.105613916174231"/>
    <d v="2024-10-28T00:00:00"/>
    <s v="0.105613916174231"/>
    <n v="0.10561391617423101"/>
    <n v="0.10561391617423101"/>
  </r>
  <r>
    <x v="24"/>
    <s v="0.572952675012205"/>
    <d v="2024-01-24T00:00:00"/>
    <s v="0.572952675012205"/>
    <n v="0.57295267501220504"/>
    <n v="0.57295267501220504"/>
  </r>
  <r>
    <x v="25"/>
    <s v="0.292158002789994"/>
    <d v="2024-08-11T00:00:00"/>
    <s v="0.292158002789994"/>
    <n v="0.29215800278999399"/>
    <n v="0.29215800278999399"/>
  </r>
  <r>
    <x v="25"/>
    <s v="0.224600436171964"/>
    <d v="2024-09-29T00:00:00"/>
    <s v="0.224600436171964"/>
    <n v="0.22460043617196401"/>
    <n v="0.22460043617196401"/>
  </r>
  <r>
    <x v="26"/>
    <s v="0.00463141386068223"/>
    <d v="2024-10-27T00:00:00"/>
    <s v="0.00463141386068223"/>
    <n v="4.6314138606822304E-3"/>
    <n v="4.6314138606822304E-3"/>
  </r>
  <r>
    <x v="26"/>
    <s v="0.181719250502022"/>
    <d v="2024-05-15T00:00:00"/>
    <s v="0.181719250502022"/>
    <n v="0.18171925050202201"/>
    <n v="0.18171925050202201"/>
  </r>
  <r>
    <x v="26"/>
    <s v="0.0514149861094961"/>
    <d v="2024-03-19T00:00:00"/>
    <s v="0.0514149861094961"/>
    <n v="5.1414986109496102E-2"/>
    <n v="5.1414986109496102E-2"/>
  </r>
  <r>
    <x v="27"/>
    <s v="0.538193557387558"/>
    <d v="2024-11-29T00:00:00"/>
    <s v="0.538193557387558"/>
    <n v="0.53819355738755803"/>
    <n v="0.53819355738755803"/>
  </r>
  <r>
    <x v="27"/>
    <s v="0.404335277171188"/>
    <d v="2024-08-05T00:00:00"/>
    <s v="0.404335277171188"/>
    <n v="0.404335277171188"/>
    <n v="0.404335277171188"/>
  </r>
  <r>
    <x v="27"/>
    <s v="0.1565115988228"/>
    <d v="2024-11-23T00:00:00"/>
    <s v="0.1565115988228"/>
    <n v="0.1565115988228"/>
    <n v="0.1565115988228"/>
  </r>
  <r>
    <x v="28"/>
    <s v="0.333046419156671"/>
    <d v="2024-09-20T00:00:00"/>
    <s v="0.333046419156671"/>
    <n v="0.33304641915667099"/>
    <n v="0.33304641915667099"/>
  </r>
  <r>
    <x v="29"/>
    <s v="0.250238586279774"/>
    <d v="2024-06-16T00:00:00"/>
    <s v="0.250238586279774"/>
    <n v="0.25023858627977402"/>
    <n v="0.25023858627977402"/>
  </r>
  <r>
    <x v="29"/>
    <s v="0.0718027525221105"/>
    <d v="2024-09-14T00:00:00"/>
    <s v="0.0718027525221105"/>
    <n v="7.1802752522110505E-2"/>
    <n v="7.1802752522110505E-2"/>
  </r>
  <r>
    <x v="30"/>
    <s v="0.0738364721580574"/>
    <d v="2024-01-29T00:00:00"/>
    <s v="0.0738364721580574"/>
    <n v="7.3836472158057401E-2"/>
    <n v="7.3836472158057401E-2"/>
  </r>
  <r>
    <x v="31"/>
    <s v="0.0596463478432096"/>
    <d v="2024-05-20T00:00:00"/>
    <s v="0.0596463478432096"/>
    <n v="5.9646347843209602E-2"/>
    <n v="5.9646347843209602E-2"/>
  </r>
  <r>
    <x v="31"/>
    <s v="0.332244368287656"/>
    <d v="2024-05-17T00:00:00"/>
    <s v="0.332244368287656"/>
    <n v="0.33224436828765602"/>
    <n v="0.33224436828765602"/>
  </r>
  <r>
    <x v="31"/>
    <s v="0.148515620405257"/>
    <d v="2024-04-03T00:00:00"/>
    <s v="0.148515620405257"/>
    <n v="0.14851562040525701"/>
    <n v="0.14851562040525701"/>
  </r>
  <r>
    <x v="31"/>
    <s v="0.133428670731237"/>
    <d v="2024-05-06T00:00:00"/>
    <s v="0.133428670731237"/>
    <n v="0.13342867073123699"/>
    <n v="0.13342867073123699"/>
  </r>
  <r>
    <x v="32"/>
    <s v="0.100859476501755"/>
    <d v="2024-03-23T00:00:00"/>
    <s v="0.100859476501755"/>
    <n v="0.100859476501755"/>
    <n v="0.100859476501755"/>
  </r>
  <r>
    <x v="32"/>
    <s v="0.0748474234435747"/>
    <d v="2024-08-22T00:00:00"/>
    <s v="0.0748474234435747"/>
    <n v="7.4847423443574701E-2"/>
    <n v="7.4847423443574701E-2"/>
  </r>
  <r>
    <x v="33"/>
    <s v="0.354481751212833"/>
    <d v="2024-08-30T00:00:00"/>
    <s v="0.354481751212833"/>
    <n v="0.35448175121283299"/>
    <n v="0.35448175121283299"/>
  </r>
  <r>
    <x v="34"/>
    <s v="0.0118033216867853"/>
    <d v="2024-08-29T00:00:00"/>
    <s v="0.0118033216867853"/>
    <n v="1.1803321686785301E-2"/>
    <n v="1.1803321686785301E-2"/>
  </r>
  <r>
    <x v="34"/>
    <s v="0.200204215170812"/>
    <d v="2024-09-22T00:00:00"/>
    <s v="0.200204215170812"/>
    <n v="0.20020421517081199"/>
    <n v="0.20020421517081199"/>
  </r>
  <r>
    <x v="34"/>
    <s v="0.0963335694741557"/>
    <d v="2024-03-04T00:00:00"/>
    <s v="0.0963335694741557"/>
    <n v="9.6333569474155695E-2"/>
    <n v="9.6333569474155695E-2"/>
  </r>
  <r>
    <x v="35"/>
    <s v="0.23133151779079"/>
    <d v="2024-06-14T00:00:00"/>
    <s v="0.23133151779079"/>
    <n v="0.23133151779079"/>
    <n v="0.23133151779079"/>
  </r>
  <r>
    <x v="35"/>
    <s v="0.395913763789659"/>
    <d v="2024-01-17T00:00:00"/>
    <s v="0.395913763789659"/>
    <n v="0.39591376378965898"/>
    <n v="0.39591376378965898"/>
  </r>
  <r>
    <x v="35"/>
    <s v="0.143714382137285"/>
    <d v="2024-08-16T00:00:00"/>
    <s v="0.143714382137285"/>
    <n v="0.14371438213728499"/>
    <n v="0.14371438213728499"/>
  </r>
  <r>
    <x v="36"/>
    <s v="0.0288429382942109"/>
    <d v="2024-08-14T00:00:00"/>
    <s v="0.0288429382942109"/>
    <n v="2.8842938294210901E-2"/>
    <n v="2.8842938294210901E-2"/>
  </r>
  <r>
    <x v="36"/>
    <s v="0.094764907286521"/>
    <d v="2024-11-17T00:00:00"/>
    <s v="0.094764907286521"/>
    <n v="9.4764907286520997E-2"/>
    <n v="9.4764907286520997E-2"/>
  </r>
  <r>
    <x v="36"/>
    <s v="0.15377469671363"/>
    <d v="2024-11-21T00:00:00"/>
    <s v="0.15377469671363"/>
    <n v="0.15377469671363"/>
    <n v="0.15377469671363"/>
  </r>
  <r>
    <x v="37"/>
    <s v="0.406919628547396"/>
    <d v="2024-04-21T00:00:00"/>
    <s v="0.406919628547396"/>
    <n v="0.406919628547396"/>
    <n v="0.406919628547396"/>
  </r>
  <r>
    <x v="37"/>
    <s v="0.0186236331832139"/>
    <d v="2024-04-02T00:00:00"/>
    <s v="0.0186236331832139"/>
    <n v="1.8623633183213899E-2"/>
    <n v="1.8623633183213899E-2"/>
  </r>
  <r>
    <x v="37"/>
    <s v="0.138650132568377"/>
    <d v="2024-10-03T00:00:00"/>
    <s v="0.138650132568377"/>
    <n v="0.13865013256837699"/>
    <n v="0.13865013256837699"/>
  </r>
  <r>
    <x v="38"/>
    <s v="0.130390703582056"/>
    <d v="2024-04-14T00:00:00"/>
    <s v="0.130390703582056"/>
    <n v="0.13039070358205601"/>
    <n v="0.13039070358205601"/>
  </r>
  <r>
    <x v="38"/>
    <s v="0.257233309657684"/>
    <d v="2024-06-19T00:00:00"/>
    <s v="0.257233309657684"/>
    <n v="0.25723330965768398"/>
    <n v="0.25723330965768398"/>
  </r>
  <r>
    <x v="39"/>
    <s v="0.377654549520285"/>
    <d v="2024-02-19T00:00:00"/>
    <s v="0.377654549520285"/>
    <n v="0.37765454952028499"/>
    <n v="0.37765454952028499"/>
  </r>
  <r>
    <x v="39"/>
    <s v="0.0972461087846342"/>
    <d v="2024-05-18T00:00:00"/>
    <s v="0.0972461087846342"/>
    <n v="9.7246108784634203E-2"/>
    <n v="9.7246108784634203E-2"/>
  </r>
  <r>
    <x v="40"/>
    <s v="0.318507810567131"/>
    <d v="2024-04-30T00:00:00"/>
    <s v="0.318507810567131"/>
    <n v="0.31850781056713101"/>
    <n v="0.31850781056713101"/>
  </r>
  <r>
    <x v="40"/>
    <s v="0.0420053286260418"/>
    <d v="2024-04-23T00:00:00"/>
    <s v="0.0420053286260418"/>
    <n v="4.2005328626041803E-2"/>
    <n v="4.2005328626041803E-2"/>
  </r>
  <r>
    <x v="40"/>
    <s v="0.118271819382656"/>
    <d v="2024-07-13T00:00:00"/>
    <s v="0.118271819382656"/>
    <n v="0.118271819382656"/>
    <n v="0.118271819382656"/>
  </r>
  <r>
    <x v="41"/>
    <s v="0.263062702178962"/>
    <d v="2024-05-02T00:00:00"/>
    <s v="0.263062702178962"/>
    <n v="0.26306270217896199"/>
    <n v="0.26306270217896199"/>
  </r>
  <r>
    <x v="41"/>
    <s v="0.107422759787035"/>
    <d v="2024-09-18T00:00:00"/>
    <s v="0.107422759787035"/>
    <n v="0.107422759787035"/>
    <n v="0.107422759787035"/>
  </r>
  <r>
    <x v="41"/>
    <s v="0.0775821430240499"/>
    <d v="2024-03-27T00:00:00"/>
    <s v="0.0775821430240499"/>
    <n v="7.7582143024049893E-2"/>
    <n v="7.7582143024049893E-2"/>
  </r>
  <r>
    <x v="42"/>
    <s v="0.232807431685087"/>
    <d v="2024-08-21T00:00:00"/>
    <s v="0.232807431685087"/>
    <n v="0.232807431685087"/>
    <n v="0.232807431685087"/>
  </r>
  <r>
    <x v="42"/>
    <s v="0.0200956302435496"/>
    <d v="2024-01-17T00:00:00"/>
    <s v="0.0200956302435496"/>
    <n v="2.00956302435496E-2"/>
    <n v="2.00956302435496E-2"/>
  </r>
  <r>
    <x v="42"/>
    <s v="0.0945424440986238"/>
    <d v="2024-11-22T00:00:00"/>
    <s v="0.0945424440986238"/>
    <n v="9.4542444098623807E-2"/>
    <n v="9.4542444098623807E-2"/>
  </r>
  <r>
    <x v="43"/>
    <s v="0.179694580306672"/>
    <d v="2024-08-05T00:00:00"/>
    <s v="0.179694580306672"/>
    <n v="0.17969458030667201"/>
    <n v="0.17969458030667201"/>
  </r>
  <r>
    <x v="43"/>
    <s v="0.0789947020504298"/>
    <d v="2024-06-03T00:00:00"/>
    <s v="0.0789947020504298"/>
    <n v="7.8994702050429799E-2"/>
    <n v="7.8994702050429799E-2"/>
  </r>
  <r>
    <x v="43"/>
    <s v="0.1614920179401"/>
    <d v="2024-07-27T00:00:00"/>
    <s v="0.1614920179401"/>
    <n v="0.16149201794010001"/>
    <n v="0.16149201794010001"/>
  </r>
  <r>
    <x v="44"/>
    <s v="0.152249973634719"/>
    <d v="2024-12-12T00:00:00"/>
    <s v="0.152249973634719"/>
    <n v="0.15224997363471901"/>
    <n v="0.15224997363471901"/>
  </r>
  <r>
    <x v="44"/>
    <s v="0.148721135955337"/>
    <d v="2024-10-24T00:00:00"/>
    <s v="0.148721135955337"/>
    <n v="0.14872113595533701"/>
    <n v="0.14872113595533701"/>
  </r>
  <r>
    <x v="45"/>
    <s v="0.150121320569233"/>
    <d v="2024-09-03T00:00:00"/>
    <s v="0.150121320569233"/>
    <n v="0.150121320569233"/>
    <n v="0.150121320569233"/>
  </r>
  <r>
    <x v="45"/>
    <s v="0.153554554576033"/>
    <d v="2024-01-18T00:00:00"/>
    <s v="0.153554554576033"/>
    <n v="0.15355455457603301"/>
    <n v="0.15355455457603301"/>
  </r>
  <r>
    <x v="45"/>
    <s v="0.122126085136939"/>
    <d v="2024-12-29T00:00:00"/>
    <s v="0.122126085136939"/>
    <n v="0.122126085136939"/>
    <n v="0.122126085136939"/>
  </r>
  <r>
    <x v="46"/>
    <s v="0.107370364016353"/>
    <d v="2024-01-29T00:00:00"/>
    <s v="0.107370364016353"/>
    <n v="0.107370364016353"/>
    <n v="0.107370364016353"/>
  </r>
  <r>
    <x v="47"/>
    <s v="0.204481873668542"/>
    <d v="2024-11-13T00:00:00"/>
    <s v="0.204481873668542"/>
    <n v="0.20448187366854201"/>
    <n v="0.20448187366854201"/>
  </r>
  <r>
    <x v="47"/>
    <s v="0.308814009304628"/>
    <d v="2024-03-04T00:00:00"/>
    <s v="0.308814009304628"/>
    <n v="0.30881400930462799"/>
    <n v="0.30881400930462799"/>
  </r>
  <r>
    <x v="47"/>
    <s v="0.152290585513381"/>
    <d v="2024-03-17T00:00:00"/>
    <s v="0.152290585513381"/>
    <n v="0.15229058551338101"/>
    <n v="0.15229058551338101"/>
  </r>
  <r>
    <x v="47"/>
    <s v="0.185869430362399"/>
    <d v="2024-04-16T00:00:00"/>
    <s v="0.185869430362399"/>
    <n v="0.185869430362399"/>
    <n v="0.185869430362399"/>
  </r>
  <r>
    <x v="48"/>
    <s v="0.101894177581257"/>
    <d v="2024-12-20T00:00:00"/>
    <s v="0.101894177581257"/>
    <n v="0.101894177581257"/>
    <n v="0.101894177581257"/>
  </r>
  <r>
    <x v="48"/>
    <s v="0.150986752555635"/>
    <d v="2024-12-04T00:00:00"/>
    <s v="0.150986752555635"/>
    <n v="0.15098675255563501"/>
    <n v="0.15098675255563501"/>
  </r>
  <r>
    <x v="49"/>
    <s v="0.29696290717306"/>
    <d v="2024-09-14T00:00:00"/>
    <s v="0.29696290717306"/>
    <n v="0.29696290717306001"/>
    <n v="0.29696290717306001"/>
  </r>
  <r>
    <x v="50"/>
    <s v="0.0770234706117017"/>
    <d v="2024-05-22T00:00:00"/>
    <s v="0.0770234706117017"/>
    <n v="7.70234706117017E-2"/>
    <n v="7.70234706117017E-2"/>
  </r>
  <r>
    <x v="50"/>
    <s v="0.098213941854022"/>
    <d v="2024-08-21T00:00:00"/>
    <s v="0.098213941854022"/>
    <n v="9.8213941854022005E-2"/>
    <n v="9.8213941854022005E-2"/>
  </r>
  <r>
    <x v="50"/>
    <s v="0.0891711108528605"/>
    <d v="2024-04-12T00:00:00"/>
    <s v="0.0891711108528605"/>
    <n v="8.9171110852860502E-2"/>
    <n v="8.9171110852860502E-2"/>
  </r>
  <r>
    <x v="51"/>
    <s v="0.455507650807177"/>
    <d v="2024-10-07T00:00:00"/>
    <s v="0.455507650807177"/>
    <n v="0.45550765080717698"/>
    <n v="0.45550765080717698"/>
  </r>
  <r>
    <x v="51"/>
    <s v="0.360857552069241"/>
    <d v="2024-05-09T00:00:00"/>
    <s v="0.360857552069241"/>
    <n v="0.36085755206924103"/>
    <n v="0.36085755206924103"/>
  </r>
  <r>
    <x v="52"/>
    <s v="0.261069650230808"/>
    <d v="2024-12-13T00:00:00"/>
    <s v="0.261069650230808"/>
    <n v="0.26106965023080803"/>
    <n v="0.26106965023080803"/>
  </r>
  <r>
    <x v="52"/>
    <s v="0.107353305945828"/>
    <d v="2024-03-07T00:00:00"/>
    <s v="0.107353305945828"/>
    <n v="0.107353305945828"/>
    <n v="0.107353305945828"/>
  </r>
  <r>
    <x v="52"/>
    <s v="0.11528447458509"/>
    <d v="2024-12-31T00:00:00"/>
    <s v="0.11528447458509"/>
    <n v="0.11528447458509"/>
    <n v="0.11528447458509"/>
  </r>
  <r>
    <x v="53"/>
    <s v="0.017518795833281"/>
    <d v="2024-12-09T00:00:00"/>
    <s v="0.017518795833281"/>
    <n v="1.7518795833281E-2"/>
    <n v="1.7518795833281E-2"/>
  </r>
  <r>
    <x v="53"/>
    <s v="0.0362700985442256"/>
    <d v="2024-06-16T00:00:00"/>
    <s v="0.0362700985442256"/>
    <n v="3.6270098544225603E-2"/>
    <n v="3.6270098544225603E-2"/>
  </r>
  <r>
    <x v="53"/>
    <s v="0.257138902274832"/>
    <d v="2024-06-09T00:00:00"/>
    <s v="0.257138902274832"/>
    <n v="0.25713890227483199"/>
    <n v="0.25713890227483199"/>
  </r>
  <r>
    <x v="54"/>
    <s v="0.104836371205341"/>
    <d v="2024-04-30T00:00:00"/>
    <s v="0.104836371205341"/>
    <n v="0.10483637120534101"/>
    <n v="0.10483637120534101"/>
  </r>
  <r>
    <x v="55"/>
    <s v="0.264391866579098"/>
    <d v="2024-06-01T00:00:00"/>
    <s v="0.264391866579098"/>
    <n v="0.26439186657909802"/>
    <n v="0.26439186657909802"/>
  </r>
  <r>
    <x v="56"/>
    <s v="0.388019936906847"/>
    <d v="2024-12-17T00:00:00"/>
    <s v="0.388019936906847"/>
    <n v="0.388019936906847"/>
    <n v="0.388019936906847"/>
  </r>
  <r>
    <x v="56"/>
    <s v="0.111070257604355"/>
    <d v="2024-11-16T00:00:00"/>
    <s v="0.111070257604355"/>
    <n v="0.111070257604355"/>
    <n v="0.111070257604355"/>
  </r>
  <r>
    <x v="56"/>
    <s v="0.0913375732007006"/>
    <d v="2024-12-15T00:00:00"/>
    <s v="0.0913375732007006"/>
    <n v="9.13375732007006E-2"/>
    <n v="9.13375732007006E-2"/>
  </r>
  <r>
    <x v="57"/>
    <s v="0.102422458145538"/>
    <d v="2024-02-25T00:00:00"/>
    <s v="0.102422458145538"/>
    <n v="0.10242245814553801"/>
    <n v="0.10242245814553801"/>
  </r>
  <r>
    <x v="57"/>
    <s v="0.139285129322818"/>
    <d v="2024-10-04T00:00:00"/>
    <s v="0.139285129322818"/>
    <n v="0.139285129322818"/>
    <n v="0.139285129322818"/>
  </r>
  <r>
    <x v="58"/>
    <s v="0.125206394060754"/>
    <d v="2024-03-14T00:00:00"/>
    <s v="0.125206394060754"/>
    <n v="0.12520639406075401"/>
    <n v="0.12520639406075401"/>
  </r>
  <r>
    <x v="58"/>
    <s v="0.172532722778996"/>
    <d v="2024-03-26T00:00:00"/>
    <s v="0.172532722778996"/>
    <n v="0.17253272277899601"/>
    <n v="0.17253272277899601"/>
  </r>
  <r>
    <x v="58"/>
    <s v="0.182138249479999"/>
    <d v="2024-01-17T00:00:00"/>
    <s v="0.182138249479999"/>
    <n v="0.18213824947999899"/>
    <n v="0.18213824947999899"/>
  </r>
  <r>
    <x v="59"/>
    <s v="0.17746214178611"/>
    <d v="2024-07-03T00:00:00"/>
    <s v="0.17746214178611"/>
    <n v="0.17746214178611"/>
    <n v="0.17746214178611"/>
  </r>
  <r>
    <x v="59"/>
    <s v="0.0614917975288589"/>
    <d v="2024-05-23T00:00:00"/>
    <s v="0.0614917975288589"/>
    <n v="6.1491797528858902E-2"/>
    <n v="6.1491797528858902E-2"/>
  </r>
  <r>
    <x v="60"/>
    <s v="0.106394471362976"/>
    <d v="2024-02-05T00:00:00"/>
    <s v="0.106394471362976"/>
    <n v="0.106394471362976"/>
    <n v="0.106394471362976"/>
  </r>
  <r>
    <x v="60"/>
    <s v="0.164217295799289"/>
    <d v="2024-06-23T00:00:00"/>
    <s v="0.164217295799289"/>
    <n v="0.16421729579928901"/>
    <n v="0.16421729579928901"/>
  </r>
  <r>
    <x v="60"/>
    <s v="0.152220466697635"/>
    <d v="2024-01-28T00:00:00"/>
    <s v="0.152220466697635"/>
    <n v="0.152220466697635"/>
    <n v="0.152220466697635"/>
  </r>
  <r>
    <x v="61"/>
    <s v="0.422066672012914"/>
    <d v="2024-10-26T00:00:00"/>
    <s v="0.422066672012914"/>
    <n v="0.42206667201291398"/>
    <n v="0.42206667201291398"/>
  </r>
  <r>
    <x v="62"/>
    <s v="0.133335809752696"/>
    <d v="2024-04-02T00:00:00"/>
    <s v="0.133335809752696"/>
    <n v="0.13333580975269599"/>
    <n v="0.13333580975269599"/>
  </r>
  <r>
    <x v="62"/>
    <s v="0.508457405358533"/>
    <d v="2024-09-25T00:00:00"/>
    <s v="0.508457405358533"/>
    <n v="0.50845740535853301"/>
    <n v="0.50845740535853301"/>
  </r>
  <r>
    <x v="63"/>
    <s v="0.148415074517303"/>
    <d v="2024-01-05T00:00:00"/>
    <s v="0.148415074517303"/>
    <n v="0.14841507451730299"/>
    <n v="0.14841507451730299"/>
  </r>
  <r>
    <x v="64"/>
    <s v="0.0244620783592886"/>
    <d v="2024-12-13T00:00:00"/>
    <s v="0.0244620783592886"/>
    <n v="2.4462078359288601E-2"/>
    <n v="2.4462078359288601E-2"/>
  </r>
  <r>
    <x v="65"/>
    <s v="0.0582129938308482"/>
    <d v="2024-05-31T00:00:00"/>
    <s v="0.0582129938308482"/>
    <n v="5.82129938308482E-2"/>
    <n v="5.82129938308482E-2"/>
  </r>
  <r>
    <x v="66"/>
    <s v="0.303595296925044"/>
    <d v="2024-01-25T00:00:00"/>
    <s v="0.303595296925044"/>
    <n v="0.303595296925044"/>
    <n v="0.303595296925044"/>
  </r>
  <r>
    <x v="66"/>
    <s v="0.160235418331441"/>
    <d v="2024-04-03T00:00:00"/>
    <s v="0.160235418331441"/>
    <n v="0.160235418331441"/>
    <n v="0.160235418331441"/>
  </r>
  <r>
    <x v="67"/>
    <s v="0.174117266183312"/>
    <d v="2024-10-19T00:00:00"/>
    <s v="0.174117266183312"/>
    <n v="0.174117266183312"/>
    <n v="0.174117266183312"/>
  </r>
  <r>
    <x v="68"/>
    <s v="0.0790098251745605"/>
    <d v="2024-07-09T00:00:00"/>
    <s v="0.0790098251745605"/>
    <n v="7.9009825174560497E-2"/>
    <n v="7.9009825174560497E-2"/>
  </r>
  <r>
    <x v="68"/>
    <s v="0.0563230345910406"/>
    <d v="2024-12-08T00:00:00"/>
    <s v="0.0563230345910406"/>
    <n v="5.6323034591040599E-2"/>
    <n v="5.6323034591040599E-2"/>
  </r>
  <r>
    <x v="69"/>
    <s v="0.336511373405715"/>
    <d v="2024-08-02T00:00:00"/>
    <s v="0.336511373405715"/>
    <n v="0.33651137340571502"/>
    <n v="0.33651137340571502"/>
  </r>
  <r>
    <x v="69"/>
    <s v="0.155551260370808"/>
    <d v="2024-04-12T00:00:00"/>
    <s v="0.155551260370808"/>
    <n v="0.15555126037080799"/>
    <n v="0.15555126037080799"/>
  </r>
  <r>
    <x v="70"/>
    <s v="0.0592999766382074"/>
    <d v="2024-07-04T00:00:00"/>
    <s v="0.0592999766382074"/>
    <n v="5.9299976638207401E-2"/>
    <n v="5.9299976638207401E-2"/>
  </r>
  <r>
    <x v="70"/>
    <s v="0.224552436246474"/>
    <d v="2024-10-12T00:00:00"/>
    <s v="0.224552436246474"/>
    <n v="0.224552436246474"/>
    <n v="0.224552436246474"/>
  </r>
  <r>
    <x v="70"/>
    <s v="0.0781563647771574"/>
    <d v="2024-08-04T00:00:00"/>
    <s v="0.0781563647771574"/>
    <n v="7.81563647771574E-2"/>
    <n v="7.81563647771574E-2"/>
  </r>
  <r>
    <x v="70"/>
    <s v="0.0958556813308721"/>
    <d v="2024-11-21T00:00:00"/>
    <s v="0.0958556813308721"/>
    <n v="9.5855681330872106E-2"/>
    <n v="9.5855681330872106E-2"/>
  </r>
  <r>
    <x v="71"/>
    <s v="0.214588452736652"/>
    <d v="2024-04-24T00:00:00"/>
    <s v="0.214588452736652"/>
    <n v="0.214588452736652"/>
    <n v="0.214588452736652"/>
  </r>
  <r>
    <x v="71"/>
    <s v="0.156419370817976"/>
    <d v="2024-08-25T00:00:00"/>
    <s v="0.156419370817976"/>
    <n v="0.15641937081797599"/>
    <n v="0.15641937081797599"/>
  </r>
  <r>
    <x v="72"/>
    <s v="0.267432940694965"/>
    <d v="2024-06-09T00:00:00"/>
    <s v="0.267432940694965"/>
    <n v="0.26743294069496498"/>
    <n v="0.26743294069496498"/>
  </r>
  <r>
    <x v="72"/>
    <s v="0.152231095363354"/>
    <d v="2024-06-12T00:00:00"/>
    <s v="0.152231095363354"/>
    <n v="0.152231095363354"/>
    <n v="0.152231095363354"/>
  </r>
  <r>
    <x v="72"/>
    <s v="0.0832378025223207"/>
    <d v="2024-04-24T00:00:00"/>
    <s v="0.0832378025223207"/>
    <n v="8.32378025223207E-2"/>
    <n v="8.32378025223207E-2"/>
  </r>
  <r>
    <x v="73"/>
    <s v="0.0332829466426017"/>
    <d v="2024-04-03T00:00:00"/>
    <s v="0.0332829466426017"/>
    <n v="3.3282946642601702E-2"/>
    <n v="3.3282946642601702E-2"/>
  </r>
  <r>
    <x v="73"/>
    <s v="0.15013578804891"/>
    <d v="2024-04-28T00:00:00"/>
    <s v="0.15013578804891"/>
    <n v="0.15013578804891001"/>
    <n v="0.15013578804891001"/>
  </r>
  <r>
    <x v="74"/>
    <s v="0.33338483446879"/>
    <d v="2024-10-08T00:00:00"/>
    <s v="0.33338483446879"/>
    <n v="0.33338483446879003"/>
    <n v="0.33338483446879003"/>
  </r>
  <r>
    <x v="74"/>
    <s v="0.443153180671271"/>
    <d v="2024-10-18T00:00:00"/>
    <s v="0.443153180671271"/>
    <n v="0.44315318067127102"/>
    <n v="0.44315318067127102"/>
  </r>
  <r>
    <x v="75"/>
    <s v="0.179698192352091"/>
    <d v="2024-01-11T00:00:00"/>
    <s v="0.179698192352091"/>
    <n v="0.179698192352091"/>
    <n v="0.179698192352091"/>
  </r>
  <r>
    <x v="75"/>
    <s v="0.0893499574630145"/>
    <d v="2024-08-17T00:00:00"/>
    <s v="0.0893499574630145"/>
    <n v="8.9349957463014495E-2"/>
    <n v="8.9349957463014495E-2"/>
  </r>
  <r>
    <x v="75"/>
    <s v="0.119615875182746"/>
    <d v="2024-12-17T00:00:00"/>
    <s v="0.119615875182746"/>
    <n v="0.119615875182746"/>
    <n v="0.119615875182746"/>
  </r>
  <r>
    <x v="76"/>
    <s v="0.124475269550402"/>
    <d v="2024-08-30T00:00:00"/>
    <s v="0.124475269550402"/>
    <n v="0.124475269550402"/>
    <n v="0.124475269550402"/>
  </r>
  <r>
    <x v="76"/>
    <s v="0.1842568009661"/>
    <d v="2024-04-05T00:00:00"/>
    <s v="0.1842568009661"/>
    <n v="0.1842568009661"/>
    <n v="0.1842568009661"/>
  </r>
  <r>
    <x v="76"/>
    <s v="0.081982075992533"/>
    <d v="2024-11-13T00:00:00"/>
    <s v="0.081982075992533"/>
    <n v="8.1982075992533002E-2"/>
    <n v="8.1982075992533002E-2"/>
  </r>
  <r>
    <x v="77"/>
    <s v="0.264636383846612"/>
    <d v="2024-08-03T00:00:00"/>
    <s v="0.264636383846612"/>
    <n v="0.26463638384661198"/>
    <n v="0.26463638384661198"/>
  </r>
  <r>
    <x v="77"/>
    <s v="0.0674011320738441"/>
    <d v="2024-10-03T00:00:00"/>
    <s v="0.0674011320738441"/>
    <n v="6.74011320738441E-2"/>
    <n v="6.74011320738441E-2"/>
  </r>
  <r>
    <x v="77"/>
    <s v="0.161492492223269"/>
    <d v="2024-10-01T00:00:00"/>
    <s v="0.161492492223269"/>
    <n v="0.161492492223269"/>
    <n v="0.161492492223269"/>
  </r>
  <r>
    <x v="78"/>
    <s v="0.195525415822038"/>
    <d v="2024-07-15T00:00:00"/>
    <s v="0.195525415822038"/>
    <n v="0.195525415822038"/>
    <n v="0.195525415822038"/>
  </r>
  <r>
    <x v="78"/>
    <s v="0.102933769186563"/>
    <d v="2024-06-21T00:00:00"/>
    <s v="0.102933769186563"/>
    <n v="0.102933769186563"/>
    <n v="0.102933769186563"/>
  </r>
  <r>
    <x v="79"/>
    <s v="0.098035089555573"/>
    <d v="2024-09-27T00:00:00"/>
    <s v="0.098035089555573"/>
    <n v="9.8035089555572996E-2"/>
    <n v="9.8035089555572996E-2"/>
  </r>
  <r>
    <x v="79"/>
    <s v="0.301307812557326"/>
    <d v="2024-06-02T00:00:00"/>
    <s v="0.301307812557326"/>
    <n v="0.30130781255732603"/>
    <n v="0.30130781255732603"/>
  </r>
  <r>
    <x v="80"/>
    <s v="0.0184792430343956"/>
    <d v="2024-05-31T00:00:00"/>
    <s v="0.0184792430343956"/>
    <n v="1.84792430343956E-2"/>
    <n v="1.84792430343956E-2"/>
  </r>
  <r>
    <x v="81"/>
    <s v="0.12572920615993"/>
    <d v="2024-11-19T00:00:00"/>
    <s v="0.12572920615993"/>
    <n v="0.12572920615993"/>
    <n v="0.12572920615993"/>
  </r>
  <r>
    <x v="81"/>
    <s v="0.127029558524224"/>
    <d v="2024-05-06T00:00:00"/>
    <s v="0.127029558524224"/>
    <n v="0.12702955852422401"/>
    <n v="0.12702955852422401"/>
  </r>
  <r>
    <x v="81"/>
    <s v="0.0673357406177442"/>
    <d v="2024-01-25T00:00:00"/>
    <s v="0.0673357406177442"/>
    <n v="6.7335740617744194E-2"/>
    <n v="6.7335740617744194E-2"/>
  </r>
  <r>
    <x v="82"/>
    <s v="0.149917411861046"/>
    <d v="2024-01-09T00:00:00"/>
    <s v="0.149917411861046"/>
    <n v="0.14991741186104601"/>
    <n v="0.14991741186104601"/>
  </r>
  <r>
    <x v="82"/>
    <s v="0.0267442787791515"/>
    <d v="2024-10-19T00:00:00"/>
    <s v="0.0267442787791515"/>
    <n v="2.67442787791515E-2"/>
    <n v="2.67442787791515E-2"/>
  </r>
  <r>
    <x v="83"/>
    <s v="0.048378869804656"/>
    <d v="2024-08-23T00:00:00"/>
    <s v="0.048378869804656"/>
    <n v="4.8378869804656E-2"/>
    <n v="4.8378869804656E-2"/>
  </r>
  <r>
    <x v="84"/>
    <s v="0.0873682137872651"/>
    <d v="2024-09-26T00:00:00"/>
    <s v="0.0873682137872651"/>
    <n v="8.73682137872651E-2"/>
    <n v="8.73682137872651E-2"/>
  </r>
  <r>
    <x v="85"/>
    <s v="0.15993193644007"/>
    <d v="2024-08-10T00:00:00"/>
    <s v="0.15993193644007"/>
    <n v="0.15993193644007"/>
    <n v="0.15993193644007"/>
  </r>
  <r>
    <x v="85"/>
    <s v="0.353654858541214"/>
    <d v="2024-06-15T00:00:00"/>
    <s v="0.353654858541214"/>
    <n v="0.35365485854121398"/>
    <n v="0.35365485854121398"/>
  </r>
  <r>
    <x v="85"/>
    <s v="0.0308039165297916"/>
    <d v="2024-08-16T00:00:00"/>
    <s v="0.0308039165297916"/>
    <n v="3.08039165297916E-2"/>
    <n v="3.08039165297916E-2"/>
  </r>
  <r>
    <x v="86"/>
    <s v="0.245089594078217"/>
    <d v="2024-02-15T00:00:00"/>
    <s v="0.245089594078217"/>
    <n v="0.24508959407821701"/>
    <n v="0.24508959407821701"/>
  </r>
  <r>
    <x v="86"/>
    <s v="0.106247455715166"/>
    <d v="2024-01-23T00:00:00"/>
    <s v="0.106247455715166"/>
    <n v="0.106247455715166"/>
    <n v="0.106247455715166"/>
  </r>
  <r>
    <x v="86"/>
    <s v="0.2843798267786"/>
    <d v="2024-08-10T00:00:00"/>
    <s v="0.2843798267786"/>
    <n v="0.28437982677860002"/>
    <n v="0.28437982677860002"/>
  </r>
  <r>
    <x v="87"/>
    <s v="0.0118206393706828"/>
    <d v="2024-11-22T00:00:00"/>
    <s v="0.0118206393706828"/>
    <n v="1.18206393706828E-2"/>
    <n v="1.18206393706828E-2"/>
  </r>
  <r>
    <x v="87"/>
    <s v="0.223554458464654"/>
    <d v="2024-02-14T00:00:00"/>
    <s v="0.223554458464654"/>
    <n v="0.22355445846465399"/>
    <n v="0.22355445846465399"/>
  </r>
  <r>
    <x v="88"/>
    <s v="0.0767291398364568"/>
    <d v="2024-12-10T00:00:00"/>
    <s v="0.0767291398364568"/>
    <n v="7.6729139836456794E-2"/>
    <n v="7.6729139836456794E-2"/>
  </r>
  <r>
    <x v="88"/>
    <s v="0.20637093662588"/>
    <d v="2024-05-16T00:00:00"/>
    <s v="0.20637093662588"/>
    <n v="0.20637093662587999"/>
    <n v="0.20637093662587999"/>
  </r>
  <r>
    <x v="88"/>
    <s v="0.158269944342548"/>
    <d v="2024-04-18T00:00:00"/>
    <s v="0.158269944342548"/>
    <n v="0.15826994434254801"/>
    <n v="0.15826994434254801"/>
  </r>
  <r>
    <x v="89"/>
    <s v="0.398644966645756"/>
    <d v="2024-06-14T00:00:00"/>
    <s v="0.398644966645756"/>
    <n v="0.39864496664575599"/>
    <n v="0.39864496664575599"/>
  </r>
  <r>
    <x v="89"/>
    <s v="0.252121659121382"/>
    <d v="2024-10-15T00:00:00"/>
    <s v="0.252121659121382"/>
    <n v="0.25212165912138201"/>
    <n v="0.25212165912138201"/>
  </r>
  <r>
    <x v="90"/>
    <s v="0.336711557261893"/>
    <d v="2024-02-06T00:00:00"/>
    <s v="0.336711557261893"/>
    <n v="0.336711557261893"/>
    <n v="0.336711557261893"/>
  </r>
  <r>
    <x v="90"/>
    <s v="0.130193757697552"/>
    <d v="2024-03-23T00:00:00"/>
    <s v="0.130193757697552"/>
    <n v="0.13019375769755201"/>
    <n v="0.13019375769755201"/>
  </r>
  <r>
    <x v="90"/>
    <s v="0.0200778250004804"/>
    <d v="2024-05-23T00:00:00"/>
    <s v="0.0200778250004804"/>
    <n v="2.0077825000480401E-2"/>
    <n v="2.0077825000480401E-2"/>
  </r>
  <r>
    <x v="91"/>
    <s v="0.262201234923209"/>
    <d v="2024-10-28T00:00:00"/>
    <s v="0.262201234923209"/>
    <n v="0.26220123492320901"/>
    <n v="0.26220123492320901"/>
  </r>
  <r>
    <x v="91"/>
    <s v="0.0346130393207359"/>
    <d v="2024-12-10T00:00:00"/>
    <s v="0.0346130393207359"/>
    <n v="3.4613039320735901E-2"/>
    <n v="3.4613039320735901E-2"/>
  </r>
  <r>
    <x v="91"/>
    <s v="0.530732923417798"/>
    <d v="2024-09-20T00:00:00"/>
    <s v="0.530732923417798"/>
    <n v="0.53073292341779799"/>
    <n v="0.53073292341779799"/>
  </r>
  <r>
    <x v="92"/>
    <s v="0.263742042359405"/>
    <d v="2024-08-31T00:00:00"/>
    <s v="0.263742042359405"/>
    <n v="0.26374204235940502"/>
    <n v="0.26374204235940502"/>
  </r>
  <r>
    <x v="93"/>
    <s v="0.600726726322401"/>
    <d v="2024-02-04T00:00:00"/>
    <s v="0.600726726322401"/>
    <n v="0.60072672632240098"/>
    <n v="0.60072672632240098"/>
  </r>
  <r>
    <x v="93"/>
    <s v="0.0879171151400206"/>
    <d v="2024-08-25T00:00:00"/>
    <s v="0.0879171151400206"/>
    <n v="8.7917115140020596E-2"/>
    <n v="8.7917115140020596E-2"/>
  </r>
  <r>
    <x v="93"/>
    <s v="0.058953716139653"/>
    <d v="2024-07-28T00:00:00"/>
    <s v="0.058953716139653"/>
    <n v="5.8953716139653001E-2"/>
    <n v="5.8953716139653001E-2"/>
  </r>
  <r>
    <x v="94"/>
    <s v="0.0666642445818743"/>
    <d v="2024-10-08T00:00:00"/>
    <s v="0.0666642445818743"/>
    <n v="6.6664244581874296E-2"/>
    <n v="6.6664244581874296E-2"/>
  </r>
  <r>
    <x v="94"/>
    <s v="0.161226222047574"/>
    <d v="2024-07-22T00:00:00"/>
    <s v="0.161226222047574"/>
    <n v="0.161226222047574"/>
    <n v="0.161226222047574"/>
  </r>
  <r>
    <x v="95"/>
    <s v="0.123288358999835"/>
    <d v="2024-12-04T00:00:00"/>
    <s v="0.123288358999835"/>
    <n v="0.12328835899983499"/>
    <n v="0.12328835899983499"/>
  </r>
  <r>
    <x v="95"/>
    <s v="0.0646514788782264"/>
    <d v="2024-12-23T00:00:00"/>
    <s v="0.0646514788782264"/>
    <n v="6.4651478878226407E-2"/>
    <n v="6.4651478878226407E-2"/>
  </r>
  <r>
    <x v="96"/>
    <s v="0.115425345144245"/>
    <d v="2024-10-18T00:00:00"/>
    <s v="0.115425345144245"/>
    <n v="0.115425345144245"/>
    <n v="0.115425345144245"/>
  </r>
  <r>
    <x v="96"/>
    <s v="0.728336795073678"/>
    <d v="2024-09-12T00:00:00"/>
    <s v="0.728336795073678"/>
    <n v="0.72833679507367799"/>
    <n v="0.72833679507367799"/>
  </r>
  <r>
    <x v="97"/>
    <s v="0.0157216242514928"/>
    <d v="2024-07-08T00:00:00"/>
    <s v="0.0157216242514928"/>
    <n v="1.5721624251492799E-2"/>
    <n v="1.5721624251492799E-2"/>
  </r>
  <r>
    <x v="97"/>
    <s v="0.445552214425793"/>
    <d v="2024-08-08T00:00:00"/>
    <s v="0.445552214425793"/>
    <n v="0.44555221442579301"/>
    <n v="0.44555221442579301"/>
  </r>
  <r>
    <x v="97"/>
    <s v="0.0274671911361694"/>
    <d v="2024-07-11T00:00:00"/>
    <s v="0.0274671911361694"/>
    <n v="2.7467191136169401E-2"/>
    <n v="2.7467191136169401E-2"/>
  </r>
  <r>
    <x v="98"/>
    <s v="0.0873487767241633"/>
    <d v="2024-06-10T00:00:00"/>
    <s v="0.0873487767241633"/>
    <n v="8.7348776724163302E-2"/>
    <n v="8.7348776724163302E-2"/>
  </r>
  <r>
    <x v="98"/>
    <s v="0.136663491777014"/>
    <d v="2024-07-25T00:00:00"/>
    <s v="0.136663491777014"/>
    <n v="0.13666349177701401"/>
    <n v="0.13666349177701401"/>
  </r>
  <r>
    <x v="99"/>
    <s v="0.378646428245708"/>
    <d v="2024-06-17T00:00:00"/>
    <s v="0.378646428245708"/>
    <n v="0.37864642824570799"/>
    <n v="0.37864642824570799"/>
  </r>
  <r>
    <x v="100"/>
    <s v="0.0964902870933051"/>
    <d v="2024-12-18T00:00:00"/>
    <s v="0.0964902870933051"/>
    <n v="9.6490287093305094E-2"/>
    <n v="9.6490287093305094E-2"/>
  </r>
  <r>
    <x v="100"/>
    <s v="0.183032283301192"/>
    <d v="2024-12-23T00:00:00"/>
    <s v="0.183032283301192"/>
    <n v="0.18303228330119201"/>
    <n v="0.18303228330119201"/>
  </r>
  <r>
    <x v="101"/>
    <s v="0.0530471336829493"/>
    <d v="2024-12-11T00:00:00"/>
    <s v="0.0530471336829493"/>
    <n v="5.3047133682949298E-2"/>
    <n v="5.3047133682949298E-2"/>
  </r>
  <r>
    <x v="102"/>
    <s v="0.257659241538686"/>
    <d v="2024-02-04T00:00:00"/>
    <s v="0.257659241538686"/>
    <n v="0.25765924153868602"/>
    <n v="0.25765924153868602"/>
  </r>
  <r>
    <x v="103"/>
    <s v="0.039219138284823"/>
    <d v="2024-03-13T00:00:00"/>
    <s v="0.039219138284823"/>
    <n v="3.9219138284822999E-2"/>
    <n v="3.9219138284822999E-2"/>
  </r>
  <r>
    <x v="103"/>
    <s v="0.152880271339092"/>
    <d v="2024-10-04T00:00:00"/>
    <s v="0.152880271339092"/>
    <n v="0.15288027133909199"/>
    <n v="0.15288027133909199"/>
  </r>
  <r>
    <x v="104"/>
    <s v="0.483192053442368"/>
    <d v="2024-06-17T00:00:00"/>
    <s v="0.483192053442368"/>
    <n v="0.48319205344236799"/>
    <n v="0.48319205344236799"/>
  </r>
  <r>
    <x v="104"/>
    <s v="0.168863963563093"/>
    <d v="2024-01-29T00:00:00"/>
    <s v="0.168863963563093"/>
    <n v="0.16886396356309299"/>
    <n v="0.16886396356309299"/>
  </r>
  <r>
    <x v="105"/>
    <s v="0.0177687215436687"/>
    <d v="2024-12-10T00:00:00"/>
    <s v="0.0177687215436687"/>
    <n v="1.7768721543668702E-2"/>
    <n v="1.7768721543668702E-2"/>
  </r>
  <r>
    <x v="105"/>
    <s v="0.276740763543906"/>
    <d v="2024-09-25T00:00:00"/>
    <s v="0.276740763543906"/>
    <n v="0.27674076354390598"/>
    <n v="0.27674076354390598"/>
  </r>
  <r>
    <x v="105"/>
    <s v="0.055313920154667"/>
    <d v="2024-03-16T00:00:00"/>
    <s v="0.055313920154667"/>
    <n v="5.5313920154666997E-2"/>
    <n v="5.5313920154666997E-2"/>
  </r>
  <r>
    <x v="106"/>
    <s v="0.18417063270655"/>
    <d v="2024-04-01T00:00:00"/>
    <s v="0.18417063270655"/>
    <n v="0.18417063270655001"/>
    <n v="0.18417063270655001"/>
  </r>
  <r>
    <x v="107"/>
    <s v="0.0530614460824467"/>
    <d v="2024-06-03T00:00:00"/>
    <s v="0.0530614460824467"/>
    <n v="5.30614460824467E-2"/>
    <n v="5.30614460824467E-2"/>
  </r>
  <r>
    <x v="107"/>
    <s v="0.244659089535931"/>
    <d v="2024-09-14T00:00:00"/>
    <s v="0.244659089535931"/>
    <n v="0.24465908953593099"/>
    <n v="0.24465908953593099"/>
  </r>
  <r>
    <x v="107"/>
    <s v="0.262726190110716"/>
    <d v="2024-09-08T00:00:00"/>
    <s v="0.262726190110716"/>
    <n v="0.26272619011071602"/>
    <n v="0.26272619011071602"/>
  </r>
  <r>
    <x v="108"/>
    <s v="0.0309107706581428"/>
    <d v="2024-07-14T00:00:00"/>
    <s v="0.0309107706581428"/>
    <n v="3.0910770658142801E-2"/>
    <n v="3.0910770658142801E-2"/>
  </r>
  <r>
    <x v="108"/>
    <s v="0.0984348161500462"/>
    <d v="2024-06-17T00:00:00"/>
    <s v="0.0984348161500462"/>
    <n v="9.8434816150046206E-2"/>
    <n v="9.8434816150046206E-2"/>
  </r>
  <r>
    <x v="108"/>
    <s v="0.142417403386908"/>
    <d v="2024-04-21T00:00:00"/>
    <s v="0.142417403386908"/>
    <n v="0.142417403386908"/>
    <n v="0.142417403386908"/>
  </r>
  <r>
    <x v="108"/>
    <s v="0.302916501793584"/>
    <d v="2024-04-04T00:00:00"/>
    <s v="0.302916501793584"/>
    <n v="0.30291650179358398"/>
    <n v="0.30291650179358398"/>
  </r>
  <r>
    <x v="109"/>
    <s v="0.238427147333291"/>
    <d v="2024-05-16T00:00:00"/>
    <s v="0.238427147333291"/>
    <n v="0.23842714733329101"/>
    <n v="0.23842714733329101"/>
  </r>
  <r>
    <x v="110"/>
    <s v="0.0808083223706478"/>
    <d v="2024-02-10T00:00:00"/>
    <s v="0.0808083223706478"/>
    <n v="8.0808322370647806E-2"/>
    <n v="8.0808322370647806E-2"/>
  </r>
  <r>
    <x v="110"/>
    <s v="0.521626582615622"/>
    <d v="2024-01-25T00:00:00"/>
    <s v="0.521626582615622"/>
    <n v="0.521626582615622"/>
    <n v="0.521626582615622"/>
  </r>
  <r>
    <x v="111"/>
    <s v="0.0804239128397639"/>
    <d v="2024-07-19T00:00:00"/>
    <s v="0.0804239128397639"/>
    <n v="8.0423912839763897E-2"/>
    <n v="8.0423912839763897E-2"/>
  </r>
  <r>
    <x v="111"/>
    <s v="0.599125841013169"/>
    <d v="2024-12-09T00:00:00"/>
    <s v="0.599125841013169"/>
    <n v="0.59912584101316901"/>
    <n v="0.59912584101316901"/>
  </r>
  <r>
    <x v="111"/>
    <s v="0.0901017643594913"/>
    <d v="2024-12-04T00:00:00"/>
    <s v="0.0901017643594913"/>
    <n v="9.0101764359491299E-2"/>
    <n v="9.0101764359491299E-2"/>
  </r>
  <r>
    <x v="112"/>
    <s v="0.0741217171595348"/>
    <d v="2024-10-05T00:00:00"/>
    <s v="0.0741217171595348"/>
    <n v="7.4121717159534806E-2"/>
    <n v="7.4121717159534806E-2"/>
  </r>
  <r>
    <x v="112"/>
    <s v="0.271446400650782"/>
    <d v="2024-09-04T00:00:00"/>
    <s v="0.271446400650782"/>
    <n v="0.27144640065078202"/>
    <n v="0.27144640065078202"/>
  </r>
  <r>
    <x v="113"/>
    <s v="0.0555430891846373"/>
    <d v="2024-01-18T00:00:00"/>
    <s v="0.0555430891846373"/>
    <n v="5.5543089184637302E-2"/>
    <n v="5.5543089184637302E-2"/>
  </r>
  <r>
    <x v="114"/>
    <s v="0.35834421776682"/>
    <d v="2024-03-11T00:00:00"/>
    <s v="0.35834421776682"/>
    <n v="0.35834421776682002"/>
    <n v="0.35834421776682002"/>
  </r>
  <r>
    <x v="114"/>
    <s v="0.207424631599973"/>
    <d v="2024-12-24T00:00:00"/>
    <s v="0.207424631599973"/>
    <n v="0.20742463159997299"/>
    <n v="0.20742463159997299"/>
  </r>
  <r>
    <x v="115"/>
    <s v="0.170992816295909"/>
    <d v="2024-08-14T00:00:00"/>
    <s v="0.170992816295909"/>
    <n v="0.17099281629590901"/>
    <n v="0.17099281629590901"/>
  </r>
  <r>
    <x v="115"/>
    <s v="0.01945061411886"/>
    <d v="2024-01-21T00:00:00"/>
    <s v="0.01945061411886"/>
    <n v="1.945061411886E-2"/>
    <n v="1.945061411886E-2"/>
  </r>
  <r>
    <x v="116"/>
    <s v="0.153187391670569"/>
    <d v="2024-06-02T00:00:00"/>
    <s v="0.153187391670569"/>
    <n v="0.153187391670569"/>
    <n v="0.153187391670569"/>
  </r>
  <r>
    <x v="116"/>
    <s v="0.377050745790566"/>
    <d v="2024-05-08T00:00:00"/>
    <s v="0.377050745790566"/>
    <n v="0.37705074579056602"/>
    <n v="0.37705074579056602"/>
  </r>
  <r>
    <x v="117"/>
    <s v="0.0877178551712564"/>
    <d v="2024-01-12T00:00:00"/>
    <s v="0.0877178551712564"/>
    <n v="8.7717855171256395E-2"/>
    <n v="8.7717855171256395E-2"/>
  </r>
  <r>
    <x v="117"/>
    <s v="0.0569845506891346"/>
    <d v="2024-09-05T00:00:00"/>
    <s v="0.0569845506891346"/>
    <n v="5.6984550689134598E-2"/>
    <n v="5.6984550689134598E-2"/>
  </r>
  <r>
    <x v="117"/>
    <s v="0.0580101994413566"/>
    <d v="2024-05-20T00:00:00"/>
    <s v="0.0580101994413566"/>
    <n v="5.8010199441356602E-2"/>
    <n v="5.8010199441356602E-2"/>
  </r>
  <r>
    <x v="118"/>
    <s v="0.251261118008413"/>
    <d v="2024-12-17T00:00:00"/>
    <s v="0.251261118008413"/>
    <n v="0.251261118008413"/>
    <n v="0.251261118008413"/>
  </r>
  <r>
    <x v="118"/>
    <s v="0.277578149022313"/>
    <d v="2024-07-12T00:00:00"/>
    <s v="0.277578149022313"/>
    <n v="0.27757814902231298"/>
    <n v="0.27757814902231298"/>
  </r>
  <r>
    <x v="118"/>
    <s v="0.422988751078192"/>
    <d v="2024-10-13T00:00:00"/>
    <s v="0.422988751078192"/>
    <n v="0.422988751078192"/>
    <n v="0.422988751078192"/>
  </r>
  <r>
    <x v="119"/>
    <s v="0.236966157747652"/>
    <d v="2024-07-20T00:00:00"/>
    <s v="0.236966157747652"/>
    <n v="0.23696615774765201"/>
    <n v="0.23696615774765201"/>
  </r>
  <r>
    <x v="119"/>
    <s v="0.101583901045106"/>
    <d v="2024-06-19T00:00:00"/>
    <s v="0.101583901045106"/>
    <n v="0.10158390104510601"/>
    <n v="0.10158390104510601"/>
  </r>
  <r>
    <x v="119"/>
    <s v="0.239627183368012"/>
    <d v="2024-05-26T00:00:00"/>
    <s v="0.239627183368012"/>
    <n v="0.239627183368012"/>
    <n v="0.239627183368012"/>
  </r>
  <r>
    <x v="120"/>
    <s v="0.35815985257262"/>
    <d v="2024-10-16T00:00:00"/>
    <s v="0.35815985257262"/>
    <n v="0.35815985257262001"/>
    <n v="0.35815985257262001"/>
  </r>
  <r>
    <x v="120"/>
    <s v="0.176559473158921"/>
    <d v="2024-03-17T00:00:00"/>
    <s v="0.176559473158921"/>
    <n v="0.17655947315892101"/>
    <n v="0.17655947315892101"/>
  </r>
  <r>
    <x v="120"/>
    <s v="0.203289282699268"/>
    <d v="2024-11-05T00:00:00"/>
    <s v="0.203289282699268"/>
    <n v="0.20328928269926799"/>
    <n v="0.20328928269926799"/>
  </r>
  <r>
    <x v="121"/>
    <s v="0.0645189359170164"/>
    <d v="2024-12-15T00:00:00"/>
    <s v="0.0645189359170164"/>
    <n v="6.4518935917016407E-2"/>
    <n v="6.4518935917016407E-2"/>
  </r>
  <r>
    <x v="121"/>
    <s v="0.128652994234761"/>
    <d v="2024-03-11T00:00:00"/>
    <s v="0.128652994234761"/>
    <n v="0.12865299423476101"/>
    <n v="0.12865299423476101"/>
  </r>
  <r>
    <x v="121"/>
    <s v="0.206120903734521"/>
    <d v="2024-12-31T00:00:00"/>
    <s v="0.206120903734521"/>
    <n v="0.20612090373452099"/>
    <n v="0.20612090373452099"/>
  </r>
  <r>
    <x v="122"/>
    <s v="0.27345400977506"/>
    <d v="2024-12-25T00:00:00"/>
    <s v="0.27345400977506"/>
    <n v="0.27345400977506001"/>
    <n v="0.27345400977506001"/>
  </r>
  <r>
    <x v="122"/>
    <s v="0.00929541539257509"/>
    <d v="2024-06-09T00:00:00"/>
    <s v="0.00929541539257509"/>
    <n v="9.2954153925750901E-3"/>
    <n v="9.2954153925750901E-3"/>
  </r>
  <r>
    <x v="122"/>
    <s v="0.0999445969319553"/>
    <d v="2024-06-10T00:00:00"/>
    <s v="0.0999445969319553"/>
    <n v="9.9944596931955301E-2"/>
    <n v="9.9944596931955301E-2"/>
  </r>
  <r>
    <x v="123"/>
    <s v="0.0468250688023228"/>
    <d v="2024-04-13T00:00:00"/>
    <s v="0.0468250688023228"/>
    <n v="4.6825068802322803E-2"/>
    <n v="4.6825068802322803E-2"/>
  </r>
  <r>
    <x v="123"/>
    <s v="0.189696062999592"/>
    <d v="2024-07-05T00:00:00"/>
    <s v="0.189696062999592"/>
    <n v="0.18969606299959199"/>
    <n v="0.18969606299959199"/>
  </r>
  <r>
    <x v="123"/>
    <s v="0.0147144512528577"/>
    <d v="2024-02-02T00:00:00"/>
    <s v="0.0147144512528577"/>
    <n v="1.47144512528577E-2"/>
    <n v="1.47144512528577E-2"/>
  </r>
  <r>
    <x v="124"/>
    <s v="0.165198016412749"/>
    <d v="2024-11-23T00:00:00"/>
    <s v="0.165198016412749"/>
    <n v="0.165198016412749"/>
    <n v="0.165198016412749"/>
  </r>
  <r>
    <x v="124"/>
    <s v="0.196889023823141"/>
    <d v="2024-03-21T00:00:00"/>
    <s v="0.196889023823141"/>
    <n v="0.196889023823141"/>
    <n v="0.196889023823141"/>
  </r>
  <r>
    <x v="125"/>
    <s v="0.12253670391672"/>
    <d v="2024-02-20T00:00:00"/>
    <s v="0.12253670391672"/>
    <n v="0.12253670391672"/>
    <n v="0.12253670391672"/>
  </r>
  <r>
    <x v="125"/>
    <s v="0.57386402372842"/>
    <d v="2024-06-03T00:00:00"/>
    <s v="0.57386402372842"/>
    <n v="0.57386402372842005"/>
    <n v="0.57386402372842005"/>
  </r>
  <r>
    <x v="126"/>
    <s v="0.147831571293941"/>
    <d v="2024-08-23T00:00:00"/>
    <s v="0.147831571293941"/>
    <n v="0.14783157129394101"/>
    <n v="0.14783157129394101"/>
  </r>
  <r>
    <x v="127"/>
    <s v="0.230943360377949"/>
    <d v="2024-11-20T00:00:00"/>
    <s v="0.230943360377949"/>
    <n v="0.23094336037794899"/>
    <n v="0.23094336037794899"/>
  </r>
  <r>
    <x v="127"/>
    <s v="0.13657082912417"/>
    <d v="2024-08-28T00:00:00"/>
    <s v="0.13657082912417"/>
    <n v="0.13657082912417001"/>
    <n v="0.13657082912417001"/>
  </r>
  <r>
    <x v="128"/>
    <s v="0.0882017541099678"/>
    <d v="2024-08-16T00:00:00"/>
    <s v="0.0882017541099678"/>
    <n v="8.8201754109967806E-2"/>
    <n v="8.8201754109967806E-2"/>
  </r>
  <r>
    <x v="128"/>
    <s v="0.371470784243607"/>
    <d v="2024-11-29T00:00:00"/>
    <s v="0.371470784243607"/>
    <n v="0.37147078424360702"/>
    <n v="0.37147078424360702"/>
  </r>
  <r>
    <x v="129"/>
    <s v="0.1137656078123"/>
    <d v="2024-04-01T00:00:00"/>
    <s v="0.1137656078123"/>
    <n v="0.1137656078123"/>
    <n v="0.1137656078123"/>
  </r>
  <r>
    <x v="129"/>
    <s v="0.48015870850327"/>
    <d v="2024-06-28T00:00:00"/>
    <s v="0.48015870850327"/>
    <n v="0.48015870850327003"/>
    <n v="0.48015870850327003"/>
  </r>
  <r>
    <x v="130"/>
    <s v="0.362229359492954"/>
    <d v="2024-03-15T00:00:00"/>
    <s v="0.362229359492954"/>
    <n v="0.36222935949295398"/>
    <n v="0.36222935949295398"/>
  </r>
  <r>
    <x v="130"/>
    <s v="0.197810505251761"/>
    <d v="2024-10-22T00:00:00"/>
    <s v="0.197810505251761"/>
    <n v="0.197810505251761"/>
    <n v="0.197810505251761"/>
  </r>
  <r>
    <x v="131"/>
    <s v="0.112834385956631"/>
    <d v="2024-02-27T00:00:00"/>
    <s v="0.112834385956631"/>
    <n v="0.11283438595663101"/>
    <n v="0.11283438595663101"/>
  </r>
  <r>
    <x v="132"/>
    <s v="0.0798215054924011"/>
    <d v="2024-06-10T00:00:00"/>
    <s v="0.0798215054924011"/>
    <n v="7.9821505492401107E-2"/>
    <n v="7.9821505492401107E-2"/>
  </r>
  <r>
    <x v="133"/>
    <s v="0.0679195316432553"/>
    <d v="2024-03-30T00:00:00"/>
    <s v="0.0679195316432553"/>
    <n v="6.7919531643255301E-2"/>
    <n v="6.7919531643255301E-2"/>
  </r>
  <r>
    <x v="133"/>
    <s v="0.0418905515859919"/>
    <d v="2024-05-11T00:00:00"/>
    <s v="0.0418905515859919"/>
    <n v="4.1890551585991899E-2"/>
    <n v="4.1890551585991899E-2"/>
  </r>
  <r>
    <x v="134"/>
    <s v="0.099228894714108"/>
    <d v="2024-05-24T00:00:00"/>
    <s v="0.099228894714108"/>
    <n v="9.9228894714108007E-2"/>
    <n v="9.9228894714108007E-2"/>
  </r>
  <r>
    <x v="134"/>
    <s v="0.238160075380521"/>
    <d v="2024-09-05T00:00:00"/>
    <s v="0.238160075380521"/>
    <n v="0.238160075380521"/>
    <n v="0.238160075380521"/>
  </r>
  <r>
    <x v="134"/>
    <s v="0.107513201066155"/>
    <d v="2024-02-28T00:00:00"/>
    <s v="0.107513201066155"/>
    <n v="0.107513201066155"/>
    <n v="0.107513201066155"/>
  </r>
  <r>
    <x v="135"/>
    <s v="0.45130579394148"/>
    <d v="2024-10-23T00:00:00"/>
    <s v="0.45130579394148"/>
    <n v="0.45130579394148002"/>
    <n v="0.45130579394148002"/>
  </r>
  <r>
    <x v="135"/>
    <s v="0.107734012377205"/>
    <d v="2024-02-04T00:00:00"/>
    <s v="0.107734012377205"/>
    <n v="0.10773401237720499"/>
    <n v="0.10773401237720499"/>
  </r>
  <r>
    <x v="136"/>
    <s v="0.0473968166840039"/>
    <d v="2024-06-23T00:00:00"/>
    <s v="0.0473968166840039"/>
    <n v="4.7396816684003903E-2"/>
    <n v="4.7396816684003903E-2"/>
  </r>
  <r>
    <x v="136"/>
    <s v="0.150917783831714"/>
    <d v="2024-04-02T00:00:00"/>
    <s v="0.150917783831714"/>
    <n v="0.150917783831714"/>
    <n v="0.150917783831714"/>
  </r>
  <r>
    <x v="136"/>
    <s v="0.212211601139024"/>
    <d v="2024-08-21T00:00:00"/>
    <s v="0.212211601139024"/>
    <n v="0.21221160113902399"/>
    <n v="0.21221160113902399"/>
  </r>
  <r>
    <x v="136"/>
    <s v="0.170680398352948"/>
    <d v="2024-11-04T00:00:00"/>
    <s v="0.170680398352948"/>
    <n v="0.17068039835294799"/>
    <n v="0.17068039835294799"/>
  </r>
  <r>
    <x v="137"/>
    <s v="0.0255135616153632"/>
    <d v="2024-11-16T00:00:00"/>
    <s v="0.0255135616153632"/>
    <n v="2.5513561615363198E-2"/>
    <n v="2.5513561615363198E-2"/>
  </r>
  <r>
    <x v="137"/>
    <s v="0.263478185814358"/>
    <d v="2024-08-01T00:00:00"/>
    <s v="0.263478185814358"/>
    <n v="0.263478185814358"/>
    <n v="0.263478185814358"/>
  </r>
  <r>
    <x v="137"/>
    <s v="0.237649114033665"/>
    <d v="2024-07-16T00:00:00"/>
    <s v="0.237649114033665"/>
    <n v="0.23764911403366501"/>
    <n v="0.23764911403366501"/>
  </r>
  <r>
    <x v="138"/>
    <s v="0.0229496395638617"/>
    <d v="2024-10-13T00:00:00"/>
    <s v="0.0229496395638617"/>
    <n v="2.2949639563861701E-2"/>
    <n v="2.2949639563861701E-2"/>
  </r>
  <r>
    <x v="139"/>
    <s v="0.119320982351639"/>
    <d v="2024-10-20T00:00:00"/>
    <s v="0.119320982351639"/>
    <n v="0.119320982351639"/>
    <n v="0.119320982351639"/>
  </r>
  <r>
    <x v="139"/>
    <s v="0.575832642040436"/>
    <d v="2024-01-30T00:00:00"/>
    <s v="0.575832642040436"/>
    <n v="0.57583264204043605"/>
    <n v="0.57583264204043605"/>
  </r>
  <r>
    <x v="139"/>
    <s v="0.0814443230250028"/>
    <d v="2024-06-14T00:00:00"/>
    <s v="0.0814443230250028"/>
    <n v="8.1444323025002804E-2"/>
    <n v="8.1444323025002804E-2"/>
  </r>
  <r>
    <x v="140"/>
    <s v="0.184696758886608"/>
    <d v="2024-12-17T00:00:00"/>
    <s v="0.184696758886608"/>
    <n v="0.184696758886608"/>
    <n v="0.184696758886608"/>
  </r>
  <r>
    <x v="140"/>
    <s v="0.0735444448710367"/>
    <d v="2024-05-05T00:00:00"/>
    <s v="0.0735444448710367"/>
    <n v="7.3544444871036702E-2"/>
    <n v="7.3544444871036702E-2"/>
  </r>
  <r>
    <x v="140"/>
    <s v="0.0618731842038204"/>
    <d v="2024-08-18T00:00:00"/>
    <s v="0.0618731842038204"/>
    <n v="6.1873184203820403E-2"/>
    <n v="6.1873184203820403E-2"/>
  </r>
  <r>
    <x v="141"/>
    <s v="0.046817543681079"/>
    <d v="2024-05-14T00:00:00"/>
    <s v="0.046817543681079"/>
    <n v="4.6817543681079002E-2"/>
    <n v="4.6817543681079002E-2"/>
  </r>
  <r>
    <x v="141"/>
    <s v="0.0398937068754725"/>
    <d v="2024-07-13T00:00:00"/>
    <s v="0.0398937068754725"/>
    <n v="3.9893706875472501E-2"/>
    <n v="3.9893706875472501E-2"/>
  </r>
  <r>
    <x v="141"/>
    <s v="0.0992767259872455"/>
    <d v="2024-08-03T00:00:00"/>
    <s v="0.0992767259872455"/>
    <n v="9.9276725987245504E-2"/>
    <n v="9.9276725987245504E-2"/>
  </r>
  <r>
    <x v="141"/>
    <s v="0.356739411300461"/>
    <d v="2024-07-25T00:00:00"/>
    <s v="0.356739411300461"/>
    <n v="0.356739411300461"/>
    <n v="0.356739411300461"/>
  </r>
  <r>
    <x v="142"/>
    <s v="0.181900420670437"/>
    <d v="2024-02-18T00:00:00"/>
    <s v="0.181900420670437"/>
    <n v="0.18190042067043699"/>
    <n v="0.18190042067043699"/>
  </r>
  <r>
    <x v="142"/>
    <s v="0.0896737471783113"/>
    <d v="2024-05-15T00:00:00"/>
    <s v="0.0896737471783113"/>
    <n v="8.9673747178311294E-2"/>
    <n v="8.9673747178311294E-2"/>
  </r>
  <r>
    <x v="142"/>
    <s v="0.221981842106652"/>
    <d v="2024-08-12T00:00:00"/>
    <s v="0.221981842106652"/>
    <n v="0.22198184210665201"/>
    <n v="0.22198184210665201"/>
  </r>
  <r>
    <x v="143"/>
    <s v="0.0420535370660866"/>
    <d v="2024-07-29T00:00:00"/>
    <s v="0.0420535370660866"/>
    <n v="4.2053537066086603E-2"/>
    <n v="4.2053537066086603E-2"/>
  </r>
  <r>
    <x v="143"/>
    <s v="0.173468490724874"/>
    <d v="2024-04-04T00:00:00"/>
    <s v="0.173468490724874"/>
    <n v="0.173468490724874"/>
    <n v="0.173468490724874"/>
  </r>
  <r>
    <x v="144"/>
    <s v="0.281600924730603"/>
    <d v="2024-06-05T00:00:00"/>
    <s v="0.281600924730603"/>
    <n v="0.281600924730603"/>
    <n v="0.281600924730603"/>
  </r>
  <r>
    <x v="145"/>
    <s v="0.310195386501077"/>
    <d v="2024-07-31T00:00:00"/>
    <s v="0.310195386501077"/>
    <n v="0.31019538650107698"/>
    <n v="0.31019538650107698"/>
  </r>
  <r>
    <x v="145"/>
    <s v="0.222736583560824"/>
    <d v="2024-08-12T00:00:00"/>
    <s v="0.222736583560824"/>
    <n v="0.22273658356082399"/>
    <n v="0.22273658356082399"/>
  </r>
  <r>
    <x v="146"/>
    <s v="0.0438634564580156"/>
    <d v="2024-03-05T00:00:00"/>
    <s v="0.0438634564580156"/>
    <n v="4.38634564580156E-2"/>
    <n v="4.38634564580156E-2"/>
  </r>
  <r>
    <x v="146"/>
    <s v="0.134369055893649"/>
    <d v="2024-12-19T00:00:00"/>
    <s v="0.134369055893649"/>
    <n v="0.134369055893649"/>
    <n v="0.134369055893649"/>
  </r>
  <r>
    <x v="147"/>
    <s v="0.0644112055307508"/>
    <d v="2024-08-10T00:00:00"/>
    <s v="0.0644112055307508"/>
    <n v="6.4411205530750804E-2"/>
    <n v="6.4411205530750804E-2"/>
  </r>
  <r>
    <x v="147"/>
    <s v="0.165585550018699"/>
    <d v="2024-01-14T00:00:00"/>
    <s v="0.165585550018699"/>
    <n v="0.16558555001869901"/>
    <n v="0.16558555001869901"/>
  </r>
  <r>
    <x v="147"/>
    <s v="0.538068373272368"/>
    <d v="2024-08-19T00:00:00"/>
    <s v="0.538068373272368"/>
    <n v="0.53806837327236801"/>
    <n v="0.53806837327236801"/>
  </r>
  <r>
    <x v="148"/>
    <s v="0.625676342525731"/>
    <d v="2024-05-29T00:00:00"/>
    <s v="0.625676342525731"/>
    <n v="0.62567634252573101"/>
    <n v="0.62567634252573101"/>
  </r>
  <r>
    <x v="148"/>
    <s v="0.634011850913488"/>
    <d v="2024-06-20T00:00:00"/>
    <s v="0.634011850913488"/>
    <n v="0.634011850913488"/>
    <n v="0.634011850913488"/>
  </r>
  <r>
    <x v="148"/>
    <s v="0.0344275978259638"/>
    <d v="2024-09-11T00:00:00"/>
    <s v="0.0344275978259638"/>
    <n v="3.4427597825963802E-2"/>
    <n v="3.4427597825963802E-2"/>
  </r>
  <r>
    <x v="149"/>
    <s v="0.159041090807135"/>
    <d v="2024-07-17T00:00:00"/>
    <s v="0.159041090807135"/>
    <n v="0.15904109080713499"/>
    <n v="0.15904109080713499"/>
  </r>
  <r>
    <x v="149"/>
    <s v="0.064692541525284"/>
    <d v="2024-06-22T00:00:00"/>
    <s v="0.064692541525284"/>
    <n v="6.4692541525284003E-2"/>
    <n v="6.4692541525284003E-2"/>
  </r>
  <r>
    <x v="150"/>
    <s v="0.118705726486683"/>
    <d v="2024-01-30T00:00:00"/>
    <s v="0.118705726486683"/>
    <n v="0.118705726486683"/>
    <n v="0.118705726486683"/>
  </r>
  <r>
    <x v="150"/>
    <s v="0.227480372989782"/>
    <d v="2024-07-16T00:00:00"/>
    <s v="0.227480372989782"/>
    <n v="0.22748037298978199"/>
    <n v="0.22748037298978199"/>
  </r>
  <r>
    <x v="151"/>
    <s v="0.0586909790262455"/>
    <d v="2024-06-30T00:00:00"/>
    <s v="0.0586909790262455"/>
    <n v="5.8690979026245503E-2"/>
    <n v="5.8690979026245503E-2"/>
  </r>
  <r>
    <x v="151"/>
    <s v="0.162998504848213"/>
    <d v="2024-07-01T00:00:00"/>
    <s v="0.162998504848213"/>
    <n v="0.16299850484821299"/>
    <n v="0.16299850484821299"/>
  </r>
  <r>
    <x v="151"/>
    <s v="0.382611646327536"/>
    <d v="2024-02-15T00:00:00"/>
    <s v="0.382611646327536"/>
    <n v="0.38261164632753603"/>
    <n v="0.38261164632753603"/>
  </r>
  <r>
    <x v="152"/>
    <s v="0.0356566557298362"/>
    <d v="2024-06-10T00:00:00"/>
    <s v="0.0356566557298362"/>
    <n v="3.5656655729836201E-2"/>
    <n v="3.5656655729836201E-2"/>
  </r>
  <r>
    <x v="152"/>
    <s v="0.267275878706695"/>
    <d v="2024-07-25T00:00:00"/>
    <s v="0.267275878706695"/>
    <n v="0.267275878706695"/>
    <n v="0.267275878706695"/>
  </r>
  <r>
    <x v="153"/>
    <s v="0.0765876495183913"/>
    <d v="2024-09-11T00:00:00"/>
    <s v="0.0765876495183913"/>
    <n v="7.6587649518391296E-2"/>
    <n v="7.6587649518391296E-2"/>
  </r>
  <r>
    <x v="153"/>
    <s v="0.0391570435444127"/>
    <d v="2024-11-13T00:00:00"/>
    <s v="0.0391570435444127"/>
    <n v="3.9157043544412698E-2"/>
    <n v="3.9157043544412698E-2"/>
  </r>
  <r>
    <x v="153"/>
    <s v="0.109688290168286"/>
    <d v="2024-05-18T00:00:00"/>
    <s v="0.109688290168286"/>
    <n v="0.109688290168286"/>
    <n v="0.109688290168286"/>
  </r>
  <r>
    <x v="154"/>
    <s v="0.0462894425098008"/>
    <d v="2024-07-03T00:00:00"/>
    <s v="0.0462894425098008"/>
    <n v="4.6289442509800799E-2"/>
    <n v="4.6289442509800799E-2"/>
  </r>
  <r>
    <x v="154"/>
    <s v="0.0335117612884459"/>
    <d v="2024-12-15T00:00:00"/>
    <s v="0.0335117612884459"/>
    <n v="3.35117612884459E-2"/>
    <n v="3.35117612884459E-2"/>
  </r>
  <r>
    <x v="155"/>
    <s v="0.0845415799501776"/>
    <d v="2024-11-13T00:00:00"/>
    <s v="0.0845415799501776"/>
    <n v="8.4541579950177595E-2"/>
    <n v="8.4541579950177595E-2"/>
  </r>
  <r>
    <x v="155"/>
    <s v="0.0868649925277425"/>
    <d v="2024-05-01T00:00:00"/>
    <s v="0.0868649925277425"/>
    <n v="8.6864992527742504E-2"/>
    <n v="8.6864992527742504E-2"/>
  </r>
  <r>
    <x v="155"/>
    <s v="0.11371551685023"/>
    <d v="2024-07-05T00:00:00"/>
    <s v="0.11371551685023"/>
    <n v="0.11371551685023"/>
    <n v="0.11371551685023"/>
  </r>
  <r>
    <x v="156"/>
    <s v="0.409679487010691"/>
    <d v="2024-02-01T00:00:00"/>
    <s v="0.409679487010691"/>
    <n v="0.40967948701069101"/>
    <n v="0.40967948701069101"/>
  </r>
  <r>
    <x v="156"/>
    <s v="0.208350347722487"/>
    <d v="2024-04-11T00:00:00"/>
    <s v="0.208350347722487"/>
    <n v="0.20835034772248701"/>
    <n v="0.20835034772248701"/>
  </r>
  <r>
    <x v="157"/>
    <s v="0.267979427225526"/>
    <d v="2024-12-12T00:00:00"/>
    <s v="0.267979427225526"/>
    <n v="0.26797942722552598"/>
    <n v="0.26797942722552598"/>
  </r>
  <r>
    <x v="157"/>
    <s v="0.0794583641057566"/>
    <d v="2024-03-11T00:00:00"/>
    <s v="0.0794583641057566"/>
    <n v="7.9458364105756601E-2"/>
    <n v="7.9458364105756601E-2"/>
  </r>
  <r>
    <x v="157"/>
    <s v="0.142505256562105"/>
    <d v="2024-02-05T00:00:00"/>
    <s v="0.142505256562105"/>
    <n v="0.142505256562105"/>
    <n v="0.142505256562105"/>
  </r>
  <r>
    <x v="158"/>
    <s v="0.270135489052185"/>
    <d v="2024-02-02T00:00:00"/>
    <s v="0.270135489052185"/>
    <n v="0.27013548905218498"/>
    <n v="0.27013548905218498"/>
  </r>
  <r>
    <x v="158"/>
    <s v="0.186898190721365"/>
    <d v="2024-04-15T00:00:00"/>
    <s v="0.186898190721365"/>
    <n v="0.18689819072136499"/>
    <n v="0.18689819072136499"/>
  </r>
  <r>
    <x v="158"/>
    <s v="0.0634840699882555"/>
    <d v="2024-02-01T00:00:00"/>
    <s v="0.0634840699882555"/>
    <n v="6.3484069988255495E-2"/>
    <n v="6.3484069988255495E-2"/>
  </r>
  <r>
    <x v="159"/>
    <s v="0.104162111072632"/>
    <d v="2024-07-08T00:00:00"/>
    <s v="0.104162111072632"/>
    <n v="0.104162111072632"/>
    <n v="0.104162111072632"/>
  </r>
  <r>
    <x v="159"/>
    <s v="0.192096768513563"/>
    <d v="2024-04-05T00:00:00"/>
    <s v="0.192096768513563"/>
    <n v="0.192096768513563"/>
    <n v="0.192096768513563"/>
  </r>
  <r>
    <x v="160"/>
    <s v="0.14069936399427"/>
    <d v="2024-09-26T00:00:00"/>
    <s v="0.14069936399427"/>
    <n v="0.14069936399426999"/>
    <n v="0.14069936399426999"/>
  </r>
  <r>
    <x v="160"/>
    <s v="0.0537231367507218"/>
    <d v="2024-12-27T00:00:00"/>
    <s v="0.0537231367507218"/>
    <n v="5.3723136750721802E-2"/>
    <n v="5.3723136750721802E-2"/>
  </r>
  <r>
    <x v="161"/>
    <s v="0.0792276785075541"/>
    <d v="2024-11-12T00:00:00"/>
    <s v="0.0792276785075541"/>
    <n v="7.9227678507554106E-2"/>
    <n v="7.9227678507554106E-2"/>
  </r>
  <r>
    <x v="161"/>
    <s v="0.203771145114733"/>
    <d v="2024-05-02T00:00:00"/>
    <s v="0.203771145114733"/>
    <n v="0.20377114511473299"/>
    <n v="0.20377114511473299"/>
  </r>
  <r>
    <x v="161"/>
    <s v="0.413177323616798"/>
    <d v="2024-12-16T00:00:00"/>
    <s v="0.413177323616798"/>
    <n v="0.41317732361679799"/>
    <n v="0.41317732361679799"/>
  </r>
  <r>
    <x v="162"/>
    <s v="0.124863796969598"/>
    <d v="2024-12-12T00:00:00"/>
    <s v="0.124863796969598"/>
    <n v="0.124863796969598"/>
    <n v="0.124863796969598"/>
  </r>
  <r>
    <x v="162"/>
    <s v="0.110214996565201"/>
    <d v="2024-02-18T00:00:00"/>
    <s v="0.110214996565201"/>
    <n v="0.11021499656520101"/>
    <n v="0.11021499656520101"/>
  </r>
  <r>
    <x v="163"/>
    <s v="0.163251394309507"/>
    <d v="2024-11-02T00:00:00"/>
    <s v="0.163251394309507"/>
    <n v="0.163251394309507"/>
    <n v="0.163251394309507"/>
  </r>
  <r>
    <x v="163"/>
    <s v="0.0130454356358988"/>
    <d v="2024-01-31T00:00:00"/>
    <s v="0.0130454356358988"/>
    <n v="1.30454356358988E-2"/>
    <n v="1.30454356358988E-2"/>
  </r>
  <r>
    <x v="163"/>
    <s v="0.11921265131619"/>
    <d v="2024-08-17T00:00:00"/>
    <s v="0.11921265131619"/>
    <n v="0.11921265131618999"/>
    <n v="0.11921265131618999"/>
  </r>
  <r>
    <x v="164"/>
    <s v="0.090617424886421"/>
    <d v="2024-11-02T00:00:00"/>
    <s v="0.090617424886421"/>
    <n v="9.0617424886420994E-2"/>
    <n v="9.0617424886420994E-2"/>
  </r>
  <r>
    <x v="164"/>
    <s v="0.241896123942574"/>
    <d v="2024-02-29T00:00:00"/>
    <s v="0.241896123942574"/>
    <n v="0.24189612394257401"/>
    <n v="0.24189612394257401"/>
  </r>
  <r>
    <x v="165"/>
    <s v="0.126971590535499"/>
    <d v="2024-01-12T00:00:00"/>
    <s v="0.126971590535499"/>
    <n v="0.126971590535499"/>
    <n v="0.126971590535499"/>
  </r>
  <r>
    <x v="165"/>
    <s v="0.273142709948556"/>
    <d v="2024-02-13T00:00:00"/>
    <s v="0.273142709948556"/>
    <n v="0.273142709948556"/>
    <n v="0.273142709948556"/>
  </r>
  <r>
    <x v="165"/>
    <s v="0.0751595866803777"/>
    <d v="2024-12-21T00:00:00"/>
    <s v="0.0751595866803777"/>
    <n v="7.5159586680377699E-2"/>
    <n v="7.5159586680377699E-2"/>
  </r>
  <r>
    <x v="166"/>
    <s v="0.110461078525918"/>
    <d v="2024-06-25T00:00:00"/>
    <s v="0.110461078525918"/>
    <n v="0.11046107852591799"/>
    <n v="0.11046107852591799"/>
  </r>
  <r>
    <x v="167"/>
    <s v="0.0520211152421388"/>
    <d v="2024-10-01T00:00:00"/>
    <s v="0.0520211152421388"/>
    <n v="5.2021115242138802E-2"/>
    <n v="5.2021115242138802E-2"/>
  </r>
  <r>
    <x v="168"/>
    <s v="0.154792847051134"/>
    <d v="2024-05-23T00:00:00"/>
    <s v="0.154792847051134"/>
    <n v="0.154792847051134"/>
    <n v="0.154792847051134"/>
  </r>
  <r>
    <x v="168"/>
    <s v="0.107566348385268"/>
    <d v="2024-04-17T00:00:00"/>
    <s v="0.107566348385268"/>
    <n v="0.107566348385268"/>
    <n v="0.107566348385268"/>
  </r>
  <r>
    <x v="169"/>
    <s v="0.0289944301286204"/>
    <d v="2024-06-21T00:00:00"/>
    <s v="0.0289944301286204"/>
    <n v="2.8994430128620401E-2"/>
    <n v="2.8994430128620401E-2"/>
  </r>
  <r>
    <x v="169"/>
    <s v="0.0856199254643886"/>
    <d v="2024-10-20T00:00:00"/>
    <s v="0.0856199254643886"/>
    <n v="8.5619925464388597E-2"/>
    <n v="8.5619925464388597E-2"/>
  </r>
  <r>
    <x v="170"/>
    <s v="0.539901594571339"/>
    <d v="2024-08-02T00:00:00"/>
    <s v="0.539901594571339"/>
    <n v="0.53990159457133902"/>
    <n v="0.53990159457133902"/>
  </r>
  <r>
    <x v="170"/>
    <s v="0.0534466920645192"/>
    <d v="2024-11-05T00:00:00"/>
    <s v="0.0534466920645192"/>
    <n v="5.34466920645192E-2"/>
    <n v="5.34466920645192E-2"/>
  </r>
  <r>
    <x v="170"/>
    <s v="0.0546457762728901"/>
    <d v="2024-12-06T00:00:00"/>
    <s v="0.0546457762728901"/>
    <n v="5.4645776272890099E-2"/>
    <n v="5.4645776272890099E-2"/>
  </r>
  <r>
    <x v="171"/>
    <s v="0.368158966147113"/>
    <d v="2024-04-30T00:00:00"/>
    <s v="0.368158966147113"/>
    <n v="0.36815896614711302"/>
    <n v="0.36815896614711302"/>
  </r>
  <r>
    <x v="171"/>
    <s v="0.132436710240947"/>
    <d v="2024-06-12T00:00:00"/>
    <s v="0.132436710240947"/>
    <n v="0.132436710240947"/>
    <n v="0.132436710240947"/>
  </r>
  <r>
    <x v="172"/>
    <s v="0.00755799266171204"/>
    <d v="2024-12-16T00:00:00"/>
    <s v="0.00755799266171204"/>
    <n v="7.5579926617120397E-3"/>
    <n v="7.5579926617120397E-3"/>
  </r>
  <r>
    <x v="173"/>
    <s v="0.123613137574759"/>
    <d v="2024-08-03T00:00:00"/>
    <s v="0.123613137574759"/>
    <n v="0.123613137574759"/>
    <n v="0.123613137574759"/>
  </r>
  <r>
    <x v="173"/>
    <s v="0.0993275592636424"/>
    <d v="2024-09-29T00:00:00"/>
    <s v="0.0993275592636424"/>
    <n v="9.9327559263642395E-2"/>
    <n v="9.9327559263642395E-2"/>
  </r>
  <r>
    <x v="174"/>
    <s v="0.0508906036808902"/>
    <d v="2024-11-05T00:00:00"/>
    <s v="0.0508906036808902"/>
    <n v="5.0890603680890198E-2"/>
    <n v="5.0890603680890198E-2"/>
  </r>
  <r>
    <x v="175"/>
    <s v="0.149232872142784"/>
    <d v="2024-06-17T00:00:00"/>
    <s v="0.149232872142784"/>
    <n v="0.149232872142784"/>
    <n v="0.149232872142784"/>
  </r>
  <r>
    <x v="175"/>
    <s v="0.317846539795171"/>
    <d v="2024-04-01T00:00:00"/>
    <s v="0.317846539795171"/>
    <n v="0.31784653979517102"/>
    <n v="0.31784653979517102"/>
  </r>
  <r>
    <x v="175"/>
    <s v="0.115284994992794"/>
    <d v="2024-05-03T00:00:00"/>
    <s v="0.115284994992794"/>
    <n v="0.115284994992794"/>
    <n v="0.115284994992794"/>
  </r>
  <r>
    <x v="176"/>
    <s v="0.28124033877899"/>
    <d v="2024-09-11T00:00:00"/>
    <s v="0.28124033877899"/>
    <n v="0.28124033877899002"/>
    <n v="0.28124033877899002"/>
  </r>
  <r>
    <x v="176"/>
    <s v="0.310940799649851"/>
    <d v="2024-09-19T00:00:00"/>
    <s v="0.310940799649851"/>
    <n v="0.310940799649851"/>
    <n v="0.310940799649851"/>
  </r>
  <r>
    <x v="177"/>
    <s v="0.0561911259146291"/>
    <d v="2024-07-10T00:00:00"/>
    <s v="0.0561911259146291"/>
    <n v="5.6191125914629103E-2"/>
    <n v="5.6191125914629103E-2"/>
  </r>
  <r>
    <x v="177"/>
    <s v="0.336747804332997"/>
    <d v="2024-11-11T00:00:00"/>
    <s v="0.336747804332997"/>
    <n v="0.336747804332997"/>
    <n v="0.336747804332997"/>
  </r>
  <r>
    <x v="177"/>
    <s v="0.149755201124807"/>
    <d v="2024-01-16T00:00:00"/>
    <s v="0.149755201124807"/>
    <n v="0.149755201124807"/>
    <n v="0.149755201124807"/>
  </r>
  <r>
    <x v="178"/>
    <s v="0.2563322577928"/>
    <d v="2024-03-01T00:00:00"/>
    <s v="0.2563322577928"/>
    <n v="0.2563322577928"/>
    <n v="0.2563322577928"/>
  </r>
  <r>
    <x v="178"/>
    <s v="0.187350243769186"/>
    <d v="2024-11-13T00:00:00"/>
    <s v="0.187350243769186"/>
    <n v="0.18735024376918599"/>
    <n v="0.18735024376918599"/>
  </r>
  <r>
    <x v="179"/>
    <s v="0.101795842580063"/>
    <d v="2024-01-11T00:00:00"/>
    <s v="0.101795842580063"/>
    <n v="0.101795842580063"/>
    <n v="0.101795842580063"/>
  </r>
  <r>
    <x v="179"/>
    <s v="0.0667136238879654"/>
    <d v="2024-08-22T00:00:00"/>
    <s v="0.0667136238879654"/>
    <n v="6.6713623887965395E-2"/>
    <n v="6.6713623887965395E-2"/>
  </r>
  <r>
    <x v="180"/>
    <s v="0.207743950027211"/>
    <d v="2024-04-08T00:00:00"/>
    <s v="0.207743950027211"/>
    <n v="0.20774395002721099"/>
    <n v="0.20774395002721099"/>
  </r>
  <r>
    <x v="180"/>
    <s v="0.0225995371258914"/>
    <d v="2024-01-07T00:00:00"/>
    <s v="0.0225995371258914"/>
    <n v="2.2599537125891401E-2"/>
    <n v="2.2599537125891401E-2"/>
  </r>
  <r>
    <x v="180"/>
    <s v="0.351358598335681"/>
    <d v="2024-09-12T00:00:00"/>
    <s v="0.351358598335681"/>
    <n v="0.351358598335681"/>
    <n v="0.351358598335681"/>
  </r>
  <r>
    <x v="181"/>
    <s v="0.340132217857464"/>
    <d v="2024-09-05T00:00:00"/>
    <s v="0.340132217857464"/>
    <n v="0.340132217857464"/>
    <n v="0.340132217857464"/>
  </r>
  <r>
    <x v="181"/>
    <s v="0.0226513047132157"/>
    <d v="2024-12-24T00:00:00"/>
    <s v="0.0226513047132157"/>
    <n v="2.2651304713215699E-2"/>
    <n v="2.2651304713215699E-2"/>
  </r>
  <r>
    <x v="182"/>
    <s v="0.25947922774422"/>
    <d v="2024-08-11T00:00:00"/>
    <s v="0.25947922774422"/>
    <n v="0.25947922774422"/>
    <n v="0.25947922774422"/>
  </r>
  <r>
    <x v="183"/>
    <s v="0.135241674437086"/>
    <d v="2024-07-29T00:00:00"/>
    <s v="0.135241674437086"/>
    <n v="0.13524167443708601"/>
    <n v="0.13524167443708601"/>
  </r>
  <r>
    <x v="184"/>
    <s v="0.0635259911875661"/>
    <d v="2024-11-25T00:00:00"/>
    <s v="0.0635259911875661"/>
    <n v="6.3525991187566105E-2"/>
    <n v="6.3525991187566105E-2"/>
  </r>
  <r>
    <x v="184"/>
    <s v="0.206435266037074"/>
    <d v="2024-01-16T00:00:00"/>
    <s v="0.206435266037074"/>
    <n v="0.20643526603707399"/>
    <n v="0.20643526603707399"/>
  </r>
  <r>
    <x v="184"/>
    <s v="0.312283533180915"/>
    <d v="2024-04-07T00:00:00"/>
    <s v="0.312283533180915"/>
    <n v="0.31228353318091501"/>
    <n v="0.31228353318091501"/>
  </r>
  <r>
    <x v="185"/>
    <s v="0.157145007123487"/>
    <d v="2024-12-09T00:00:00"/>
    <s v="0.157145007123487"/>
    <n v="0.157145007123487"/>
    <n v="0.157145007123487"/>
  </r>
  <r>
    <x v="185"/>
    <s v="0.111998477881229"/>
    <d v="2024-01-16T00:00:00"/>
    <s v="0.111998477881229"/>
    <n v="0.11199847788122901"/>
    <n v="0.11199847788122901"/>
  </r>
  <r>
    <x v="185"/>
    <s v="0.104320582873619"/>
    <d v="2024-09-16T00:00:00"/>
    <s v="0.104320582873619"/>
    <n v="0.10432058287361901"/>
    <n v="0.10432058287361901"/>
  </r>
  <r>
    <x v="186"/>
    <s v="0.103842843850397"/>
    <d v="2024-07-29T00:00:00"/>
    <s v="0.103842843850397"/>
    <n v="0.10384284385039701"/>
    <n v="0.10384284385039701"/>
  </r>
  <r>
    <x v="186"/>
    <s v="0.15435634936189"/>
    <d v="2024-05-30T00:00:00"/>
    <s v="0.15435634936189"/>
    <n v="0.15435634936188999"/>
    <n v="0.15435634936188999"/>
  </r>
  <r>
    <x v="187"/>
    <s v="0.0733678644899222"/>
    <d v="2024-07-22T00:00:00"/>
    <s v="0.0733678644899222"/>
    <n v="7.3367864489922205E-2"/>
    <n v="7.3367864489922205E-2"/>
  </r>
  <r>
    <x v="188"/>
    <s v="0.061351642913535"/>
    <d v="2024-01-23T00:00:00"/>
    <s v="0.061351642913535"/>
    <n v="6.1351642913535002E-2"/>
    <n v="6.1351642913535002E-2"/>
  </r>
  <r>
    <x v="188"/>
    <s v="0.317454817998552"/>
    <d v="2024-05-18T00:00:00"/>
    <s v="0.317454817998552"/>
    <n v="0.31745481799855202"/>
    <n v="0.31745481799855202"/>
  </r>
  <r>
    <x v="189"/>
    <s v="0.247652187031055"/>
    <d v="2024-09-29T00:00:00"/>
    <s v="0.247652187031055"/>
    <n v="0.24765218703105499"/>
    <n v="0.24765218703105499"/>
  </r>
  <r>
    <x v="189"/>
    <s v="0.06580240130081"/>
    <d v="2024-10-04T00:00:00"/>
    <s v="0.06580240130081"/>
    <n v="6.5802401300809998E-2"/>
    <n v="6.5802401300809998E-2"/>
  </r>
  <r>
    <x v="190"/>
    <s v="0.191565480298875"/>
    <d v="2024-08-03T00:00:00"/>
    <s v="0.191565480298875"/>
    <n v="0.19156548029887499"/>
    <n v="0.19156548029887499"/>
  </r>
  <r>
    <x v="190"/>
    <s v="0.238695313886947"/>
    <d v="2024-05-01T00:00:00"/>
    <s v="0.238695313886947"/>
    <n v="0.23869531388694701"/>
    <n v="0.23869531388694701"/>
  </r>
  <r>
    <x v="191"/>
    <s v="0.263093781347037"/>
    <d v="2024-01-25T00:00:00"/>
    <s v="0.263093781347037"/>
    <n v="0.26309378134703698"/>
    <n v="0.26309378134703698"/>
  </r>
  <r>
    <x v="191"/>
    <s v="0.104989132653783"/>
    <d v="2024-01-05T00:00:00"/>
    <s v="0.104989132653783"/>
    <n v="0.104989132653783"/>
    <n v="0.104989132653783"/>
  </r>
  <r>
    <x v="191"/>
    <s v="0.0337751000041262"/>
    <d v="2024-03-21T00:00:00"/>
    <s v="0.0337751000041262"/>
    <n v="3.3775100004126202E-2"/>
    <n v="3.3775100004126202E-2"/>
  </r>
  <r>
    <x v="192"/>
    <s v="0.30325138366186"/>
    <d v="2024-08-23T00:00:00"/>
    <s v="0.30325138366186"/>
    <n v="0.30325138366186"/>
    <n v="0.30325138366186"/>
  </r>
  <r>
    <x v="192"/>
    <s v="0.0411593115071288"/>
    <d v="2024-09-20T00:00:00"/>
    <s v="0.0411593115071288"/>
    <n v="4.1159311507128801E-2"/>
    <n v="4.1159311507128801E-2"/>
  </r>
  <r>
    <x v="193"/>
    <s v="0.179692156203418"/>
    <d v="2024-06-29T00:00:00"/>
    <s v="0.179692156203418"/>
    <n v="0.179692156203418"/>
    <n v="0.179692156203418"/>
  </r>
  <r>
    <x v="193"/>
    <s v="0.0579612329262668"/>
    <d v="2024-12-23T00:00:00"/>
    <s v="0.0579612329262668"/>
    <n v="5.7961232926266801E-2"/>
    <n v="5.7961232926266801E-2"/>
  </r>
  <r>
    <x v="193"/>
    <s v="0.0585398791333869"/>
    <d v="2024-12-04T00:00:00"/>
    <s v="0.0585398791333869"/>
    <n v="5.8539879133386902E-2"/>
    <n v="5.8539879133386902E-2"/>
  </r>
  <r>
    <x v="194"/>
    <s v="0.22141158281244"/>
    <d v="2024-12-13T00:00:00"/>
    <s v="0.22141158281244"/>
    <n v="0.22141158281244"/>
    <n v="0.22141158281244"/>
  </r>
  <r>
    <x v="194"/>
    <s v="0.222844577105727"/>
    <d v="2024-02-25T00:00:00"/>
    <s v="0.222844577105727"/>
    <n v="0.222844577105727"/>
    <n v="0.222844577105727"/>
  </r>
  <r>
    <x v="195"/>
    <s v="0.0727487346457957"/>
    <d v="2024-09-22T00:00:00"/>
    <s v="0.0727487346457957"/>
    <n v="7.2748734645795704E-2"/>
    <n v="7.2748734645795704E-2"/>
  </r>
  <r>
    <x v="195"/>
    <s v="0.0630312824290158"/>
    <d v="2024-01-15T00:00:00"/>
    <s v="0.0630312824290158"/>
    <n v="6.3031282429015803E-2"/>
    <n v="6.3031282429015803E-2"/>
  </r>
  <r>
    <x v="196"/>
    <s v="0.0747361586241865"/>
    <d v="2024-12-31T00:00:00"/>
    <s v="0.0747361586241865"/>
    <n v="7.4736158624186505E-2"/>
    <n v="7.4736158624186505E-2"/>
  </r>
  <r>
    <x v="196"/>
    <s v="0.204308891604992"/>
    <d v="2024-05-25T00:00:00"/>
    <s v="0.204308891604992"/>
    <n v="0.20430889160499199"/>
    <n v="0.20430889160499199"/>
  </r>
  <r>
    <x v="197"/>
    <s v="0.0430983387487262"/>
    <d v="2024-05-26T00:00:00"/>
    <s v="0.0430983387487262"/>
    <n v="4.3098338748726199E-2"/>
    <n v="4.3098338748726199E-2"/>
  </r>
  <r>
    <x v="198"/>
    <s v="0.188916455378519"/>
    <d v="2024-05-01T00:00:00"/>
    <s v="0.188916455378519"/>
    <n v="0.188916455378519"/>
    <n v="0.188916455378519"/>
  </r>
  <r>
    <x v="198"/>
    <s v="0.182738203085682"/>
    <d v="2024-09-18T00:00:00"/>
    <s v="0.182738203085682"/>
    <n v="0.182738203085682"/>
    <n v="0.182738203085682"/>
  </r>
  <r>
    <x v="198"/>
    <s v="0.318038233054782"/>
    <d v="2024-04-23T00:00:00"/>
    <s v="0.318038233054782"/>
    <n v="0.31803823305478202"/>
    <n v="0.31803823305478202"/>
  </r>
  <r>
    <x v="199"/>
    <s v="0.0684385364359441"/>
    <d v="2024-03-01T00:00:00"/>
    <s v="0.0684385364359441"/>
    <n v="6.8438536435944095E-2"/>
    <n v="6.8438536435944095E-2"/>
  </r>
  <r>
    <x v="199"/>
    <s v="0.123362918329042"/>
    <d v="2024-04-26T00:00:00"/>
    <s v="0.123362918329042"/>
    <n v="0.123362918329042"/>
    <n v="0.123362918329042"/>
  </r>
  <r>
    <x v="199"/>
    <s v="0.0918086082311043"/>
    <d v="2024-05-31T00:00:00"/>
    <s v="0.0918086082311043"/>
    <n v="9.1808608231104302E-2"/>
    <n v="9.1808608231104302E-2"/>
  </r>
  <r>
    <x v="200"/>
    <s v="0.024007438671223"/>
    <d v="2024-05-23T00:00:00"/>
    <s v="0.024007438671223"/>
    <n v="2.4007438671223E-2"/>
    <n v="2.4007438671223E-2"/>
  </r>
  <r>
    <x v="200"/>
    <s v="0.280402480975094"/>
    <d v="2024-11-08T00:00:00"/>
    <s v="0.280402480975094"/>
    <n v="0.28040248097509402"/>
    <n v="0.28040248097509402"/>
  </r>
  <r>
    <x v="200"/>
    <s v="0.187921797266856"/>
    <d v="2024-03-04T00:00:00"/>
    <s v="0.187921797266856"/>
    <n v="0.18792179726685601"/>
    <n v="0.18792179726685601"/>
  </r>
  <r>
    <x v="201"/>
    <s v="0.29049431961333"/>
    <d v="2024-10-26T00:00:00"/>
    <s v="0.29049431961333"/>
    <n v="0.29049431961333"/>
    <n v="0.29049431961333"/>
  </r>
  <r>
    <x v="201"/>
    <s v="0.252397802014613"/>
    <d v="2024-04-26T00:00:00"/>
    <s v="0.252397802014613"/>
    <n v="0.25239780201461298"/>
    <n v="0.25239780201461298"/>
  </r>
  <r>
    <x v="201"/>
    <s v="0.213027965488893"/>
    <d v="2024-09-09T00:00:00"/>
    <s v="0.213027965488893"/>
    <n v="0.213027965488893"/>
    <n v="0.213027965488893"/>
  </r>
  <r>
    <x v="202"/>
    <s v="0.124493560405193"/>
    <d v="2024-02-09T00:00:00"/>
    <s v="0.124493560405193"/>
    <n v="0.12449356040519299"/>
    <n v="0.12449356040519299"/>
  </r>
  <r>
    <x v="202"/>
    <s v="0.0468618659508372"/>
    <d v="2024-08-07T00:00:00"/>
    <s v="0.0468618659508372"/>
    <n v="4.6861865950837203E-2"/>
    <n v="4.6861865950837203E-2"/>
  </r>
  <r>
    <x v="203"/>
    <s v="0.0567518550334612"/>
    <d v="2024-06-14T00:00:00"/>
    <s v="0.0567518550334612"/>
    <n v="5.6751855033461203E-2"/>
    <n v="5.6751855033461203E-2"/>
  </r>
  <r>
    <x v="203"/>
    <s v="0.0877703569120007"/>
    <d v="2024-10-18T00:00:00"/>
    <s v="0.0877703569120007"/>
    <n v="8.7770356912000705E-2"/>
    <n v="8.7770356912000705E-2"/>
  </r>
  <r>
    <x v="203"/>
    <s v="0.118467815011217"/>
    <d v="2024-01-15T00:00:00"/>
    <s v="0.118467815011217"/>
    <n v="0.118467815011217"/>
    <n v="0.118467815011217"/>
  </r>
  <r>
    <x v="204"/>
    <s v="0.259088911019204"/>
    <d v="2024-05-21T00:00:00"/>
    <s v="0.259088911019204"/>
    <n v="0.259088911019204"/>
    <n v="0.259088911019204"/>
  </r>
  <r>
    <x v="204"/>
    <s v="0.145547786017212"/>
    <d v="2024-08-23T00:00:00"/>
    <s v="0.145547786017212"/>
    <n v="0.14554778601721199"/>
    <n v="0.14554778601721199"/>
  </r>
  <r>
    <x v="204"/>
    <s v="0.123917519528671"/>
    <d v="2024-03-12T00:00:00"/>
    <s v="0.123917519528671"/>
    <n v="0.123917519528671"/>
    <n v="0.123917519528671"/>
  </r>
  <r>
    <x v="205"/>
    <s v="0.749815483952616"/>
    <d v="2024-06-02T00:00:00"/>
    <s v="0.749815483952616"/>
    <n v="0.74981548395261599"/>
    <n v="0.74981548395261599"/>
  </r>
  <r>
    <x v="205"/>
    <s v="0.105617088939874"/>
    <d v="2024-06-05T00:00:00"/>
    <s v="0.105617088939874"/>
    <n v="0.105617088939874"/>
    <n v="0.105617088939874"/>
  </r>
  <r>
    <x v="206"/>
    <s v="0.0566582880643631"/>
    <d v="2024-04-24T00:00:00"/>
    <s v="0.0566582880643631"/>
    <n v="5.6658288064363099E-2"/>
    <n v="5.6658288064363099E-2"/>
  </r>
  <r>
    <x v="206"/>
    <s v="0.234543732719859"/>
    <d v="2024-01-30T00:00:00"/>
    <s v="0.234543732719859"/>
    <n v="0.23454373271985901"/>
    <n v="0.23454373271985901"/>
  </r>
  <r>
    <x v="206"/>
    <s v="0.0834548950066078"/>
    <d v="2024-10-03T00:00:00"/>
    <s v="0.0834548950066078"/>
    <n v="8.3454895006607799E-2"/>
    <n v="8.3454895006607799E-2"/>
  </r>
  <r>
    <x v="206"/>
    <s v="0.102906566485774"/>
    <d v="2024-02-07T00:00:00"/>
    <s v="0.102906566485774"/>
    <n v="0.102906566485774"/>
    <n v="0.102906566485774"/>
  </r>
  <r>
    <x v="207"/>
    <s v="0.0343661861886344"/>
    <d v="2024-02-05T00:00:00"/>
    <s v="0.0343661861886344"/>
    <n v="3.43661861886344E-2"/>
    <n v="3.43661861886344E-2"/>
  </r>
  <r>
    <x v="207"/>
    <s v="0.217513953950006"/>
    <d v="2024-09-22T00:00:00"/>
    <s v="0.217513953950006"/>
    <n v="0.217513953950006"/>
    <n v="0.217513953950006"/>
  </r>
  <r>
    <x v="208"/>
    <s v="0.0461792690646268"/>
    <d v="2024-12-26T00:00:00"/>
    <s v="0.0461792690646268"/>
    <n v="4.6179269064626799E-2"/>
    <n v="4.6179269064626799E-2"/>
  </r>
  <r>
    <x v="208"/>
    <s v="0.227832997032699"/>
    <d v="2024-09-25T00:00:00"/>
    <s v="0.227832997032699"/>
    <n v="0.22783299703269899"/>
    <n v="0.22783299703269899"/>
  </r>
  <r>
    <x v="208"/>
    <s v="0.0656679993536921"/>
    <d v="2024-12-08T00:00:00"/>
    <s v="0.0656679993536921"/>
    <n v="6.5667999353692094E-2"/>
    <n v="6.5667999353692094E-2"/>
  </r>
  <r>
    <x v="209"/>
    <s v="0.0304761342477876"/>
    <d v="2024-12-22T00:00:00"/>
    <s v="0.0304761342477876"/>
    <n v="3.0476134247787601E-2"/>
    <n v="3.0476134247787601E-2"/>
  </r>
  <r>
    <x v="209"/>
    <s v="0.179437273971389"/>
    <d v="2024-06-24T00:00:00"/>
    <s v="0.179437273971389"/>
    <n v="0.17943727397138901"/>
    <n v="0.17943727397138901"/>
  </r>
  <r>
    <x v="210"/>
    <s v="0.246028390429872"/>
    <d v="2024-07-11T00:00:00"/>
    <s v="0.246028390429872"/>
    <n v="0.24602839042987201"/>
    <n v="0.24602839042987201"/>
  </r>
  <r>
    <x v="211"/>
    <s v="0.160442963152903"/>
    <d v="2024-12-20T00:00:00"/>
    <s v="0.160442963152903"/>
    <n v="0.16044296315290299"/>
    <n v="0.16044296315290299"/>
  </r>
  <r>
    <x v="212"/>
    <s v="0.299030902888863"/>
    <d v="2024-01-25T00:00:00"/>
    <s v="0.299030902888863"/>
    <n v="0.29903090288886303"/>
    <n v="0.29903090288886303"/>
  </r>
  <r>
    <x v="212"/>
    <s v="0.225594771931608"/>
    <d v="2024-06-29T00:00:00"/>
    <s v="0.225594771931608"/>
    <n v="0.22559477193160801"/>
    <n v="0.22559477193160801"/>
  </r>
  <r>
    <x v="212"/>
    <s v="0.113111287098127"/>
    <d v="2024-06-29T00:00:00"/>
    <s v="0.113111287098127"/>
    <n v="0.113111287098127"/>
    <n v="0.113111287098127"/>
  </r>
  <r>
    <x v="213"/>
    <s v="0.408216805182645"/>
    <d v="2024-12-16T00:00:00"/>
    <s v="0.408216805182645"/>
    <n v="0.40821680518264503"/>
    <n v="0.40821680518264503"/>
  </r>
  <r>
    <x v="213"/>
    <s v="0.210701515123602"/>
    <d v="2024-08-27T00:00:00"/>
    <s v="0.210701515123602"/>
    <n v="0.210701515123602"/>
    <n v="0.210701515123602"/>
  </r>
  <r>
    <x v="214"/>
    <s v="0.336650483172625"/>
    <d v="2024-07-18T00:00:00"/>
    <s v="0.336650483172625"/>
    <n v="0.33665048317262503"/>
    <n v="0.33665048317262503"/>
  </r>
  <r>
    <x v="214"/>
    <s v="0.280404502217382"/>
    <d v="2024-03-05T00:00:00"/>
    <s v="0.280404502217382"/>
    <n v="0.280404502217382"/>
    <n v="0.280404502217382"/>
  </r>
  <r>
    <x v="215"/>
    <s v="0.136186097737371"/>
    <d v="2024-01-22T00:00:00"/>
    <s v="0.136186097737371"/>
    <n v="0.136186097737371"/>
    <n v="0.136186097737371"/>
  </r>
  <r>
    <x v="215"/>
    <s v="0.203386088622377"/>
    <d v="2024-11-30T00:00:00"/>
    <s v="0.203386088622377"/>
    <n v="0.203386088622377"/>
    <n v="0.203386088622377"/>
  </r>
  <r>
    <x v="215"/>
    <s v="0.110494402316454"/>
    <d v="2024-09-18T00:00:00"/>
    <s v="0.110494402316454"/>
    <n v="0.11049440231645399"/>
    <n v="0.11049440231645399"/>
  </r>
  <r>
    <x v="215"/>
    <s v="0.228984760207579"/>
    <d v="2024-02-26T00:00:00"/>
    <s v="0.228984760207579"/>
    <n v="0.22898476020757899"/>
    <n v="0.22898476020757899"/>
  </r>
  <r>
    <x v="216"/>
    <s v="0.451173096274361"/>
    <d v="2024-04-10T00:00:00"/>
    <s v="0.451173096274361"/>
    <n v="0.45117309627436097"/>
    <n v="0.45117309627436097"/>
  </r>
  <r>
    <x v="216"/>
    <s v="0.160982209684571"/>
    <d v="2024-08-04T00:00:00"/>
    <s v="0.160982209684571"/>
    <n v="0.160982209684571"/>
    <n v="0.160982209684571"/>
  </r>
  <r>
    <x v="217"/>
    <s v="0.324191459838558"/>
    <d v="2024-01-02T00:00:00"/>
    <s v="0.324191459838558"/>
    <n v="0.32419145983855802"/>
    <n v="0.32419145983855802"/>
  </r>
  <r>
    <x v="217"/>
    <s v="0.126980179846665"/>
    <d v="2024-06-22T00:00:00"/>
    <s v="0.126980179846665"/>
    <n v="0.12698017984666499"/>
    <n v="0.12698017984666499"/>
  </r>
  <r>
    <x v="218"/>
    <s v="0.155703263464194"/>
    <d v="2024-06-13T00:00:00"/>
    <s v="0.155703263464194"/>
    <n v="0.155703263464194"/>
    <n v="0.155703263464194"/>
  </r>
  <r>
    <x v="218"/>
    <s v="0.0806164038260661"/>
    <d v="2024-07-10T00:00:00"/>
    <s v="0.0806164038260661"/>
    <n v="8.0616403826066094E-2"/>
    <n v="8.0616403826066094E-2"/>
  </r>
  <r>
    <x v="219"/>
    <s v="0.0227291442060373"/>
    <d v="2024-03-13T00:00:00"/>
    <s v="0.0227291442060373"/>
    <n v="2.2729144206037302E-2"/>
    <n v="2.2729144206037302E-2"/>
  </r>
  <r>
    <x v="219"/>
    <s v="0.0925371006839744"/>
    <d v="2024-09-12T00:00:00"/>
    <s v="0.0925371006839744"/>
    <n v="9.2537100683974402E-2"/>
    <n v="9.2537100683974402E-2"/>
  </r>
  <r>
    <x v="220"/>
    <s v="0.106258326960359"/>
    <d v="2024-12-16T00:00:00"/>
    <s v="0.106258326960359"/>
    <n v="0.106258326960359"/>
    <n v="0.106258326960359"/>
  </r>
  <r>
    <x v="221"/>
    <s v="0.505077392758391"/>
    <d v="2024-09-24T00:00:00"/>
    <s v="0.505077392758391"/>
    <n v="0.50507739275839103"/>
    <n v="0.50507739275839103"/>
  </r>
  <r>
    <x v="221"/>
    <s v="0.205358238777289"/>
    <d v="2024-12-05T00:00:00"/>
    <s v="0.205358238777289"/>
    <n v="0.20535823877728901"/>
    <n v="0.20535823877728901"/>
  </r>
  <r>
    <x v="222"/>
    <s v="0.037252837967464"/>
    <d v="2024-06-11T00:00:00"/>
    <s v="0.037252837967464"/>
    <n v="3.7252837967464002E-2"/>
    <n v="3.7252837967464002E-2"/>
  </r>
  <r>
    <x v="222"/>
    <s v="0.0628047683559443"/>
    <d v="2024-05-12T00:00:00"/>
    <s v="0.0628047683559443"/>
    <n v="6.2804768355944299E-2"/>
    <n v="6.2804768355944299E-2"/>
  </r>
  <r>
    <x v="223"/>
    <s v="0.198854848774755"/>
    <d v="2024-11-11T00:00:00"/>
    <s v="0.198854848774755"/>
    <n v="0.19885484877475501"/>
    <n v="0.19885484877475501"/>
  </r>
  <r>
    <x v="223"/>
    <s v="0.123715947195471"/>
    <d v="2024-07-02T00:00:00"/>
    <s v="0.123715947195471"/>
    <n v="0.12371594719547099"/>
    <n v="0.12371594719547099"/>
  </r>
  <r>
    <x v="224"/>
    <s v="0.111143617919181"/>
    <d v="2024-12-27T00:00:00"/>
    <s v="0.111143617919181"/>
    <n v="0.111143617919181"/>
    <n v="0.111143617919181"/>
  </r>
  <r>
    <x v="224"/>
    <s v="0.170882490454842"/>
    <d v="2024-12-22T00:00:00"/>
    <s v="0.170882490454842"/>
    <n v="0.170882490454842"/>
    <n v="0.170882490454842"/>
  </r>
  <r>
    <x v="224"/>
    <s v="0.220986995932954"/>
    <d v="2024-11-14T00:00:00"/>
    <s v="0.220986995932954"/>
    <n v="0.22098699593295401"/>
    <n v="0.22098699593295401"/>
  </r>
  <r>
    <x v="224"/>
    <s v="0.0782314316524287"/>
    <d v="2024-04-05T00:00:00"/>
    <s v="0.0782314316524287"/>
    <n v="7.8231431652428698E-2"/>
    <n v="7.8231431652428698E-2"/>
  </r>
  <r>
    <x v="225"/>
    <s v="0.107006629705209"/>
    <d v="2024-10-29T00:00:00"/>
    <s v="0.107006629705209"/>
    <n v="0.10700662970520899"/>
    <n v="0.10700662970520899"/>
  </r>
  <r>
    <x v="225"/>
    <s v="0.0606964542878131"/>
    <d v="2024-09-26T00:00:00"/>
    <s v="0.0606964542878131"/>
    <n v="6.0696454287813097E-2"/>
    <n v="6.0696454287813097E-2"/>
  </r>
  <r>
    <x v="225"/>
    <s v="0.194825911726992"/>
    <d v="2024-08-18T00:00:00"/>
    <s v="0.194825911726992"/>
    <n v="0.19482591172699201"/>
    <n v="0.19482591172699201"/>
  </r>
  <r>
    <x v="226"/>
    <s v="0.104059971287397"/>
    <d v="2024-06-19T00:00:00"/>
    <s v="0.104059971287397"/>
    <n v="0.104059971287397"/>
    <n v="0.104059971287397"/>
  </r>
  <r>
    <x v="226"/>
    <s v="0.367193824970898"/>
    <d v="2024-05-22T00:00:00"/>
    <s v="0.367193824970898"/>
    <n v="0.36719382497089798"/>
    <n v="0.36719382497089798"/>
  </r>
  <r>
    <x v="227"/>
    <s v="0.247377860152418"/>
    <d v="2024-07-04T00:00:00"/>
    <s v="0.247377860152418"/>
    <n v="0.247377860152418"/>
    <n v="0.247377860152418"/>
  </r>
  <r>
    <x v="227"/>
    <s v="0.325402212800995"/>
    <d v="2024-03-01T00:00:00"/>
    <s v="0.325402212800995"/>
    <n v="0.32540221280099502"/>
    <n v="0.32540221280099502"/>
  </r>
  <r>
    <x v="227"/>
    <s v="0.0863115233205718"/>
    <d v="2024-02-02T00:00:00"/>
    <s v="0.0863115233205718"/>
    <n v="8.6311523320571806E-2"/>
    <n v="8.6311523320571806E-2"/>
  </r>
  <r>
    <x v="228"/>
    <s v="0.175758095347384"/>
    <d v="2024-12-02T00:00:00"/>
    <s v="0.175758095347384"/>
    <n v="0.17575809534738401"/>
    <n v="0.17575809534738401"/>
  </r>
  <r>
    <x v="229"/>
    <s v="0.165419980596504"/>
    <d v="2024-01-02T00:00:00"/>
    <s v="0.165419980596504"/>
    <n v="0.16541998059650401"/>
    <n v="0.16541998059650401"/>
  </r>
  <r>
    <x v="229"/>
    <s v="0.0681369610226195"/>
    <d v="2024-08-07T00:00:00"/>
    <s v="0.0681369610226195"/>
    <n v="6.8136961022619499E-2"/>
    <n v="6.8136961022619499E-2"/>
  </r>
  <r>
    <x v="229"/>
    <s v="0.216123917408016"/>
    <d v="2024-12-03T00:00:00"/>
    <s v="0.216123917408016"/>
    <n v="0.21612391740801601"/>
    <n v="0.21612391740801601"/>
  </r>
  <r>
    <x v="230"/>
    <s v="0.127939634244868"/>
    <d v="2024-01-14T00:00:00"/>
    <s v="0.127939634244868"/>
    <n v="0.12793963424486801"/>
    <n v="0.12793963424486801"/>
  </r>
  <r>
    <x v="231"/>
    <s v="0.0595998947443303"/>
    <d v="2024-03-03T00:00:00"/>
    <s v="0.0595998947443303"/>
    <n v="5.9599894744330299E-2"/>
    <n v="5.9599894744330299E-2"/>
  </r>
  <r>
    <x v="231"/>
    <s v="0.284830709904857"/>
    <d v="2024-06-26T00:00:00"/>
    <s v="0.284830709904857"/>
    <n v="0.28483070990485698"/>
    <n v="0.28483070990485698"/>
  </r>
  <r>
    <x v="232"/>
    <s v="0.357982091203599"/>
    <d v="2024-07-05T00:00:00"/>
    <s v="0.357982091203599"/>
    <n v="0.35798209120359897"/>
    <n v="0.35798209120359897"/>
  </r>
  <r>
    <x v="232"/>
    <s v="0.191344055160159"/>
    <d v="2024-12-27T00:00:00"/>
    <s v="0.191344055160159"/>
    <n v="0.19134405516015901"/>
    <n v="0.19134405516015901"/>
  </r>
  <r>
    <x v="233"/>
    <s v="0.0576753300314491"/>
    <d v="2024-12-14T00:00:00"/>
    <s v="0.0576753300314491"/>
    <n v="5.7675330031449097E-2"/>
    <n v="5.7675330031449097E-2"/>
  </r>
  <r>
    <x v="233"/>
    <s v="1.20154181782631"/>
    <d v="2024-05-18T00:00:00"/>
    <s v="1.20154181782631"/>
    <n v="1.20154181782631"/>
    <n v="1.20154181782631"/>
  </r>
  <r>
    <x v="233"/>
    <s v="0.123118893733121"/>
    <d v="2024-03-09T00:00:00"/>
    <s v="0.123118893733121"/>
    <n v="0.123118893733121"/>
    <n v="0.123118893733121"/>
  </r>
  <r>
    <x v="234"/>
    <s v="0.0562950068284935"/>
    <d v="2024-10-10T00:00:00"/>
    <s v="0.0562950068284935"/>
    <n v="5.6295006828493498E-2"/>
    <n v="5.6295006828493498E-2"/>
  </r>
  <r>
    <x v="234"/>
    <s v="0.509250633519279"/>
    <d v="2024-11-06T00:00:00"/>
    <s v="0.509250633519279"/>
    <n v="0.50925063351927902"/>
    <n v="0.50925063351927902"/>
  </r>
  <r>
    <x v="235"/>
    <s v="0.161289351409576"/>
    <d v="2024-06-17T00:00:00"/>
    <s v="0.161289351409576"/>
    <n v="0.16128935140957601"/>
    <n v="0.16128935140957601"/>
  </r>
  <r>
    <x v="235"/>
    <s v="0.253849327433497"/>
    <d v="2024-10-29T00:00:00"/>
    <s v="0.253849327433497"/>
    <n v="0.25384932743349697"/>
    <n v="0.25384932743349697"/>
  </r>
  <r>
    <x v="235"/>
    <s v="0.273380504851655"/>
    <d v="2024-12-27T00:00:00"/>
    <s v="0.273380504851655"/>
    <n v="0.27338050485165499"/>
    <n v="0.27338050485165499"/>
  </r>
  <r>
    <x v="236"/>
    <s v="0.193458890868369"/>
    <d v="2024-03-22T00:00:00"/>
    <s v="0.193458890868369"/>
    <n v="0.19345889086836901"/>
    <n v="0.19345889086836901"/>
  </r>
  <r>
    <x v="236"/>
    <s v="0.368368152775509"/>
    <d v="2024-09-07T00:00:00"/>
    <s v="0.368368152775509"/>
    <n v="0.36836815277550899"/>
    <n v="0.36836815277550899"/>
  </r>
  <r>
    <x v="237"/>
    <s v="0.185872867403795"/>
    <d v="2024-07-01T00:00:00"/>
    <s v="0.185872867403795"/>
    <n v="0.18587286740379499"/>
    <n v="0.18587286740379499"/>
  </r>
  <r>
    <x v="237"/>
    <s v="0.135160456563538"/>
    <d v="2024-05-26T00:00:00"/>
    <s v="0.135160456563538"/>
    <n v="0.13516045656353801"/>
    <n v="0.13516045656353801"/>
  </r>
  <r>
    <x v="238"/>
    <s v="0.345698870059581"/>
    <d v="2024-01-13T00:00:00"/>
    <s v="0.345698870059581"/>
    <n v="0.345698870059581"/>
    <n v="0.345698870059581"/>
  </r>
  <r>
    <x v="238"/>
    <s v="0.10737576768164"/>
    <d v="2024-12-01T00:00:00"/>
    <s v="0.10737576768164"/>
    <n v="0.10737576768164001"/>
    <n v="0.10737576768164001"/>
  </r>
  <r>
    <x v="239"/>
    <s v="0.100687306014882"/>
    <d v="2024-10-21T00:00:00"/>
    <s v="0.100687306014882"/>
    <n v="0.100687306014882"/>
    <n v="0.100687306014882"/>
  </r>
  <r>
    <x v="239"/>
    <s v="0.185815009505245"/>
    <d v="2024-04-05T00:00:00"/>
    <s v="0.185815009505245"/>
    <n v="0.18581500950524499"/>
    <n v="0.18581500950524499"/>
  </r>
  <r>
    <x v="239"/>
    <s v="0.0916280489695936"/>
    <d v="2024-12-17T00:00:00"/>
    <s v="0.0916280489695936"/>
    <n v="9.1628048969593603E-2"/>
    <n v="9.1628048969593603E-2"/>
  </r>
  <r>
    <x v="240"/>
    <s v="0.288177186904379"/>
    <d v="2024-03-26T00:00:00"/>
    <s v="0.288177186904379"/>
    <n v="0.28817718690437899"/>
    <n v="0.28817718690437899"/>
  </r>
  <r>
    <x v="240"/>
    <s v="0.169216679024445"/>
    <d v="2024-07-05T00:00:00"/>
    <s v="0.169216679024445"/>
    <n v="0.16921667902444501"/>
    <n v="0.16921667902444501"/>
  </r>
  <r>
    <x v="240"/>
    <s v="0.128014623043011"/>
    <d v="2024-06-29T00:00:00"/>
    <s v="0.128014623043011"/>
    <n v="0.12801462304301101"/>
    <n v="0.12801462304301101"/>
  </r>
  <r>
    <x v="241"/>
    <s v="0.368624575962546"/>
    <d v="2024-12-10T00:00:00"/>
    <s v="0.368624575962546"/>
    <n v="0.368624575962546"/>
    <n v="0.368624575962546"/>
  </r>
  <r>
    <x v="241"/>
    <s v="0.129556286049017"/>
    <d v="2024-05-19T00:00:00"/>
    <s v="0.129556286049017"/>
    <n v="0.12955628604901701"/>
    <n v="0.12955628604901701"/>
  </r>
  <r>
    <x v="242"/>
    <s v="0.0537450749847474"/>
    <d v="2024-05-01T00:00:00"/>
    <s v="0.0537450749847474"/>
    <n v="5.3745074984747399E-2"/>
    <n v="5.3745074984747399E-2"/>
  </r>
  <r>
    <x v="242"/>
    <s v="0.0649992983913582"/>
    <d v="2024-09-07T00:00:00"/>
    <s v="0.0649992983913582"/>
    <n v="6.4999298391358207E-2"/>
    <n v="6.4999298391358207E-2"/>
  </r>
  <r>
    <x v="242"/>
    <s v="0.143643060019163"/>
    <d v="2024-08-02T00:00:00"/>
    <s v="0.143643060019163"/>
    <n v="0.14364306001916299"/>
    <n v="0.14364306001916299"/>
  </r>
  <r>
    <x v="243"/>
    <s v="0.049120138811448"/>
    <d v="2024-10-09T00:00:00"/>
    <s v="0.049120138811448"/>
    <n v="4.9120138811448E-2"/>
    <n v="4.9120138811448E-2"/>
  </r>
  <r>
    <x v="243"/>
    <s v="0.0406231906757077"/>
    <d v="2024-11-26T00:00:00"/>
    <s v="0.0406231906757077"/>
    <n v="4.0623190675707702E-2"/>
    <n v="4.0623190675707702E-2"/>
  </r>
  <r>
    <x v="244"/>
    <s v="0.156090078889354"/>
    <d v="2024-11-19T00:00:00"/>
    <s v="0.156090078889354"/>
    <n v="0.156090078889354"/>
    <n v="0.156090078889354"/>
  </r>
  <r>
    <x v="245"/>
    <s v="0.269410011968525"/>
    <d v="2024-08-10T00:00:00"/>
    <s v="0.269410011968525"/>
    <n v="0.26941001196852499"/>
    <n v="0.26941001196852499"/>
  </r>
  <r>
    <x v="245"/>
    <s v="0.140686599756046"/>
    <d v="2024-06-09T00:00:00"/>
    <s v="0.140686599756046"/>
    <n v="0.140686599756046"/>
    <n v="0.140686599756046"/>
  </r>
  <r>
    <x v="245"/>
    <s v="0.202591785404949"/>
    <d v="2024-02-12T00:00:00"/>
    <s v="0.202591785404949"/>
    <n v="0.20259178540494899"/>
    <n v="0.20259178540494899"/>
  </r>
  <r>
    <x v="246"/>
    <s v="0.257230093760634"/>
    <d v="2024-10-22T00:00:00"/>
    <s v="0.257230093760634"/>
    <n v="0.25723009376063399"/>
    <n v="0.25723009376063399"/>
  </r>
  <r>
    <x v="246"/>
    <s v="0.164158758826337"/>
    <d v="2024-09-29T00:00:00"/>
    <s v="0.164158758826337"/>
    <n v="0.16415875882633699"/>
    <n v="0.16415875882633699"/>
  </r>
  <r>
    <x v="247"/>
    <s v="0.190088655752446"/>
    <d v="2024-01-16T00:00:00"/>
    <s v="0.190088655752446"/>
    <n v="0.19008865575244599"/>
    <n v="0.19008865575244599"/>
  </r>
  <r>
    <x v="247"/>
    <s v="0.0924874650085057"/>
    <d v="2024-05-19T00:00:00"/>
    <s v="0.0924874650085057"/>
    <n v="9.2487465008505701E-2"/>
    <n v="9.2487465008505701E-2"/>
  </r>
  <r>
    <x v="248"/>
    <s v="0.342070391415565"/>
    <d v="2024-04-05T00:00:00"/>
    <s v="0.342070391415565"/>
    <n v="0.342070391415565"/>
    <n v="0.342070391415565"/>
  </r>
  <r>
    <x v="249"/>
    <s v="0.242889357163901"/>
    <d v="2024-09-15T00:00:00"/>
    <s v="0.242889357163901"/>
    <n v="0.242889357163901"/>
    <n v="0.242889357163901"/>
  </r>
  <r>
    <x v="250"/>
    <s v="0.0820823699813579"/>
    <d v="2024-04-25T00:00:00"/>
    <s v="0.0820823699813579"/>
    <n v="8.20823699813579E-2"/>
    <n v="8.20823699813579E-2"/>
  </r>
  <r>
    <x v="251"/>
    <s v="0.0237989378638039"/>
    <d v="2024-01-13T00:00:00"/>
    <s v="0.0237989378638039"/>
    <n v="2.3798937863803899E-2"/>
    <n v="2.3798937863803899E-2"/>
  </r>
  <r>
    <x v="251"/>
    <s v="0.139482255775062"/>
    <d v="2024-04-26T00:00:00"/>
    <s v="0.139482255775062"/>
    <n v="0.13948225577506199"/>
    <n v="0.13948225577506199"/>
  </r>
  <r>
    <x v="252"/>
    <s v="0.0106333648206532"/>
    <d v="2024-08-16T00:00:00"/>
    <s v="0.0106333648206532"/>
    <n v="1.0633364820653199E-2"/>
    <n v="1.0633364820653199E-2"/>
  </r>
  <r>
    <x v="253"/>
    <s v="0.161296697897508"/>
    <d v="2024-11-12T00:00:00"/>
    <s v="0.161296697897508"/>
    <n v="0.161296697897508"/>
    <n v="0.161296697897508"/>
  </r>
  <r>
    <x v="253"/>
    <s v="0.16072152030472"/>
    <d v="2024-01-19T00:00:00"/>
    <s v="0.16072152030472"/>
    <n v="0.16072152030472001"/>
    <n v="0.16072152030472001"/>
  </r>
  <r>
    <x v="254"/>
    <s v="0.102240218371265"/>
    <d v="2024-05-22T00:00:00"/>
    <s v="0.102240218371265"/>
    <n v="0.102240218371265"/>
    <n v="0.102240218371265"/>
  </r>
  <r>
    <x v="254"/>
    <s v="0.229182185029249"/>
    <d v="2024-10-10T00:00:00"/>
    <s v="0.229182185029249"/>
    <n v="0.229182185029249"/>
    <n v="0.229182185029249"/>
  </r>
  <r>
    <x v="255"/>
    <s v="0.106082167682305"/>
    <d v="2024-11-21T00:00:00"/>
    <s v="0.106082167682305"/>
    <n v="0.106082167682305"/>
    <n v="0.106082167682305"/>
  </r>
  <r>
    <x v="255"/>
    <s v="0.0926225400954995"/>
    <d v="2024-07-14T00:00:00"/>
    <s v="0.0926225400954995"/>
    <n v="9.26225400954995E-2"/>
    <n v="9.26225400954995E-2"/>
  </r>
  <r>
    <x v="255"/>
    <s v="0.0782578365887439"/>
    <d v="2024-10-25T00:00:00"/>
    <s v="0.0782578365887439"/>
    <n v="7.8257836588743898E-2"/>
    <n v="7.8257836588743898E-2"/>
  </r>
  <r>
    <x v="256"/>
    <s v="0.551988763148353"/>
    <d v="2024-08-25T00:00:00"/>
    <s v="0.551988763148353"/>
    <n v="0.55198876314835299"/>
    <n v="0.55198876314835299"/>
  </r>
  <r>
    <x v="256"/>
    <s v="0.268819119891401"/>
    <d v="2024-10-02T00:00:00"/>
    <s v="0.268819119891401"/>
    <n v="0.268819119891401"/>
    <n v="0.268819119891401"/>
  </r>
  <r>
    <x v="256"/>
    <s v="0.386730356076454"/>
    <d v="2024-01-07T00:00:00"/>
    <s v="0.386730356076454"/>
    <n v="0.38673035607645401"/>
    <n v="0.38673035607645401"/>
  </r>
  <r>
    <x v="257"/>
    <s v="0.194430357613415"/>
    <d v="2024-08-02T00:00:00"/>
    <s v="0.194430357613415"/>
    <n v="0.19443035761341501"/>
    <n v="0.19443035761341501"/>
  </r>
  <r>
    <x v="257"/>
    <s v="0.0792168922493408"/>
    <d v="2024-06-13T00:00:00"/>
    <s v="0.0792168922493408"/>
    <n v="7.9216892249340795E-2"/>
    <n v="7.9216892249340795E-2"/>
  </r>
  <r>
    <x v="257"/>
    <s v="0.157026230150874"/>
    <d v="2024-12-06T00:00:00"/>
    <s v="0.157026230150874"/>
    <n v="0.157026230150874"/>
    <n v="0.157026230150874"/>
  </r>
  <r>
    <x v="257"/>
    <s v="0.0962306228327969"/>
    <d v="2024-01-30T00:00:00"/>
    <s v="0.0962306228327969"/>
    <n v="9.6230622832796903E-2"/>
    <n v="9.6230622832796903E-2"/>
  </r>
  <r>
    <x v="258"/>
    <s v="0.147161440886149"/>
    <d v="2024-08-31T00:00:00"/>
    <s v="0.147161440886149"/>
    <n v="0.14716144088614899"/>
    <n v="0.14716144088614899"/>
  </r>
  <r>
    <x v="258"/>
    <s v="0.0822063532873732"/>
    <d v="2024-01-27T00:00:00"/>
    <s v="0.0822063532873732"/>
    <n v="8.2206353287373204E-2"/>
    <n v="8.2206353287373204E-2"/>
  </r>
  <r>
    <x v="259"/>
    <s v="0.166281582388466"/>
    <d v="2024-11-11T00:00:00"/>
    <s v="0.166281582388466"/>
    <n v="0.16628158238846599"/>
    <n v="0.16628158238846599"/>
  </r>
  <r>
    <x v="260"/>
    <s v="0.13217016239069"/>
    <d v="2024-01-18T00:00:00"/>
    <s v="0.13217016239069"/>
    <n v="0.13217016239068999"/>
    <n v="0.13217016239068999"/>
  </r>
  <r>
    <x v="260"/>
    <s v="0.110557987221212"/>
    <d v="2024-03-26T00:00:00"/>
    <s v="0.110557987221212"/>
    <n v="0.110557987221212"/>
    <n v="0.110557987221212"/>
  </r>
  <r>
    <x v="260"/>
    <s v="0.103888840545487"/>
    <d v="2024-12-24T00:00:00"/>
    <s v="0.103888840545487"/>
    <n v="0.103888840545487"/>
    <n v="0.103888840545487"/>
  </r>
  <r>
    <x v="260"/>
    <s v="0.138163414282534"/>
    <d v="2024-10-17T00:00:00"/>
    <s v="0.138163414282534"/>
    <n v="0.13816341428253401"/>
    <n v="0.13816341428253401"/>
  </r>
  <r>
    <x v="261"/>
    <s v="0.413447599464386"/>
    <d v="2024-11-17T00:00:00"/>
    <s v="0.413447599464386"/>
    <n v="0.41344759946438597"/>
    <n v="0.41344759946438597"/>
  </r>
  <r>
    <x v="261"/>
    <s v="0.0804156064301318"/>
    <d v="2024-02-13T00:00:00"/>
    <s v="0.0804156064301318"/>
    <n v="8.0415606430131806E-2"/>
    <n v="8.0415606430131806E-2"/>
  </r>
  <r>
    <x v="261"/>
    <s v="0.0963626660103359"/>
    <d v="2024-04-12T00:00:00"/>
    <s v="0.0963626660103359"/>
    <n v="9.6362666010335898E-2"/>
    <n v="9.6362666010335898E-2"/>
  </r>
  <r>
    <x v="261"/>
    <s v="0.0800922112337606"/>
    <d v="2024-01-18T00:00:00"/>
    <s v="0.0800922112337606"/>
    <n v="8.0092211233760605E-2"/>
    <n v="8.0092211233760605E-2"/>
  </r>
  <r>
    <x v="262"/>
    <s v="0.0441776493867286"/>
    <d v="2024-06-24T00:00:00"/>
    <s v="0.0441776493867286"/>
    <n v="4.41776493867286E-2"/>
    <n v="4.41776493867286E-2"/>
  </r>
  <r>
    <x v="262"/>
    <s v="0.375747816775724"/>
    <d v="2024-07-01T00:00:00"/>
    <s v="0.375747816775724"/>
    <n v="0.375747816775724"/>
    <n v="0.375747816775724"/>
  </r>
  <r>
    <x v="262"/>
    <s v="0.345614049096455"/>
    <d v="2024-04-27T00:00:00"/>
    <s v="0.345614049096455"/>
    <n v="0.34561404909645499"/>
    <n v="0.34561404909645499"/>
  </r>
  <r>
    <x v="263"/>
    <s v="0.749194305601861"/>
    <d v="2024-02-13T00:00:00"/>
    <s v="0.749194305601861"/>
    <n v="0.74919430560186095"/>
    <n v="0.74919430560186095"/>
  </r>
  <r>
    <x v="264"/>
    <s v="0.060253109959621"/>
    <d v="2024-12-27T00:00:00"/>
    <s v="0.060253109959621"/>
    <n v="6.0253109959621E-2"/>
    <n v="6.0253109959621E-2"/>
  </r>
  <r>
    <x v="264"/>
    <s v="0.233199618688658"/>
    <d v="2024-04-16T00:00:00"/>
    <s v="0.233199618688658"/>
    <n v="0.23319961868865799"/>
    <n v="0.23319961868865799"/>
  </r>
  <r>
    <x v="265"/>
    <s v="0.2531665850157"/>
    <d v="2024-05-22T00:00:00"/>
    <s v="0.2531665850157"/>
    <n v="0.2531665850157"/>
    <n v="0.2531665850157"/>
  </r>
  <r>
    <x v="265"/>
    <s v="0.00590092687781265"/>
    <d v="2024-10-31T00:00:00"/>
    <s v="0.00590092687781265"/>
    <n v="5.9009268778126497E-3"/>
    <n v="5.9009268778126497E-3"/>
  </r>
  <r>
    <x v="266"/>
    <s v="0.14672054828255"/>
    <d v="2024-10-09T00:00:00"/>
    <s v="0.14672054828255"/>
    <n v="0.14672054828254999"/>
    <n v="0.14672054828254999"/>
  </r>
  <r>
    <x v="266"/>
    <s v="0.258916297660442"/>
    <d v="2024-03-07T00:00:00"/>
    <s v="0.258916297660442"/>
    <n v="0.258916297660442"/>
    <n v="0.258916297660442"/>
  </r>
  <r>
    <x v="266"/>
    <s v="0.142418446599381"/>
    <d v="2024-10-01T00:00:00"/>
    <s v="0.142418446599381"/>
    <n v="0.14241844659938099"/>
    <n v="0.14241844659938099"/>
  </r>
  <r>
    <x v="266"/>
    <s v="0.0341007064356755"/>
    <d v="2024-01-24T00:00:00"/>
    <s v="0.0341007064356755"/>
    <n v="3.4100706435675497E-2"/>
    <n v="3.4100706435675497E-2"/>
  </r>
  <r>
    <x v="267"/>
    <s v="0.159961539016013"/>
    <d v="2024-06-25T00:00:00"/>
    <s v="0.159961539016013"/>
    <n v="0.15996153901601301"/>
    <n v="0.15996153901601301"/>
  </r>
  <r>
    <x v="267"/>
    <s v="0.356733450938353"/>
    <d v="2024-03-25T00:00:00"/>
    <s v="0.356733450938353"/>
    <n v="0.35673345093835301"/>
    <n v="0.35673345093835301"/>
  </r>
  <r>
    <x v="268"/>
    <s v="0.23032937261544"/>
    <d v="2024-04-26T00:00:00"/>
    <s v="0.23032937261544"/>
    <n v="0.23032937261544001"/>
    <n v="0.23032937261544001"/>
  </r>
  <r>
    <x v="269"/>
    <s v="0.11411569843655"/>
    <d v="2024-09-12T00:00:00"/>
    <s v="0.11411569843655"/>
    <n v="0.11411569843655001"/>
    <n v="0.11411569843655001"/>
  </r>
  <r>
    <x v="269"/>
    <s v="0.25167851285474"/>
    <d v="2024-04-27T00:00:00"/>
    <s v="0.25167851285474"/>
    <n v="0.25167851285474002"/>
    <n v="0.25167851285474002"/>
  </r>
  <r>
    <x v="269"/>
    <s v="0.0855439727819513"/>
    <d v="2024-11-28T00:00:00"/>
    <s v="0.0855439727819513"/>
    <n v="8.5543972781951305E-2"/>
    <n v="8.5543972781951305E-2"/>
  </r>
  <r>
    <x v="270"/>
    <s v="0.113785210130881"/>
    <d v="2024-07-08T00:00:00"/>
    <s v="0.113785210130881"/>
    <n v="0.113785210130881"/>
    <n v="0.113785210130881"/>
  </r>
  <r>
    <x v="270"/>
    <s v="0.101259658273774"/>
    <d v="2024-10-14T00:00:00"/>
    <s v="0.101259658273774"/>
    <n v="0.10125965827377401"/>
    <n v="0.10125965827377401"/>
  </r>
  <r>
    <x v="271"/>
    <s v="0.214878381741899"/>
    <d v="2024-12-04T00:00:00"/>
    <s v="0.214878381741899"/>
    <n v="0.21487838174189899"/>
    <n v="0.21487838174189899"/>
  </r>
  <r>
    <x v="271"/>
    <s v="0.456343450997534"/>
    <d v="2024-02-27T00:00:00"/>
    <s v="0.456343450997534"/>
    <n v="0.45634345099753398"/>
    <n v="0.45634345099753398"/>
  </r>
  <r>
    <x v="271"/>
    <s v="0.167119753154755"/>
    <d v="2024-12-24T00:00:00"/>
    <s v="0.167119753154755"/>
    <n v="0.167119753154755"/>
    <n v="0.167119753154755"/>
  </r>
  <r>
    <x v="272"/>
    <s v="0.0326218272826815"/>
    <d v="2024-02-07T00:00:00"/>
    <s v="0.0326218272826815"/>
    <n v="3.2621827282681502E-2"/>
    <n v="3.2621827282681502E-2"/>
  </r>
  <r>
    <x v="272"/>
    <s v="0.0571928851250427"/>
    <d v="2024-08-18T00:00:00"/>
    <s v="0.0571928851250427"/>
    <n v="5.7192885125042697E-2"/>
    <n v="5.7192885125042697E-2"/>
  </r>
  <r>
    <x v="272"/>
    <s v="0.198480618082065"/>
    <d v="2024-10-13T00:00:00"/>
    <s v="0.198480618082065"/>
    <n v="0.19848061808206499"/>
    <n v="0.19848061808206499"/>
  </r>
  <r>
    <x v="272"/>
    <s v="0.0840048978015275"/>
    <d v="2024-10-16T00:00:00"/>
    <s v="0.0840048978015275"/>
    <n v="8.4004897801527506E-2"/>
    <n v="8.4004897801527506E-2"/>
  </r>
  <r>
    <x v="273"/>
    <s v="0.115766611619208"/>
    <d v="2024-01-28T00:00:00"/>
    <s v="0.115766611619208"/>
    <n v="0.115766611619208"/>
    <n v="0.115766611619208"/>
  </r>
  <r>
    <x v="273"/>
    <s v="0.0694741967153795"/>
    <d v="2024-06-26T00:00:00"/>
    <s v="0.0694741967153795"/>
    <n v="6.9474196715379494E-2"/>
    <n v="6.9474196715379494E-2"/>
  </r>
  <r>
    <x v="274"/>
    <s v="0.408565234366062"/>
    <d v="2024-02-15T00:00:00"/>
    <s v="0.408565234366062"/>
    <n v="0.40856523436606201"/>
    <n v="0.40856523436606201"/>
  </r>
  <r>
    <x v="274"/>
    <s v="0.0413228213030288"/>
    <d v="2024-02-01T00:00:00"/>
    <s v="0.0413228213030288"/>
    <n v="4.1322821303028799E-2"/>
    <n v="4.1322821303028799E-2"/>
  </r>
  <r>
    <x v="274"/>
    <s v="0.285276643577125"/>
    <d v="2024-03-25T00:00:00"/>
    <s v="0.285276643577125"/>
    <n v="0.28527664357712501"/>
    <n v="0.28527664357712501"/>
  </r>
  <r>
    <x v="274"/>
    <s v="0.171941528147867"/>
    <d v="2024-04-04T00:00:00"/>
    <s v="0.171941528147867"/>
    <n v="0.17194152814786701"/>
    <n v="0.17194152814786701"/>
  </r>
  <r>
    <x v="275"/>
    <s v="0.574279417539964"/>
    <d v="2024-08-05T00:00:00"/>
    <s v="0.574279417539964"/>
    <n v="0.57427941753996403"/>
    <n v="0.57427941753996403"/>
  </r>
  <r>
    <x v="275"/>
    <s v="0.0393621452222011"/>
    <d v="2024-02-10T00:00:00"/>
    <s v="0.0393621452222011"/>
    <n v="3.9362145222201099E-2"/>
    <n v="3.9362145222201099E-2"/>
  </r>
  <r>
    <x v="275"/>
    <s v="0.182817642921211"/>
    <d v="2024-02-11T00:00:00"/>
    <s v="0.182817642921211"/>
    <n v="0.182817642921211"/>
    <n v="0.182817642921211"/>
  </r>
  <r>
    <x v="276"/>
    <s v="0.173417430549469"/>
    <d v="2024-11-16T00:00:00"/>
    <s v="0.173417430549469"/>
    <n v="0.17341743054946901"/>
    <n v="0.17341743054946901"/>
  </r>
  <r>
    <x v="276"/>
    <s v="0.0706995359316622"/>
    <d v="2024-07-17T00:00:00"/>
    <s v="0.0706995359316622"/>
    <n v="7.06995359316622E-2"/>
    <n v="7.06995359316622E-2"/>
  </r>
  <r>
    <x v="276"/>
    <s v="0.146512183737297"/>
    <d v="2024-05-24T00:00:00"/>
    <s v="0.146512183737297"/>
    <n v="0.14651218373729699"/>
    <n v="0.14651218373729699"/>
  </r>
  <r>
    <x v="276"/>
    <s v="0.16675221274288"/>
    <d v="2024-05-06T00:00:00"/>
    <s v="0.16675221274288"/>
    <n v="0.16675221274287999"/>
    <n v="0.16675221274287999"/>
  </r>
  <r>
    <x v="277"/>
    <s v="0.0393285765750997"/>
    <d v="2024-02-29T00:00:00"/>
    <s v="0.0393285765750997"/>
    <n v="3.9328576575099701E-2"/>
    <n v="3.9328576575099701E-2"/>
  </r>
  <r>
    <x v="277"/>
    <s v="0.0685114562187914"/>
    <d v="2024-01-17T00:00:00"/>
    <s v="0.0685114562187914"/>
    <n v="6.85114562187914E-2"/>
    <n v="6.85114562187914E-2"/>
  </r>
  <r>
    <x v="278"/>
    <s v="0.101947069343574"/>
    <d v="2024-06-02T00:00:00"/>
    <s v="0.101947069343574"/>
    <n v="0.101947069343574"/>
    <n v="0.101947069343574"/>
  </r>
  <r>
    <x v="278"/>
    <s v="0.14855921036003"/>
    <d v="2024-03-21T00:00:00"/>
    <s v="0.14855921036003"/>
    <n v="0.14855921036003"/>
    <n v="0.14855921036003"/>
  </r>
  <r>
    <x v="278"/>
    <s v="0.372411821575578"/>
    <d v="2024-08-28T00:00:00"/>
    <s v="0.372411821575578"/>
    <n v="0.37241182157557801"/>
    <n v="0.37241182157557801"/>
  </r>
  <r>
    <x v="279"/>
    <s v="0.323081320768544"/>
    <d v="2024-10-03T00:00:00"/>
    <s v="0.323081320768544"/>
    <n v="0.32308132076854401"/>
    <n v="0.32308132076854401"/>
  </r>
  <r>
    <x v="279"/>
    <s v="0.120728691584569"/>
    <d v="2024-02-17T00:00:00"/>
    <s v="0.120728691584569"/>
    <n v="0.120728691584569"/>
    <n v="0.120728691584569"/>
  </r>
  <r>
    <x v="279"/>
    <s v="0.130548286179371"/>
    <d v="2024-12-06T00:00:00"/>
    <s v="0.130548286179371"/>
    <n v="0.130548286179371"/>
    <n v="0.130548286179371"/>
  </r>
  <r>
    <x v="280"/>
    <s v="0.112899397526191"/>
    <d v="2024-04-01T00:00:00"/>
    <s v="0.112899397526191"/>
    <n v="0.11289939752619101"/>
    <n v="0.11289939752619101"/>
  </r>
  <r>
    <x v="280"/>
    <s v="0.392379784076018"/>
    <d v="2024-09-29T00:00:00"/>
    <s v="0.392379784076018"/>
    <n v="0.39237978407601798"/>
    <n v="0.39237978407601798"/>
  </r>
  <r>
    <x v="280"/>
    <s v="0.172649467862789"/>
    <d v="2024-11-30T00:00:00"/>
    <s v="0.172649467862789"/>
    <n v="0.17264946786278901"/>
    <n v="0.17264946786278901"/>
  </r>
  <r>
    <x v="280"/>
    <s v="0.11157394521225"/>
    <d v="2024-02-03T00:00:00"/>
    <s v="0.11157394521225"/>
    <n v="0.11157394521225"/>
    <n v="0.11157394521225"/>
  </r>
  <r>
    <x v="281"/>
    <s v="0.0195411430148472"/>
    <d v="2024-01-04T00:00:00"/>
    <s v="0.0195411430148472"/>
    <n v="1.95411430148472E-2"/>
    <n v="1.95411430148472E-2"/>
  </r>
  <r>
    <x v="282"/>
    <s v="0.238387965118919"/>
    <d v="2024-02-10T00:00:00"/>
    <s v="0.238387965118919"/>
    <n v="0.23838796511891899"/>
    <n v="0.23838796511891899"/>
  </r>
  <r>
    <x v="283"/>
    <s v="0.170897501439446"/>
    <d v="2024-10-23T00:00:00"/>
    <s v="0.170897501439446"/>
    <n v="0.17089750143944599"/>
    <n v="0.17089750143944599"/>
  </r>
  <r>
    <x v="284"/>
    <s v="0.252281520042069"/>
    <d v="2024-02-06T00:00:00"/>
    <s v="0.252281520042069"/>
    <n v="0.252281520042069"/>
    <n v="0.252281520042069"/>
  </r>
  <r>
    <x v="284"/>
    <s v="0.121918383233014"/>
    <d v="2024-09-30T00:00:00"/>
    <s v="0.121918383233014"/>
    <n v="0.121918383233014"/>
    <n v="0.121918383233014"/>
  </r>
  <r>
    <x v="284"/>
    <s v="0.430887424178527"/>
    <d v="2024-03-18T00:00:00"/>
    <s v="0.430887424178527"/>
    <n v="0.43088742417852699"/>
    <n v="0.43088742417852699"/>
  </r>
  <r>
    <x v="285"/>
    <s v="0.225553960638855"/>
    <d v="2024-05-14T00:00:00"/>
    <s v="0.225553960638855"/>
    <n v="0.22555396063885499"/>
    <n v="0.22555396063885499"/>
  </r>
  <r>
    <x v="285"/>
    <s v="0.216357672794653"/>
    <d v="2024-12-16T00:00:00"/>
    <s v="0.216357672794653"/>
    <n v="0.21635767279465301"/>
    <n v="0.21635767279465301"/>
  </r>
  <r>
    <x v="285"/>
    <s v="0.269826087552475"/>
    <d v="2024-08-23T00:00:00"/>
    <s v="0.269826087552475"/>
    <n v="0.269826087552475"/>
    <n v="0.269826087552475"/>
  </r>
  <r>
    <x v="286"/>
    <s v="0.240728388045398"/>
    <d v="2024-04-22T00:00:00"/>
    <s v="0.240728388045398"/>
    <n v="0.24072838804539801"/>
    <n v="0.24072838804539801"/>
  </r>
  <r>
    <x v="287"/>
    <s v="0.0560303652916858"/>
    <d v="2024-05-17T00:00:00"/>
    <s v="0.0560303652916858"/>
    <n v="5.6030365291685799E-2"/>
    <n v="5.6030365291685799E-2"/>
  </r>
  <r>
    <x v="288"/>
    <s v="0.321825507964824"/>
    <d v="2024-05-04T00:00:00"/>
    <s v="0.321825507964824"/>
    <n v="0.32182550796482401"/>
    <n v="0.32182550796482401"/>
  </r>
  <r>
    <x v="288"/>
    <s v="0.147914482479906"/>
    <d v="2024-02-23T00:00:00"/>
    <s v="0.147914482479906"/>
    <n v="0.14791448247990599"/>
    <n v="0.14791448247990599"/>
  </r>
  <r>
    <x v="288"/>
    <s v="0.433473526626931"/>
    <d v="2024-07-12T00:00:00"/>
    <s v="0.433473526626931"/>
    <n v="0.43347352662693101"/>
    <n v="0.43347352662693101"/>
  </r>
  <r>
    <x v="288"/>
    <s v="0.235871640693813"/>
    <d v="2024-06-09T00:00:00"/>
    <s v="0.235871640693813"/>
    <n v="0.235871640693813"/>
    <n v="0.235871640693813"/>
  </r>
  <r>
    <x v="289"/>
    <s v="0.255429036487087"/>
    <d v="2024-02-14T00:00:00"/>
    <s v="0.255429036487087"/>
    <n v="0.25542903648708698"/>
    <n v="0.25542903648708698"/>
  </r>
  <r>
    <x v="290"/>
    <s v="0.392207538272602"/>
    <d v="2024-11-18T00:00:00"/>
    <s v="0.392207538272602"/>
    <n v="0.39220753827260202"/>
    <n v="0.39220753827260202"/>
  </r>
  <r>
    <x v="290"/>
    <s v="0.0860329117682852"/>
    <d v="2024-09-16T00:00:00"/>
    <s v="0.0860329117682852"/>
    <n v="8.6032911768285203E-2"/>
    <n v="8.6032911768285203E-2"/>
  </r>
  <r>
    <x v="291"/>
    <s v="0.436003621968337"/>
    <d v="2024-08-31T00:00:00"/>
    <s v="0.436003621968337"/>
    <n v="0.43600362196833697"/>
    <n v="0.43600362196833697"/>
  </r>
  <r>
    <x v="291"/>
    <s v="0.216590392521416"/>
    <d v="2024-01-13T00:00:00"/>
    <s v="0.216590392521416"/>
    <n v="0.21659039252141599"/>
    <n v="0.21659039252141599"/>
  </r>
  <r>
    <x v="292"/>
    <s v="0.041951158408195"/>
    <d v="2024-05-19T00:00:00"/>
    <s v="0.041951158408195"/>
    <n v="4.1951158408195001E-2"/>
    <n v="4.1951158408195001E-2"/>
  </r>
  <r>
    <x v="292"/>
    <s v="0.0567813682972818"/>
    <d v="2024-12-11T00:00:00"/>
    <s v="0.0567813682972818"/>
    <n v="5.6781368297281802E-2"/>
    <n v="5.6781368297281802E-2"/>
  </r>
  <r>
    <x v="293"/>
    <s v="0.366424246672566"/>
    <d v="2024-04-11T00:00:00"/>
    <s v="0.366424246672566"/>
    <n v="0.36642424667256601"/>
    <n v="0.36642424667256601"/>
  </r>
  <r>
    <x v="293"/>
    <s v="0.0454846455064262"/>
    <d v="2024-07-06T00:00:00"/>
    <s v="0.0454846455064262"/>
    <n v="4.5484645506426197E-2"/>
    <n v="4.5484645506426197E-2"/>
  </r>
  <r>
    <x v="293"/>
    <s v="0.0280942948738625"/>
    <d v="2024-06-19T00:00:00"/>
    <s v="0.0280942948738625"/>
    <n v="2.8094294873862499E-2"/>
    <n v="2.8094294873862499E-2"/>
  </r>
  <r>
    <x v="294"/>
    <s v="0.321230817875673"/>
    <d v="2024-06-26T00:00:00"/>
    <s v="0.321230817875673"/>
    <n v="0.32123081787567298"/>
    <n v="0.32123081787567298"/>
  </r>
  <r>
    <x v="294"/>
    <s v="0.390040572082156"/>
    <d v="2024-02-08T00:00:00"/>
    <s v="0.390040572082156"/>
    <n v="0.39004057208215598"/>
    <n v="0.39004057208215598"/>
  </r>
  <r>
    <x v="294"/>
    <s v="0.153613193222424"/>
    <d v="2024-06-04T00:00:00"/>
    <s v="0.153613193222424"/>
    <n v="0.153613193222424"/>
    <n v="0.153613193222424"/>
  </r>
  <r>
    <x v="294"/>
    <s v="0.173634991051228"/>
    <d v="2024-11-20T00:00:00"/>
    <s v="0.173634991051228"/>
    <n v="0.17363499105122801"/>
    <n v="0.17363499105122801"/>
  </r>
  <r>
    <x v="295"/>
    <s v="0.158807894296093"/>
    <d v="2024-01-12T00:00:00"/>
    <s v="0.158807894296093"/>
    <n v="0.15880789429609299"/>
    <n v="0.15880789429609299"/>
  </r>
  <r>
    <x v="295"/>
    <s v="0.082171484411695"/>
    <d v="2024-02-05T00:00:00"/>
    <s v="0.082171484411695"/>
    <n v="8.2171484411695001E-2"/>
    <n v="8.2171484411695001E-2"/>
  </r>
  <r>
    <x v="296"/>
    <s v="0.110585262332064"/>
    <d v="2024-06-02T00:00:00"/>
    <s v="0.110585262332064"/>
    <n v="0.110585262332064"/>
    <n v="0.110585262332064"/>
  </r>
  <r>
    <x v="296"/>
    <s v="0.16111797783452"/>
    <d v="2024-11-03T00:00:00"/>
    <s v="0.16111797783452"/>
    <n v="0.16111797783452"/>
    <n v="0.16111797783452"/>
  </r>
  <r>
    <x v="297"/>
    <s v="0.190067197454519"/>
    <d v="2024-12-13T00:00:00"/>
    <s v="0.190067197454519"/>
    <n v="0.190067197454519"/>
    <n v="0.190067197454519"/>
  </r>
  <r>
    <x v="297"/>
    <s v="0.0995174098767392"/>
    <d v="2024-06-24T00:00:00"/>
    <s v="0.0995174098767392"/>
    <n v="9.9517409876739196E-2"/>
    <n v="9.9517409876739196E-2"/>
  </r>
  <r>
    <x v="298"/>
    <s v="0.072647578824807"/>
    <d v="2024-09-04T00:00:00"/>
    <s v="0.072647578824807"/>
    <n v="7.2647578824807005E-2"/>
    <n v="7.2647578824807005E-2"/>
  </r>
  <r>
    <x v="298"/>
    <s v="0.0913392550841299"/>
    <d v="2024-01-15T00:00:00"/>
    <s v="0.0913392550841299"/>
    <n v="9.1339255084129906E-2"/>
    <n v="9.1339255084129906E-2"/>
  </r>
  <r>
    <x v="299"/>
    <s v="0.160651684677981"/>
    <d v="2024-07-04T00:00:00"/>
    <s v="0.160651684677981"/>
    <n v="0.16065168467798099"/>
    <n v="0.16065168467798099"/>
  </r>
  <r>
    <x v="299"/>
    <s v="0.188768533138727"/>
    <d v="2024-07-21T00:00:00"/>
    <s v="0.188768533138727"/>
    <n v="0.18876853313872699"/>
    <n v="0.18876853313872699"/>
  </r>
  <r>
    <x v="300"/>
    <s v="0.115301676434366"/>
    <d v="2024-03-30T00:00:00"/>
    <s v="0.115301676434366"/>
    <n v="0.11530167643436599"/>
    <n v="0.11530167643436599"/>
  </r>
  <r>
    <x v="300"/>
    <s v="0.0576889275606758"/>
    <d v="2024-03-20T00:00:00"/>
    <s v="0.0576889275606758"/>
    <n v="5.7688927560675798E-2"/>
    <n v="5.7688927560675798E-2"/>
  </r>
  <r>
    <x v="300"/>
    <s v="0.266116389212368"/>
    <d v="2024-01-24T00:00:00"/>
    <s v="0.266116389212368"/>
    <n v="0.26611638921236802"/>
    <n v="0.26611638921236802"/>
  </r>
  <r>
    <x v="300"/>
    <s v="0.045675675169668"/>
    <d v="2024-04-21T00:00:00"/>
    <s v="0.045675675169668"/>
    <n v="4.5675675169668001E-2"/>
    <n v="4.5675675169668001E-2"/>
  </r>
  <r>
    <x v="301"/>
    <s v="0.137096242060072"/>
    <d v="2024-06-02T00:00:00"/>
    <s v="0.137096242060072"/>
    <n v="0.13709624206007201"/>
    <n v="0.13709624206007201"/>
  </r>
  <r>
    <x v="301"/>
    <s v="0.231389200331938"/>
    <d v="2024-07-03T00:00:00"/>
    <s v="0.231389200331938"/>
    <n v="0.23138920033193799"/>
    <n v="0.23138920033193799"/>
  </r>
  <r>
    <x v="301"/>
    <s v="0.365182955556272"/>
    <d v="2024-03-18T00:00:00"/>
    <s v="0.365182955556272"/>
    <n v="0.365182955556272"/>
    <n v="0.365182955556272"/>
  </r>
  <r>
    <x v="302"/>
    <s v="0.131799630435787"/>
    <d v="2024-06-06T00:00:00"/>
    <s v="0.131799630435787"/>
    <n v="0.13179963043578699"/>
    <n v="0.13179963043578699"/>
  </r>
  <r>
    <x v="303"/>
    <s v="0.00732748709930915"/>
    <d v="2024-06-28T00:00:00"/>
    <s v="0.00732748709930915"/>
    <n v="7.32748709930915E-3"/>
    <n v="7.32748709930915E-3"/>
  </r>
  <r>
    <x v="304"/>
    <s v="0.336609088734861"/>
    <d v="2024-05-13T00:00:00"/>
    <s v="0.336609088734861"/>
    <n v="0.33660908873486101"/>
    <n v="0.33660908873486101"/>
  </r>
  <r>
    <x v="304"/>
    <s v="0.0387747540410904"/>
    <d v="2024-11-15T00:00:00"/>
    <s v="0.0387747540410904"/>
    <n v="3.8774754041090403E-2"/>
    <n v="3.8774754041090403E-2"/>
  </r>
  <r>
    <x v="304"/>
    <s v="0.341300419960286"/>
    <d v="2024-07-25T00:00:00"/>
    <s v="0.341300419960286"/>
    <n v="0.34130041996028598"/>
    <n v="0.34130041996028598"/>
  </r>
  <r>
    <x v="305"/>
    <s v="0.41599581502399"/>
    <d v="2024-01-06T00:00:00"/>
    <s v="0.41599581502399"/>
    <n v="0.41599581502399002"/>
    <n v="0.41599581502399002"/>
  </r>
  <r>
    <x v="305"/>
    <s v="0.0832834389358669"/>
    <d v="2024-08-19T00:00:00"/>
    <s v="0.0832834389358669"/>
    <n v="8.3283438935866899E-2"/>
    <n v="8.3283438935866899E-2"/>
  </r>
  <r>
    <x v="305"/>
    <s v="0.0967128111154893"/>
    <d v="2024-11-10T00:00:00"/>
    <s v="0.0967128111154893"/>
    <n v="9.6712811115489294E-2"/>
    <n v="9.6712811115489294E-2"/>
  </r>
  <r>
    <x v="306"/>
    <s v="0.229821147726931"/>
    <d v="2024-08-01T00:00:00"/>
    <s v="0.229821147726931"/>
    <n v="0.22982114772693099"/>
    <n v="0.22982114772693099"/>
  </r>
  <r>
    <x v="307"/>
    <s v="0.135974063457121"/>
    <d v="2024-01-08T00:00:00"/>
    <s v="0.135974063457121"/>
    <n v="0.13597406345712101"/>
    <n v="0.13597406345712101"/>
  </r>
  <r>
    <x v="308"/>
    <s v="0.19250135275038"/>
    <d v="2024-09-22T00:00:00"/>
    <s v="0.19250135275038"/>
    <n v="0.19250135275037999"/>
    <n v="0.19250135275037999"/>
  </r>
  <r>
    <x v="308"/>
    <s v="0.0796425061188172"/>
    <d v="2024-08-15T00:00:00"/>
    <s v="0.0796425061188172"/>
    <n v="7.9642506118817194E-2"/>
    <n v="7.9642506118817194E-2"/>
  </r>
  <r>
    <x v="308"/>
    <s v="0.00961271370766002"/>
    <d v="2024-06-09T00:00:00"/>
    <s v="0.00961271370766002"/>
    <n v="9.6127137076600193E-3"/>
    <n v="9.6127137076600193E-3"/>
  </r>
  <r>
    <x v="309"/>
    <s v="0.0248662564699702"/>
    <d v="2024-10-11T00:00:00"/>
    <s v="0.0248662564699702"/>
    <n v="2.4866256469970201E-2"/>
    <n v="2.4866256469970201E-2"/>
  </r>
  <r>
    <x v="309"/>
    <s v="0.047585453259113"/>
    <d v="2024-05-06T00:00:00"/>
    <s v="0.047585453259113"/>
    <n v="4.7585453259113002E-2"/>
    <n v="4.7585453259113002E-2"/>
  </r>
  <r>
    <x v="309"/>
    <s v="0.279794362256036"/>
    <d v="2024-06-28T00:00:00"/>
    <s v="0.279794362256036"/>
    <n v="0.27979436225603599"/>
    <n v="0.27979436225603599"/>
  </r>
  <r>
    <x v="310"/>
    <s v="0.352381134601424"/>
    <d v="2024-06-21T00:00:00"/>
    <s v="0.352381134601424"/>
    <n v="0.35238113460142401"/>
    <n v="0.35238113460142401"/>
  </r>
  <r>
    <x v="310"/>
    <s v="0.329592009094843"/>
    <d v="2024-09-27T00:00:00"/>
    <s v="0.329592009094843"/>
    <n v="0.32959200909484299"/>
    <n v="0.32959200909484299"/>
  </r>
  <r>
    <x v="311"/>
    <s v="0.384100762363657"/>
    <d v="2024-01-17T00:00:00"/>
    <s v="0.384100762363657"/>
    <n v="0.38410076236365698"/>
    <n v="0.38410076236365698"/>
  </r>
  <r>
    <x v="311"/>
    <s v="0.160026641484932"/>
    <d v="2024-08-22T00:00:00"/>
    <s v="0.160026641484932"/>
    <n v="0.16002664148493201"/>
    <n v="0.16002664148493201"/>
  </r>
  <r>
    <x v="311"/>
    <s v="0.0792716450019186"/>
    <d v="2024-07-20T00:00:00"/>
    <s v="0.0792716450019186"/>
    <n v="7.9271645001918606E-2"/>
    <n v="7.9271645001918606E-2"/>
  </r>
  <r>
    <x v="312"/>
    <s v="0.537499214812935"/>
    <d v="2024-11-21T00:00:00"/>
    <s v="0.537499214812935"/>
    <n v="0.53749921481293494"/>
    <n v="0.53749921481293494"/>
  </r>
  <r>
    <x v="312"/>
    <s v="0.228609321622606"/>
    <d v="2024-01-26T00:00:00"/>
    <s v="0.228609321622606"/>
    <n v="0.228609321622606"/>
    <n v="0.228609321622606"/>
  </r>
  <r>
    <x v="312"/>
    <s v="0.35232342700518"/>
    <d v="2024-09-08T00:00:00"/>
    <s v="0.35232342700518"/>
    <n v="0.35232342700517999"/>
    <n v="0.35232342700517999"/>
  </r>
  <r>
    <x v="312"/>
    <s v="0.249011757220969"/>
    <d v="2024-09-16T00:00:00"/>
    <s v="0.249011757220969"/>
    <n v="0.24901175722096899"/>
    <n v="0.24901175722096899"/>
  </r>
  <r>
    <x v="313"/>
    <s v="0.120774072212465"/>
    <d v="2024-01-12T00:00:00"/>
    <s v="0.120774072212465"/>
    <n v="0.120774072212465"/>
    <n v="0.120774072212465"/>
  </r>
  <r>
    <x v="313"/>
    <s v="0.379486711283159"/>
    <d v="2024-06-29T00:00:00"/>
    <s v="0.379486711283159"/>
    <n v="0.37948671128315897"/>
    <n v="0.37948671128315897"/>
  </r>
  <r>
    <x v="313"/>
    <s v="0.102188608065185"/>
    <d v="2024-09-07T00:00:00"/>
    <s v="0.102188608065185"/>
    <n v="0.102188608065185"/>
    <n v="0.102188608065185"/>
  </r>
  <r>
    <x v="313"/>
    <s v="0.204713424319816"/>
    <d v="2024-01-29T00:00:00"/>
    <s v="0.204713424319816"/>
    <n v="0.20471342431981601"/>
    <n v="0.20471342431981601"/>
  </r>
  <r>
    <x v="314"/>
    <s v="0.100162108438515"/>
    <d v="2024-08-02T00:00:00"/>
    <s v="0.100162108438515"/>
    <n v="0.100162108438515"/>
    <n v="0.100162108438515"/>
  </r>
  <r>
    <x v="314"/>
    <s v="0.0451653271277637"/>
    <d v="2024-04-21T00:00:00"/>
    <s v="0.0451653271277637"/>
    <n v="4.5165327127763701E-2"/>
    <n v="4.5165327127763701E-2"/>
  </r>
  <r>
    <x v="314"/>
    <s v="0.214820731480656"/>
    <d v="2024-12-25T00:00:00"/>
    <s v="0.214820731480656"/>
    <n v="0.214820731480656"/>
    <n v="0.214820731480656"/>
  </r>
  <r>
    <x v="315"/>
    <s v="0.306399433666551"/>
    <d v="2024-10-13T00:00:00"/>
    <s v="0.306399433666551"/>
    <n v="0.30639943366655098"/>
    <n v="0.30639943366655098"/>
  </r>
  <r>
    <x v="316"/>
    <s v="0.0580454900561059"/>
    <d v="2024-05-06T00:00:00"/>
    <s v="0.0580454900561059"/>
    <n v="5.8045490056105903E-2"/>
    <n v="5.8045490056105903E-2"/>
  </r>
  <r>
    <x v="316"/>
    <s v="0.012847531110131"/>
    <d v="2024-09-11T00:00:00"/>
    <s v="0.012847531110131"/>
    <n v="1.2847531110131E-2"/>
    <n v="1.2847531110131E-2"/>
  </r>
  <r>
    <x v="317"/>
    <s v="0.285571363962003"/>
    <d v="2024-08-21T00:00:00"/>
    <s v="0.285571363962003"/>
    <n v="0.285571363962003"/>
    <n v="0.285571363962003"/>
  </r>
  <r>
    <x v="317"/>
    <s v="0.0176937101656243"/>
    <d v="2024-10-27T00:00:00"/>
    <s v="0.0176937101656243"/>
    <n v="1.76937101656243E-2"/>
    <n v="1.76937101656243E-2"/>
  </r>
  <r>
    <x v="317"/>
    <s v="0.110894517277282"/>
    <d v="2024-04-14T00:00:00"/>
    <s v="0.110894517277282"/>
    <n v="0.110894517277282"/>
    <n v="0.110894517277282"/>
  </r>
  <r>
    <x v="318"/>
    <s v="0.147949757225051"/>
    <d v="2024-03-05T00:00:00"/>
    <s v="0.147949757225051"/>
    <n v="0.14794975722505099"/>
    <n v="0.14794975722505099"/>
  </r>
  <r>
    <x v="318"/>
    <s v="0.225171513939732"/>
    <d v="2024-05-16T00:00:00"/>
    <s v="0.225171513939732"/>
    <n v="0.225171513939732"/>
    <n v="0.225171513939732"/>
  </r>
  <r>
    <x v="319"/>
    <s v="0.115424361015751"/>
    <d v="2024-03-10T00:00:00"/>
    <s v="0.115424361015751"/>
    <n v="0.115424361015751"/>
    <n v="0.115424361015751"/>
  </r>
  <r>
    <x v="320"/>
    <s v="0.223078623606394"/>
    <d v="2024-03-29T00:00:00"/>
    <s v="0.223078623606394"/>
    <n v="0.22307862360639399"/>
    <n v="0.22307862360639399"/>
  </r>
  <r>
    <x v="320"/>
    <s v="0.0313240829238287"/>
    <d v="2024-03-31T00:00:00"/>
    <s v="0.0313240829238287"/>
    <n v="3.1324082923828697E-2"/>
    <n v="3.1324082923828697E-2"/>
  </r>
  <r>
    <x v="320"/>
    <s v="0.301041885749439"/>
    <d v="2024-10-03T00:00:00"/>
    <s v="0.301041885749439"/>
    <n v="0.30104188574943902"/>
    <n v="0.30104188574943902"/>
  </r>
  <r>
    <x v="321"/>
    <s v="0.056483104612568"/>
    <d v="2024-06-05T00:00:00"/>
    <s v="0.056483104612568"/>
    <n v="5.6483104612568003E-2"/>
    <n v="5.6483104612568003E-2"/>
  </r>
  <r>
    <x v="321"/>
    <s v="0.0102167605840627"/>
    <d v="2024-10-19T00:00:00"/>
    <s v="0.0102167605840627"/>
    <n v="1.0216760584062699E-2"/>
    <n v="1.0216760584062699E-2"/>
  </r>
  <r>
    <x v="322"/>
    <s v="0.243985343529207"/>
    <d v="2024-04-10T00:00:00"/>
    <s v="0.243985343529207"/>
    <n v="0.243985343529207"/>
    <n v="0.243985343529207"/>
  </r>
  <r>
    <x v="322"/>
    <s v="0.0699993945501022"/>
    <d v="2024-02-03T00:00:00"/>
    <s v="0.0699993945501022"/>
    <n v="6.9999394550102206E-2"/>
    <n v="6.9999394550102206E-2"/>
  </r>
  <r>
    <x v="323"/>
    <s v="0.241946798833054"/>
    <d v="2024-07-22T00:00:00"/>
    <s v="0.241946798833054"/>
    <n v="0.24194679883305401"/>
    <n v="0.24194679883305401"/>
  </r>
  <r>
    <x v="323"/>
    <s v="0.0734955297737097"/>
    <d v="2024-09-13T00:00:00"/>
    <s v="0.0734955297737097"/>
    <n v="7.3495529773709697E-2"/>
    <n v="7.3495529773709697E-2"/>
  </r>
  <r>
    <x v="324"/>
    <s v="0.63014249426182"/>
    <d v="2024-05-19T00:00:00"/>
    <s v="0.63014249426182"/>
    <n v="0.63014249426182001"/>
    <n v="0.63014249426182001"/>
  </r>
  <r>
    <x v="324"/>
    <s v="0.150770567879893"/>
    <d v="2024-11-26T00:00:00"/>
    <s v="0.150770567879893"/>
    <n v="0.15077056787989301"/>
    <n v="0.15077056787989301"/>
  </r>
  <r>
    <x v="325"/>
    <s v="0.101062917476363"/>
    <d v="2024-08-10T00:00:00"/>
    <s v="0.101062917476363"/>
    <n v="0.10106291747636301"/>
    <n v="0.10106291747636301"/>
  </r>
  <r>
    <x v="325"/>
    <s v="0.261812419849671"/>
    <d v="2024-01-11T00:00:00"/>
    <s v="0.261812419849671"/>
    <n v="0.26181241984967102"/>
    <n v="0.26181241984967102"/>
  </r>
  <r>
    <x v="326"/>
    <s v="0.197687360197463"/>
    <d v="2024-05-05T00:00:00"/>
    <s v="0.197687360197463"/>
    <n v="0.197687360197463"/>
    <n v="0.197687360197463"/>
  </r>
  <r>
    <x v="326"/>
    <s v="0.153548381843841"/>
    <d v="2024-10-25T00:00:00"/>
    <s v="0.153548381843841"/>
    <n v="0.15354838184384101"/>
    <n v="0.15354838184384101"/>
  </r>
  <r>
    <x v="326"/>
    <s v="0.0721403771984327"/>
    <d v="2024-09-24T00:00:00"/>
    <s v="0.0721403771984327"/>
    <n v="7.2140377198432706E-2"/>
    <n v="7.2140377198432706E-2"/>
  </r>
  <r>
    <x v="327"/>
    <s v="0.341191643787952"/>
    <d v="2024-09-08T00:00:00"/>
    <s v="0.341191643787952"/>
    <n v="0.34119164378795203"/>
    <n v="0.34119164378795203"/>
  </r>
  <r>
    <x v="327"/>
    <s v="0.0775912875454801"/>
    <d v="2024-03-11T00:00:00"/>
    <s v="0.0775912875454801"/>
    <n v="7.75912875454801E-2"/>
    <n v="7.75912875454801E-2"/>
  </r>
  <r>
    <x v="328"/>
    <s v="0.013253671040202"/>
    <d v="2024-06-25T00:00:00"/>
    <s v="0.013253671040202"/>
    <n v="1.3253671040202E-2"/>
    <n v="1.3253671040202E-2"/>
  </r>
  <r>
    <x v="328"/>
    <s v="0.150091536695043"/>
    <d v="2024-05-30T00:00:00"/>
    <s v="0.150091536695043"/>
    <n v="0.15009153669504299"/>
    <n v="0.15009153669504299"/>
  </r>
  <r>
    <x v="328"/>
    <s v="0.394923984969583"/>
    <d v="2024-05-02T00:00:00"/>
    <s v="0.394923984969583"/>
    <n v="0.39492398496958298"/>
    <n v="0.39492398496958298"/>
  </r>
  <r>
    <x v="329"/>
    <s v="0.141515561273175"/>
    <d v="2024-08-14T00:00:00"/>
    <s v="0.141515561273175"/>
    <n v="0.14151556127317499"/>
    <n v="0.14151556127317499"/>
  </r>
  <r>
    <x v="329"/>
    <s v="0.174725544396124"/>
    <d v="2024-08-31T00:00:00"/>
    <s v="0.174725544396124"/>
    <n v="0.17472554439612401"/>
    <n v="0.17472554439612401"/>
  </r>
  <r>
    <x v="330"/>
    <s v="0.474388845884323"/>
    <d v="2024-06-27T00:00:00"/>
    <s v="0.474388845884323"/>
    <n v="0.47438884588432301"/>
    <n v="0.47438884588432301"/>
  </r>
  <r>
    <x v="330"/>
    <s v="0.11412439866518"/>
    <d v="2024-12-01T00:00:00"/>
    <s v="0.11412439866518"/>
    <n v="0.11412439866518"/>
    <n v="0.11412439866518"/>
  </r>
  <r>
    <x v="330"/>
    <s v="0.145030681518576"/>
    <d v="2024-03-19T00:00:00"/>
    <s v="0.145030681518576"/>
    <n v="0.14503068151857601"/>
    <n v="0.14503068151857601"/>
  </r>
  <r>
    <x v="331"/>
    <s v="0.193105185342042"/>
    <d v="2024-06-13T00:00:00"/>
    <s v="0.193105185342042"/>
    <n v="0.19310518534204199"/>
    <n v="0.19310518534204199"/>
  </r>
  <r>
    <x v="331"/>
    <s v="0.115678585024191"/>
    <d v="2024-11-22T00:00:00"/>
    <s v="0.115678585024191"/>
    <n v="0.115678585024191"/>
    <n v="0.115678585024191"/>
  </r>
  <r>
    <x v="332"/>
    <s v="0.20867757063527"/>
    <d v="2024-09-15T00:00:00"/>
    <s v="0.20867757063527"/>
    <n v="0.20867757063527001"/>
    <n v="0.20867757063527001"/>
  </r>
  <r>
    <x v="332"/>
    <s v="0.190126006268423"/>
    <d v="2024-05-12T00:00:00"/>
    <s v="0.190126006268423"/>
    <n v="0.19012600626842299"/>
    <n v="0.19012600626842299"/>
  </r>
  <r>
    <x v="332"/>
    <s v="0.119121032254313"/>
    <d v="2024-07-18T00:00:00"/>
    <s v="0.119121032254313"/>
    <n v="0.119121032254313"/>
    <n v="0.119121032254313"/>
  </r>
  <r>
    <x v="333"/>
    <s v="0.222692157397802"/>
    <d v="2024-07-25T00:00:00"/>
    <s v="0.222692157397802"/>
    <n v="0.22269215739780199"/>
    <n v="0.22269215739780199"/>
  </r>
  <r>
    <x v="333"/>
    <s v="0.151222777616006"/>
    <d v="2024-08-28T00:00:00"/>
    <s v="0.151222777616006"/>
    <n v="0.151222777616006"/>
    <n v="0.151222777616006"/>
  </r>
  <r>
    <x v="334"/>
    <s v="0.103056399713559"/>
    <d v="2024-06-18T00:00:00"/>
    <s v="0.103056399713559"/>
    <n v="0.103056399713559"/>
    <n v="0.103056399713559"/>
  </r>
  <r>
    <x v="334"/>
    <s v="0.150874962133746"/>
    <d v="2024-02-15T00:00:00"/>
    <s v="0.150874962133746"/>
    <n v="0.15087496213374599"/>
    <n v="0.15087496213374599"/>
  </r>
  <r>
    <x v="334"/>
    <s v="0.131629727017224"/>
    <d v="2024-06-07T00:00:00"/>
    <s v="0.131629727017224"/>
    <n v="0.131629727017224"/>
    <n v="0.131629727017224"/>
  </r>
  <r>
    <x v="335"/>
    <s v="0.171537826145571"/>
    <d v="2024-05-26T00:00:00"/>
    <s v="0.171537826145571"/>
    <n v="0.171537826145571"/>
    <n v="0.171537826145571"/>
  </r>
  <r>
    <x v="335"/>
    <s v="0.0099601007322026"/>
    <d v="2024-06-23T00:00:00"/>
    <s v="0.0099601007322026"/>
    <n v="9.9601007322026001E-3"/>
    <n v="9.9601007322026001E-3"/>
  </r>
  <r>
    <x v="336"/>
    <s v="0.104005840390143"/>
    <d v="2024-06-25T00:00:00"/>
    <s v="0.104005840390143"/>
    <n v="0.104005840390143"/>
    <n v="0.104005840390143"/>
  </r>
  <r>
    <x v="336"/>
    <s v="0.194347764972646"/>
    <d v="2024-01-18T00:00:00"/>
    <s v="0.194347764972646"/>
    <n v="0.194347764972646"/>
    <n v="0.194347764972646"/>
  </r>
  <r>
    <x v="336"/>
    <s v="0.0848867292493965"/>
    <d v="2024-08-30T00:00:00"/>
    <s v="0.0848867292493965"/>
    <n v="8.4886729249396498E-2"/>
    <n v="8.4886729249396498E-2"/>
  </r>
  <r>
    <x v="337"/>
    <s v="0.0481148597345016"/>
    <d v="2024-03-07T00:00:00"/>
    <s v="0.0481148597345016"/>
    <n v="4.8114859734501601E-2"/>
    <n v="4.8114859734501601E-2"/>
  </r>
  <r>
    <x v="337"/>
    <s v="0.0376192174622323"/>
    <d v="2024-05-28T00:00:00"/>
    <s v="0.0376192174622323"/>
    <n v="3.7619217462232298E-2"/>
    <n v="3.7619217462232298E-2"/>
  </r>
  <r>
    <x v="338"/>
    <s v="0.135039423890759"/>
    <d v="2024-10-17T00:00:00"/>
    <s v="0.135039423890759"/>
    <n v="0.13503942389075901"/>
    <n v="0.13503942389075901"/>
  </r>
  <r>
    <x v="338"/>
    <s v="0.0995624825486584"/>
    <d v="2024-02-05T00:00:00"/>
    <s v="0.0995624825486584"/>
    <n v="9.9562482548658404E-2"/>
    <n v="9.9562482548658404E-2"/>
  </r>
  <r>
    <x v="339"/>
    <s v="0.141038244475572"/>
    <d v="2024-07-20T00:00:00"/>
    <s v="0.141038244475572"/>
    <n v="0.14103824447557201"/>
    <n v="0.14103824447557201"/>
  </r>
  <r>
    <x v="339"/>
    <s v="0.30558889571795"/>
    <d v="2024-12-24T00:00:00"/>
    <s v="0.30558889571795"/>
    <n v="0.30558889571795"/>
    <n v="0.30558889571795"/>
  </r>
  <r>
    <x v="340"/>
    <s v="0.0921343658058325"/>
    <d v="2024-10-07T00:00:00"/>
    <s v="0.0921343658058325"/>
    <n v="9.2134365805832494E-2"/>
    <n v="9.2134365805832494E-2"/>
  </r>
  <r>
    <x v="340"/>
    <s v="0.178003955040082"/>
    <d v="2024-12-08T00:00:00"/>
    <s v="0.178003955040082"/>
    <n v="0.17800395504008201"/>
    <n v="0.17800395504008201"/>
  </r>
  <r>
    <x v="340"/>
    <s v="0.157239543649452"/>
    <d v="2024-07-01T00:00:00"/>
    <s v="0.157239543649452"/>
    <n v="0.157239543649452"/>
    <n v="0.157239543649452"/>
  </r>
  <r>
    <x v="341"/>
    <s v="0.181143511909883"/>
    <d v="2024-09-12T00:00:00"/>
    <s v="0.181143511909883"/>
    <n v="0.18114351190988301"/>
    <n v="0.18114351190988301"/>
  </r>
  <r>
    <x v="342"/>
    <s v="0.0834651207088197"/>
    <d v="2024-02-07T00:00:00"/>
    <s v="0.0834651207088197"/>
    <n v="8.3465120708819701E-2"/>
    <n v="8.3465120708819701E-2"/>
  </r>
  <r>
    <x v="342"/>
    <s v="0.209412433115747"/>
    <d v="2024-11-02T00:00:00"/>
    <s v="0.209412433115747"/>
    <n v="0.209412433115747"/>
    <n v="0.209412433115747"/>
  </r>
  <r>
    <x v="342"/>
    <s v="0.105546802097333"/>
    <d v="2024-09-30T00:00:00"/>
    <s v="0.105546802097333"/>
    <n v="0.105546802097333"/>
    <n v="0.105546802097333"/>
  </r>
  <r>
    <x v="343"/>
    <s v="0.146471449106943"/>
    <d v="2024-07-28T00:00:00"/>
    <s v="0.146471449106943"/>
    <n v="0.14647144910694301"/>
    <n v="0.14647144910694301"/>
  </r>
  <r>
    <x v="343"/>
    <s v="0.165628693361476"/>
    <d v="2024-06-02T00:00:00"/>
    <s v="0.165628693361476"/>
    <n v="0.16562869336147601"/>
    <n v="0.16562869336147601"/>
  </r>
  <r>
    <x v="343"/>
    <s v="0.123353984016444"/>
    <d v="2024-06-06T00:00:00"/>
    <s v="0.123353984016444"/>
    <n v="0.123353984016444"/>
    <n v="0.123353984016444"/>
  </r>
  <r>
    <x v="344"/>
    <s v="0.122135697898172"/>
    <d v="2024-05-01T00:00:00"/>
    <s v="0.122135697898172"/>
    <n v="0.122135697898172"/>
    <n v="0.122135697898172"/>
  </r>
  <r>
    <x v="345"/>
    <s v="0.0504762367412819"/>
    <d v="2024-11-26T00:00:00"/>
    <s v="0.0504762367412819"/>
    <n v="5.0476236741281898E-2"/>
    <n v="5.0476236741281898E-2"/>
  </r>
  <r>
    <x v="345"/>
    <s v="0.156614431486954"/>
    <d v="2024-08-13T00:00:00"/>
    <s v="0.156614431486954"/>
    <n v="0.156614431486954"/>
    <n v="0.156614431486954"/>
  </r>
  <r>
    <x v="345"/>
    <s v="0.0449054137862972"/>
    <d v="2024-07-01T00:00:00"/>
    <s v="0.0449054137862972"/>
    <n v="4.4905413786297199E-2"/>
    <n v="4.4905413786297199E-2"/>
  </r>
  <r>
    <x v="346"/>
    <s v="0.0183198889962293"/>
    <d v="2024-05-04T00:00:00"/>
    <s v="0.0183198889962293"/>
    <n v="1.83198889962293E-2"/>
    <n v="1.83198889962293E-2"/>
  </r>
  <r>
    <x v="346"/>
    <s v="0.162791025983143"/>
    <d v="2024-12-02T00:00:00"/>
    <s v="0.162791025983143"/>
    <n v="0.16279102598314299"/>
    <n v="0.16279102598314299"/>
  </r>
  <r>
    <x v="346"/>
    <s v="0.114989607211526"/>
    <d v="2024-01-10T00:00:00"/>
    <s v="0.114989607211526"/>
    <n v="0.114989607211526"/>
    <n v="0.114989607211526"/>
  </r>
  <r>
    <x v="347"/>
    <s v="0.121167481217458"/>
    <d v="2024-11-09T00:00:00"/>
    <s v="0.121167481217458"/>
    <n v="0.121167481217458"/>
    <n v="0.121167481217458"/>
  </r>
  <r>
    <x v="348"/>
    <s v="0.038640888963969"/>
    <d v="2024-08-17T00:00:00"/>
    <s v="0.038640888963969"/>
    <n v="3.8640888963969E-2"/>
    <n v="3.8640888963969E-2"/>
  </r>
  <r>
    <x v="348"/>
    <s v="0.137784568851432"/>
    <d v="2024-12-05T00:00:00"/>
    <s v="0.137784568851432"/>
    <n v="0.137784568851432"/>
    <n v="0.137784568851432"/>
  </r>
  <r>
    <x v="348"/>
    <s v="0.173764122742089"/>
    <d v="2024-12-26T00:00:00"/>
    <s v="0.173764122742089"/>
    <n v="0.17376412274208899"/>
    <n v="0.17376412274208899"/>
  </r>
  <r>
    <x v="349"/>
    <s v="0.109793388700102"/>
    <d v="2024-02-05T00:00:00"/>
    <s v="0.109793388700102"/>
    <n v="0.109793388700102"/>
    <n v="0.109793388700102"/>
  </r>
  <r>
    <x v="349"/>
    <s v="0.0524935829414521"/>
    <d v="2024-10-25T00:00:00"/>
    <s v="0.0524935829414521"/>
    <n v="5.2493582941452101E-2"/>
    <n v="5.2493582941452101E-2"/>
  </r>
  <r>
    <x v="349"/>
    <s v="0.111959902869027"/>
    <d v="2024-02-03T00:00:00"/>
    <s v="0.111959902869027"/>
    <n v="0.111959902869027"/>
    <n v="0.111959902869027"/>
  </r>
  <r>
    <x v="349"/>
    <s v="0.0628050298383109"/>
    <d v="2024-12-20T00:00:00"/>
    <s v="0.0628050298383109"/>
    <n v="6.2805029838310905E-2"/>
    <n v="6.2805029838310905E-2"/>
  </r>
  <r>
    <x v="350"/>
    <s v="0.150235456910205"/>
    <d v="2024-08-13T00:00:00"/>
    <s v="0.150235456910205"/>
    <n v="0.15023545691020501"/>
    <n v="0.15023545691020501"/>
  </r>
  <r>
    <x v="350"/>
    <s v="0.131115749765496"/>
    <d v="2024-01-18T00:00:00"/>
    <s v="0.131115749765496"/>
    <n v="0.131115749765496"/>
    <n v="0.131115749765496"/>
  </r>
  <r>
    <x v="351"/>
    <s v="0.311284589798739"/>
    <d v="2024-08-13T00:00:00"/>
    <s v="0.311284589798739"/>
    <n v="0.31128458979873902"/>
    <n v="0.31128458979873902"/>
  </r>
  <r>
    <x v="351"/>
    <s v="0.0858124147491079"/>
    <d v="2024-04-06T00:00:00"/>
    <s v="0.0858124147491079"/>
    <n v="8.5812414749107904E-2"/>
    <n v="8.5812414749107904E-2"/>
  </r>
  <r>
    <x v="352"/>
    <s v="0.160128278445408"/>
    <d v="2024-01-06T00:00:00"/>
    <s v="0.160128278445408"/>
    <n v="0.160128278445408"/>
    <n v="0.160128278445408"/>
  </r>
  <r>
    <x v="352"/>
    <s v="0.109531589065559"/>
    <d v="2024-06-30T00:00:00"/>
    <s v="0.109531589065559"/>
    <n v="0.109531589065559"/>
    <n v="0.109531589065559"/>
  </r>
  <r>
    <x v="353"/>
    <s v="0.0762127307223806"/>
    <d v="2024-08-15T00:00:00"/>
    <s v="0.0762127307223806"/>
    <n v="7.6212730722380606E-2"/>
    <n v="7.6212730722380606E-2"/>
  </r>
  <r>
    <x v="353"/>
    <s v="0.126675153947502"/>
    <d v="2024-09-21T00:00:00"/>
    <s v="0.126675153947502"/>
    <n v="0.12667515394750201"/>
    <n v="0.12667515394750201"/>
  </r>
  <r>
    <x v="353"/>
    <s v="0.118343660174275"/>
    <d v="2024-08-01T00:00:00"/>
    <s v="0.118343660174275"/>
    <n v="0.118343660174275"/>
    <n v="0.118343660174275"/>
  </r>
  <r>
    <x v="354"/>
    <s v="0.18265333346206"/>
    <d v="2024-03-16T00:00:00"/>
    <s v="0.18265333346206"/>
    <n v="0.18265333346206"/>
    <n v="0.18265333346206"/>
  </r>
  <r>
    <x v="355"/>
    <s v="0.0231281531861032"/>
    <d v="2024-06-13T00:00:00"/>
    <s v="0.0231281531861032"/>
    <n v="2.3128153186103201E-2"/>
    <n v="2.3128153186103201E-2"/>
  </r>
  <r>
    <x v="355"/>
    <s v="0.502440363958948"/>
    <d v="2024-12-27T00:00:00"/>
    <s v="0.502440363958948"/>
    <n v="0.50244036395894798"/>
    <n v="0.50244036395894798"/>
  </r>
  <r>
    <x v="356"/>
    <s v="0.196171674879578"/>
    <d v="2024-07-20T00:00:00"/>
    <s v="0.196171674879578"/>
    <n v="0.19617167487957801"/>
    <n v="0.19617167487957801"/>
  </r>
  <r>
    <x v="356"/>
    <s v="0.203610846960822"/>
    <d v="2024-03-30T00:00:00"/>
    <s v="0.203610846960822"/>
    <n v="0.20361084696082199"/>
    <n v="0.20361084696082199"/>
  </r>
  <r>
    <x v="357"/>
    <s v="0.142633919835308"/>
    <d v="2024-10-14T00:00:00"/>
    <s v="0.142633919835308"/>
    <n v="0.14263391983530799"/>
    <n v="0.14263391983530799"/>
  </r>
  <r>
    <x v="358"/>
    <s v="0.0992848825846035"/>
    <d v="2024-12-03T00:00:00"/>
    <s v="0.0992848825846035"/>
    <n v="9.9284882584603495E-2"/>
    <n v="9.9284882584603495E-2"/>
  </r>
  <r>
    <x v="358"/>
    <s v="0.16257054192407"/>
    <d v="2024-11-02T00:00:00"/>
    <s v="0.16257054192407"/>
    <n v="0.16257054192407"/>
    <n v="0.16257054192407"/>
  </r>
  <r>
    <x v="358"/>
    <s v="0.106720430583579"/>
    <d v="2024-05-04T00:00:00"/>
    <s v="0.106720430583579"/>
    <n v="0.106720430583579"/>
    <n v="0.106720430583579"/>
  </r>
  <r>
    <x v="359"/>
    <s v="0.254348184298518"/>
    <d v="2024-07-18T00:00:00"/>
    <s v="0.254348184298518"/>
    <n v="0.25434818429851802"/>
    <n v="0.25434818429851802"/>
  </r>
  <r>
    <x v="359"/>
    <s v="0.120521336473955"/>
    <d v="2024-04-25T00:00:00"/>
    <s v="0.120521336473955"/>
    <n v="0.12052133647395501"/>
    <n v="0.12052133647395501"/>
  </r>
  <r>
    <x v="359"/>
    <s v="0.169767744917577"/>
    <d v="2024-03-11T00:00:00"/>
    <s v="0.169767744917577"/>
    <n v="0.16976774491757701"/>
    <n v="0.16976774491757701"/>
  </r>
  <r>
    <x v="360"/>
    <s v="0.272327232090202"/>
    <d v="2024-04-08T00:00:00"/>
    <s v="0.272327232090202"/>
    <n v="0.27232723209020199"/>
    <n v="0.27232723209020199"/>
  </r>
  <r>
    <x v="360"/>
    <s v="0.0840595276524054"/>
    <d v="2024-04-21T00:00:00"/>
    <s v="0.0840595276524054"/>
    <n v="8.4059527652405402E-2"/>
    <n v="8.4059527652405402E-2"/>
  </r>
  <r>
    <x v="361"/>
    <s v="0.193905821251804"/>
    <d v="2024-09-24T00:00:00"/>
    <s v="0.193905821251804"/>
    <n v="0.193905821251804"/>
    <n v="0.193905821251804"/>
  </r>
  <r>
    <x v="362"/>
    <s v="0.572038007233454"/>
    <d v="2024-11-22T00:00:00"/>
    <s v="0.572038007233454"/>
    <n v="0.57203800723345399"/>
    <n v="0.57203800723345399"/>
  </r>
  <r>
    <x v="362"/>
    <s v="0.100550052954302"/>
    <d v="2024-11-15T00:00:00"/>
    <s v="0.100550052954302"/>
    <n v="0.100550052954302"/>
    <n v="0.100550052954302"/>
  </r>
  <r>
    <x v="362"/>
    <s v="0.100103539838245"/>
    <d v="2024-01-31T00:00:00"/>
    <s v="0.100103539838245"/>
    <n v="0.10010353983824501"/>
    <n v="0.10010353983824501"/>
  </r>
  <r>
    <x v="363"/>
    <s v="0.308478046390136"/>
    <d v="2024-09-05T00:00:00"/>
    <s v="0.308478046390136"/>
    <n v="0.30847804639013598"/>
    <n v="0.30847804639013598"/>
  </r>
  <r>
    <x v="364"/>
    <s v="0.0529439961378214"/>
    <d v="2024-04-09T00:00:00"/>
    <s v="0.0529439961378214"/>
    <n v="5.29439961378214E-2"/>
    <n v="5.29439961378214E-2"/>
  </r>
  <r>
    <x v="364"/>
    <s v="0.255581048800733"/>
    <d v="2024-10-14T00:00:00"/>
    <s v="0.255581048800733"/>
    <n v="0.25558104880073301"/>
    <n v="0.25558104880073301"/>
  </r>
  <r>
    <x v="365"/>
    <s v="0.576705746792781"/>
    <d v="2024-01-10T00:00:00"/>
    <s v="0.576705746792781"/>
    <n v="0.57670574679278097"/>
    <n v="0.57670574679278097"/>
  </r>
  <r>
    <x v="366"/>
    <s v="0.10244789091085"/>
    <d v="2024-09-18T00:00:00"/>
    <s v="0.10244789091085"/>
    <n v="0.10244789091085001"/>
    <n v="0.10244789091085001"/>
  </r>
  <r>
    <x v="366"/>
    <s v="0.2004899663195"/>
    <d v="2024-10-31T00:00:00"/>
    <s v="0.2004899663195"/>
    <n v="0.2004899663195"/>
    <n v="0.2004899663195"/>
  </r>
  <r>
    <x v="366"/>
    <s v="0.210318254985283"/>
    <d v="2024-05-19T00:00:00"/>
    <s v="0.210318254985283"/>
    <n v="0.210318254985283"/>
    <n v="0.210318254985283"/>
  </r>
  <r>
    <x v="367"/>
    <s v="0.0806979079152595"/>
    <d v="2024-07-18T00:00:00"/>
    <s v="0.0806979079152595"/>
    <n v="8.0697907915259506E-2"/>
    <n v="8.0697907915259506E-2"/>
  </r>
  <r>
    <x v="367"/>
    <s v="0.0436080225165568"/>
    <d v="2024-08-10T00:00:00"/>
    <s v="0.0436080225165568"/>
    <n v="4.3608022516556801E-2"/>
    <n v="4.3608022516556801E-2"/>
  </r>
  <r>
    <x v="367"/>
    <s v="0.148478913108076"/>
    <d v="2024-06-28T00:00:00"/>
    <s v="0.148478913108076"/>
    <n v="0.14847891310807601"/>
    <n v="0.14847891310807601"/>
  </r>
  <r>
    <x v="368"/>
    <s v="0.388727863608285"/>
    <d v="2024-12-15T00:00:00"/>
    <s v="0.388727863608285"/>
    <n v="0.38872786360828498"/>
    <n v="0.38872786360828498"/>
  </r>
  <r>
    <x v="368"/>
    <s v="0.0500965080661989"/>
    <d v="2024-01-30T00:00:00"/>
    <s v="0.0500965080661989"/>
    <n v="5.0096508066198898E-2"/>
    <n v="5.0096508066198898E-2"/>
  </r>
  <r>
    <x v="368"/>
    <s v="0.16180838847372"/>
    <d v="2024-07-12T00:00:00"/>
    <s v="0.16180838847372"/>
    <n v="0.16180838847372001"/>
    <n v="0.16180838847372001"/>
  </r>
  <r>
    <x v="369"/>
    <s v="0.261153247857564"/>
    <d v="2024-12-23T00:00:00"/>
    <s v="0.261153247857564"/>
    <n v="0.261153247857564"/>
    <n v="0.261153247857564"/>
  </r>
  <r>
    <x v="369"/>
    <s v="0.210472539682"/>
    <d v="2024-07-03T00:00:00"/>
    <s v="0.210472539682"/>
    <n v="0.210472539682"/>
    <n v="0.210472539682"/>
  </r>
  <r>
    <x v="369"/>
    <s v="0.288838292598222"/>
    <d v="2024-11-29T00:00:00"/>
    <s v="0.288838292598222"/>
    <n v="0.28883829259822202"/>
    <n v="0.28883829259822202"/>
  </r>
  <r>
    <x v="370"/>
    <s v="0.16070259013654"/>
    <d v="2024-08-06T00:00:00"/>
    <s v="0.16070259013654"/>
    <n v="0.16070259013654001"/>
    <n v="0.16070259013654001"/>
  </r>
  <r>
    <x v="370"/>
    <s v="0.0445702009431005"/>
    <d v="2024-08-29T00:00:00"/>
    <s v="0.0445702009431005"/>
    <n v="4.4570200943100498E-2"/>
    <n v="4.4570200943100498E-2"/>
  </r>
  <r>
    <x v="370"/>
    <s v="0.0652749192934765"/>
    <d v="2024-03-09T00:00:00"/>
    <s v="0.0652749192934765"/>
    <n v="6.5274919293476494E-2"/>
    <n v="6.5274919293476494E-2"/>
  </r>
  <r>
    <x v="371"/>
    <s v="0.081716866371617"/>
    <d v="2024-01-01T00:00:00"/>
    <s v="0.081716866371617"/>
    <n v="8.1716866371617E-2"/>
    <n v="8.1716866371617E-2"/>
  </r>
  <r>
    <x v="371"/>
    <s v="0.047981346113426"/>
    <d v="2024-08-16T00:00:00"/>
    <s v="0.047981346113426"/>
    <n v="4.7981346113425999E-2"/>
    <n v="4.7981346113425999E-2"/>
  </r>
  <r>
    <x v="372"/>
    <s v="0.110262436891627"/>
    <d v="2024-02-17T00:00:00"/>
    <s v="0.110262436891627"/>
    <n v="0.110262436891627"/>
    <n v="0.110262436891627"/>
  </r>
  <r>
    <x v="373"/>
    <s v="0.0948074484135648"/>
    <d v="2024-07-20T00:00:00"/>
    <s v="0.0948074484135648"/>
    <n v="9.4807448413564796E-2"/>
    <n v="9.4807448413564796E-2"/>
  </r>
  <r>
    <x v="373"/>
    <s v="0.237564536162238"/>
    <d v="2024-11-01T00:00:00"/>
    <s v="0.237564536162238"/>
    <n v="0.23756453616223799"/>
    <n v="0.23756453616223799"/>
  </r>
  <r>
    <x v="373"/>
    <s v="0.255111499588851"/>
    <d v="2024-05-21T00:00:00"/>
    <s v="0.255111499588851"/>
    <n v="0.25511149958885099"/>
    <n v="0.25511149958885099"/>
  </r>
  <r>
    <x v="374"/>
    <s v="0.0544905102306259"/>
    <d v="2024-05-03T00:00:00"/>
    <s v="0.0544905102306259"/>
    <n v="5.4490510230625899E-2"/>
    <n v="5.4490510230625899E-2"/>
  </r>
  <r>
    <x v="374"/>
    <s v="0.173870340170447"/>
    <d v="2024-02-12T00:00:00"/>
    <s v="0.173870340170447"/>
    <n v="0.173870340170447"/>
    <n v="0.173870340170447"/>
  </r>
  <r>
    <x v="374"/>
    <s v="0.133079259403981"/>
    <d v="2024-01-27T00:00:00"/>
    <s v="0.133079259403981"/>
    <n v="0.13307925940398099"/>
    <n v="0.13307925940398099"/>
  </r>
  <r>
    <x v="375"/>
    <s v="0.0437477837005294"/>
    <d v="2024-10-10T00:00:00"/>
    <s v="0.0437477837005294"/>
    <n v="4.3747783700529397E-2"/>
    <n v="4.3747783700529397E-2"/>
  </r>
  <r>
    <x v="375"/>
    <s v="0.124550931901652"/>
    <d v="2024-12-13T00:00:00"/>
    <s v="0.124550931901652"/>
    <n v="0.12455093190165201"/>
    <n v="0.12455093190165201"/>
  </r>
  <r>
    <x v="375"/>
    <s v="0.181501730243174"/>
    <d v="2024-03-17T00:00:00"/>
    <s v="0.181501730243174"/>
    <n v="0.18150173024317401"/>
    <n v="0.18150173024317401"/>
  </r>
  <r>
    <x v="376"/>
    <s v="0.201876771657043"/>
    <d v="2024-06-17T00:00:00"/>
    <s v="0.201876771657043"/>
    <n v="0.20187677165704301"/>
    <n v="0.20187677165704301"/>
  </r>
  <r>
    <x v="376"/>
    <s v="0.117362311814356"/>
    <d v="2024-12-27T00:00:00"/>
    <s v="0.117362311814356"/>
    <n v="0.117362311814356"/>
    <n v="0.117362311814356"/>
  </r>
  <r>
    <x v="376"/>
    <s v="0.101182189577553"/>
    <d v="2024-01-13T00:00:00"/>
    <s v="0.101182189577553"/>
    <n v="0.101182189577553"/>
    <n v="0.101182189577553"/>
  </r>
  <r>
    <x v="377"/>
    <s v="0.0856226325667452"/>
    <d v="2024-08-24T00:00:00"/>
    <s v="0.0856226325667452"/>
    <n v="8.5622632566745197E-2"/>
    <n v="8.5622632566745197E-2"/>
  </r>
  <r>
    <x v="377"/>
    <s v="0.279130936468835"/>
    <d v="2024-02-11T00:00:00"/>
    <s v="0.279130936468835"/>
    <n v="0.27913093646883502"/>
    <n v="0.27913093646883502"/>
  </r>
  <r>
    <x v="377"/>
    <s v="0.344486074295704"/>
    <d v="2024-05-05T00:00:00"/>
    <s v="0.344486074295704"/>
    <n v="0.34448607429570399"/>
    <n v="0.34448607429570399"/>
  </r>
  <r>
    <x v="378"/>
    <s v="0.0349802893206202"/>
    <d v="2024-07-11T00:00:00"/>
    <s v="0.0349802893206202"/>
    <n v="3.4980289320620202E-2"/>
    <n v="3.4980289320620202E-2"/>
  </r>
  <r>
    <x v="378"/>
    <s v="0.136827170227607"/>
    <d v="2024-03-14T00:00:00"/>
    <s v="0.136827170227607"/>
    <n v="0.13682717022760699"/>
    <n v="0.13682717022760699"/>
  </r>
  <r>
    <x v="378"/>
    <s v="0.378245135174611"/>
    <d v="2024-07-01T00:00:00"/>
    <s v="0.378245135174611"/>
    <n v="0.378245135174611"/>
    <n v="0.378245135174611"/>
  </r>
  <r>
    <x v="379"/>
    <s v="0.281168166569247"/>
    <d v="2024-02-12T00:00:00"/>
    <s v="0.281168166569247"/>
    <n v="0.28116816656924698"/>
    <n v="0.28116816656924698"/>
  </r>
  <r>
    <x v="380"/>
    <s v="0.205433047350334"/>
    <d v="2024-12-09T00:00:00"/>
    <s v="0.205433047350334"/>
    <n v="0.20543304735033399"/>
    <n v="0.20543304735033399"/>
  </r>
  <r>
    <x v="380"/>
    <s v="0.107757509572119"/>
    <d v="2024-11-12T00:00:00"/>
    <s v="0.107757509572119"/>
    <n v="0.10775750957211901"/>
    <n v="0.10775750957211901"/>
  </r>
  <r>
    <x v="381"/>
    <s v="0.160483354460744"/>
    <d v="2024-09-19T00:00:00"/>
    <s v="0.160483354460744"/>
    <n v="0.16048335446074399"/>
    <n v="0.16048335446074399"/>
  </r>
  <r>
    <x v="381"/>
    <s v="0.116509294827845"/>
    <d v="2024-08-07T00:00:00"/>
    <s v="0.116509294827845"/>
    <n v="0.116509294827845"/>
    <n v="0.116509294827845"/>
  </r>
  <r>
    <x v="382"/>
    <s v="0.215086579482126"/>
    <d v="2024-04-24T00:00:00"/>
    <s v="0.215086579482126"/>
    <n v="0.21508657948212601"/>
    <n v="0.21508657948212601"/>
  </r>
  <r>
    <x v="382"/>
    <s v="0.0560859216378412"/>
    <d v="2024-06-18T00:00:00"/>
    <s v="0.0560859216378412"/>
    <n v="5.60859216378412E-2"/>
    <n v="5.60859216378412E-2"/>
  </r>
  <r>
    <x v="383"/>
    <s v="0.35043032237918"/>
    <d v="2024-10-02T00:00:00"/>
    <s v="0.35043032237918"/>
    <n v="0.35043032237917998"/>
    <n v="0.35043032237917998"/>
  </r>
  <r>
    <x v="383"/>
    <s v="0.090461633057958"/>
    <d v="2024-03-09T00:00:00"/>
    <s v="0.090461633057958"/>
    <n v="9.0461633057957999E-2"/>
    <n v="9.0461633057957999E-2"/>
  </r>
  <r>
    <x v="384"/>
    <s v="0.25198457709876"/>
    <d v="2024-09-16T00:00:00"/>
    <s v="0.25198457709876"/>
    <n v="0.25198457709875999"/>
    <n v="0.25198457709875999"/>
  </r>
  <r>
    <x v="384"/>
    <s v="0.236758608730476"/>
    <d v="2024-02-05T00:00:00"/>
    <s v="0.236758608730476"/>
    <n v="0.23675860873047599"/>
    <n v="0.23675860873047599"/>
  </r>
  <r>
    <x v="384"/>
    <s v="0.61899187396623"/>
    <d v="2024-09-06T00:00:00"/>
    <s v="0.61899187396623"/>
    <n v="0.61899187396623001"/>
    <n v="0.61899187396623001"/>
  </r>
  <r>
    <x v="384"/>
    <s v="0.152874229182464"/>
    <d v="2024-07-10T00:00:00"/>
    <s v="0.152874229182464"/>
    <n v="0.15287422918246399"/>
    <n v="0.15287422918246399"/>
  </r>
  <r>
    <x v="385"/>
    <s v="0.0498837380766576"/>
    <d v="2024-04-23T00:00:00"/>
    <s v="0.0498837380766576"/>
    <n v="4.9883738076657601E-2"/>
    <n v="4.9883738076657601E-2"/>
  </r>
  <r>
    <x v="385"/>
    <s v="0.0171201619148001"/>
    <d v="2024-05-24T00:00:00"/>
    <s v="0.0171201619148001"/>
    <n v="1.7120161914800099E-2"/>
    <n v="1.7120161914800099E-2"/>
  </r>
  <r>
    <x v="385"/>
    <s v="0.198377544477158"/>
    <d v="2024-09-28T00:00:00"/>
    <s v="0.198377544477158"/>
    <n v="0.198377544477158"/>
    <n v="0.198377544477158"/>
  </r>
  <r>
    <x v="386"/>
    <s v="0.0185524798377954"/>
    <d v="2024-08-26T00:00:00"/>
    <s v="0.0185524798377954"/>
    <n v="1.8552479837795399E-2"/>
    <n v="1.8552479837795399E-2"/>
  </r>
  <r>
    <x v="386"/>
    <s v="0.0982651773663574"/>
    <d v="2024-01-15T00:00:00"/>
    <s v="0.0982651773663574"/>
    <n v="9.8265177366357398E-2"/>
    <n v="9.8265177366357398E-2"/>
  </r>
  <r>
    <x v="387"/>
    <s v="0.214390357591702"/>
    <d v="2024-07-20T00:00:00"/>
    <s v="0.214390357591702"/>
    <n v="0.214390357591702"/>
    <n v="0.214390357591702"/>
  </r>
  <r>
    <x v="387"/>
    <s v="0.0468897756477594"/>
    <d v="2024-10-31T00:00:00"/>
    <s v="0.0468897756477594"/>
    <n v="4.6889775647759403E-2"/>
    <n v="4.6889775647759403E-2"/>
  </r>
  <r>
    <x v="387"/>
    <s v="0.0469273039921843"/>
    <d v="2024-08-21T00:00:00"/>
    <s v="0.0469273039921843"/>
    <n v="4.6927303992184297E-2"/>
    <n v="4.6927303992184297E-2"/>
  </r>
  <r>
    <x v="388"/>
    <s v="0.169578201188605"/>
    <d v="2024-06-04T00:00:00"/>
    <s v="0.169578201188605"/>
    <n v="0.169578201188605"/>
    <n v="0.169578201188605"/>
  </r>
  <r>
    <x v="389"/>
    <s v="0.0487563071702693"/>
    <d v="2024-02-14T00:00:00"/>
    <s v="0.0487563071702693"/>
    <n v="4.8756307170269297E-2"/>
    <n v="4.8756307170269297E-2"/>
  </r>
  <r>
    <x v="389"/>
    <s v="0.157558152689209"/>
    <d v="2024-06-07T00:00:00"/>
    <s v="0.157558152689209"/>
    <n v="0.157558152689209"/>
    <n v="0.157558152689209"/>
  </r>
  <r>
    <x v="389"/>
    <s v="0.0842290490810939"/>
    <d v="2024-10-16T00:00:00"/>
    <s v="0.0842290490810939"/>
    <n v="8.4229049081093896E-2"/>
    <n v="8.4229049081093896E-2"/>
  </r>
  <r>
    <x v="390"/>
    <s v="0.308010617083247"/>
    <d v="2024-07-03T00:00:00"/>
    <s v="0.308010617083247"/>
    <n v="0.30801061708324701"/>
    <n v="0.30801061708324701"/>
  </r>
  <r>
    <x v="390"/>
    <s v="0.0951676096090104"/>
    <d v="2024-08-31T00:00:00"/>
    <s v="0.0951676096090104"/>
    <n v="9.5167609609010398E-2"/>
    <n v="9.5167609609010398E-2"/>
  </r>
  <r>
    <x v="391"/>
    <s v="0.188275168120018"/>
    <d v="2024-07-31T00:00:00"/>
    <s v="0.188275168120018"/>
    <n v="0.18827516812001799"/>
    <n v="0.18827516812001799"/>
  </r>
  <r>
    <x v="391"/>
    <s v="0.126595328771102"/>
    <d v="2024-08-22T00:00:00"/>
    <s v="0.126595328771102"/>
    <n v="0.12659532877110199"/>
    <n v="0.12659532877110199"/>
  </r>
  <r>
    <x v="391"/>
    <s v="0.00639705769895584"/>
    <d v="2024-05-10T00:00:00"/>
    <s v="0.00639705769895584"/>
    <n v="6.3970576989558397E-3"/>
    <n v="6.3970576989558397E-3"/>
  </r>
  <r>
    <x v="392"/>
    <s v="0.29672195355424"/>
    <d v="2024-10-17T00:00:00"/>
    <s v="0.29672195355424"/>
    <n v="0.29672195355424003"/>
    <n v="0.29672195355424003"/>
  </r>
  <r>
    <x v="392"/>
    <s v="0.214772195786694"/>
    <d v="2024-07-24T00:00:00"/>
    <s v="0.214772195786694"/>
    <n v="0.21477219578669399"/>
    <n v="0.21477219578669399"/>
  </r>
  <r>
    <x v="392"/>
    <s v="0.231546522164906"/>
    <d v="2024-01-17T00:00:00"/>
    <s v="0.231546522164906"/>
    <n v="0.23154652216490601"/>
    <n v="0.23154652216490601"/>
  </r>
  <r>
    <x v="393"/>
    <s v="0.0903661986920475"/>
    <d v="2024-02-28T00:00:00"/>
    <s v="0.0903661986920475"/>
    <n v="9.0366198692047497E-2"/>
    <n v="9.0366198692047497E-2"/>
  </r>
  <r>
    <x v="394"/>
    <s v="0.101056081075688"/>
    <d v="2024-12-15T00:00:00"/>
    <s v="0.101056081075688"/>
    <n v="0.101056081075688"/>
    <n v="0.101056081075688"/>
  </r>
  <r>
    <x v="394"/>
    <s v="0.370754294028282"/>
    <d v="2024-03-13T00:00:00"/>
    <s v="0.370754294028282"/>
    <n v="0.37075429402828203"/>
    <n v="0.37075429402828203"/>
  </r>
  <r>
    <x v="394"/>
    <s v="0.0855733456770686"/>
    <d v="2024-01-15T00:00:00"/>
    <s v="0.0855733456770686"/>
    <n v="8.5573345677068605E-2"/>
    <n v="8.5573345677068605E-2"/>
  </r>
  <r>
    <x v="395"/>
    <s v="0.680416820766625"/>
    <d v="2024-03-30T00:00:00"/>
    <s v="0.680416820766625"/>
    <n v="0.68041682076662502"/>
    <n v="0.68041682076662502"/>
  </r>
  <r>
    <x v="395"/>
    <s v="0.0928166206909787"/>
    <d v="2024-12-28T00:00:00"/>
    <s v="0.0928166206909787"/>
    <n v="9.2816620690978693E-2"/>
    <n v="9.2816620690978693E-2"/>
  </r>
  <r>
    <x v="396"/>
    <s v="0.214983335875702"/>
    <d v="2024-05-31T00:00:00"/>
    <s v="0.214983335875702"/>
    <n v="0.21498333587570201"/>
    <n v="0.21498333587570201"/>
  </r>
  <r>
    <x v="396"/>
    <s v="0.124506671957311"/>
    <d v="2024-10-08T00:00:00"/>
    <s v="0.124506671957311"/>
    <n v="0.12450667195731099"/>
    <n v="0.12450667195731099"/>
  </r>
  <r>
    <x v="396"/>
    <s v="0.11385775443443"/>
    <d v="2024-04-22T00:00:00"/>
    <s v="0.11385775443443"/>
    <n v="0.11385775443443"/>
    <n v="0.11385775443443"/>
  </r>
  <r>
    <x v="396"/>
    <s v="0.0150496526242489"/>
    <d v="2024-03-30T00:00:00"/>
    <s v="0.0150496526242489"/>
    <n v="1.5049652624248899E-2"/>
    <n v="1.5049652624248899E-2"/>
  </r>
  <r>
    <x v="397"/>
    <s v="0.495709580357157"/>
    <d v="2024-03-06T00:00:00"/>
    <s v="0.495709580357157"/>
    <n v="0.49570958035715701"/>
    <n v="0.49570958035715701"/>
  </r>
  <r>
    <x v="397"/>
    <s v="0.299657781209078"/>
    <d v="2024-09-28T00:00:00"/>
    <s v="0.299657781209078"/>
    <n v="0.29965778120907799"/>
    <n v="0.29965778120907799"/>
  </r>
  <r>
    <x v="398"/>
    <s v="0.178149482488141"/>
    <d v="2024-02-10T00:00:00"/>
    <s v="0.178149482488141"/>
    <n v="0.178149482488141"/>
    <n v="0.178149482488141"/>
  </r>
  <r>
    <x v="398"/>
    <s v="0.162672706744299"/>
    <d v="2024-01-24T00:00:00"/>
    <s v="0.162672706744299"/>
    <n v="0.16267270674429901"/>
    <n v="0.16267270674429901"/>
  </r>
  <r>
    <x v="399"/>
    <s v="0.229871412204165"/>
    <d v="2024-08-29T00:00:00"/>
    <s v="0.229871412204165"/>
    <n v="0.22987141220416499"/>
    <n v="0.22987141220416499"/>
  </r>
  <r>
    <x v="399"/>
    <s v="0.20388125884401"/>
    <d v="2024-09-10T00:00:00"/>
    <s v="0.20388125884401"/>
    <n v="0.20388125884401001"/>
    <n v="0.20388125884401001"/>
  </r>
  <r>
    <x v="400"/>
    <s v="0.0342226383042344"/>
    <d v="2024-05-11T00:00:00"/>
    <s v="0.0342226383042344"/>
    <n v="3.4222638304234401E-2"/>
    <n v="3.4222638304234401E-2"/>
  </r>
  <r>
    <x v="400"/>
    <s v="0.141356219854297"/>
    <d v="2024-06-17T00:00:00"/>
    <s v="0.141356219854297"/>
    <n v="0.141356219854297"/>
    <n v="0.141356219854297"/>
  </r>
  <r>
    <x v="400"/>
    <s v="0.301469786184932"/>
    <d v="2024-02-16T00:00:00"/>
    <s v="0.301469786184932"/>
    <n v="0.30146978618493198"/>
    <n v="0.30146978618493198"/>
  </r>
  <r>
    <x v="401"/>
    <s v="0.0369592716107684"/>
    <d v="2024-10-11T00:00:00"/>
    <s v="0.0369592716107684"/>
    <n v="3.6959271610768403E-2"/>
    <n v="3.6959271610768403E-2"/>
  </r>
  <r>
    <x v="402"/>
    <s v="0.671982463071994"/>
    <d v="2024-07-24T00:00:00"/>
    <s v="0.671982463071994"/>
    <n v="0.67198246307199405"/>
    <n v="0.67198246307199405"/>
  </r>
  <r>
    <x v="402"/>
    <s v="0.14739200263034"/>
    <d v="2024-07-21T00:00:00"/>
    <s v="0.14739200263034"/>
    <n v="0.14739200263034"/>
    <n v="0.14739200263034"/>
  </r>
  <r>
    <x v="403"/>
    <s v="0.0749210727852125"/>
    <d v="2024-05-17T00:00:00"/>
    <s v="0.0749210727852125"/>
    <n v="7.4921072785212497E-2"/>
    <n v="7.4921072785212497E-2"/>
  </r>
  <r>
    <x v="403"/>
    <s v="0.15659149035352"/>
    <d v="2024-01-23T00:00:00"/>
    <s v="0.15659149035352"/>
    <n v="0.15659149035351999"/>
    <n v="0.15659149035351999"/>
  </r>
  <r>
    <x v="403"/>
    <s v="0.175687026117163"/>
    <d v="2024-05-29T00:00:00"/>
    <s v="0.175687026117163"/>
    <n v="0.175687026117163"/>
    <n v="0.175687026117163"/>
  </r>
  <r>
    <x v="404"/>
    <s v="0.114740855006304"/>
    <d v="2024-02-26T00:00:00"/>
    <s v="0.114740855006304"/>
    <n v="0.114740855006304"/>
    <n v="0.114740855006304"/>
  </r>
  <r>
    <x v="404"/>
    <s v="0.143674327140165"/>
    <d v="2024-08-18T00:00:00"/>
    <s v="0.143674327140165"/>
    <n v="0.14367432714016501"/>
    <n v="0.14367432714016501"/>
  </r>
  <r>
    <x v="405"/>
    <s v="0.0691330639906189"/>
    <d v="2024-11-03T00:00:00"/>
    <s v="0.0691330639906189"/>
    <n v="6.9133063990618901E-2"/>
    <n v="6.9133063990618901E-2"/>
  </r>
  <r>
    <x v="405"/>
    <s v="0.182910613245308"/>
    <d v="2024-09-07T00:00:00"/>
    <s v="0.182910613245308"/>
    <n v="0.182910613245308"/>
    <n v="0.182910613245308"/>
  </r>
  <r>
    <x v="405"/>
    <s v="0.121984918742789"/>
    <d v="2024-02-08T00:00:00"/>
    <s v="0.121984918742789"/>
    <n v="0.12198491874278899"/>
    <n v="0.12198491874278899"/>
  </r>
  <r>
    <x v="406"/>
    <s v="0.0707413652356417"/>
    <d v="2024-09-04T00:00:00"/>
    <s v="0.0707413652356417"/>
    <n v="7.0741365235641701E-2"/>
    <n v="7.0741365235641701E-2"/>
  </r>
  <r>
    <x v="407"/>
    <s v="0.22030373867517"/>
    <d v="2024-06-11T00:00:00"/>
    <s v="0.22030373867517"/>
    <n v="0.22030373867517"/>
    <n v="0.22030373867517"/>
  </r>
  <r>
    <x v="408"/>
    <s v="0.12376484638095"/>
    <d v="2024-11-23T00:00:00"/>
    <s v="0.12376484638095"/>
    <n v="0.12376484638095001"/>
    <n v="0.12376484638095001"/>
  </r>
  <r>
    <x v="408"/>
    <s v="0.0452329402282281"/>
    <d v="2024-03-07T00:00:00"/>
    <s v="0.0452329402282281"/>
    <n v="4.5232940228228102E-2"/>
    <n v="4.5232940228228102E-2"/>
  </r>
  <r>
    <x v="409"/>
    <s v="0.116134026662027"/>
    <d v="2024-04-07T00:00:00"/>
    <s v="0.116134026662027"/>
    <n v="0.116134026662027"/>
    <n v="0.116134026662027"/>
  </r>
  <r>
    <x v="409"/>
    <s v="0.0158344417972363"/>
    <d v="2024-07-20T00:00:00"/>
    <s v="0.0158344417972363"/>
    <n v="1.5834441797236299E-2"/>
    <n v="1.5834441797236299E-2"/>
  </r>
  <r>
    <x v="409"/>
    <s v="0.327261786389997"/>
    <d v="2024-01-04T00:00:00"/>
    <s v="0.327261786389997"/>
    <n v="0.32726178638999698"/>
    <n v="0.32726178638999698"/>
  </r>
  <r>
    <x v="410"/>
    <s v="0.170733680602294"/>
    <d v="2024-07-09T00:00:00"/>
    <s v="0.170733680602294"/>
    <n v="0.17073368060229399"/>
    <n v="0.17073368060229399"/>
  </r>
  <r>
    <x v="410"/>
    <s v="0.363059550222417"/>
    <d v="2024-09-03T00:00:00"/>
    <s v="0.363059550222417"/>
    <n v="0.36305955022241698"/>
    <n v="0.36305955022241698"/>
  </r>
  <r>
    <x v="410"/>
    <s v="0.106900888927197"/>
    <d v="2024-11-17T00:00:00"/>
    <s v="0.106900888927197"/>
    <n v="0.106900888927197"/>
    <n v="0.106900888927197"/>
  </r>
  <r>
    <x v="411"/>
    <s v="0.21521584387922"/>
    <d v="2024-07-31T00:00:00"/>
    <s v="0.21521584387922"/>
    <n v="0.21521584387921999"/>
    <n v="0.21521584387921999"/>
  </r>
  <r>
    <x v="411"/>
    <s v="0.112566659102318"/>
    <d v="2024-10-05T00:00:00"/>
    <s v="0.112566659102318"/>
    <n v="0.112566659102318"/>
    <n v="0.112566659102318"/>
  </r>
  <r>
    <x v="412"/>
    <s v="0.125464634947576"/>
    <d v="2024-10-17T00:00:00"/>
    <s v="0.125464634947576"/>
    <n v="0.12546463494757601"/>
    <n v="0.12546463494757601"/>
  </r>
  <r>
    <x v="412"/>
    <s v="0.0849442594023436"/>
    <d v="2024-12-28T00:00:00"/>
    <s v="0.0849442594023436"/>
    <n v="8.4944259402343597E-2"/>
    <n v="8.4944259402343597E-2"/>
  </r>
  <r>
    <x v="412"/>
    <s v="0.277070234228488"/>
    <d v="2024-06-09T00:00:00"/>
    <s v="0.277070234228488"/>
    <n v="0.27707023422848798"/>
    <n v="0.27707023422848798"/>
  </r>
  <r>
    <x v="413"/>
    <s v="0.224506419432837"/>
    <d v="2024-12-18T00:00:00"/>
    <s v="0.224506419432837"/>
    <n v="0.224506419432837"/>
    <n v="0.224506419432837"/>
  </r>
  <r>
    <x v="413"/>
    <s v="0.261244033544569"/>
    <d v="2024-03-03T00:00:00"/>
    <s v="0.261244033544569"/>
    <n v="0.26124403354456899"/>
    <n v="0.26124403354456899"/>
  </r>
  <r>
    <x v="414"/>
    <s v="0.0285770208756375"/>
    <d v="2024-08-11T00:00:00"/>
    <s v="0.0285770208756375"/>
    <n v="2.8577020875637502E-2"/>
    <n v="2.8577020875637502E-2"/>
  </r>
  <r>
    <x v="414"/>
    <s v="0.0477214398405757"/>
    <d v="2024-03-01T00:00:00"/>
    <s v="0.0477214398405757"/>
    <n v="4.7721439840575697E-2"/>
    <n v="4.7721439840575697E-2"/>
  </r>
  <r>
    <x v="414"/>
    <s v="0.123173779262851"/>
    <d v="2024-07-11T00:00:00"/>
    <s v="0.123173779262851"/>
    <n v="0.123173779262851"/>
    <n v="0.123173779262851"/>
  </r>
  <r>
    <x v="415"/>
    <s v="0.169546571490976"/>
    <d v="2024-10-30T00:00:00"/>
    <s v="0.169546571490976"/>
    <n v="0.16954657149097599"/>
    <n v="0.16954657149097599"/>
  </r>
  <r>
    <x v="415"/>
    <s v="0.0954076233921743"/>
    <d v="2024-11-22T00:00:00"/>
    <s v="0.0954076233921743"/>
    <n v="9.5407623392174304E-2"/>
    <n v="9.5407623392174304E-2"/>
  </r>
  <r>
    <x v="415"/>
    <s v="0.0783599205939336"/>
    <d v="2024-09-04T00:00:00"/>
    <s v="0.0783599205939336"/>
    <n v="7.8359920593933596E-2"/>
    <n v="7.8359920593933596E-2"/>
  </r>
  <r>
    <x v="416"/>
    <s v="0.114176145462586"/>
    <d v="2024-11-21T00:00:00"/>
    <s v="0.114176145462586"/>
    <n v="0.114176145462586"/>
    <n v="0.114176145462586"/>
  </r>
  <r>
    <x v="416"/>
    <s v="0.300840728519596"/>
    <d v="2024-03-09T00:00:00"/>
    <s v="0.300840728519596"/>
    <n v="0.30084072851959598"/>
    <n v="0.30084072851959598"/>
  </r>
  <r>
    <x v="416"/>
    <s v="0.244861162312463"/>
    <d v="2024-05-04T00:00:00"/>
    <s v="0.244861162312463"/>
    <n v="0.24486116231246299"/>
    <n v="0.24486116231246299"/>
  </r>
  <r>
    <x v="417"/>
    <s v="0.0782507223744175"/>
    <d v="2024-02-11T00:00:00"/>
    <s v="0.0782507223744175"/>
    <n v="7.8250722374417506E-2"/>
    <n v="7.8250722374417506E-2"/>
  </r>
  <r>
    <x v="417"/>
    <s v="0.132150168728326"/>
    <d v="2024-08-05T00:00:00"/>
    <s v="0.132150168728326"/>
    <n v="0.132150168728326"/>
    <n v="0.132150168728326"/>
  </r>
  <r>
    <x v="418"/>
    <s v="0.194494967850528"/>
    <d v="2024-11-26T00:00:00"/>
    <s v="0.194494967850528"/>
    <n v="0.194494967850528"/>
    <n v="0.194494967850528"/>
  </r>
  <r>
    <x v="418"/>
    <s v="0.0412957302990659"/>
    <d v="2024-01-20T00:00:00"/>
    <s v="0.0412957302990659"/>
    <n v="4.12957302990659E-2"/>
    <n v="4.12957302990659E-2"/>
  </r>
  <r>
    <x v="419"/>
    <s v="0.0712571632706913"/>
    <d v="2024-11-02T00:00:00"/>
    <s v="0.0712571632706913"/>
    <n v="7.1257163270691301E-2"/>
    <n v="7.1257163270691301E-2"/>
  </r>
  <r>
    <x v="419"/>
    <s v="0.183242027303886"/>
    <d v="2024-06-02T00:00:00"/>
    <s v="0.183242027303886"/>
    <n v="0.183242027303886"/>
    <n v="0.183242027303886"/>
  </r>
  <r>
    <x v="419"/>
    <s v="0.0269387418293125"/>
    <d v="2024-10-02T00:00:00"/>
    <s v="0.0269387418293125"/>
    <n v="2.6938741829312499E-2"/>
    <n v="2.6938741829312499E-2"/>
  </r>
  <r>
    <x v="420"/>
    <s v="0.273419937718551"/>
    <d v="2024-10-29T00:00:00"/>
    <s v="0.273419937718551"/>
    <n v="0.273419937718551"/>
    <n v="0.273419937718551"/>
  </r>
  <r>
    <x v="421"/>
    <s v="0.0877456337420858"/>
    <d v="2024-09-18T00:00:00"/>
    <s v="0.0877456337420858"/>
    <n v="8.7745633742085799E-2"/>
    <n v="8.7745633742085799E-2"/>
  </r>
  <r>
    <x v="421"/>
    <s v="0.458479091125936"/>
    <d v="2024-03-20T00:00:00"/>
    <s v="0.458479091125936"/>
    <n v="0.45847909112593599"/>
    <n v="0.45847909112593599"/>
  </r>
  <r>
    <x v="422"/>
    <s v="0.187387683684675"/>
    <d v="2024-11-30T00:00:00"/>
    <s v="0.187387683684675"/>
    <n v="0.18738768368467501"/>
    <n v="0.18738768368467501"/>
  </r>
  <r>
    <x v="423"/>
    <s v="0.269857060541112"/>
    <d v="2024-09-17T00:00:00"/>
    <s v="0.269857060541112"/>
    <n v="0.26985706054111203"/>
    <n v="0.26985706054111203"/>
  </r>
  <r>
    <x v="423"/>
    <s v="0.233408272147714"/>
    <d v="2024-06-29T00:00:00"/>
    <s v="0.233408272147714"/>
    <n v="0.23340827214771401"/>
    <n v="0.23340827214771401"/>
  </r>
  <r>
    <x v="423"/>
    <s v="0.179728895723683"/>
    <d v="2024-08-18T00:00:00"/>
    <s v="0.179728895723683"/>
    <n v="0.179728895723683"/>
    <n v="0.179728895723683"/>
  </r>
  <r>
    <x v="424"/>
    <s v="0.00569807810985312"/>
    <d v="2024-03-18T00:00:00"/>
    <s v="0.00569807810985312"/>
    <n v="5.6980781098531202E-3"/>
    <n v="5.6980781098531202E-3"/>
  </r>
  <r>
    <x v="424"/>
    <s v="0.309874390341804"/>
    <d v="2024-11-17T00:00:00"/>
    <s v="0.309874390341804"/>
    <n v="0.30987439034180397"/>
    <n v="0.30987439034180397"/>
  </r>
  <r>
    <x v="424"/>
    <s v="0.446362728666577"/>
    <d v="2024-04-26T00:00:00"/>
    <s v="0.446362728666577"/>
    <n v="0.446362728666577"/>
    <n v="0.446362728666577"/>
  </r>
  <r>
    <x v="425"/>
    <s v="0.0237486004954905"/>
    <d v="2024-08-22T00:00:00"/>
    <s v="0.0237486004954905"/>
    <n v="2.3748600495490501E-2"/>
    <n v="2.3748600495490501E-2"/>
  </r>
  <r>
    <x v="425"/>
    <s v="0.0670425880559696"/>
    <d v="2024-07-07T00:00:00"/>
    <s v="0.0670425880559696"/>
    <n v="6.7042588055969604E-2"/>
    <n v="6.7042588055969604E-2"/>
  </r>
  <r>
    <x v="426"/>
    <s v="0.177562595261153"/>
    <d v="2024-10-01T00:00:00"/>
    <s v="0.177562595261153"/>
    <n v="0.17756259526115301"/>
    <n v="0.17756259526115301"/>
  </r>
  <r>
    <x v="426"/>
    <s v="0.0545350128064577"/>
    <d v="2024-12-16T00:00:00"/>
    <s v="0.0545350128064577"/>
    <n v="5.45350128064577E-2"/>
    <n v="5.45350128064577E-2"/>
  </r>
  <r>
    <x v="427"/>
    <s v="0.0767090271918752"/>
    <d v="2024-12-13T00:00:00"/>
    <s v="0.0767090271918752"/>
    <n v="7.6709027191875195E-2"/>
    <n v="7.6709027191875195E-2"/>
  </r>
  <r>
    <x v="427"/>
    <s v="0.111148076664935"/>
    <d v="2024-01-01T00:00:00"/>
    <s v="0.111148076664935"/>
    <n v="0.11114807666493499"/>
    <n v="0.11114807666493499"/>
  </r>
  <r>
    <x v="427"/>
    <s v="0.194364907402171"/>
    <d v="2024-11-03T00:00:00"/>
    <s v="0.194364907402171"/>
    <n v="0.19436490740217099"/>
    <n v="0.19436490740217099"/>
  </r>
  <r>
    <x v="428"/>
    <s v="0.255010133506722"/>
    <d v="2024-01-02T00:00:00"/>
    <s v="0.255010133506722"/>
    <n v="0.25501013350672203"/>
    <n v="0.25501013350672203"/>
  </r>
  <r>
    <x v="428"/>
    <s v="0.282725186188888"/>
    <d v="2024-02-26T00:00:00"/>
    <s v="0.282725186188888"/>
    <n v="0.28272518618888798"/>
    <n v="0.28272518618888798"/>
  </r>
  <r>
    <x v="428"/>
    <s v="0.28096551950149"/>
    <d v="2024-07-08T00:00:00"/>
    <s v="0.28096551950149"/>
    <n v="0.28096551950149001"/>
    <n v="0.28096551950149001"/>
  </r>
  <r>
    <x v="429"/>
    <s v="0.0752308634862764"/>
    <d v="2024-04-24T00:00:00"/>
    <s v="0.0752308634862764"/>
    <n v="7.5230863486276403E-2"/>
    <n v="7.5230863486276403E-2"/>
  </r>
  <r>
    <x v="429"/>
    <s v="0.136642127490402"/>
    <d v="2024-10-13T00:00:00"/>
    <s v="0.136642127490402"/>
    <n v="0.136642127490402"/>
    <n v="0.136642127490402"/>
  </r>
  <r>
    <x v="429"/>
    <s v="0.0174772877747859"/>
    <d v="2024-10-12T00:00:00"/>
    <s v="0.0174772877747859"/>
    <n v="1.74772877747859E-2"/>
    <n v="1.74772877747859E-2"/>
  </r>
  <r>
    <x v="429"/>
    <s v="0.50078769973396"/>
    <d v="2024-01-28T00:00:00"/>
    <s v="0.50078769973396"/>
    <n v="0.50078769973395998"/>
    <n v="0.50078769973395998"/>
  </r>
  <r>
    <x v="430"/>
    <s v="0.259368999209643"/>
    <d v="2024-07-14T00:00:00"/>
    <s v="0.259368999209643"/>
    <n v="0.25936899920964301"/>
    <n v="0.25936899920964301"/>
  </r>
  <r>
    <x v="430"/>
    <s v="0.0795867920976142"/>
    <d v="2024-11-13T00:00:00"/>
    <s v="0.0795867920976142"/>
    <n v="7.9586792097614198E-2"/>
    <n v="7.9586792097614198E-2"/>
  </r>
  <r>
    <x v="430"/>
    <s v="0.28880039131041"/>
    <d v="2024-07-22T00:00:00"/>
    <s v="0.28880039131041"/>
    <n v="0.28880039131041002"/>
    <n v="0.28880039131041002"/>
  </r>
  <r>
    <x v="431"/>
    <s v="0.181771148153336"/>
    <d v="2024-09-02T00:00:00"/>
    <s v="0.181771148153336"/>
    <n v="0.181771148153336"/>
    <n v="0.181771148153336"/>
  </r>
  <r>
    <x v="432"/>
    <s v="0.0905281241428601"/>
    <d v="2024-01-14T00:00:00"/>
    <s v="0.0905281241428601"/>
    <n v="9.05281241428601E-2"/>
    <n v="9.05281241428601E-2"/>
  </r>
  <r>
    <x v="433"/>
    <s v="0.276519897205073"/>
    <d v="2024-12-10T00:00:00"/>
    <s v="0.276519897205073"/>
    <n v="0.27651989720507297"/>
    <n v="0.27651989720507297"/>
  </r>
  <r>
    <x v="434"/>
    <s v="0.0886631193209926"/>
    <d v="2024-06-08T00:00:00"/>
    <s v="0.0886631193209926"/>
    <n v="8.8663119320992606E-2"/>
    <n v="8.8663119320992606E-2"/>
  </r>
  <r>
    <x v="434"/>
    <s v="0.134841654579334"/>
    <d v="2024-10-09T00:00:00"/>
    <s v="0.134841654579334"/>
    <n v="0.134841654579334"/>
    <n v="0.134841654579334"/>
  </r>
  <r>
    <x v="434"/>
    <s v="0.0998008822452311"/>
    <d v="2024-05-04T00:00:00"/>
    <s v="0.0998008822452311"/>
    <n v="9.9800882245231107E-2"/>
    <n v="9.9800882245231107E-2"/>
  </r>
  <r>
    <x v="435"/>
    <s v="0.102731025297677"/>
    <d v="2024-01-01T00:00:00"/>
    <s v="0.102731025297677"/>
    <n v="0.102731025297677"/>
    <n v="0.102731025297677"/>
  </r>
  <r>
    <x v="435"/>
    <s v="0.137606272680645"/>
    <d v="2024-11-15T00:00:00"/>
    <s v="0.137606272680645"/>
    <n v="0.13760627268064499"/>
    <n v="0.13760627268064499"/>
  </r>
  <r>
    <x v="435"/>
    <s v="0.224949944858989"/>
    <d v="2024-06-10T00:00:00"/>
    <s v="0.224949944858989"/>
    <n v="0.224949944858989"/>
    <n v="0.224949944858989"/>
  </r>
  <r>
    <x v="436"/>
    <s v="0.0902703457901647"/>
    <d v="2024-05-24T00:00:00"/>
    <s v="0.0902703457901647"/>
    <n v="9.0270345790164699E-2"/>
    <n v="9.0270345790164699E-2"/>
  </r>
  <r>
    <x v="436"/>
    <s v="0.0353576721057789"/>
    <d v="2024-12-19T00:00:00"/>
    <s v="0.0353576721057789"/>
    <n v="3.5357672105778899E-2"/>
    <n v="3.5357672105778899E-2"/>
  </r>
  <r>
    <x v="437"/>
    <s v="0.434239240447385"/>
    <d v="2024-09-26T00:00:00"/>
    <s v="0.434239240447385"/>
    <n v="0.43423924044738499"/>
    <n v="0.43423924044738499"/>
  </r>
  <r>
    <x v="437"/>
    <s v="0.20750501787903"/>
    <d v="2024-09-07T00:00:00"/>
    <s v="0.20750501787903"/>
    <n v="0.20750501787903"/>
    <n v="0.20750501787903"/>
  </r>
  <r>
    <x v="438"/>
    <s v="0.178743359358657"/>
    <d v="2024-08-07T00:00:00"/>
    <s v="0.178743359358657"/>
    <n v="0.17874335935865701"/>
    <n v="0.17874335935865701"/>
  </r>
  <r>
    <x v="438"/>
    <s v="0.148326068812662"/>
    <d v="2024-11-10T00:00:00"/>
    <s v="0.148326068812662"/>
    <n v="0.148326068812662"/>
    <n v="0.148326068812662"/>
  </r>
  <r>
    <x v="438"/>
    <s v="0.605882869892196"/>
    <d v="2024-10-04T00:00:00"/>
    <s v="0.605882869892196"/>
    <n v="0.60588286989219597"/>
    <n v="0.60588286989219597"/>
  </r>
  <r>
    <x v="439"/>
    <s v="0.102366919154098"/>
    <d v="2024-11-21T00:00:00"/>
    <s v="0.102366919154098"/>
    <n v="0.102366919154098"/>
    <n v="0.102366919154098"/>
  </r>
  <r>
    <x v="439"/>
    <s v="0.0509414564039466"/>
    <d v="2024-06-10T00:00:00"/>
    <s v="0.0509414564039466"/>
    <n v="5.0941456403946601E-2"/>
    <n v="5.0941456403946601E-2"/>
  </r>
  <r>
    <x v="440"/>
    <s v="0.121728723565742"/>
    <d v="2024-03-12T00:00:00"/>
    <s v="0.121728723565742"/>
    <n v="0.12172872356574201"/>
    <n v="0.12172872356574201"/>
  </r>
  <r>
    <x v="440"/>
    <s v="0.0212400879762668"/>
    <d v="2024-05-13T00:00:00"/>
    <s v="0.0212400879762668"/>
    <n v="2.1240087976266801E-2"/>
    <n v="2.1240087976266801E-2"/>
  </r>
  <r>
    <x v="440"/>
    <s v="0.13218243313979"/>
    <d v="2024-06-02T00:00:00"/>
    <s v="0.13218243313979"/>
    <n v="0.13218243313979"/>
    <n v="0.13218243313979"/>
  </r>
  <r>
    <x v="441"/>
    <s v="0.245963884523851"/>
    <d v="2024-05-27T00:00:00"/>
    <s v="0.245963884523851"/>
    <n v="0.24596388452385101"/>
    <n v="0.24596388452385101"/>
  </r>
  <r>
    <x v="441"/>
    <s v="0.147452898149246"/>
    <d v="2024-05-31T00:00:00"/>
    <s v="0.147452898149246"/>
    <n v="0.147452898149246"/>
    <n v="0.147452898149246"/>
  </r>
  <r>
    <x v="441"/>
    <s v="0.159242118195914"/>
    <d v="2024-12-08T00:00:00"/>
    <s v="0.159242118195914"/>
    <n v="0.159242118195914"/>
    <n v="0.159242118195914"/>
  </r>
  <r>
    <x v="442"/>
    <s v="0.0432967216078666"/>
    <d v="2024-12-20T00:00:00"/>
    <s v="0.0432967216078666"/>
    <n v="4.3296721607866601E-2"/>
    <n v="4.3296721607866601E-2"/>
  </r>
  <r>
    <x v="442"/>
    <s v="0.0977417173394391"/>
    <d v="2024-01-15T00:00:00"/>
    <s v="0.0977417173394391"/>
    <n v="9.7741717339439094E-2"/>
    <n v="9.7741717339439094E-2"/>
  </r>
  <r>
    <x v="443"/>
    <s v="0.0886627206895952"/>
    <d v="2024-06-09T00:00:00"/>
    <s v="0.0886627206895952"/>
    <n v="8.8662720689595201E-2"/>
    <n v="8.8662720689595201E-2"/>
  </r>
  <r>
    <x v="443"/>
    <s v="0.174128542348124"/>
    <d v="2024-05-20T00:00:00"/>
    <s v="0.174128542348124"/>
    <n v="0.174128542348124"/>
    <n v="0.174128542348124"/>
  </r>
  <r>
    <x v="443"/>
    <s v="0.147549976833413"/>
    <d v="2024-01-01T00:00:00"/>
    <s v="0.147549976833413"/>
    <n v="0.147549976833413"/>
    <n v="0.147549976833413"/>
  </r>
  <r>
    <x v="444"/>
    <s v="0.197314979330983"/>
    <d v="2024-03-04T00:00:00"/>
    <s v="0.197314979330983"/>
    <n v="0.19731497933098299"/>
    <n v="0.19731497933098299"/>
  </r>
  <r>
    <x v="445"/>
    <s v="0.0438397146204627"/>
    <d v="2024-03-23T00:00:00"/>
    <s v="0.0438397146204627"/>
    <n v="4.3839714620462697E-2"/>
    <n v="4.3839714620462697E-2"/>
  </r>
  <r>
    <x v="445"/>
    <s v="0.131282402956356"/>
    <d v="2024-11-14T00:00:00"/>
    <s v="0.131282402956356"/>
    <n v="0.13128240295635599"/>
    <n v="0.13128240295635599"/>
  </r>
  <r>
    <x v="445"/>
    <s v="0.120796776564893"/>
    <d v="2024-10-17T00:00:00"/>
    <s v="0.120796776564893"/>
    <n v="0.120796776564893"/>
    <n v="0.120796776564893"/>
  </r>
  <r>
    <x v="446"/>
    <s v="0.0429207487603883"/>
    <d v="2024-06-02T00:00:00"/>
    <s v="0.0429207487603883"/>
    <n v="4.2920748760388303E-2"/>
    <n v="4.2920748760388303E-2"/>
  </r>
  <r>
    <x v="447"/>
    <s v="0.353250052970137"/>
    <d v="2024-01-05T00:00:00"/>
    <s v="0.353250052970137"/>
    <n v="0.35325005297013701"/>
    <n v="0.35325005297013701"/>
  </r>
  <r>
    <x v="447"/>
    <s v="0.181044152615134"/>
    <d v="2024-01-22T00:00:00"/>
    <s v="0.181044152615134"/>
    <n v="0.18104415261513401"/>
    <n v="0.18104415261513401"/>
  </r>
  <r>
    <x v="448"/>
    <s v="0.166546414091354"/>
    <d v="2024-05-10T00:00:00"/>
    <s v="0.166546414091354"/>
    <n v="0.16654641409135401"/>
    <n v="0.16654641409135401"/>
  </r>
  <r>
    <x v="449"/>
    <s v="0.152023109206139"/>
    <d v="2024-03-28T00:00:00"/>
    <s v="0.152023109206139"/>
    <n v="0.15202310920613901"/>
    <n v="0.15202310920613901"/>
  </r>
  <r>
    <x v="449"/>
    <s v="0.218876160007369"/>
    <d v="2024-09-02T00:00:00"/>
    <s v="0.218876160007369"/>
    <n v="0.21887616000736901"/>
    <n v="0.21887616000736901"/>
  </r>
  <r>
    <x v="450"/>
    <s v="0.291092218281685"/>
    <d v="2024-11-01T00:00:00"/>
    <s v="0.291092218281685"/>
    <n v="0.29109221828168502"/>
    <n v="0.29109221828168502"/>
  </r>
  <r>
    <x v="450"/>
    <s v="0.132200288010914"/>
    <d v="2024-05-26T00:00:00"/>
    <s v="0.132200288010914"/>
    <n v="0.13220028801091399"/>
    <n v="0.13220028801091399"/>
  </r>
  <r>
    <x v="451"/>
    <s v="0.190676620733427"/>
    <d v="2024-02-07T00:00:00"/>
    <s v="0.190676620733427"/>
    <n v="0.190676620733427"/>
    <n v="0.190676620733427"/>
  </r>
  <r>
    <x v="451"/>
    <s v="0.307701769272346"/>
    <d v="2024-06-29T00:00:00"/>
    <s v="0.307701769272346"/>
    <n v="0.30770176927234599"/>
    <n v="0.30770176927234599"/>
  </r>
  <r>
    <x v="452"/>
    <s v="0.0397979430013424"/>
    <d v="2024-07-31T00:00:00"/>
    <s v="0.0397979430013424"/>
    <n v="3.9797943001342401E-2"/>
    <n v="3.9797943001342401E-2"/>
  </r>
  <r>
    <x v="452"/>
    <s v="0.0355271506641742"/>
    <d v="2024-09-22T00:00:00"/>
    <s v="0.0355271506641742"/>
    <n v="3.5527150664174202E-2"/>
    <n v="3.5527150664174202E-2"/>
  </r>
  <r>
    <x v="452"/>
    <s v="0.0790381860812429"/>
    <d v="2024-05-23T00:00:00"/>
    <s v="0.0790381860812429"/>
    <n v="7.9038186081242898E-2"/>
    <n v="7.9038186081242898E-2"/>
  </r>
  <r>
    <x v="452"/>
    <s v="0.0618947129401471"/>
    <d v="2024-08-24T00:00:00"/>
    <s v="0.0618947129401471"/>
    <n v="6.1894712940147097E-2"/>
    <n v="6.1894712940147097E-2"/>
  </r>
  <r>
    <x v="453"/>
    <s v="0.157640497115221"/>
    <d v="2024-03-14T00:00:00"/>
    <s v="0.157640497115221"/>
    <n v="0.15764049711522099"/>
    <n v="0.15764049711522099"/>
  </r>
  <r>
    <x v="453"/>
    <s v="0.253516531766483"/>
    <d v="2024-12-02T00:00:00"/>
    <s v="0.253516531766483"/>
    <n v="0.25351653176648298"/>
    <n v="0.25351653176648298"/>
  </r>
  <r>
    <x v="453"/>
    <s v="0.0722345773449415"/>
    <d v="2024-03-05T00:00:00"/>
    <s v="0.0722345773449415"/>
    <n v="7.22345773449415E-2"/>
    <n v="7.22345773449415E-2"/>
  </r>
  <r>
    <x v="454"/>
    <s v="0.0371067918121443"/>
    <d v="2024-05-09T00:00:00"/>
    <s v="0.0371067918121443"/>
    <n v="3.7106791812144303E-2"/>
    <n v="3.7106791812144303E-2"/>
  </r>
  <r>
    <x v="454"/>
    <s v="0.278847224856641"/>
    <d v="2024-10-19T00:00:00"/>
    <s v="0.278847224856641"/>
    <n v="0.27884722485664099"/>
    <n v="0.27884722485664099"/>
  </r>
  <r>
    <x v="455"/>
    <s v="0.204174775661175"/>
    <d v="2024-07-08T00:00:00"/>
    <s v="0.204174775661175"/>
    <n v="0.20417477566117501"/>
    <n v="0.20417477566117501"/>
  </r>
  <r>
    <x v="455"/>
    <s v="0.259713126710288"/>
    <d v="2024-08-25T00:00:00"/>
    <s v="0.259713126710288"/>
    <n v="0.25971312671028801"/>
    <n v="0.25971312671028801"/>
  </r>
  <r>
    <x v="455"/>
    <s v="0.229471392774484"/>
    <d v="2024-10-18T00:00:00"/>
    <s v="0.229471392774484"/>
    <n v="0.229471392774484"/>
    <n v="0.229471392774484"/>
  </r>
  <r>
    <x v="456"/>
    <s v="0.0809019991137023"/>
    <d v="2024-07-06T00:00:00"/>
    <s v="0.0809019991137023"/>
    <n v="8.09019991137023E-2"/>
    <n v="8.09019991137023E-2"/>
  </r>
  <r>
    <x v="457"/>
    <s v="0.0830210894192994"/>
    <d v="2024-03-07T00:00:00"/>
    <s v="0.0830210894192994"/>
    <n v="8.3021089419299393E-2"/>
    <n v="8.3021089419299393E-2"/>
  </r>
  <r>
    <x v="457"/>
    <s v="0.0776092815721064"/>
    <d v="2024-05-04T00:00:00"/>
    <s v="0.0776092815721064"/>
    <n v="7.7609281572106406E-2"/>
    <n v="7.7609281572106406E-2"/>
  </r>
  <r>
    <x v="457"/>
    <s v="0.165337160631565"/>
    <d v="2024-01-24T00:00:00"/>
    <s v="0.165337160631565"/>
    <n v="0.16533716063156501"/>
    <n v="0.16533716063156501"/>
  </r>
  <r>
    <x v="458"/>
    <s v="0.533040823868727"/>
    <d v="2024-11-11T00:00:00"/>
    <s v="0.533040823868727"/>
    <n v="0.53304082386872698"/>
    <n v="0.53304082386872698"/>
  </r>
  <r>
    <x v="458"/>
    <s v="0.0860442467952475"/>
    <d v="2024-11-05T00:00:00"/>
    <s v="0.0860442467952475"/>
    <n v="8.6044246795247498E-2"/>
    <n v="8.6044246795247498E-2"/>
  </r>
  <r>
    <x v="459"/>
    <s v="0.372838041859352"/>
    <d v="2024-03-29T00:00:00"/>
    <s v="0.372838041859352"/>
    <n v="0.37283804185935199"/>
    <n v="0.37283804185935199"/>
  </r>
  <r>
    <x v="460"/>
    <s v="0.387547263290331"/>
    <d v="2024-01-21T00:00:00"/>
    <s v="0.387547263290331"/>
    <n v="0.38754726329033101"/>
    <n v="0.38754726329033101"/>
  </r>
  <r>
    <x v="460"/>
    <s v="0.0471343935482631"/>
    <d v="2024-01-04T00:00:00"/>
    <s v="0.0471343935482631"/>
    <n v="4.7134393548263098E-2"/>
    <n v="4.7134393548263098E-2"/>
  </r>
  <r>
    <x v="460"/>
    <s v="0.318132171579077"/>
    <d v="2024-02-16T00:00:00"/>
    <s v="0.318132171579077"/>
    <n v="0.31813217157907703"/>
    <n v="0.31813217157907703"/>
  </r>
  <r>
    <x v="461"/>
    <s v="0.0819217131342786"/>
    <d v="2024-04-06T00:00:00"/>
    <s v="0.0819217131342786"/>
    <n v="8.1921713134278595E-2"/>
    <n v="8.1921713134278595E-2"/>
  </r>
  <r>
    <x v="461"/>
    <s v="0.210437095405184"/>
    <d v="2024-12-12T00:00:00"/>
    <s v="0.210437095405184"/>
    <n v="0.21043709540518399"/>
    <n v="0.21043709540518399"/>
  </r>
  <r>
    <x v="461"/>
    <s v="0.0359548337640242"/>
    <d v="2024-01-08T00:00:00"/>
    <s v="0.0359548337640242"/>
    <n v="3.5954833764024197E-2"/>
    <n v="3.5954833764024197E-2"/>
  </r>
  <r>
    <x v="462"/>
    <s v="0.0931109303712491"/>
    <d v="2024-04-05T00:00:00"/>
    <s v="0.0931109303712491"/>
    <n v="9.3110930371249095E-2"/>
    <n v="9.3110930371249095E-2"/>
  </r>
  <r>
    <x v="462"/>
    <s v="0.111342024040837"/>
    <d v="2024-04-24T00:00:00"/>
    <s v="0.111342024040837"/>
    <n v="0.111342024040837"/>
    <n v="0.111342024040837"/>
  </r>
  <r>
    <x v="463"/>
    <s v="0.14490593934421"/>
    <d v="2024-01-16T00:00:00"/>
    <s v="0.14490593934421"/>
    <n v="0.14490593934421001"/>
    <n v="0.14490593934421001"/>
  </r>
  <r>
    <x v="463"/>
    <s v="0.114802831310502"/>
    <d v="2024-01-30T00:00:00"/>
    <s v="0.114802831310502"/>
    <n v="0.11480283131050199"/>
    <n v="0.11480283131050199"/>
  </r>
  <r>
    <x v="464"/>
    <s v="0.144683694710279"/>
    <d v="2024-08-24T00:00:00"/>
    <s v="0.144683694710279"/>
    <n v="0.144683694710279"/>
    <n v="0.144683694710279"/>
  </r>
  <r>
    <x v="465"/>
    <s v="0.327059940812264"/>
    <d v="2024-04-19T00:00:00"/>
    <s v="0.327059940812264"/>
    <n v="0.32705994081226403"/>
    <n v="0.32705994081226403"/>
  </r>
  <r>
    <x v="465"/>
    <s v="0.175055822278586"/>
    <d v="2024-09-07T00:00:00"/>
    <s v="0.175055822278586"/>
    <n v="0.17505582227858599"/>
    <n v="0.17505582227858599"/>
  </r>
  <r>
    <x v="465"/>
    <s v="0.306506932575317"/>
    <d v="2024-01-29T00:00:00"/>
    <s v="0.306506932575317"/>
    <n v="0.30650693257531703"/>
    <n v="0.30650693257531703"/>
  </r>
  <r>
    <x v="465"/>
    <s v="0.407848897635263"/>
    <d v="2024-12-09T00:00:00"/>
    <s v="0.407848897635263"/>
    <n v="0.407848897635263"/>
    <n v="0.407848897635263"/>
  </r>
  <r>
    <x v="466"/>
    <s v="0.13346793189872"/>
    <d v="2024-03-21T00:00:00"/>
    <s v="0.13346793189872"/>
    <n v="0.13346793189872"/>
    <n v="0.13346793189872"/>
  </r>
  <r>
    <x v="466"/>
    <s v="0.0512014763546212"/>
    <d v="2024-05-18T00:00:00"/>
    <s v="0.0512014763546212"/>
    <n v="5.1201476354621203E-2"/>
    <n v="5.1201476354621203E-2"/>
  </r>
  <r>
    <x v="467"/>
    <s v="0.136498003937478"/>
    <d v="2024-03-12T00:00:00"/>
    <s v="0.136498003937478"/>
    <n v="0.13649800393747799"/>
    <n v="0.13649800393747799"/>
  </r>
  <r>
    <x v="467"/>
    <s v="0.125985923539827"/>
    <d v="2024-06-02T00:00:00"/>
    <s v="0.125985923539827"/>
    <n v="0.12598592353982699"/>
    <n v="0.12598592353982699"/>
  </r>
  <r>
    <x v="468"/>
    <s v="0.107639359520403"/>
    <d v="2024-08-29T00:00:00"/>
    <s v="0.107639359520403"/>
    <n v="0.107639359520403"/>
    <n v="0.107639359520403"/>
  </r>
  <r>
    <x v="468"/>
    <s v="0.299951782534341"/>
    <d v="2024-05-27T00:00:00"/>
    <s v="0.299951782534341"/>
    <n v="0.29995178253434102"/>
    <n v="0.29995178253434102"/>
  </r>
  <r>
    <x v="468"/>
    <s v="0.139731661419627"/>
    <d v="2024-08-29T00:00:00"/>
    <s v="0.139731661419627"/>
    <n v="0.13973166141962701"/>
    <n v="0.13973166141962701"/>
  </r>
  <r>
    <x v="469"/>
    <s v="0.186673767721216"/>
    <d v="2024-06-07T00:00:00"/>
    <s v="0.186673767721216"/>
    <n v="0.18667376772121599"/>
    <n v="0.18667376772121599"/>
  </r>
  <r>
    <x v="469"/>
    <s v="0.371607535065213"/>
    <d v="2024-12-29T00:00:00"/>
    <s v="0.371607535065213"/>
    <n v="0.37160753506521299"/>
    <n v="0.37160753506521299"/>
  </r>
  <r>
    <x v="469"/>
    <s v="0.096759566382773"/>
    <d v="2024-11-03T00:00:00"/>
    <s v="0.096759566382773"/>
    <n v="9.6759566382772999E-2"/>
    <n v="9.6759566382772999E-2"/>
  </r>
  <r>
    <x v="470"/>
    <s v="0.0953487508050967"/>
    <d v="2024-04-13T00:00:00"/>
    <s v="0.0953487508050967"/>
    <n v="9.5348750805096694E-2"/>
    <n v="9.5348750805096694E-2"/>
  </r>
  <r>
    <x v="470"/>
    <s v="0.178222967000376"/>
    <d v="2024-03-02T00:00:00"/>
    <s v="0.178222967000376"/>
    <n v="0.17822296700037599"/>
    <n v="0.17822296700037599"/>
  </r>
  <r>
    <x v="470"/>
    <s v="0.112952024686682"/>
    <d v="2024-01-06T00:00:00"/>
    <s v="0.112952024686682"/>
    <n v="0.112952024686682"/>
    <n v="0.112952024686682"/>
  </r>
  <r>
    <x v="470"/>
    <s v="0.144243036903879"/>
    <d v="2024-09-11T00:00:00"/>
    <s v="0.144243036903879"/>
    <n v="0.14424303690387899"/>
    <n v="0.14424303690387899"/>
  </r>
  <r>
    <x v="471"/>
    <s v="0.193605011444575"/>
    <d v="2024-02-19T00:00:00"/>
    <s v="0.193605011444575"/>
    <n v="0.19360501144457501"/>
    <n v="0.19360501144457501"/>
  </r>
  <r>
    <x v="471"/>
    <s v="0.265405618981022"/>
    <d v="2024-07-20T00:00:00"/>
    <s v="0.265405618981022"/>
    <n v="0.265405618981022"/>
    <n v="0.265405618981022"/>
  </r>
  <r>
    <x v="472"/>
    <s v="0.0673330689793272"/>
    <d v="2024-09-21T00:00:00"/>
    <s v="0.0673330689793272"/>
    <n v="6.7333068979327199E-2"/>
    <n v="6.73330689793271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</r>
  <r>
    <n v="2"/>
    <x v="1"/>
  </r>
  <r>
    <n v="3"/>
    <x v="2"/>
  </r>
  <r>
    <n v="4"/>
    <x v="1"/>
  </r>
  <r>
    <n v="5"/>
    <x v="1"/>
  </r>
  <r>
    <n v="6"/>
    <x v="3"/>
  </r>
  <r>
    <n v="7"/>
    <x v="2"/>
  </r>
  <r>
    <n v="8"/>
    <x v="1"/>
  </r>
  <r>
    <n v="9"/>
    <x v="2"/>
  </r>
  <r>
    <n v="10"/>
    <x v="2"/>
  </r>
  <r>
    <n v="12"/>
    <x v="2"/>
  </r>
  <r>
    <n v="13"/>
    <x v="2"/>
  </r>
  <r>
    <n v="14"/>
    <x v="2"/>
  </r>
  <r>
    <n v="15"/>
    <x v="0"/>
  </r>
  <r>
    <n v="16"/>
    <x v="1"/>
  </r>
  <r>
    <n v="17"/>
    <x v="0"/>
  </r>
  <r>
    <n v="18"/>
    <x v="3"/>
  </r>
  <r>
    <n v="19"/>
    <x v="0"/>
  </r>
  <r>
    <n v="20"/>
    <x v="1"/>
  </r>
  <r>
    <n v="21"/>
    <x v="1"/>
  </r>
  <r>
    <n v="22"/>
    <x v="2"/>
  </r>
  <r>
    <n v="23"/>
    <x v="2"/>
  </r>
  <r>
    <n v="25"/>
    <x v="2"/>
  </r>
  <r>
    <n v="26"/>
    <x v="2"/>
  </r>
  <r>
    <n v="27"/>
    <x v="2"/>
  </r>
  <r>
    <n v="28"/>
    <x v="2"/>
  </r>
  <r>
    <n v="29"/>
    <x v="0"/>
  </r>
  <r>
    <n v="30"/>
    <x v="0"/>
  </r>
  <r>
    <n v="32"/>
    <x v="1"/>
  </r>
  <r>
    <n v="33"/>
    <x v="2"/>
  </r>
  <r>
    <n v="34"/>
    <x v="1"/>
  </r>
  <r>
    <n v="35"/>
    <x v="3"/>
  </r>
  <r>
    <n v="36"/>
    <x v="2"/>
  </r>
  <r>
    <n v="37"/>
    <x v="1"/>
  </r>
  <r>
    <n v="38"/>
    <x v="0"/>
  </r>
  <r>
    <n v="39"/>
    <x v="0"/>
  </r>
  <r>
    <n v="40"/>
    <x v="0"/>
  </r>
  <r>
    <n v="41"/>
    <x v="0"/>
  </r>
  <r>
    <n v="42"/>
    <x v="2"/>
  </r>
  <r>
    <n v="43"/>
    <x v="2"/>
  </r>
  <r>
    <n v="44"/>
    <x v="0"/>
  </r>
  <r>
    <n v="45"/>
    <x v="0"/>
  </r>
  <r>
    <n v="46"/>
    <x v="0"/>
  </r>
  <r>
    <n v="47"/>
    <x v="0"/>
  </r>
  <r>
    <n v="48"/>
    <x v="2"/>
  </r>
  <r>
    <n v="49"/>
    <x v="0"/>
  </r>
  <r>
    <n v="50"/>
    <x v="1"/>
  </r>
  <r>
    <n v="51"/>
    <x v="3"/>
  </r>
  <r>
    <n v="52"/>
    <x v="2"/>
  </r>
  <r>
    <n v="53"/>
    <x v="1"/>
  </r>
  <r>
    <n v="54"/>
    <x v="0"/>
  </r>
  <r>
    <n v="55"/>
    <x v="2"/>
  </r>
  <r>
    <n v="56"/>
    <x v="0"/>
  </r>
  <r>
    <n v="57"/>
    <x v="0"/>
  </r>
  <r>
    <n v="58"/>
    <x v="1"/>
  </r>
  <r>
    <n v="59"/>
    <x v="1"/>
  </r>
  <r>
    <n v="60"/>
    <x v="0"/>
  </r>
  <r>
    <n v="61"/>
    <x v="2"/>
  </r>
  <r>
    <n v="62"/>
    <x v="0"/>
  </r>
  <r>
    <n v="63"/>
    <x v="2"/>
  </r>
  <r>
    <n v="64"/>
    <x v="0"/>
  </r>
  <r>
    <n v="65"/>
    <x v="1"/>
  </r>
  <r>
    <n v="66"/>
    <x v="2"/>
  </r>
  <r>
    <n v="67"/>
    <x v="1"/>
  </r>
  <r>
    <n v="68"/>
    <x v="1"/>
  </r>
  <r>
    <n v="69"/>
    <x v="1"/>
  </r>
  <r>
    <n v="70"/>
    <x v="2"/>
  </r>
  <r>
    <n v="71"/>
    <x v="1"/>
  </r>
  <r>
    <n v="72"/>
    <x v="2"/>
  </r>
  <r>
    <n v="73"/>
    <x v="2"/>
  </r>
  <r>
    <n v="74"/>
    <x v="3"/>
  </r>
  <r>
    <n v="75"/>
    <x v="2"/>
  </r>
  <r>
    <n v="76"/>
    <x v="0"/>
  </r>
  <r>
    <n v="77"/>
    <x v="2"/>
  </r>
  <r>
    <n v="78"/>
    <x v="2"/>
  </r>
  <r>
    <n v="79"/>
    <x v="0"/>
  </r>
  <r>
    <n v="80"/>
    <x v="0"/>
  </r>
  <r>
    <n v="81"/>
    <x v="0"/>
  </r>
  <r>
    <n v="82"/>
    <x v="2"/>
  </r>
  <r>
    <n v="83"/>
    <x v="2"/>
  </r>
  <r>
    <n v="84"/>
    <x v="1"/>
  </r>
  <r>
    <n v="85"/>
    <x v="0"/>
  </r>
  <r>
    <n v="86"/>
    <x v="2"/>
  </r>
  <r>
    <n v="88"/>
    <x v="1"/>
  </r>
  <r>
    <n v="89"/>
    <x v="1"/>
  </r>
  <r>
    <n v="90"/>
    <x v="0"/>
  </r>
  <r>
    <n v="91"/>
    <x v="0"/>
  </r>
  <r>
    <n v="92"/>
    <x v="2"/>
  </r>
  <r>
    <n v="93"/>
    <x v="0"/>
  </r>
  <r>
    <n v="94"/>
    <x v="2"/>
  </r>
  <r>
    <n v="95"/>
    <x v="0"/>
  </r>
  <r>
    <n v="96"/>
    <x v="0"/>
  </r>
  <r>
    <n v="97"/>
    <x v="1"/>
  </r>
  <r>
    <n v="98"/>
    <x v="0"/>
  </r>
  <r>
    <n v="99"/>
    <x v="2"/>
  </r>
  <r>
    <n v="100"/>
    <x v="2"/>
  </r>
  <r>
    <n v="101"/>
    <x v="2"/>
  </r>
  <r>
    <n v="102"/>
    <x v="0"/>
  </r>
  <r>
    <n v="103"/>
    <x v="2"/>
  </r>
  <r>
    <n v="104"/>
    <x v="1"/>
  </r>
  <r>
    <n v="105"/>
    <x v="2"/>
  </r>
  <r>
    <n v="106"/>
    <x v="1"/>
  </r>
  <r>
    <n v="107"/>
    <x v="1"/>
  </r>
  <r>
    <n v="108"/>
    <x v="2"/>
  </r>
  <r>
    <n v="109"/>
    <x v="2"/>
  </r>
  <r>
    <n v="110"/>
    <x v="0"/>
  </r>
  <r>
    <n v="111"/>
    <x v="1"/>
  </r>
  <r>
    <n v="112"/>
    <x v="0"/>
  </r>
  <r>
    <n v="113"/>
    <x v="3"/>
  </r>
  <r>
    <n v="114"/>
    <x v="1"/>
  </r>
  <r>
    <n v="115"/>
    <x v="2"/>
  </r>
  <r>
    <n v="116"/>
    <x v="0"/>
  </r>
  <r>
    <n v="117"/>
    <x v="2"/>
  </r>
  <r>
    <n v="118"/>
    <x v="1"/>
  </r>
  <r>
    <n v="119"/>
    <x v="2"/>
  </r>
  <r>
    <n v="120"/>
    <x v="2"/>
  </r>
  <r>
    <n v="121"/>
    <x v="2"/>
  </r>
  <r>
    <n v="122"/>
    <x v="0"/>
  </r>
  <r>
    <n v="123"/>
    <x v="0"/>
  </r>
  <r>
    <n v="124"/>
    <x v="0"/>
  </r>
  <r>
    <n v="125"/>
    <x v="0"/>
  </r>
  <r>
    <n v="127"/>
    <x v="0"/>
  </r>
  <r>
    <n v="128"/>
    <x v="0"/>
  </r>
  <r>
    <n v="129"/>
    <x v="0"/>
  </r>
  <r>
    <n v="130"/>
    <x v="2"/>
  </r>
  <r>
    <n v="131"/>
    <x v="2"/>
  </r>
  <r>
    <n v="132"/>
    <x v="1"/>
  </r>
  <r>
    <n v="133"/>
    <x v="2"/>
  </r>
  <r>
    <n v="134"/>
    <x v="2"/>
  </r>
  <r>
    <n v="135"/>
    <x v="2"/>
  </r>
  <r>
    <n v="136"/>
    <x v="2"/>
  </r>
  <r>
    <n v="137"/>
    <x v="1"/>
  </r>
  <r>
    <n v="138"/>
    <x v="1"/>
  </r>
  <r>
    <n v="140"/>
    <x v="2"/>
  </r>
  <r>
    <n v="141"/>
    <x v="0"/>
  </r>
  <r>
    <n v="142"/>
    <x v="2"/>
  </r>
  <r>
    <n v="143"/>
    <x v="3"/>
  </r>
  <r>
    <n v="144"/>
    <x v="0"/>
  </r>
  <r>
    <n v="145"/>
    <x v="1"/>
  </r>
  <r>
    <n v="146"/>
    <x v="0"/>
  </r>
  <r>
    <n v="147"/>
    <x v="0"/>
  </r>
  <r>
    <n v="148"/>
    <x v="3"/>
  </r>
  <r>
    <n v="149"/>
    <x v="0"/>
  </r>
  <r>
    <n v="150"/>
    <x v="2"/>
  </r>
  <r>
    <n v="151"/>
    <x v="1"/>
  </r>
  <r>
    <n v="152"/>
    <x v="2"/>
  </r>
  <r>
    <n v="153"/>
    <x v="2"/>
  </r>
  <r>
    <n v="154"/>
    <x v="0"/>
  </r>
  <r>
    <n v="155"/>
    <x v="0"/>
  </r>
  <r>
    <n v="156"/>
    <x v="2"/>
  </r>
  <r>
    <n v="157"/>
    <x v="2"/>
  </r>
  <r>
    <n v="158"/>
    <x v="0"/>
  </r>
  <r>
    <n v="159"/>
    <x v="2"/>
  </r>
  <r>
    <n v="160"/>
    <x v="0"/>
  </r>
  <r>
    <n v="161"/>
    <x v="2"/>
  </r>
  <r>
    <n v="162"/>
    <x v="0"/>
  </r>
  <r>
    <n v="163"/>
    <x v="2"/>
  </r>
  <r>
    <n v="164"/>
    <x v="0"/>
  </r>
  <r>
    <n v="165"/>
    <x v="0"/>
  </r>
  <r>
    <n v="166"/>
    <x v="2"/>
  </r>
  <r>
    <n v="167"/>
    <x v="2"/>
  </r>
  <r>
    <n v="168"/>
    <x v="0"/>
  </r>
  <r>
    <n v="169"/>
    <x v="2"/>
  </r>
  <r>
    <n v="170"/>
    <x v="0"/>
  </r>
  <r>
    <n v="171"/>
    <x v="2"/>
  </r>
  <r>
    <n v="172"/>
    <x v="0"/>
  </r>
  <r>
    <n v="173"/>
    <x v="1"/>
  </r>
  <r>
    <n v="174"/>
    <x v="1"/>
  </r>
  <r>
    <n v="175"/>
    <x v="2"/>
  </r>
  <r>
    <n v="176"/>
    <x v="2"/>
  </r>
  <r>
    <n v="177"/>
    <x v="0"/>
  </r>
  <r>
    <n v="178"/>
    <x v="2"/>
  </r>
  <r>
    <n v="179"/>
    <x v="1"/>
  </r>
  <r>
    <n v="180"/>
    <x v="2"/>
  </r>
  <r>
    <n v="181"/>
    <x v="1"/>
  </r>
  <r>
    <n v="182"/>
    <x v="0"/>
  </r>
  <r>
    <n v="183"/>
    <x v="2"/>
  </r>
  <r>
    <n v="184"/>
    <x v="0"/>
  </r>
  <r>
    <n v="185"/>
    <x v="2"/>
  </r>
  <r>
    <n v="186"/>
    <x v="2"/>
  </r>
  <r>
    <n v="187"/>
    <x v="0"/>
  </r>
  <r>
    <n v="188"/>
    <x v="2"/>
  </r>
  <r>
    <n v="189"/>
    <x v="1"/>
  </r>
  <r>
    <n v="190"/>
    <x v="1"/>
  </r>
  <r>
    <n v="191"/>
    <x v="0"/>
  </r>
  <r>
    <n v="192"/>
    <x v="0"/>
  </r>
  <r>
    <n v="194"/>
    <x v="2"/>
  </r>
  <r>
    <n v="195"/>
    <x v="1"/>
  </r>
  <r>
    <n v="196"/>
    <x v="2"/>
  </r>
  <r>
    <n v="197"/>
    <x v="2"/>
  </r>
  <r>
    <n v="198"/>
    <x v="2"/>
  </r>
  <r>
    <n v="199"/>
    <x v="0"/>
  </r>
  <r>
    <n v="200"/>
    <x v="2"/>
  </r>
  <r>
    <n v="201"/>
    <x v="0"/>
  </r>
  <r>
    <n v="203"/>
    <x v="2"/>
  </r>
  <r>
    <n v="204"/>
    <x v="2"/>
  </r>
  <r>
    <n v="205"/>
    <x v="2"/>
  </r>
  <r>
    <n v="206"/>
    <x v="1"/>
  </r>
  <r>
    <n v="207"/>
    <x v="0"/>
  </r>
  <r>
    <n v="208"/>
    <x v="0"/>
  </r>
  <r>
    <n v="209"/>
    <x v="0"/>
  </r>
  <r>
    <n v="210"/>
    <x v="0"/>
  </r>
  <r>
    <n v="211"/>
    <x v="2"/>
  </r>
  <r>
    <n v="212"/>
    <x v="0"/>
  </r>
  <r>
    <n v="213"/>
    <x v="0"/>
  </r>
  <r>
    <n v="214"/>
    <x v="2"/>
  </r>
  <r>
    <n v="215"/>
    <x v="3"/>
  </r>
  <r>
    <n v="216"/>
    <x v="2"/>
  </r>
  <r>
    <n v="217"/>
    <x v="0"/>
  </r>
  <r>
    <n v="218"/>
    <x v="2"/>
  </r>
  <r>
    <n v="219"/>
    <x v="1"/>
  </r>
  <r>
    <n v="220"/>
    <x v="1"/>
  </r>
  <r>
    <n v="221"/>
    <x v="0"/>
  </r>
  <r>
    <n v="223"/>
    <x v="2"/>
  </r>
  <r>
    <n v="224"/>
    <x v="2"/>
  </r>
  <r>
    <n v="225"/>
    <x v="3"/>
  </r>
  <r>
    <n v="226"/>
    <x v="2"/>
  </r>
  <r>
    <n v="227"/>
    <x v="2"/>
  </r>
  <r>
    <n v="228"/>
    <x v="2"/>
  </r>
  <r>
    <n v="229"/>
    <x v="2"/>
  </r>
  <r>
    <n v="230"/>
    <x v="1"/>
  </r>
  <r>
    <n v="231"/>
    <x v="2"/>
  </r>
  <r>
    <n v="232"/>
    <x v="2"/>
  </r>
  <r>
    <n v="233"/>
    <x v="2"/>
  </r>
  <r>
    <n v="234"/>
    <x v="3"/>
  </r>
  <r>
    <n v="235"/>
    <x v="0"/>
  </r>
  <r>
    <n v="236"/>
    <x v="2"/>
  </r>
  <r>
    <n v="237"/>
    <x v="0"/>
  </r>
  <r>
    <n v="238"/>
    <x v="1"/>
  </r>
  <r>
    <n v="239"/>
    <x v="0"/>
  </r>
  <r>
    <n v="240"/>
    <x v="1"/>
  </r>
  <r>
    <n v="241"/>
    <x v="2"/>
  </r>
  <r>
    <n v="242"/>
    <x v="2"/>
  </r>
  <r>
    <n v="243"/>
    <x v="0"/>
  </r>
  <r>
    <n v="244"/>
    <x v="2"/>
  </r>
  <r>
    <n v="245"/>
    <x v="0"/>
  </r>
  <r>
    <n v="246"/>
    <x v="2"/>
  </r>
  <r>
    <n v="247"/>
    <x v="2"/>
  </r>
  <r>
    <n v="250"/>
    <x v="2"/>
  </r>
  <r>
    <n v="251"/>
    <x v="0"/>
  </r>
  <r>
    <n v="252"/>
    <x v="0"/>
  </r>
  <r>
    <n v="253"/>
    <x v="2"/>
  </r>
  <r>
    <n v="254"/>
    <x v="0"/>
  </r>
  <r>
    <n v="255"/>
    <x v="2"/>
  </r>
  <r>
    <n v="256"/>
    <x v="1"/>
  </r>
  <r>
    <n v="257"/>
    <x v="0"/>
  </r>
  <r>
    <n v="258"/>
    <x v="2"/>
  </r>
  <r>
    <n v="259"/>
    <x v="2"/>
  </r>
  <r>
    <n v="260"/>
    <x v="1"/>
  </r>
  <r>
    <n v="261"/>
    <x v="1"/>
  </r>
  <r>
    <n v="262"/>
    <x v="1"/>
  </r>
  <r>
    <n v="263"/>
    <x v="2"/>
  </r>
  <r>
    <n v="264"/>
    <x v="1"/>
  </r>
  <r>
    <n v="265"/>
    <x v="2"/>
  </r>
  <r>
    <n v="266"/>
    <x v="2"/>
  </r>
  <r>
    <n v="267"/>
    <x v="0"/>
  </r>
  <r>
    <n v="268"/>
    <x v="0"/>
  </r>
  <r>
    <n v="269"/>
    <x v="3"/>
  </r>
  <r>
    <n v="270"/>
    <x v="2"/>
  </r>
  <r>
    <n v="271"/>
    <x v="1"/>
  </r>
  <r>
    <n v="272"/>
    <x v="3"/>
  </r>
  <r>
    <n v="273"/>
    <x v="3"/>
  </r>
  <r>
    <n v="274"/>
    <x v="0"/>
  </r>
  <r>
    <n v="275"/>
    <x v="1"/>
  </r>
  <r>
    <n v="276"/>
    <x v="2"/>
  </r>
  <r>
    <n v="278"/>
    <x v="2"/>
  </r>
  <r>
    <n v="279"/>
    <x v="3"/>
  </r>
  <r>
    <n v="280"/>
    <x v="2"/>
  </r>
  <r>
    <n v="281"/>
    <x v="1"/>
  </r>
  <r>
    <n v="282"/>
    <x v="0"/>
  </r>
  <r>
    <n v="283"/>
    <x v="2"/>
  </r>
  <r>
    <n v="284"/>
    <x v="0"/>
  </r>
  <r>
    <n v="285"/>
    <x v="3"/>
  </r>
  <r>
    <n v="286"/>
    <x v="2"/>
  </r>
  <r>
    <n v="287"/>
    <x v="3"/>
  </r>
  <r>
    <n v="288"/>
    <x v="0"/>
  </r>
  <r>
    <n v="289"/>
    <x v="3"/>
  </r>
  <r>
    <n v="290"/>
    <x v="2"/>
  </r>
  <r>
    <n v="291"/>
    <x v="0"/>
  </r>
  <r>
    <n v="292"/>
    <x v="0"/>
  </r>
  <r>
    <n v="293"/>
    <x v="3"/>
  </r>
  <r>
    <n v="294"/>
    <x v="1"/>
  </r>
  <r>
    <n v="295"/>
    <x v="1"/>
  </r>
  <r>
    <n v="296"/>
    <x v="1"/>
  </r>
  <r>
    <n v="298"/>
    <x v="0"/>
  </r>
  <r>
    <n v="299"/>
    <x v="0"/>
  </r>
  <r>
    <n v="300"/>
    <x v="1"/>
  </r>
  <r>
    <n v="301"/>
    <x v="1"/>
  </r>
  <r>
    <n v="302"/>
    <x v="3"/>
  </r>
  <r>
    <n v="303"/>
    <x v="1"/>
  </r>
  <r>
    <n v="304"/>
    <x v="2"/>
  </r>
  <r>
    <n v="305"/>
    <x v="2"/>
  </r>
  <r>
    <n v="306"/>
    <x v="2"/>
  </r>
  <r>
    <n v="307"/>
    <x v="0"/>
  </r>
  <r>
    <n v="308"/>
    <x v="3"/>
  </r>
  <r>
    <n v="309"/>
    <x v="2"/>
  </r>
  <r>
    <n v="310"/>
    <x v="2"/>
  </r>
  <r>
    <n v="311"/>
    <x v="2"/>
  </r>
  <r>
    <n v="312"/>
    <x v="2"/>
  </r>
  <r>
    <n v="313"/>
    <x v="2"/>
  </r>
  <r>
    <n v="314"/>
    <x v="3"/>
  </r>
  <r>
    <n v="315"/>
    <x v="0"/>
  </r>
  <r>
    <n v="316"/>
    <x v="1"/>
  </r>
  <r>
    <n v="317"/>
    <x v="1"/>
  </r>
  <r>
    <n v="318"/>
    <x v="0"/>
  </r>
  <r>
    <n v="319"/>
    <x v="0"/>
  </r>
  <r>
    <n v="320"/>
    <x v="1"/>
  </r>
  <r>
    <n v="321"/>
    <x v="1"/>
  </r>
  <r>
    <n v="322"/>
    <x v="0"/>
  </r>
  <r>
    <n v="323"/>
    <x v="0"/>
  </r>
  <r>
    <n v="324"/>
    <x v="2"/>
  </r>
  <r>
    <n v="325"/>
    <x v="0"/>
  </r>
  <r>
    <n v="326"/>
    <x v="3"/>
  </r>
  <r>
    <n v="328"/>
    <x v="3"/>
  </r>
  <r>
    <n v="329"/>
    <x v="0"/>
  </r>
  <r>
    <n v="330"/>
    <x v="1"/>
  </r>
  <r>
    <n v="331"/>
    <x v="2"/>
  </r>
  <r>
    <n v="332"/>
    <x v="0"/>
  </r>
  <r>
    <n v="333"/>
    <x v="2"/>
  </r>
  <r>
    <n v="334"/>
    <x v="1"/>
  </r>
  <r>
    <n v="335"/>
    <x v="0"/>
  </r>
  <r>
    <n v="336"/>
    <x v="2"/>
  </r>
  <r>
    <n v="337"/>
    <x v="2"/>
  </r>
  <r>
    <n v="338"/>
    <x v="2"/>
  </r>
  <r>
    <n v="339"/>
    <x v="2"/>
  </r>
  <r>
    <n v="341"/>
    <x v="2"/>
  </r>
  <r>
    <n v="342"/>
    <x v="0"/>
  </r>
  <r>
    <n v="343"/>
    <x v="2"/>
  </r>
  <r>
    <n v="344"/>
    <x v="0"/>
  </r>
  <r>
    <n v="345"/>
    <x v="2"/>
  </r>
  <r>
    <n v="346"/>
    <x v="0"/>
  </r>
  <r>
    <n v="348"/>
    <x v="2"/>
  </r>
  <r>
    <n v="349"/>
    <x v="0"/>
  </r>
  <r>
    <n v="350"/>
    <x v="2"/>
  </r>
  <r>
    <n v="351"/>
    <x v="0"/>
  </r>
  <r>
    <n v="353"/>
    <x v="2"/>
  </r>
  <r>
    <n v="354"/>
    <x v="0"/>
  </r>
  <r>
    <n v="355"/>
    <x v="2"/>
  </r>
  <r>
    <n v="357"/>
    <x v="2"/>
  </r>
  <r>
    <n v="358"/>
    <x v="2"/>
  </r>
  <r>
    <n v="359"/>
    <x v="0"/>
  </r>
  <r>
    <n v="360"/>
    <x v="1"/>
  </r>
  <r>
    <n v="361"/>
    <x v="0"/>
  </r>
  <r>
    <n v="362"/>
    <x v="0"/>
  </r>
  <r>
    <n v="363"/>
    <x v="1"/>
  </r>
  <r>
    <n v="364"/>
    <x v="0"/>
  </r>
  <r>
    <n v="365"/>
    <x v="0"/>
  </r>
  <r>
    <n v="366"/>
    <x v="1"/>
  </r>
  <r>
    <n v="367"/>
    <x v="0"/>
  </r>
  <r>
    <n v="368"/>
    <x v="3"/>
  </r>
  <r>
    <n v="369"/>
    <x v="2"/>
  </r>
  <r>
    <n v="370"/>
    <x v="2"/>
  </r>
  <r>
    <n v="371"/>
    <x v="2"/>
  </r>
  <r>
    <n v="372"/>
    <x v="0"/>
  </r>
  <r>
    <n v="373"/>
    <x v="1"/>
  </r>
  <r>
    <n v="374"/>
    <x v="2"/>
  </r>
  <r>
    <n v="375"/>
    <x v="2"/>
  </r>
  <r>
    <n v="377"/>
    <x v="1"/>
  </r>
  <r>
    <n v="378"/>
    <x v="0"/>
  </r>
  <r>
    <n v="379"/>
    <x v="0"/>
  </r>
  <r>
    <n v="381"/>
    <x v="2"/>
  </r>
  <r>
    <n v="382"/>
    <x v="1"/>
  </r>
  <r>
    <n v="383"/>
    <x v="0"/>
  </r>
  <r>
    <n v="384"/>
    <x v="1"/>
  </r>
  <r>
    <n v="385"/>
    <x v="2"/>
  </r>
  <r>
    <n v="386"/>
    <x v="1"/>
  </r>
  <r>
    <n v="387"/>
    <x v="0"/>
  </r>
  <r>
    <n v="388"/>
    <x v="0"/>
  </r>
  <r>
    <n v="389"/>
    <x v="0"/>
  </r>
  <r>
    <n v="390"/>
    <x v="0"/>
  </r>
  <r>
    <n v="392"/>
    <x v="0"/>
  </r>
  <r>
    <n v="393"/>
    <x v="2"/>
  </r>
  <r>
    <n v="394"/>
    <x v="1"/>
  </r>
  <r>
    <n v="395"/>
    <x v="0"/>
  </r>
  <r>
    <n v="396"/>
    <x v="0"/>
  </r>
  <r>
    <n v="397"/>
    <x v="0"/>
  </r>
  <r>
    <n v="398"/>
    <x v="0"/>
  </r>
  <r>
    <n v="399"/>
    <x v="0"/>
  </r>
  <r>
    <n v="402"/>
    <x v="0"/>
  </r>
  <r>
    <n v="403"/>
    <x v="1"/>
  </r>
  <r>
    <n v="404"/>
    <x v="2"/>
  </r>
  <r>
    <n v="405"/>
    <x v="2"/>
  </r>
  <r>
    <n v="406"/>
    <x v="2"/>
  </r>
  <r>
    <n v="407"/>
    <x v="2"/>
  </r>
  <r>
    <n v="408"/>
    <x v="3"/>
  </r>
  <r>
    <n v="409"/>
    <x v="0"/>
  </r>
  <r>
    <n v="410"/>
    <x v="2"/>
  </r>
  <r>
    <n v="411"/>
    <x v="0"/>
  </r>
  <r>
    <n v="412"/>
    <x v="1"/>
  </r>
  <r>
    <n v="413"/>
    <x v="0"/>
  </r>
  <r>
    <n v="414"/>
    <x v="2"/>
  </r>
  <r>
    <n v="415"/>
    <x v="0"/>
  </r>
  <r>
    <n v="416"/>
    <x v="0"/>
  </r>
  <r>
    <n v="417"/>
    <x v="1"/>
  </r>
  <r>
    <n v="418"/>
    <x v="0"/>
  </r>
  <r>
    <n v="419"/>
    <x v="2"/>
  </r>
  <r>
    <n v="420"/>
    <x v="3"/>
  </r>
  <r>
    <n v="421"/>
    <x v="2"/>
  </r>
  <r>
    <n v="422"/>
    <x v="2"/>
  </r>
  <r>
    <n v="423"/>
    <x v="2"/>
  </r>
  <r>
    <n v="424"/>
    <x v="0"/>
  </r>
  <r>
    <n v="425"/>
    <x v="1"/>
  </r>
  <r>
    <n v="426"/>
    <x v="2"/>
  </r>
  <r>
    <n v="427"/>
    <x v="0"/>
  </r>
  <r>
    <n v="428"/>
    <x v="2"/>
  </r>
  <r>
    <n v="429"/>
    <x v="0"/>
  </r>
  <r>
    <n v="430"/>
    <x v="1"/>
  </r>
  <r>
    <n v="431"/>
    <x v="1"/>
  </r>
  <r>
    <n v="432"/>
    <x v="2"/>
  </r>
  <r>
    <n v="433"/>
    <x v="0"/>
  </r>
  <r>
    <n v="435"/>
    <x v="0"/>
  </r>
  <r>
    <n v="436"/>
    <x v="2"/>
  </r>
  <r>
    <n v="437"/>
    <x v="0"/>
  </r>
  <r>
    <n v="438"/>
    <x v="2"/>
  </r>
  <r>
    <n v="439"/>
    <x v="0"/>
  </r>
  <r>
    <n v="440"/>
    <x v="0"/>
  </r>
  <r>
    <n v="441"/>
    <x v="0"/>
  </r>
  <r>
    <n v="442"/>
    <x v="2"/>
  </r>
  <r>
    <n v="443"/>
    <x v="2"/>
  </r>
  <r>
    <n v="444"/>
    <x v="0"/>
  </r>
  <r>
    <n v="445"/>
    <x v="1"/>
  </r>
  <r>
    <n v="446"/>
    <x v="2"/>
  </r>
  <r>
    <n v="447"/>
    <x v="1"/>
  </r>
  <r>
    <n v="448"/>
    <x v="0"/>
  </r>
  <r>
    <n v="449"/>
    <x v="0"/>
  </r>
  <r>
    <n v="450"/>
    <x v="2"/>
  </r>
  <r>
    <n v="451"/>
    <x v="2"/>
  </r>
  <r>
    <n v="452"/>
    <x v="0"/>
  </r>
  <r>
    <n v="453"/>
    <x v="0"/>
  </r>
  <r>
    <n v="454"/>
    <x v="3"/>
  </r>
  <r>
    <n v="455"/>
    <x v="0"/>
  </r>
  <r>
    <n v="456"/>
    <x v="1"/>
  </r>
  <r>
    <n v="457"/>
    <x v="1"/>
  </r>
  <r>
    <n v="458"/>
    <x v="1"/>
  </r>
  <r>
    <n v="459"/>
    <x v="0"/>
  </r>
  <r>
    <n v="460"/>
    <x v="0"/>
  </r>
  <r>
    <n v="462"/>
    <x v="2"/>
  </r>
  <r>
    <n v="463"/>
    <x v="2"/>
  </r>
  <r>
    <n v="464"/>
    <x v="0"/>
  </r>
  <r>
    <n v="465"/>
    <x v="2"/>
  </r>
  <r>
    <n v="466"/>
    <x v="0"/>
  </r>
  <r>
    <n v="467"/>
    <x v="0"/>
  </r>
  <r>
    <n v="468"/>
    <x v="2"/>
  </r>
  <r>
    <n v="469"/>
    <x v="0"/>
  </r>
  <r>
    <n v="470"/>
    <x v="1"/>
  </r>
  <r>
    <n v="471"/>
    <x v="0"/>
  </r>
  <r>
    <n v="472"/>
    <x v="1"/>
  </r>
  <r>
    <n v="473"/>
    <x v="2"/>
  </r>
  <r>
    <n v="474"/>
    <x v="1"/>
  </r>
  <r>
    <n v="475"/>
    <x v="2"/>
  </r>
  <r>
    <n v="476"/>
    <x v="2"/>
  </r>
  <r>
    <n v="477"/>
    <x v="2"/>
  </r>
  <r>
    <n v="478"/>
    <x v="3"/>
  </r>
  <r>
    <n v="479"/>
    <x v="0"/>
  </r>
  <r>
    <n v="480"/>
    <x v="2"/>
  </r>
  <r>
    <n v="481"/>
    <x v="0"/>
  </r>
  <r>
    <n v="482"/>
    <x v="1"/>
  </r>
  <r>
    <n v="483"/>
    <x v="0"/>
  </r>
  <r>
    <n v="484"/>
    <x v="2"/>
  </r>
  <r>
    <n v="485"/>
    <x v="1"/>
  </r>
  <r>
    <n v="486"/>
    <x v="0"/>
  </r>
  <r>
    <n v="487"/>
    <x v="0"/>
  </r>
  <r>
    <n v="488"/>
    <x v="2"/>
  </r>
  <r>
    <n v="489"/>
    <x v="2"/>
  </r>
  <r>
    <n v="490"/>
    <x v="1"/>
  </r>
  <r>
    <n v="492"/>
    <x v="3"/>
  </r>
  <r>
    <n v="493"/>
    <x v="2"/>
  </r>
  <r>
    <n v="494"/>
    <x v="2"/>
  </r>
  <r>
    <n v="495"/>
    <x v="0"/>
  </r>
  <r>
    <n v="497"/>
    <x v="0"/>
  </r>
  <r>
    <n v="498"/>
    <x v="3"/>
  </r>
  <r>
    <n v="499"/>
    <x v="2"/>
  </r>
  <r>
    <n v="500"/>
    <x v="1"/>
  </r>
  <r>
    <n v="11"/>
    <x v="1"/>
  </r>
  <r>
    <n v="24"/>
    <x v="1"/>
  </r>
  <r>
    <n v="31"/>
    <x v="1"/>
  </r>
  <r>
    <n v="87"/>
    <x v="1"/>
  </r>
  <r>
    <n v="126"/>
    <x v="1"/>
  </r>
  <r>
    <n v="139"/>
    <x v="1"/>
  </r>
  <r>
    <n v="193"/>
    <x v="1"/>
  </r>
  <r>
    <n v="202"/>
    <x v="1"/>
  </r>
  <r>
    <n v="222"/>
    <x v="1"/>
  </r>
  <r>
    <n v="248"/>
    <x v="1"/>
  </r>
  <r>
    <n v="249"/>
    <x v="1"/>
  </r>
  <r>
    <n v="277"/>
    <x v="1"/>
  </r>
  <r>
    <n v="297"/>
    <x v="1"/>
  </r>
  <r>
    <n v="327"/>
    <x v="1"/>
  </r>
  <r>
    <n v="340"/>
    <x v="1"/>
  </r>
  <r>
    <n v="347"/>
    <x v="1"/>
  </r>
  <r>
    <n v="352"/>
    <x v="1"/>
  </r>
  <r>
    <n v="356"/>
    <x v="1"/>
  </r>
  <r>
    <n v="376"/>
    <x v="1"/>
  </r>
  <r>
    <n v="380"/>
    <x v="1"/>
  </r>
  <r>
    <n v="391"/>
    <x v="1"/>
  </r>
  <r>
    <n v="400"/>
    <x v="1"/>
  </r>
  <r>
    <n v="401"/>
    <x v="1"/>
  </r>
  <r>
    <n v="434"/>
    <x v="1"/>
  </r>
  <r>
    <n v="461"/>
    <x v="1"/>
  </r>
  <r>
    <n v="491"/>
    <x v="1"/>
  </r>
  <r>
    <n v="49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7C0153-8FC8-F243-B58A-FBFA7F8F4D73}" name="ClaimFrequencyDistribution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0" rowHeaderCaption="Claims">
  <location ref="E11:F16" firstHeaderRow="1" firstDataRow="1" firstDataCol="1"/>
  <pivotFields count="2">
    <pivotField dataField="1" showAll="0"/>
    <pivotField axis="axisRow" showAll="0">
      <items count="116">
        <item x="1"/>
        <item x="2"/>
        <item x="0"/>
        <item x="3"/>
        <item m="1" x="105"/>
        <item m="1" x="106"/>
        <item m="1" x="103"/>
        <item m="1" x="95"/>
        <item m="1" x="104"/>
        <item m="1" x="100"/>
        <item m="1" x="94"/>
        <item m="1" x="87"/>
        <item m="1" x="99"/>
        <item m="1" x="83"/>
        <item m="1" x="91"/>
        <item m="1" x="92"/>
        <item m="1" x="78"/>
        <item m="1" x="88"/>
        <item m="1" x="84"/>
        <item m="1" x="97"/>
        <item m="1" x="108"/>
        <item m="1" x="96"/>
        <item m="1" x="109"/>
        <item m="1" x="102"/>
        <item m="1" x="79"/>
        <item m="1" x="89"/>
        <item m="1" x="110"/>
        <item m="1" x="111"/>
        <item m="1" x="98"/>
        <item m="1" x="81"/>
        <item m="1" x="93"/>
        <item m="1" x="90"/>
        <item m="1" x="85"/>
        <item m="1" x="107"/>
        <item m="1" x="82"/>
        <item m="1" x="112"/>
        <item m="1" x="86"/>
        <item m="1" x="77"/>
        <item m="1" x="101"/>
        <item m="1" x="113"/>
        <item m="1" x="75"/>
        <item m="1" x="61"/>
        <item m="1" x="114"/>
        <item m="1" x="73"/>
        <item m="1" x="80"/>
        <item m="1" x="49"/>
        <item m="1" x="58"/>
        <item m="1" x="76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52"/>
        <item m="1" x="53"/>
        <item m="1" x="54"/>
        <item m="1" x="55"/>
        <item m="1" x="56"/>
        <item m="1" x="57"/>
        <item m="1" x="59"/>
        <item m="1" x="60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4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NumberOfPolicies" fld="0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5A0A54-EB17-8F45-AE7D-5A32DDCADFD6}" name="PivotTable2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olicyID">
  <location ref="J7:L481" firstHeaderRow="0" firstDataRow="1" firstDataCol="1"/>
  <pivotFields count="6">
    <pivotField axis="axisRow" dataField="1" showAll="0">
      <items count="474">
        <item x="0"/>
        <item x="1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100"/>
        <item x="101"/>
        <item x="103"/>
        <item x="104"/>
        <item x="105"/>
        <item x="107"/>
        <item x="108"/>
        <item x="110"/>
        <item x="111"/>
        <item x="112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3"/>
        <item x="184"/>
        <item x="185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2"/>
        <item x="213"/>
        <item x="214"/>
        <item x="215"/>
        <item x="216"/>
        <item x="217"/>
        <item x="218"/>
        <item x="219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"/>
        <item x="18"/>
        <item x="99"/>
        <item x="102"/>
        <item x="106"/>
        <item x="109"/>
        <item x="113"/>
        <item x="182"/>
        <item x="187"/>
        <item x="211"/>
        <item x="220"/>
        <item x="249"/>
        <item x="252"/>
        <item x="315"/>
        <item x="365"/>
        <item x="379"/>
        <item x="393"/>
        <item x="407"/>
        <item x="459"/>
        <item t="default"/>
      </items>
    </pivotField>
    <pivotField showAll="0"/>
    <pivotField numFmtId="14" showAll="0"/>
    <pivotField showAll="0"/>
    <pivotField showAll="0"/>
    <pivotField dataField="1" showAll="0"/>
  </pivotFields>
  <rowFields count="1">
    <field x="0"/>
  </rowFields>
  <rowItems count="47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 t="grand">
      <x/>
    </i>
  </rowItems>
  <colFields count="1">
    <field x="-2"/>
  </colFields>
  <colItems count="2">
    <i>
      <x/>
    </i>
    <i i="1">
      <x v="1"/>
    </i>
  </colItems>
  <dataFields count="2">
    <dataField name="NumberOfClaims" fld="0" subtotal="count" baseField="0" baseItem="0"/>
    <dataField name="TotalClaim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54A2DDD5-115D-E142-ADC1-B31DEE01F18A}" autoFormatId="16" applyNumberFormats="0" applyBorderFormats="0" applyFontFormats="0" applyPatternFormats="0" applyAlignmentFormats="0" applyWidthHeightFormats="0">
  <queryTableRefresh nextId="6">
    <queryTableFields count="2">
      <queryTableField id="1" name="PolicyID" tableColumnId="1"/>
      <queryTableField id="5" name="ClaimCount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backgroundRefresh="0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7" totalsRowShown="0" headerRowCellStyle="Normal">
  <autoFilter ref="A4:C7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ClaimCount" displayName="TblPolicyClaimCount" ref="A1:B501" tableType="queryTable" totalsRowShown="0">
  <autoFilter ref="A1:B501" xr:uid="{6FD60C7A-11CB-D64A-9178-3665ED20C177}"/>
  <tableColumns count="2">
    <tableColumn id="1" xr3:uid="{5DE5B291-796D-7045-BFD1-5A9B4FB90FEE}" uniqueName="1" name="PolicyID" queryTableFieldId="1"/>
    <tableColumn id="5" xr3:uid="{8847E856-0F77-8A48-B37D-4CF5AF451F69}" uniqueName="5" name="ClaimCount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1080" tableType="queryTable" totalsRowShown="0">
  <autoFilter ref="A1:F1080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2"/>
    <tableColumn id="9" xr3:uid="{6E1BE1DB-73BF-114D-B4CD-11D91104C0BA}" uniqueName="9" name="ClaimDate" queryTableFieldId="9" dataDxfId="1"/>
    <tableColumn id="10" xr3:uid="{57B99380-2615-4C46-8D84-866206D505EC}" uniqueName="10" name="CleanedClaimAmountText" queryTableFieldId="10" dataDxfId="0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/>
  <dimension ref="B2:K92"/>
  <sheetViews>
    <sheetView tabSelected="1" topLeftCell="A63" zoomScaleNormal="100" workbookViewId="0">
      <selection activeCell="G88" sqref="G88"/>
    </sheetView>
  </sheetViews>
  <sheetFormatPr baseColWidth="10" defaultRowHeight="16" x14ac:dyDescent="0.2"/>
  <cols>
    <col min="1" max="1" width="12.1640625" customWidth="1"/>
    <col min="2" max="2" width="14.1640625" customWidth="1"/>
    <col min="3" max="3" width="15.5" customWidth="1"/>
    <col min="4" max="4" width="17.6640625" customWidth="1"/>
    <col min="6" max="6" width="13" customWidth="1"/>
    <col min="7" max="7" width="22" customWidth="1"/>
    <col min="9" max="9" width="20.1640625" customWidth="1"/>
    <col min="10" max="10" width="24.1640625" customWidth="1"/>
    <col min="11" max="11" width="13.1640625" customWidth="1"/>
    <col min="12" max="12" width="15.83203125" customWidth="1"/>
    <col min="13" max="13" width="13" bestFit="1" customWidth="1"/>
    <col min="14" max="14" width="19.6640625" customWidth="1"/>
    <col min="17" max="17" width="16.5" customWidth="1"/>
    <col min="26" max="27" width="13" bestFit="1" customWidth="1"/>
    <col min="30" max="30" width="20.1640625" bestFit="1" customWidth="1"/>
    <col min="32" max="32" width="13" bestFit="1" customWidth="1"/>
    <col min="33" max="33" width="15.33203125" bestFit="1" customWidth="1"/>
  </cols>
  <sheetData>
    <row r="2" spans="2:11" x14ac:dyDescent="0.2">
      <c r="B2" s="11" t="s">
        <v>3</v>
      </c>
      <c r="C2" s="12"/>
      <c r="I2" s="11" t="s">
        <v>4</v>
      </c>
      <c r="J2" s="12"/>
    </row>
    <row r="3" spans="2:11" x14ac:dyDescent="0.2">
      <c r="B3" s="3" t="s">
        <v>5</v>
      </c>
      <c r="C3" s="3" t="s">
        <v>38</v>
      </c>
      <c r="I3" s="3" t="s">
        <v>5</v>
      </c>
      <c r="J3" s="3" t="s">
        <v>42</v>
      </c>
    </row>
    <row r="4" spans="2:11" x14ac:dyDescent="0.2">
      <c r="B4" s="4" t="s">
        <v>6</v>
      </c>
      <c r="C4" s="2">
        <v>10</v>
      </c>
      <c r="I4" s="4" t="s">
        <v>8</v>
      </c>
      <c r="J4" s="2">
        <v>2</v>
      </c>
    </row>
    <row r="5" spans="2:11" x14ac:dyDescent="0.2">
      <c r="B5" s="4" t="s">
        <v>7</v>
      </c>
      <c r="C5" s="2">
        <v>0.54</v>
      </c>
      <c r="I5" s="4" t="s">
        <v>9</v>
      </c>
      <c r="J5" s="2">
        <v>11</v>
      </c>
    </row>
    <row r="6" spans="2:11" x14ac:dyDescent="0.2">
      <c r="B6" s="4" t="s">
        <v>17</v>
      </c>
      <c r="C6" s="2">
        <v>4</v>
      </c>
      <c r="I6" s="4" t="s">
        <v>10</v>
      </c>
      <c r="J6" s="2">
        <v>10</v>
      </c>
    </row>
    <row r="7" spans="2:11" x14ac:dyDescent="0.2">
      <c r="I7" s="4" t="s">
        <v>11</v>
      </c>
      <c r="J7" s="2">
        <v>1.5</v>
      </c>
    </row>
    <row r="10" spans="2:11" x14ac:dyDescent="0.2">
      <c r="B10" s="11" t="s">
        <v>18</v>
      </c>
      <c r="C10" s="12"/>
      <c r="I10" s="11" t="s">
        <v>18</v>
      </c>
      <c r="J10" s="12"/>
    </row>
    <row r="11" spans="2:11" x14ac:dyDescent="0.2">
      <c r="B11" t="s">
        <v>19</v>
      </c>
      <c r="C11">
        <f>COUNT(claimSimResults[PolicyID])/Settings!B6</f>
        <v>2.1579999999999999</v>
      </c>
      <c r="D11" s="8" t="s">
        <v>29</v>
      </c>
      <c r="I11" t="s">
        <v>19</v>
      </c>
      <c r="J11" s="7">
        <f>AVERAGE(claimSimResults[ValidClaimAmount])</f>
        <v>0.1750053490745305</v>
      </c>
      <c r="K11" t="s">
        <v>30</v>
      </c>
    </row>
    <row r="12" spans="2:11" x14ac:dyDescent="0.2">
      <c r="B12" t="s">
        <v>20</v>
      </c>
      <c r="C12" cm="1">
        <f t="array" ref="C12">STDEV(_xlfn.BYROW(_xlfn.SEQUENCE(num_policies, 1, 1, 1), _xlfn.LAMBDA(_xlpm.id, COUNTIFS(claimSimResults[PolicyID], _xlpm.id))))</f>
        <v>0.97926191992522171</v>
      </c>
      <c r="D12" t="s">
        <v>32</v>
      </c>
      <c r="I12" t="s">
        <v>20</v>
      </c>
      <c r="J12" s="7">
        <f>STDEV(claimSimResults[ValidClaimAmount])</f>
        <v>0.12898687268424402</v>
      </c>
      <c r="K12" t="s">
        <v>31</v>
      </c>
    </row>
    <row r="13" spans="2:11" x14ac:dyDescent="0.2">
      <c r="B13" t="s">
        <v>471</v>
      </c>
      <c r="C13">
        <f>MIN(TblPolicyClaimCount[ClaimCount])</f>
        <v>1</v>
      </c>
      <c r="I13" t="s">
        <v>471</v>
      </c>
      <c r="J13">
        <f>MIN(claimSimResults[ValidClaimAmount])</f>
        <v>4.6314138606822304E-3</v>
      </c>
    </row>
    <row r="14" spans="2:11" x14ac:dyDescent="0.2">
      <c r="B14" t="s">
        <v>472</v>
      </c>
      <c r="C14">
        <f>MAX(TblPolicyClaimCount[ClaimCount])</f>
        <v>4</v>
      </c>
      <c r="I14" t="s">
        <v>472</v>
      </c>
      <c r="J14">
        <f>MAX(claimSimResults[ValidClaimAmount])</f>
        <v>1.20154181782631</v>
      </c>
    </row>
    <row r="17" spans="2:10" x14ac:dyDescent="0.2">
      <c r="B17" s="11" t="s">
        <v>470</v>
      </c>
      <c r="C17" s="12"/>
      <c r="I17" s="11" t="s">
        <v>470</v>
      </c>
      <c r="J17" s="12"/>
    </row>
    <row r="18" spans="2:10" x14ac:dyDescent="0.2">
      <c r="B18">
        <v>25</v>
      </c>
      <c r="C18">
        <f>_xlfn.PERCENTILE.EXC(TblPolicyClaimCount[ClaimCount], B18/100)</f>
        <v>2</v>
      </c>
      <c r="I18">
        <v>25</v>
      </c>
      <c r="J18">
        <f>_xlfn.PERCENTILE.EXC(claimSimResults[ValidClaimAmount], I18/100)</f>
        <v>8.4229049081093896E-2</v>
      </c>
    </row>
    <row r="19" spans="2:10" x14ac:dyDescent="0.2">
      <c r="B19">
        <v>50</v>
      </c>
      <c r="C19">
        <f>_xlfn.PERCENTILE.EXC(TblPolicyClaimCount[ClaimCount], B19/100)</f>
        <v>2</v>
      </c>
      <c r="I19">
        <v>50</v>
      </c>
      <c r="J19">
        <f>_xlfn.PERCENTILE.EXC(claimSimResults[ValidClaimAmount], I19/100)</f>
        <v>0.14647144910694301</v>
      </c>
    </row>
    <row r="20" spans="2:10" x14ac:dyDescent="0.2">
      <c r="B20">
        <v>75</v>
      </c>
      <c r="C20">
        <f>_xlfn.PERCENTILE.EXC(TblPolicyClaimCount[ClaimCount], B20/100)</f>
        <v>3</v>
      </c>
      <c r="I20">
        <v>75</v>
      </c>
      <c r="J20">
        <f>_xlfn.PERCENTILE.EXC(claimSimResults[ValidClaimAmount], I20/100)</f>
        <v>0.235871640693813</v>
      </c>
    </row>
    <row r="21" spans="2:10" x14ac:dyDescent="0.2">
      <c r="B21">
        <v>90</v>
      </c>
      <c r="C21">
        <f>_xlfn.PERCENTILE.EXC(TblPolicyClaimCount[ClaimCount], B21/100)</f>
        <v>3</v>
      </c>
      <c r="I21">
        <v>90</v>
      </c>
      <c r="J21">
        <f>_xlfn.PERCENTILE.EXC(claimSimResults[ValidClaimAmount], I21/100)</f>
        <v>0.345698870059581</v>
      </c>
    </row>
    <row r="22" spans="2:10" x14ac:dyDescent="0.2">
      <c r="B22">
        <v>99</v>
      </c>
      <c r="C22">
        <f>_xlfn.PERCENTILE.EXC(TblPolicyClaimCount[ClaimCount], B22/100)</f>
        <v>4</v>
      </c>
      <c r="I22">
        <v>99</v>
      </c>
      <c r="J22">
        <f>_xlfn.PERCENTILE.EXC(claimSimResults[ValidClaimAmount], I22/100)</f>
        <v>0.60850467070700343</v>
      </c>
    </row>
    <row r="41" spans="2:4" x14ac:dyDescent="0.2">
      <c r="B41" s="11" t="s">
        <v>621</v>
      </c>
      <c r="C41" s="11"/>
      <c r="D41" s="11"/>
    </row>
    <row r="42" spans="2:4" x14ac:dyDescent="0.2">
      <c r="B42" t="s">
        <v>0</v>
      </c>
      <c r="C42" t="s">
        <v>1</v>
      </c>
      <c r="D42" t="s">
        <v>2</v>
      </c>
    </row>
    <row r="43" spans="2:4" x14ac:dyDescent="0.2">
      <c r="B43" cm="1">
        <f t="array" ref="B43:D47">INDEX(_xlfn.CHOOSECOLS(
    _xlfn.SORTBY(claimSimResults[], claimSimResults[ValidClaimAmount], -1),
    MATCH("PolicyID", claimSimResults[#Headers], 0), MATCH("ValidClaimAmount", claimSimResults[#Headers], 0), MATCH("ClaimDate", claimSimResults[#Headers], 0)
), _xlfn.SEQUENCE(5), {1,2,3})</f>
        <v>243</v>
      </c>
      <c r="C43">
        <v>1.20154181782631</v>
      </c>
      <c r="D43" s="1">
        <v>45430</v>
      </c>
    </row>
    <row r="44" spans="2:4" x14ac:dyDescent="0.2">
      <c r="B44">
        <v>214</v>
      </c>
      <c r="C44">
        <v>0.74981548395261599</v>
      </c>
      <c r="D44" s="1">
        <v>45445</v>
      </c>
    </row>
    <row r="45" spans="2:4" x14ac:dyDescent="0.2">
      <c r="B45">
        <v>275</v>
      </c>
      <c r="C45">
        <v>0.74919430560186095</v>
      </c>
      <c r="D45" s="1">
        <v>45335</v>
      </c>
    </row>
    <row r="46" spans="2:4" x14ac:dyDescent="0.2">
      <c r="B46">
        <v>101</v>
      </c>
      <c r="C46">
        <v>0.72833679507367799</v>
      </c>
      <c r="D46" s="1">
        <v>45547</v>
      </c>
    </row>
    <row r="47" spans="2:4" x14ac:dyDescent="0.2">
      <c r="B47">
        <v>419</v>
      </c>
      <c r="C47">
        <v>0.68041682076662502</v>
      </c>
      <c r="D47" s="1">
        <v>45381</v>
      </c>
    </row>
    <row r="75" spans="2:11" ht="21" thickBot="1" x14ac:dyDescent="0.3">
      <c r="B75" s="14" t="s">
        <v>1147</v>
      </c>
      <c r="C75" s="14"/>
      <c r="D75" s="14"/>
      <c r="E75" s="14"/>
      <c r="F75" s="14"/>
      <c r="G75" s="14"/>
      <c r="H75" s="14"/>
      <c r="I75" s="14"/>
      <c r="J75" s="14"/>
      <c r="K75" s="14"/>
    </row>
    <row r="76" spans="2:11" ht="17" thickTop="1" x14ac:dyDescent="0.2"/>
    <row r="77" spans="2:11" x14ac:dyDescent="0.2">
      <c r="B77" t="s">
        <v>613</v>
      </c>
      <c r="C77">
        <f>COUNT(claimSimResults[PolicyID])</f>
        <v>1079</v>
      </c>
      <c r="E77" t="s">
        <v>631</v>
      </c>
      <c r="F77">
        <f>SUM(claimSimResults[ValidClaimAmount])</f>
        <v>188.83077165141842</v>
      </c>
    </row>
    <row r="78" spans="2:11" x14ac:dyDescent="0.2">
      <c r="B78" t="s">
        <v>614</v>
      </c>
      <c r="C78">
        <f>SUM(claimSimResults[ValidClaimAmount])/num_policies</f>
        <v>0.37766154330283686</v>
      </c>
      <c r="D78" t="s">
        <v>615</v>
      </c>
    </row>
    <row r="79" spans="2:11" x14ac:dyDescent="0.2">
      <c r="B79" t="s">
        <v>616</v>
      </c>
      <c r="D79" t="s">
        <v>620</v>
      </c>
    </row>
    <row r="80" spans="2:11" x14ac:dyDescent="0.2">
      <c r="B80" t="s">
        <v>1144</v>
      </c>
    </row>
    <row r="82" spans="2:9" x14ac:dyDescent="0.2">
      <c r="C82" t="s">
        <v>617</v>
      </c>
      <c r="I82" t="s">
        <v>1145</v>
      </c>
    </row>
    <row r="83" spans="2:9" x14ac:dyDescent="0.2">
      <c r="C83" t="s">
        <v>618</v>
      </c>
      <c r="I83" t="s">
        <v>1146</v>
      </c>
    </row>
    <row r="84" spans="2:9" x14ac:dyDescent="0.2">
      <c r="C84" t="s">
        <v>619</v>
      </c>
    </row>
    <row r="86" spans="2:9" x14ac:dyDescent="0.2">
      <c r="B86" s="11" t="s">
        <v>629</v>
      </c>
      <c r="C86" s="12"/>
      <c r="D86" s="12"/>
    </row>
    <row r="87" spans="2:9" x14ac:dyDescent="0.2">
      <c r="B87" t="s">
        <v>0</v>
      </c>
      <c r="C87" t="s">
        <v>622</v>
      </c>
      <c r="D87" t="s">
        <v>630</v>
      </c>
    </row>
    <row r="88" spans="2:9" x14ac:dyDescent="0.2">
      <c r="B88" cm="1">
        <f t="array" ref="B88:D92">INDEX(
    _xlfn._xlws.SORT(
        _xlfn._xlws.FILTER(
            ClaimsByPolicy,
            (INDEX(ClaimsByPolicy, 0, 1) &lt;&gt; "Grand Total") * (INDEX(ClaimsByPolicy, 0, 1) &lt;&gt; "PolicyID")
        ),
        3, -1
    ),
    _xlfn.SEQUENCE(5),
    {1,2,3}
)</f>
        <v>243</v>
      </c>
      <c r="C88">
        <v>3</v>
      </c>
      <c r="D88">
        <v>1.3823360415908801</v>
      </c>
    </row>
    <row r="89" spans="2:9" x14ac:dyDescent="0.2">
      <c r="B89">
        <v>326</v>
      </c>
      <c r="C89">
        <v>4</v>
      </c>
      <c r="D89">
        <v>1.3674437206616898</v>
      </c>
    </row>
    <row r="90" spans="2:9" x14ac:dyDescent="0.2">
      <c r="B90">
        <v>155</v>
      </c>
      <c r="C90">
        <v>3</v>
      </c>
      <c r="D90">
        <v>1.2941157912651828</v>
      </c>
    </row>
    <row r="91" spans="2:9" x14ac:dyDescent="0.2">
      <c r="B91">
        <v>408</v>
      </c>
      <c r="C91">
        <v>4</v>
      </c>
      <c r="D91">
        <v>1.2606092889779301</v>
      </c>
    </row>
    <row r="92" spans="2:9" x14ac:dyDescent="0.2">
      <c r="B92">
        <v>492</v>
      </c>
      <c r="C92">
        <v>4</v>
      </c>
      <c r="D92">
        <v>1.2164715933014301</v>
      </c>
    </row>
  </sheetData>
  <mergeCells count="9">
    <mergeCell ref="B75:K75"/>
    <mergeCell ref="B86:D86"/>
    <mergeCell ref="B41:D41"/>
    <mergeCell ref="B2:C2"/>
    <mergeCell ref="I2:J2"/>
    <mergeCell ref="B10:C10"/>
    <mergeCell ref="I10:J10"/>
    <mergeCell ref="I17:J17"/>
    <mergeCell ref="B17:C17"/>
  </mergeCells>
  <conditionalFormatting sqref="B4:C4">
    <cfRule type="expression" dxfId="9" priority="9">
      <formula>$C$3&lt;&gt;"Poisson"</formula>
    </cfRule>
  </conditionalFormatting>
  <conditionalFormatting sqref="B5:C5">
    <cfRule type="expression" dxfId="8" priority="7">
      <formula>AND($C$3&lt;&gt;"Binomial", $C$3&lt;&gt;"Negative Binomial")</formula>
    </cfRule>
  </conditionalFormatting>
  <conditionalFormatting sqref="B6:C6">
    <cfRule type="expression" dxfId="7" priority="5" stopIfTrue="1">
      <formula>$C$3&lt;&gt;"Binomial"</formula>
    </cfRule>
  </conditionalFormatting>
  <conditionalFormatting sqref="I4:J4">
    <cfRule type="expression" dxfId="6" priority="4" stopIfTrue="1">
      <formula>$J$3&lt;&gt;"Gamma"</formula>
    </cfRule>
  </conditionalFormatting>
  <conditionalFormatting sqref="I5:J5">
    <cfRule type="expression" dxfId="5" priority="3" stopIfTrue="1">
      <formula>$J$3&lt;&gt;"Gamma"</formula>
    </cfRule>
  </conditionalFormatting>
  <conditionalFormatting sqref="I6:J6">
    <cfRule type="expression" dxfId="4" priority="2" stopIfTrue="1">
      <formula>$J$3&lt;&gt;"Lognormal"</formula>
    </cfRule>
  </conditionalFormatting>
  <conditionalFormatting sqref="I7:J7">
    <cfRule type="expression" dxfId="3" priority="1">
      <formula>$J$3&lt;&gt;"Lognormal"</formula>
    </cfRule>
  </conditionalFormatting>
  <dataValidations count="8">
    <dataValidation type="list" showInputMessage="1" showErrorMessage="1" promptTitle="Poisson by default" sqref="C3" xr:uid="{D1411DE7-65CB-C84B-88A4-5928A841D417}">
      <formula1>"Poisson,Binomial"</formula1>
    </dataValidation>
    <dataValidation type="decimal" operator="greaterThan" allowBlank="1" showInputMessage="1" showErrorMessage="1" sqref="C4 J5" xr:uid="{40CF4B19-1C35-7842-872E-420463E70408}">
      <formula1>0</formula1>
    </dataValidation>
    <dataValidation type="decimal" allowBlank="1" showInputMessage="1" showErrorMessage="1" sqref="C5" xr:uid="{AC114271-8CBC-9947-AE7E-F94CAAF79F4E}">
      <formula1>0</formula1>
      <formula2>1</formula2>
    </dataValidation>
    <dataValidation type="whole" operator="greaterThan" allowBlank="1" showInputMessage="1" showErrorMessage="1" sqref="C6 J4" xr:uid="{FDD9DCB0-02C3-E149-93F2-B1199E6C715A}">
      <formula1>0</formula1>
    </dataValidation>
    <dataValidation type="list" showInputMessage="1" showErrorMessage="1" promptTitle="Poisson by default" sqref="J3" xr:uid="{BC5627C4-B098-D145-8BA5-B12B31C0A91B}">
      <formula1>"Gamma,Lognormal"</formula1>
    </dataValidation>
    <dataValidation type="custom" operator="greaterThan" allowBlank="1" showInputMessage="1" showErrorMessage="1" sqref="J7" xr:uid="{40AC7D11-F594-3444-A2A0-3F1807C28FB0}">
      <formula1>ISNUMBER(J7)</formula1>
    </dataValidation>
    <dataValidation type="decimal" operator="greaterThanOrEqual" allowBlank="1" showInputMessage="1" showErrorMessage="1" sqref="J6" xr:uid="{A02B9B2D-5C86-944B-8804-F906AF4F2453}">
      <formula1>0</formula1>
    </dataValidation>
    <dataValidation type="decimal" allowBlank="1" showInputMessage="1" showErrorMessage="1" sqref="I18:I22 B18:B22" xr:uid="{0830D58D-9A76-A548-BD30-8712FA863F92}">
      <formula1>1</formula1>
      <formula2>99</formula2>
    </dataValidation>
  </dataValidations>
  <pageMargins left="0.7" right="0.7" top="0.75" bottom="0.75" header="0.3" footer="0.3"/>
  <pageSetup scale="5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4</xdr:col>
                    <xdr:colOff>50800</xdr:colOff>
                    <xdr:row>3</xdr:row>
                    <xdr:rowOff>0</xdr:rowOff>
                  </from>
                  <to>
                    <xdr:col>6</xdr:col>
                    <xdr:colOff>1409700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7"/>
  <sheetViews>
    <sheetView workbookViewId="0">
      <selection activeCell="B23" sqref="B23"/>
    </sheetView>
  </sheetViews>
  <sheetFormatPr baseColWidth="10" defaultRowHeight="16" x14ac:dyDescent="0.2"/>
  <cols>
    <col min="1" max="1" width="26.1640625" customWidth="1"/>
    <col min="2" max="2" width="65.33203125" customWidth="1"/>
    <col min="3" max="3" width="72.1640625" customWidth="1"/>
  </cols>
  <sheetData>
    <row r="4" spans="1:3" x14ac:dyDescent="0.2">
      <c r="A4" t="s">
        <v>14</v>
      </c>
      <c r="B4" t="s">
        <v>15</v>
      </c>
      <c r="C4" t="s">
        <v>16</v>
      </c>
    </row>
    <row r="5" spans="1:3" x14ac:dyDescent="0.2">
      <c r="A5" s="6" t="s">
        <v>12</v>
      </c>
      <c r="B5" s="6" t="s">
        <v>13</v>
      </c>
      <c r="C5" s="6" t="s">
        <v>28</v>
      </c>
    </row>
    <row r="6" spans="1:3" x14ac:dyDescent="0.2">
      <c r="A6" t="s">
        <v>21</v>
      </c>
      <c r="B6">
        <v>500</v>
      </c>
      <c r="C6" t="s">
        <v>22</v>
      </c>
    </row>
    <row r="7" spans="1:3" x14ac:dyDescent="0.2">
      <c r="A7" t="s">
        <v>23</v>
      </c>
      <c r="B7">
        <v>1000000</v>
      </c>
      <c r="C7" t="s">
        <v>24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F501"/>
  <sheetViews>
    <sheetView workbookViewId="0">
      <selection activeCell="D3" sqref="D3"/>
    </sheetView>
  </sheetViews>
  <sheetFormatPr baseColWidth="10" defaultRowHeight="16" x14ac:dyDescent="0.2"/>
  <cols>
    <col min="1" max="1" width="10.5" bestFit="1" customWidth="1"/>
    <col min="2" max="2" width="13.6640625" bestFit="1" customWidth="1"/>
    <col min="3" max="3" width="12.6640625" bestFit="1" customWidth="1"/>
    <col min="4" max="4" width="19.5" bestFit="1" customWidth="1"/>
    <col min="5" max="5" width="10.5" bestFit="1" customWidth="1"/>
    <col min="6" max="6" width="16.6640625" bestFit="1" customWidth="1"/>
    <col min="8" max="8" width="13" bestFit="1" customWidth="1"/>
    <col min="9" max="9" width="24.5" bestFit="1" customWidth="1"/>
  </cols>
  <sheetData>
    <row r="1" spans="1:6" x14ac:dyDescent="0.2">
      <c r="A1" t="s">
        <v>0</v>
      </c>
      <c r="B1" t="s">
        <v>34</v>
      </c>
    </row>
    <row r="2" spans="1:6" x14ac:dyDescent="0.2">
      <c r="A2">
        <v>1</v>
      </c>
      <c r="B2">
        <v>3</v>
      </c>
      <c r="D2" t="s">
        <v>1148</v>
      </c>
    </row>
    <row r="3" spans="1:6" x14ac:dyDescent="0.2">
      <c r="A3">
        <v>2</v>
      </c>
      <c r="B3">
        <v>1</v>
      </c>
    </row>
    <row r="4" spans="1:6" x14ac:dyDescent="0.2">
      <c r="A4">
        <v>3</v>
      </c>
      <c r="B4">
        <v>2</v>
      </c>
    </row>
    <row r="5" spans="1:6" x14ac:dyDescent="0.2">
      <c r="A5">
        <v>4</v>
      </c>
      <c r="B5">
        <v>1</v>
      </c>
    </row>
    <row r="6" spans="1:6" x14ac:dyDescent="0.2">
      <c r="A6">
        <v>5</v>
      </c>
      <c r="B6">
        <v>1</v>
      </c>
    </row>
    <row r="7" spans="1:6" x14ac:dyDescent="0.2">
      <c r="A7">
        <v>6</v>
      </c>
      <c r="B7">
        <v>4</v>
      </c>
    </row>
    <row r="8" spans="1:6" x14ac:dyDescent="0.2">
      <c r="A8">
        <v>7</v>
      </c>
      <c r="B8">
        <v>2</v>
      </c>
      <c r="E8" t="s">
        <v>35</v>
      </c>
    </row>
    <row r="9" spans="1:6" x14ac:dyDescent="0.2">
      <c r="A9">
        <v>8</v>
      </c>
      <c r="B9">
        <v>1</v>
      </c>
    </row>
    <row r="10" spans="1:6" x14ac:dyDescent="0.2">
      <c r="A10">
        <v>9</v>
      </c>
      <c r="B10">
        <v>2</v>
      </c>
    </row>
    <row r="11" spans="1:6" x14ac:dyDescent="0.2">
      <c r="A11">
        <v>10</v>
      </c>
      <c r="B11">
        <v>2</v>
      </c>
      <c r="E11" s="9" t="s">
        <v>36</v>
      </c>
      <c r="F11" t="s">
        <v>37</v>
      </c>
    </row>
    <row r="12" spans="1:6" x14ac:dyDescent="0.2">
      <c r="A12">
        <v>12</v>
      </c>
      <c r="B12">
        <v>2</v>
      </c>
      <c r="E12" s="10">
        <v>1</v>
      </c>
      <c r="F12" s="13">
        <v>121</v>
      </c>
    </row>
    <row r="13" spans="1:6" x14ac:dyDescent="0.2">
      <c r="A13">
        <v>13</v>
      </c>
      <c r="B13">
        <v>2</v>
      </c>
      <c r="E13" s="10">
        <v>2</v>
      </c>
      <c r="F13" s="13">
        <v>183</v>
      </c>
    </row>
    <row r="14" spans="1:6" x14ac:dyDescent="0.2">
      <c r="A14">
        <v>14</v>
      </c>
      <c r="B14">
        <v>2</v>
      </c>
      <c r="E14" s="10">
        <v>3</v>
      </c>
      <c r="F14" s="13">
        <v>165</v>
      </c>
    </row>
    <row r="15" spans="1:6" x14ac:dyDescent="0.2">
      <c r="A15">
        <v>15</v>
      </c>
      <c r="B15">
        <v>3</v>
      </c>
      <c r="E15" s="10">
        <v>4</v>
      </c>
      <c r="F15" s="13">
        <v>31</v>
      </c>
    </row>
    <row r="16" spans="1:6" x14ac:dyDescent="0.2">
      <c r="A16">
        <v>16</v>
      </c>
      <c r="B16">
        <v>1</v>
      </c>
      <c r="E16" s="10" t="s">
        <v>33</v>
      </c>
      <c r="F16" s="13">
        <v>500</v>
      </c>
    </row>
    <row r="17" spans="1:2" x14ac:dyDescent="0.2">
      <c r="A17">
        <v>17</v>
      </c>
      <c r="B17">
        <v>3</v>
      </c>
    </row>
    <row r="18" spans="1:2" x14ac:dyDescent="0.2">
      <c r="A18">
        <v>18</v>
      </c>
      <c r="B18">
        <v>4</v>
      </c>
    </row>
    <row r="19" spans="1:2" x14ac:dyDescent="0.2">
      <c r="A19">
        <v>19</v>
      </c>
      <c r="B19">
        <v>3</v>
      </c>
    </row>
    <row r="20" spans="1:2" x14ac:dyDescent="0.2">
      <c r="A20">
        <v>20</v>
      </c>
      <c r="B20">
        <v>1</v>
      </c>
    </row>
    <row r="21" spans="1:2" x14ac:dyDescent="0.2">
      <c r="A21">
        <v>21</v>
      </c>
      <c r="B21">
        <v>1</v>
      </c>
    </row>
    <row r="22" spans="1:2" x14ac:dyDescent="0.2">
      <c r="A22">
        <v>22</v>
      </c>
      <c r="B22">
        <v>2</v>
      </c>
    </row>
    <row r="23" spans="1:2" x14ac:dyDescent="0.2">
      <c r="A23">
        <v>23</v>
      </c>
      <c r="B23">
        <v>2</v>
      </c>
    </row>
    <row r="24" spans="1:2" x14ac:dyDescent="0.2">
      <c r="A24">
        <v>25</v>
      </c>
      <c r="B24">
        <v>2</v>
      </c>
    </row>
    <row r="25" spans="1:2" x14ac:dyDescent="0.2">
      <c r="A25">
        <v>26</v>
      </c>
      <c r="B25">
        <v>2</v>
      </c>
    </row>
    <row r="26" spans="1:2" x14ac:dyDescent="0.2">
      <c r="A26">
        <v>27</v>
      </c>
      <c r="B26">
        <v>2</v>
      </c>
    </row>
    <row r="27" spans="1:2" x14ac:dyDescent="0.2">
      <c r="A27">
        <v>28</v>
      </c>
      <c r="B27">
        <v>2</v>
      </c>
    </row>
    <row r="28" spans="1:2" x14ac:dyDescent="0.2">
      <c r="A28">
        <v>29</v>
      </c>
      <c r="B28">
        <v>3</v>
      </c>
    </row>
    <row r="29" spans="1:2" x14ac:dyDescent="0.2">
      <c r="A29">
        <v>30</v>
      </c>
      <c r="B29">
        <v>3</v>
      </c>
    </row>
    <row r="30" spans="1:2" x14ac:dyDescent="0.2">
      <c r="A30">
        <v>32</v>
      </c>
      <c r="B30">
        <v>1</v>
      </c>
    </row>
    <row r="31" spans="1:2" x14ac:dyDescent="0.2">
      <c r="A31">
        <v>33</v>
      </c>
      <c r="B31">
        <v>2</v>
      </c>
    </row>
    <row r="32" spans="1:2" x14ac:dyDescent="0.2">
      <c r="A32">
        <v>34</v>
      </c>
      <c r="B32">
        <v>1</v>
      </c>
    </row>
    <row r="33" spans="1:2" x14ac:dyDescent="0.2">
      <c r="A33">
        <v>35</v>
      </c>
      <c r="B33">
        <v>4</v>
      </c>
    </row>
    <row r="34" spans="1:2" x14ac:dyDescent="0.2">
      <c r="A34">
        <v>36</v>
      </c>
      <c r="B34">
        <v>2</v>
      </c>
    </row>
    <row r="35" spans="1:2" x14ac:dyDescent="0.2">
      <c r="A35">
        <v>37</v>
      </c>
      <c r="B35">
        <v>1</v>
      </c>
    </row>
    <row r="36" spans="1:2" x14ac:dyDescent="0.2">
      <c r="A36">
        <v>38</v>
      </c>
      <c r="B36">
        <v>3</v>
      </c>
    </row>
    <row r="37" spans="1:2" x14ac:dyDescent="0.2">
      <c r="A37">
        <v>39</v>
      </c>
      <c r="B37">
        <v>3</v>
      </c>
    </row>
    <row r="38" spans="1:2" x14ac:dyDescent="0.2">
      <c r="A38">
        <v>40</v>
      </c>
      <c r="B38">
        <v>3</v>
      </c>
    </row>
    <row r="39" spans="1:2" x14ac:dyDescent="0.2">
      <c r="A39">
        <v>41</v>
      </c>
      <c r="B39">
        <v>3</v>
      </c>
    </row>
    <row r="40" spans="1:2" x14ac:dyDescent="0.2">
      <c r="A40">
        <v>42</v>
      </c>
      <c r="B40">
        <v>2</v>
      </c>
    </row>
    <row r="41" spans="1:2" x14ac:dyDescent="0.2">
      <c r="A41">
        <v>43</v>
      </c>
      <c r="B41">
        <v>2</v>
      </c>
    </row>
    <row r="42" spans="1:2" x14ac:dyDescent="0.2">
      <c r="A42">
        <v>44</v>
      </c>
      <c r="B42">
        <v>3</v>
      </c>
    </row>
    <row r="43" spans="1:2" x14ac:dyDescent="0.2">
      <c r="A43">
        <v>45</v>
      </c>
      <c r="B43">
        <v>3</v>
      </c>
    </row>
    <row r="44" spans="1:2" x14ac:dyDescent="0.2">
      <c r="A44">
        <v>46</v>
      </c>
      <c r="B44">
        <v>3</v>
      </c>
    </row>
    <row r="45" spans="1:2" x14ac:dyDescent="0.2">
      <c r="A45">
        <v>47</v>
      </c>
      <c r="B45">
        <v>3</v>
      </c>
    </row>
    <row r="46" spans="1:2" x14ac:dyDescent="0.2">
      <c r="A46">
        <v>48</v>
      </c>
      <c r="B46">
        <v>2</v>
      </c>
    </row>
    <row r="47" spans="1:2" x14ac:dyDescent="0.2">
      <c r="A47">
        <v>49</v>
      </c>
      <c r="B47">
        <v>3</v>
      </c>
    </row>
    <row r="48" spans="1:2" x14ac:dyDescent="0.2">
      <c r="A48">
        <v>50</v>
      </c>
      <c r="B48">
        <v>1</v>
      </c>
    </row>
    <row r="49" spans="1:2" x14ac:dyDescent="0.2">
      <c r="A49">
        <v>51</v>
      </c>
      <c r="B49">
        <v>4</v>
      </c>
    </row>
    <row r="50" spans="1:2" x14ac:dyDescent="0.2">
      <c r="A50">
        <v>52</v>
      </c>
      <c r="B50">
        <v>2</v>
      </c>
    </row>
    <row r="51" spans="1:2" x14ac:dyDescent="0.2">
      <c r="A51">
        <v>53</v>
      </c>
      <c r="B51">
        <v>1</v>
      </c>
    </row>
    <row r="52" spans="1:2" x14ac:dyDescent="0.2">
      <c r="A52">
        <v>54</v>
      </c>
      <c r="B52">
        <v>3</v>
      </c>
    </row>
    <row r="53" spans="1:2" x14ac:dyDescent="0.2">
      <c r="A53">
        <v>55</v>
      </c>
      <c r="B53">
        <v>2</v>
      </c>
    </row>
    <row r="54" spans="1:2" x14ac:dyDescent="0.2">
      <c r="A54">
        <v>56</v>
      </c>
      <c r="B54">
        <v>3</v>
      </c>
    </row>
    <row r="55" spans="1:2" x14ac:dyDescent="0.2">
      <c r="A55">
        <v>57</v>
      </c>
      <c r="B55">
        <v>3</v>
      </c>
    </row>
    <row r="56" spans="1:2" x14ac:dyDescent="0.2">
      <c r="A56">
        <v>58</v>
      </c>
      <c r="B56">
        <v>1</v>
      </c>
    </row>
    <row r="57" spans="1:2" x14ac:dyDescent="0.2">
      <c r="A57">
        <v>59</v>
      </c>
      <c r="B57">
        <v>1</v>
      </c>
    </row>
    <row r="58" spans="1:2" x14ac:dyDescent="0.2">
      <c r="A58">
        <v>60</v>
      </c>
      <c r="B58">
        <v>3</v>
      </c>
    </row>
    <row r="59" spans="1:2" x14ac:dyDescent="0.2">
      <c r="A59">
        <v>61</v>
      </c>
      <c r="B59">
        <v>2</v>
      </c>
    </row>
    <row r="60" spans="1:2" x14ac:dyDescent="0.2">
      <c r="A60">
        <v>62</v>
      </c>
      <c r="B60">
        <v>3</v>
      </c>
    </row>
    <row r="61" spans="1:2" x14ac:dyDescent="0.2">
      <c r="A61">
        <v>63</v>
      </c>
      <c r="B61">
        <v>2</v>
      </c>
    </row>
    <row r="62" spans="1:2" x14ac:dyDescent="0.2">
      <c r="A62">
        <v>64</v>
      </c>
      <c r="B62">
        <v>3</v>
      </c>
    </row>
    <row r="63" spans="1:2" x14ac:dyDescent="0.2">
      <c r="A63">
        <v>65</v>
      </c>
      <c r="B63">
        <v>1</v>
      </c>
    </row>
    <row r="64" spans="1:2" x14ac:dyDescent="0.2">
      <c r="A64">
        <v>66</v>
      </c>
      <c r="B64">
        <v>2</v>
      </c>
    </row>
    <row r="65" spans="1:2" x14ac:dyDescent="0.2">
      <c r="A65">
        <v>67</v>
      </c>
      <c r="B65">
        <v>1</v>
      </c>
    </row>
    <row r="66" spans="1:2" x14ac:dyDescent="0.2">
      <c r="A66">
        <v>68</v>
      </c>
      <c r="B66">
        <v>1</v>
      </c>
    </row>
    <row r="67" spans="1:2" x14ac:dyDescent="0.2">
      <c r="A67">
        <v>69</v>
      </c>
      <c r="B67">
        <v>1</v>
      </c>
    </row>
    <row r="68" spans="1:2" x14ac:dyDescent="0.2">
      <c r="A68">
        <v>70</v>
      </c>
      <c r="B68">
        <v>2</v>
      </c>
    </row>
    <row r="69" spans="1:2" x14ac:dyDescent="0.2">
      <c r="A69">
        <v>71</v>
      </c>
      <c r="B69">
        <v>1</v>
      </c>
    </row>
    <row r="70" spans="1:2" x14ac:dyDescent="0.2">
      <c r="A70">
        <v>72</v>
      </c>
      <c r="B70">
        <v>2</v>
      </c>
    </row>
    <row r="71" spans="1:2" x14ac:dyDescent="0.2">
      <c r="A71">
        <v>73</v>
      </c>
      <c r="B71">
        <v>2</v>
      </c>
    </row>
    <row r="72" spans="1:2" x14ac:dyDescent="0.2">
      <c r="A72">
        <v>74</v>
      </c>
      <c r="B72">
        <v>4</v>
      </c>
    </row>
    <row r="73" spans="1:2" x14ac:dyDescent="0.2">
      <c r="A73">
        <v>75</v>
      </c>
      <c r="B73">
        <v>2</v>
      </c>
    </row>
    <row r="74" spans="1:2" x14ac:dyDescent="0.2">
      <c r="A74">
        <v>76</v>
      </c>
      <c r="B74">
        <v>3</v>
      </c>
    </row>
    <row r="75" spans="1:2" x14ac:dyDescent="0.2">
      <c r="A75">
        <v>77</v>
      </c>
      <c r="B75">
        <v>2</v>
      </c>
    </row>
    <row r="76" spans="1:2" x14ac:dyDescent="0.2">
      <c r="A76">
        <v>78</v>
      </c>
      <c r="B76">
        <v>2</v>
      </c>
    </row>
    <row r="77" spans="1:2" x14ac:dyDescent="0.2">
      <c r="A77">
        <v>79</v>
      </c>
      <c r="B77">
        <v>3</v>
      </c>
    </row>
    <row r="78" spans="1:2" x14ac:dyDescent="0.2">
      <c r="A78">
        <v>80</v>
      </c>
      <c r="B78">
        <v>3</v>
      </c>
    </row>
    <row r="79" spans="1:2" x14ac:dyDescent="0.2">
      <c r="A79">
        <v>81</v>
      </c>
      <c r="B79">
        <v>3</v>
      </c>
    </row>
    <row r="80" spans="1:2" x14ac:dyDescent="0.2">
      <c r="A80">
        <v>82</v>
      </c>
      <c r="B80">
        <v>2</v>
      </c>
    </row>
    <row r="81" spans="1:2" x14ac:dyDescent="0.2">
      <c r="A81">
        <v>83</v>
      </c>
      <c r="B81">
        <v>2</v>
      </c>
    </row>
    <row r="82" spans="1:2" x14ac:dyDescent="0.2">
      <c r="A82">
        <v>84</v>
      </c>
      <c r="B82">
        <v>1</v>
      </c>
    </row>
    <row r="83" spans="1:2" x14ac:dyDescent="0.2">
      <c r="A83">
        <v>85</v>
      </c>
      <c r="B83">
        <v>3</v>
      </c>
    </row>
    <row r="84" spans="1:2" x14ac:dyDescent="0.2">
      <c r="A84">
        <v>86</v>
      </c>
      <c r="B84">
        <v>2</v>
      </c>
    </row>
    <row r="85" spans="1:2" x14ac:dyDescent="0.2">
      <c r="A85">
        <v>88</v>
      </c>
      <c r="B85">
        <v>1</v>
      </c>
    </row>
    <row r="86" spans="1:2" x14ac:dyDescent="0.2">
      <c r="A86">
        <v>89</v>
      </c>
      <c r="B86">
        <v>1</v>
      </c>
    </row>
    <row r="87" spans="1:2" x14ac:dyDescent="0.2">
      <c r="A87">
        <v>90</v>
      </c>
      <c r="B87">
        <v>3</v>
      </c>
    </row>
    <row r="88" spans="1:2" x14ac:dyDescent="0.2">
      <c r="A88">
        <v>91</v>
      </c>
      <c r="B88">
        <v>3</v>
      </c>
    </row>
    <row r="89" spans="1:2" x14ac:dyDescent="0.2">
      <c r="A89">
        <v>92</v>
      </c>
      <c r="B89">
        <v>2</v>
      </c>
    </row>
    <row r="90" spans="1:2" x14ac:dyDescent="0.2">
      <c r="A90">
        <v>93</v>
      </c>
      <c r="B90">
        <v>3</v>
      </c>
    </row>
    <row r="91" spans="1:2" x14ac:dyDescent="0.2">
      <c r="A91">
        <v>94</v>
      </c>
      <c r="B91">
        <v>2</v>
      </c>
    </row>
    <row r="92" spans="1:2" x14ac:dyDescent="0.2">
      <c r="A92">
        <v>95</v>
      </c>
      <c r="B92">
        <v>3</v>
      </c>
    </row>
    <row r="93" spans="1:2" x14ac:dyDescent="0.2">
      <c r="A93">
        <v>96</v>
      </c>
      <c r="B93">
        <v>3</v>
      </c>
    </row>
    <row r="94" spans="1:2" x14ac:dyDescent="0.2">
      <c r="A94">
        <v>97</v>
      </c>
      <c r="B94">
        <v>1</v>
      </c>
    </row>
    <row r="95" spans="1:2" x14ac:dyDescent="0.2">
      <c r="A95">
        <v>98</v>
      </c>
      <c r="B95">
        <v>3</v>
      </c>
    </row>
    <row r="96" spans="1:2" x14ac:dyDescent="0.2">
      <c r="A96">
        <v>99</v>
      </c>
      <c r="B96">
        <v>2</v>
      </c>
    </row>
    <row r="97" spans="1:2" x14ac:dyDescent="0.2">
      <c r="A97">
        <v>100</v>
      </c>
      <c r="B97">
        <v>2</v>
      </c>
    </row>
    <row r="98" spans="1:2" x14ac:dyDescent="0.2">
      <c r="A98">
        <v>101</v>
      </c>
      <c r="B98">
        <v>2</v>
      </c>
    </row>
    <row r="99" spans="1:2" x14ac:dyDescent="0.2">
      <c r="A99">
        <v>102</v>
      </c>
      <c r="B99">
        <v>3</v>
      </c>
    </row>
    <row r="100" spans="1:2" x14ac:dyDescent="0.2">
      <c r="A100">
        <v>103</v>
      </c>
      <c r="B100">
        <v>2</v>
      </c>
    </row>
    <row r="101" spans="1:2" x14ac:dyDescent="0.2">
      <c r="A101">
        <v>104</v>
      </c>
      <c r="B101">
        <v>1</v>
      </c>
    </row>
    <row r="102" spans="1:2" x14ac:dyDescent="0.2">
      <c r="A102">
        <v>105</v>
      </c>
      <c r="B102">
        <v>2</v>
      </c>
    </row>
    <row r="103" spans="1:2" x14ac:dyDescent="0.2">
      <c r="A103">
        <v>106</v>
      </c>
      <c r="B103">
        <v>1</v>
      </c>
    </row>
    <row r="104" spans="1:2" x14ac:dyDescent="0.2">
      <c r="A104">
        <v>107</v>
      </c>
      <c r="B104">
        <v>1</v>
      </c>
    </row>
    <row r="105" spans="1:2" x14ac:dyDescent="0.2">
      <c r="A105">
        <v>108</v>
      </c>
      <c r="B105">
        <v>2</v>
      </c>
    </row>
    <row r="106" spans="1:2" x14ac:dyDescent="0.2">
      <c r="A106">
        <v>109</v>
      </c>
      <c r="B106">
        <v>2</v>
      </c>
    </row>
    <row r="107" spans="1:2" x14ac:dyDescent="0.2">
      <c r="A107">
        <v>110</v>
      </c>
      <c r="B107">
        <v>3</v>
      </c>
    </row>
    <row r="108" spans="1:2" x14ac:dyDescent="0.2">
      <c r="A108">
        <v>111</v>
      </c>
      <c r="B108">
        <v>1</v>
      </c>
    </row>
    <row r="109" spans="1:2" x14ac:dyDescent="0.2">
      <c r="A109">
        <v>112</v>
      </c>
      <c r="B109">
        <v>3</v>
      </c>
    </row>
    <row r="110" spans="1:2" x14ac:dyDescent="0.2">
      <c r="A110">
        <v>113</v>
      </c>
      <c r="B110">
        <v>4</v>
      </c>
    </row>
    <row r="111" spans="1:2" x14ac:dyDescent="0.2">
      <c r="A111">
        <v>114</v>
      </c>
      <c r="B111">
        <v>1</v>
      </c>
    </row>
    <row r="112" spans="1:2" x14ac:dyDescent="0.2">
      <c r="A112">
        <v>115</v>
      </c>
      <c r="B112">
        <v>2</v>
      </c>
    </row>
    <row r="113" spans="1:2" x14ac:dyDescent="0.2">
      <c r="A113">
        <v>116</v>
      </c>
      <c r="B113">
        <v>3</v>
      </c>
    </row>
    <row r="114" spans="1:2" x14ac:dyDescent="0.2">
      <c r="A114">
        <v>117</v>
      </c>
      <c r="B114">
        <v>2</v>
      </c>
    </row>
    <row r="115" spans="1:2" x14ac:dyDescent="0.2">
      <c r="A115">
        <v>118</v>
      </c>
      <c r="B115">
        <v>1</v>
      </c>
    </row>
    <row r="116" spans="1:2" x14ac:dyDescent="0.2">
      <c r="A116">
        <v>119</v>
      </c>
      <c r="B116">
        <v>2</v>
      </c>
    </row>
    <row r="117" spans="1:2" x14ac:dyDescent="0.2">
      <c r="A117">
        <v>120</v>
      </c>
      <c r="B117">
        <v>2</v>
      </c>
    </row>
    <row r="118" spans="1:2" x14ac:dyDescent="0.2">
      <c r="A118">
        <v>121</v>
      </c>
      <c r="B118">
        <v>2</v>
      </c>
    </row>
    <row r="119" spans="1:2" x14ac:dyDescent="0.2">
      <c r="A119">
        <v>122</v>
      </c>
      <c r="B119">
        <v>3</v>
      </c>
    </row>
    <row r="120" spans="1:2" x14ac:dyDescent="0.2">
      <c r="A120">
        <v>123</v>
      </c>
      <c r="B120">
        <v>3</v>
      </c>
    </row>
    <row r="121" spans="1:2" x14ac:dyDescent="0.2">
      <c r="A121">
        <v>124</v>
      </c>
      <c r="B121">
        <v>3</v>
      </c>
    </row>
    <row r="122" spans="1:2" x14ac:dyDescent="0.2">
      <c r="A122">
        <v>125</v>
      </c>
      <c r="B122">
        <v>3</v>
      </c>
    </row>
    <row r="123" spans="1:2" x14ac:dyDescent="0.2">
      <c r="A123">
        <v>127</v>
      </c>
      <c r="B123">
        <v>3</v>
      </c>
    </row>
    <row r="124" spans="1:2" x14ac:dyDescent="0.2">
      <c r="A124">
        <v>128</v>
      </c>
      <c r="B124">
        <v>3</v>
      </c>
    </row>
    <row r="125" spans="1:2" x14ac:dyDescent="0.2">
      <c r="A125">
        <v>129</v>
      </c>
      <c r="B125">
        <v>3</v>
      </c>
    </row>
    <row r="126" spans="1:2" x14ac:dyDescent="0.2">
      <c r="A126">
        <v>130</v>
      </c>
      <c r="B126">
        <v>2</v>
      </c>
    </row>
    <row r="127" spans="1:2" x14ac:dyDescent="0.2">
      <c r="A127">
        <v>131</v>
      </c>
      <c r="B127">
        <v>2</v>
      </c>
    </row>
    <row r="128" spans="1:2" x14ac:dyDescent="0.2">
      <c r="A128">
        <v>132</v>
      </c>
      <c r="B128">
        <v>1</v>
      </c>
    </row>
    <row r="129" spans="1:2" x14ac:dyDescent="0.2">
      <c r="A129">
        <v>133</v>
      </c>
      <c r="B129">
        <v>2</v>
      </c>
    </row>
    <row r="130" spans="1:2" x14ac:dyDescent="0.2">
      <c r="A130">
        <v>134</v>
      </c>
      <c r="B130">
        <v>2</v>
      </c>
    </row>
    <row r="131" spans="1:2" x14ac:dyDescent="0.2">
      <c r="A131">
        <v>135</v>
      </c>
      <c r="B131">
        <v>2</v>
      </c>
    </row>
    <row r="132" spans="1:2" x14ac:dyDescent="0.2">
      <c r="A132">
        <v>136</v>
      </c>
      <c r="B132">
        <v>2</v>
      </c>
    </row>
    <row r="133" spans="1:2" x14ac:dyDescent="0.2">
      <c r="A133">
        <v>137</v>
      </c>
      <c r="B133">
        <v>1</v>
      </c>
    </row>
    <row r="134" spans="1:2" x14ac:dyDescent="0.2">
      <c r="A134">
        <v>138</v>
      </c>
      <c r="B134">
        <v>1</v>
      </c>
    </row>
    <row r="135" spans="1:2" x14ac:dyDescent="0.2">
      <c r="A135">
        <v>140</v>
      </c>
      <c r="B135">
        <v>2</v>
      </c>
    </row>
    <row r="136" spans="1:2" x14ac:dyDescent="0.2">
      <c r="A136">
        <v>141</v>
      </c>
      <c r="B136">
        <v>3</v>
      </c>
    </row>
    <row r="137" spans="1:2" x14ac:dyDescent="0.2">
      <c r="A137">
        <v>142</v>
      </c>
      <c r="B137">
        <v>2</v>
      </c>
    </row>
    <row r="138" spans="1:2" x14ac:dyDescent="0.2">
      <c r="A138">
        <v>143</v>
      </c>
      <c r="B138">
        <v>4</v>
      </c>
    </row>
    <row r="139" spans="1:2" x14ac:dyDescent="0.2">
      <c r="A139">
        <v>144</v>
      </c>
      <c r="B139">
        <v>3</v>
      </c>
    </row>
    <row r="140" spans="1:2" x14ac:dyDescent="0.2">
      <c r="A140">
        <v>145</v>
      </c>
      <c r="B140">
        <v>1</v>
      </c>
    </row>
    <row r="141" spans="1:2" x14ac:dyDescent="0.2">
      <c r="A141">
        <v>146</v>
      </c>
      <c r="B141">
        <v>3</v>
      </c>
    </row>
    <row r="142" spans="1:2" x14ac:dyDescent="0.2">
      <c r="A142">
        <v>147</v>
      </c>
      <c r="B142">
        <v>3</v>
      </c>
    </row>
    <row r="143" spans="1:2" x14ac:dyDescent="0.2">
      <c r="A143">
        <v>148</v>
      </c>
      <c r="B143">
        <v>4</v>
      </c>
    </row>
    <row r="144" spans="1:2" x14ac:dyDescent="0.2">
      <c r="A144">
        <v>149</v>
      </c>
      <c r="B144">
        <v>3</v>
      </c>
    </row>
    <row r="145" spans="1:2" x14ac:dyDescent="0.2">
      <c r="A145">
        <v>150</v>
      </c>
      <c r="B145">
        <v>2</v>
      </c>
    </row>
    <row r="146" spans="1:2" x14ac:dyDescent="0.2">
      <c r="A146">
        <v>151</v>
      </c>
      <c r="B146">
        <v>1</v>
      </c>
    </row>
    <row r="147" spans="1:2" x14ac:dyDescent="0.2">
      <c r="A147">
        <v>152</v>
      </c>
      <c r="B147">
        <v>2</v>
      </c>
    </row>
    <row r="148" spans="1:2" x14ac:dyDescent="0.2">
      <c r="A148">
        <v>153</v>
      </c>
      <c r="B148">
        <v>2</v>
      </c>
    </row>
    <row r="149" spans="1:2" x14ac:dyDescent="0.2">
      <c r="A149">
        <v>154</v>
      </c>
      <c r="B149">
        <v>3</v>
      </c>
    </row>
    <row r="150" spans="1:2" x14ac:dyDescent="0.2">
      <c r="A150">
        <v>155</v>
      </c>
      <c r="B150">
        <v>3</v>
      </c>
    </row>
    <row r="151" spans="1:2" x14ac:dyDescent="0.2">
      <c r="A151">
        <v>156</v>
      </c>
      <c r="B151">
        <v>2</v>
      </c>
    </row>
    <row r="152" spans="1:2" x14ac:dyDescent="0.2">
      <c r="A152">
        <v>157</v>
      </c>
      <c r="B152">
        <v>2</v>
      </c>
    </row>
    <row r="153" spans="1:2" x14ac:dyDescent="0.2">
      <c r="A153">
        <v>158</v>
      </c>
      <c r="B153">
        <v>3</v>
      </c>
    </row>
    <row r="154" spans="1:2" x14ac:dyDescent="0.2">
      <c r="A154">
        <v>159</v>
      </c>
      <c r="B154">
        <v>2</v>
      </c>
    </row>
    <row r="155" spans="1:2" x14ac:dyDescent="0.2">
      <c r="A155">
        <v>160</v>
      </c>
      <c r="B155">
        <v>3</v>
      </c>
    </row>
    <row r="156" spans="1:2" x14ac:dyDescent="0.2">
      <c r="A156">
        <v>161</v>
      </c>
      <c r="B156">
        <v>2</v>
      </c>
    </row>
    <row r="157" spans="1:2" x14ac:dyDescent="0.2">
      <c r="A157">
        <v>162</v>
      </c>
      <c r="B157">
        <v>3</v>
      </c>
    </row>
    <row r="158" spans="1:2" x14ac:dyDescent="0.2">
      <c r="A158">
        <v>163</v>
      </c>
      <c r="B158">
        <v>2</v>
      </c>
    </row>
    <row r="159" spans="1:2" x14ac:dyDescent="0.2">
      <c r="A159">
        <v>164</v>
      </c>
      <c r="B159">
        <v>3</v>
      </c>
    </row>
    <row r="160" spans="1:2" x14ac:dyDescent="0.2">
      <c r="A160">
        <v>165</v>
      </c>
      <c r="B160">
        <v>3</v>
      </c>
    </row>
    <row r="161" spans="1:2" x14ac:dyDescent="0.2">
      <c r="A161">
        <v>166</v>
      </c>
      <c r="B161">
        <v>2</v>
      </c>
    </row>
    <row r="162" spans="1:2" x14ac:dyDescent="0.2">
      <c r="A162">
        <v>167</v>
      </c>
      <c r="B162">
        <v>2</v>
      </c>
    </row>
    <row r="163" spans="1:2" x14ac:dyDescent="0.2">
      <c r="A163">
        <v>168</v>
      </c>
      <c r="B163">
        <v>3</v>
      </c>
    </row>
    <row r="164" spans="1:2" x14ac:dyDescent="0.2">
      <c r="A164">
        <v>169</v>
      </c>
      <c r="B164">
        <v>2</v>
      </c>
    </row>
    <row r="165" spans="1:2" x14ac:dyDescent="0.2">
      <c r="A165">
        <v>170</v>
      </c>
      <c r="B165">
        <v>3</v>
      </c>
    </row>
    <row r="166" spans="1:2" x14ac:dyDescent="0.2">
      <c r="A166">
        <v>171</v>
      </c>
      <c r="B166">
        <v>2</v>
      </c>
    </row>
    <row r="167" spans="1:2" x14ac:dyDescent="0.2">
      <c r="A167">
        <v>172</v>
      </c>
      <c r="B167">
        <v>3</v>
      </c>
    </row>
    <row r="168" spans="1:2" x14ac:dyDescent="0.2">
      <c r="A168">
        <v>173</v>
      </c>
      <c r="B168">
        <v>1</v>
      </c>
    </row>
    <row r="169" spans="1:2" x14ac:dyDescent="0.2">
      <c r="A169">
        <v>174</v>
      </c>
      <c r="B169">
        <v>1</v>
      </c>
    </row>
    <row r="170" spans="1:2" x14ac:dyDescent="0.2">
      <c r="A170">
        <v>175</v>
      </c>
      <c r="B170">
        <v>2</v>
      </c>
    </row>
    <row r="171" spans="1:2" x14ac:dyDescent="0.2">
      <c r="A171">
        <v>176</v>
      </c>
      <c r="B171">
        <v>2</v>
      </c>
    </row>
    <row r="172" spans="1:2" x14ac:dyDescent="0.2">
      <c r="A172">
        <v>177</v>
      </c>
      <c r="B172">
        <v>3</v>
      </c>
    </row>
    <row r="173" spans="1:2" x14ac:dyDescent="0.2">
      <c r="A173">
        <v>178</v>
      </c>
      <c r="B173">
        <v>2</v>
      </c>
    </row>
    <row r="174" spans="1:2" x14ac:dyDescent="0.2">
      <c r="A174">
        <v>179</v>
      </c>
      <c r="B174">
        <v>1</v>
      </c>
    </row>
    <row r="175" spans="1:2" x14ac:dyDescent="0.2">
      <c r="A175">
        <v>180</v>
      </c>
      <c r="B175">
        <v>2</v>
      </c>
    </row>
    <row r="176" spans="1:2" x14ac:dyDescent="0.2">
      <c r="A176">
        <v>181</v>
      </c>
      <c r="B176">
        <v>1</v>
      </c>
    </row>
    <row r="177" spans="1:2" x14ac:dyDescent="0.2">
      <c r="A177">
        <v>182</v>
      </c>
      <c r="B177">
        <v>3</v>
      </c>
    </row>
    <row r="178" spans="1:2" x14ac:dyDescent="0.2">
      <c r="A178">
        <v>183</v>
      </c>
      <c r="B178">
        <v>2</v>
      </c>
    </row>
    <row r="179" spans="1:2" x14ac:dyDescent="0.2">
      <c r="A179">
        <v>184</v>
      </c>
      <c r="B179">
        <v>3</v>
      </c>
    </row>
    <row r="180" spans="1:2" x14ac:dyDescent="0.2">
      <c r="A180">
        <v>185</v>
      </c>
      <c r="B180">
        <v>2</v>
      </c>
    </row>
    <row r="181" spans="1:2" x14ac:dyDescent="0.2">
      <c r="A181">
        <v>186</v>
      </c>
      <c r="B181">
        <v>2</v>
      </c>
    </row>
    <row r="182" spans="1:2" x14ac:dyDescent="0.2">
      <c r="A182">
        <v>187</v>
      </c>
      <c r="B182">
        <v>3</v>
      </c>
    </row>
    <row r="183" spans="1:2" x14ac:dyDescent="0.2">
      <c r="A183">
        <v>188</v>
      </c>
      <c r="B183">
        <v>2</v>
      </c>
    </row>
    <row r="184" spans="1:2" x14ac:dyDescent="0.2">
      <c r="A184">
        <v>189</v>
      </c>
      <c r="B184">
        <v>1</v>
      </c>
    </row>
    <row r="185" spans="1:2" x14ac:dyDescent="0.2">
      <c r="A185">
        <v>190</v>
      </c>
      <c r="B185">
        <v>1</v>
      </c>
    </row>
    <row r="186" spans="1:2" x14ac:dyDescent="0.2">
      <c r="A186">
        <v>191</v>
      </c>
      <c r="B186">
        <v>3</v>
      </c>
    </row>
    <row r="187" spans="1:2" x14ac:dyDescent="0.2">
      <c r="A187">
        <v>192</v>
      </c>
      <c r="B187">
        <v>3</v>
      </c>
    </row>
    <row r="188" spans="1:2" x14ac:dyDescent="0.2">
      <c r="A188">
        <v>194</v>
      </c>
      <c r="B188">
        <v>2</v>
      </c>
    </row>
    <row r="189" spans="1:2" x14ac:dyDescent="0.2">
      <c r="A189">
        <v>195</v>
      </c>
      <c r="B189">
        <v>1</v>
      </c>
    </row>
    <row r="190" spans="1:2" x14ac:dyDescent="0.2">
      <c r="A190">
        <v>196</v>
      </c>
      <c r="B190">
        <v>2</v>
      </c>
    </row>
    <row r="191" spans="1:2" x14ac:dyDescent="0.2">
      <c r="A191">
        <v>197</v>
      </c>
      <c r="B191">
        <v>2</v>
      </c>
    </row>
    <row r="192" spans="1:2" x14ac:dyDescent="0.2">
      <c r="A192">
        <v>198</v>
      </c>
      <c r="B192">
        <v>2</v>
      </c>
    </row>
    <row r="193" spans="1:2" x14ac:dyDescent="0.2">
      <c r="A193">
        <v>199</v>
      </c>
      <c r="B193">
        <v>3</v>
      </c>
    </row>
    <row r="194" spans="1:2" x14ac:dyDescent="0.2">
      <c r="A194">
        <v>200</v>
      </c>
      <c r="B194">
        <v>2</v>
      </c>
    </row>
    <row r="195" spans="1:2" x14ac:dyDescent="0.2">
      <c r="A195">
        <v>201</v>
      </c>
      <c r="B195">
        <v>3</v>
      </c>
    </row>
    <row r="196" spans="1:2" x14ac:dyDescent="0.2">
      <c r="A196">
        <v>203</v>
      </c>
      <c r="B196">
        <v>2</v>
      </c>
    </row>
    <row r="197" spans="1:2" x14ac:dyDescent="0.2">
      <c r="A197">
        <v>204</v>
      </c>
      <c r="B197">
        <v>2</v>
      </c>
    </row>
    <row r="198" spans="1:2" x14ac:dyDescent="0.2">
      <c r="A198">
        <v>205</v>
      </c>
      <c r="B198">
        <v>2</v>
      </c>
    </row>
    <row r="199" spans="1:2" x14ac:dyDescent="0.2">
      <c r="A199">
        <v>206</v>
      </c>
      <c r="B199">
        <v>1</v>
      </c>
    </row>
    <row r="200" spans="1:2" x14ac:dyDescent="0.2">
      <c r="A200">
        <v>207</v>
      </c>
      <c r="B200">
        <v>3</v>
      </c>
    </row>
    <row r="201" spans="1:2" x14ac:dyDescent="0.2">
      <c r="A201">
        <v>208</v>
      </c>
      <c r="B201">
        <v>3</v>
      </c>
    </row>
    <row r="202" spans="1:2" x14ac:dyDescent="0.2">
      <c r="A202">
        <v>209</v>
      </c>
      <c r="B202">
        <v>3</v>
      </c>
    </row>
    <row r="203" spans="1:2" x14ac:dyDescent="0.2">
      <c r="A203">
        <v>210</v>
      </c>
      <c r="B203">
        <v>3</v>
      </c>
    </row>
    <row r="204" spans="1:2" x14ac:dyDescent="0.2">
      <c r="A204">
        <v>211</v>
      </c>
      <c r="B204">
        <v>2</v>
      </c>
    </row>
    <row r="205" spans="1:2" x14ac:dyDescent="0.2">
      <c r="A205">
        <v>212</v>
      </c>
      <c r="B205">
        <v>3</v>
      </c>
    </row>
    <row r="206" spans="1:2" x14ac:dyDescent="0.2">
      <c r="A206">
        <v>213</v>
      </c>
      <c r="B206">
        <v>3</v>
      </c>
    </row>
    <row r="207" spans="1:2" x14ac:dyDescent="0.2">
      <c r="A207">
        <v>214</v>
      </c>
      <c r="B207">
        <v>2</v>
      </c>
    </row>
    <row r="208" spans="1:2" x14ac:dyDescent="0.2">
      <c r="A208">
        <v>215</v>
      </c>
      <c r="B208">
        <v>4</v>
      </c>
    </row>
    <row r="209" spans="1:2" x14ac:dyDescent="0.2">
      <c r="A209">
        <v>216</v>
      </c>
      <c r="B209">
        <v>2</v>
      </c>
    </row>
    <row r="210" spans="1:2" x14ac:dyDescent="0.2">
      <c r="A210">
        <v>217</v>
      </c>
      <c r="B210">
        <v>3</v>
      </c>
    </row>
    <row r="211" spans="1:2" x14ac:dyDescent="0.2">
      <c r="A211">
        <v>218</v>
      </c>
      <c r="B211">
        <v>2</v>
      </c>
    </row>
    <row r="212" spans="1:2" x14ac:dyDescent="0.2">
      <c r="A212">
        <v>219</v>
      </c>
      <c r="B212">
        <v>1</v>
      </c>
    </row>
    <row r="213" spans="1:2" x14ac:dyDescent="0.2">
      <c r="A213">
        <v>220</v>
      </c>
      <c r="B213">
        <v>1</v>
      </c>
    </row>
    <row r="214" spans="1:2" x14ac:dyDescent="0.2">
      <c r="A214">
        <v>221</v>
      </c>
      <c r="B214">
        <v>3</v>
      </c>
    </row>
    <row r="215" spans="1:2" x14ac:dyDescent="0.2">
      <c r="A215">
        <v>223</v>
      </c>
      <c r="B215">
        <v>2</v>
      </c>
    </row>
    <row r="216" spans="1:2" x14ac:dyDescent="0.2">
      <c r="A216">
        <v>224</v>
      </c>
      <c r="B216">
        <v>2</v>
      </c>
    </row>
    <row r="217" spans="1:2" x14ac:dyDescent="0.2">
      <c r="A217">
        <v>225</v>
      </c>
      <c r="B217">
        <v>4</v>
      </c>
    </row>
    <row r="218" spans="1:2" x14ac:dyDescent="0.2">
      <c r="A218">
        <v>226</v>
      </c>
      <c r="B218">
        <v>2</v>
      </c>
    </row>
    <row r="219" spans="1:2" x14ac:dyDescent="0.2">
      <c r="A219">
        <v>227</v>
      </c>
      <c r="B219">
        <v>2</v>
      </c>
    </row>
    <row r="220" spans="1:2" x14ac:dyDescent="0.2">
      <c r="A220">
        <v>228</v>
      </c>
      <c r="B220">
        <v>2</v>
      </c>
    </row>
    <row r="221" spans="1:2" x14ac:dyDescent="0.2">
      <c r="A221">
        <v>229</v>
      </c>
      <c r="B221">
        <v>2</v>
      </c>
    </row>
    <row r="222" spans="1:2" x14ac:dyDescent="0.2">
      <c r="A222">
        <v>230</v>
      </c>
      <c r="B222">
        <v>1</v>
      </c>
    </row>
    <row r="223" spans="1:2" x14ac:dyDescent="0.2">
      <c r="A223">
        <v>231</v>
      </c>
      <c r="B223">
        <v>2</v>
      </c>
    </row>
    <row r="224" spans="1:2" x14ac:dyDescent="0.2">
      <c r="A224">
        <v>232</v>
      </c>
      <c r="B224">
        <v>2</v>
      </c>
    </row>
    <row r="225" spans="1:2" x14ac:dyDescent="0.2">
      <c r="A225">
        <v>233</v>
      </c>
      <c r="B225">
        <v>2</v>
      </c>
    </row>
    <row r="226" spans="1:2" x14ac:dyDescent="0.2">
      <c r="A226">
        <v>234</v>
      </c>
      <c r="B226">
        <v>4</v>
      </c>
    </row>
    <row r="227" spans="1:2" x14ac:dyDescent="0.2">
      <c r="A227">
        <v>235</v>
      </c>
      <c r="B227">
        <v>3</v>
      </c>
    </row>
    <row r="228" spans="1:2" x14ac:dyDescent="0.2">
      <c r="A228">
        <v>236</v>
      </c>
      <c r="B228">
        <v>2</v>
      </c>
    </row>
    <row r="229" spans="1:2" x14ac:dyDescent="0.2">
      <c r="A229">
        <v>237</v>
      </c>
      <c r="B229">
        <v>3</v>
      </c>
    </row>
    <row r="230" spans="1:2" x14ac:dyDescent="0.2">
      <c r="A230">
        <v>238</v>
      </c>
      <c r="B230">
        <v>1</v>
      </c>
    </row>
    <row r="231" spans="1:2" x14ac:dyDescent="0.2">
      <c r="A231">
        <v>239</v>
      </c>
      <c r="B231">
        <v>3</v>
      </c>
    </row>
    <row r="232" spans="1:2" x14ac:dyDescent="0.2">
      <c r="A232">
        <v>240</v>
      </c>
      <c r="B232">
        <v>1</v>
      </c>
    </row>
    <row r="233" spans="1:2" x14ac:dyDescent="0.2">
      <c r="A233">
        <v>241</v>
      </c>
      <c r="B233">
        <v>2</v>
      </c>
    </row>
    <row r="234" spans="1:2" x14ac:dyDescent="0.2">
      <c r="A234">
        <v>242</v>
      </c>
      <c r="B234">
        <v>2</v>
      </c>
    </row>
    <row r="235" spans="1:2" x14ac:dyDescent="0.2">
      <c r="A235">
        <v>243</v>
      </c>
      <c r="B235">
        <v>3</v>
      </c>
    </row>
    <row r="236" spans="1:2" x14ac:dyDescent="0.2">
      <c r="A236">
        <v>244</v>
      </c>
      <c r="B236">
        <v>2</v>
      </c>
    </row>
    <row r="237" spans="1:2" x14ac:dyDescent="0.2">
      <c r="A237">
        <v>245</v>
      </c>
      <c r="B237">
        <v>3</v>
      </c>
    </row>
    <row r="238" spans="1:2" x14ac:dyDescent="0.2">
      <c r="A238">
        <v>246</v>
      </c>
      <c r="B238">
        <v>2</v>
      </c>
    </row>
    <row r="239" spans="1:2" x14ac:dyDescent="0.2">
      <c r="A239">
        <v>247</v>
      </c>
      <c r="B239">
        <v>2</v>
      </c>
    </row>
    <row r="240" spans="1:2" x14ac:dyDescent="0.2">
      <c r="A240">
        <v>250</v>
      </c>
      <c r="B240">
        <v>2</v>
      </c>
    </row>
    <row r="241" spans="1:2" x14ac:dyDescent="0.2">
      <c r="A241">
        <v>251</v>
      </c>
      <c r="B241">
        <v>3</v>
      </c>
    </row>
    <row r="242" spans="1:2" x14ac:dyDescent="0.2">
      <c r="A242">
        <v>252</v>
      </c>
      <c r="B242">
        <v>3</v>
      </c>
    </row>
    <row r="243" spans="1:2" x14ac:dyDescent="0.2">
      <c r="A243">
        <v>253</v>
      </c>
      <c r="B243">
        <v>2</v>
      </c>
    </row>
    <row r="244" spans="1:2" x14ac:dyDescent="0.2">
      <c r="A244">
        <v>254</v>
      </c>
      <c r="B244">
        <v>3</v>
      </c>
    </row>
    <row r="245" spans="1:2" x14ac:dyDescent="0.2">
      <c r="A245">
        <v>255</v>
      </c>
      <c r="B245">
        <v>2</v>
      </c>
    </row>
    <row r="246" spans="1:2" x14ac:dyDescent="0.2">
      <c r="A246">
        <v>256</v>
      </c>
      <c r="B246">
        <v>1</v>
      </c>
    </row>
    <row r="247" spans="1:2" x14ac:dyDescent="0.2">
      <c r="A247">
        <v>257</v>
      </c>
      <c r="B247">
        <v>3</v>
      </c>
    </row>
    <row r="248" spans="1:2" x14ac:dyDescent="0.2">
      <c r="A248">
        <v>258</v>
      </c>
      <c r="B248">
        <v>2</v>
      </c>
    </row>
    <row r="249" spans="1:2" x14ac:dyDescent="0.2">
      <c r="A249">
        <v>259</v>
      </c>
      <c r="B249">
        <v>2</v>
      </c>
    </row>
    <row r="250" spans="1:2" x14ac:dyDescent="0.2">
      <c r="A250">
        <v>260</v>
      </c>
      <c r="B250">
        <v>1</v>
      </c>
    </row>
    <row r="251" spans="1:2" x14ac:dyDescent="0.2">
      <c r="A251">
        <v>261</v>
      </c>
      <c r="B251">
        <v>1</v>
      </c>
    </row>
    <row r="252" spans="1:2" x14ac:dyDescent="0.2">
      <c r="A252">
        <v>262</v>
      </c>
      <c r="B252">
        <v>1</v>
      </c>
    </row>
    <row r="253" spans="1:2" x14ac:dyDescent="0.2">
      <c r="A253">
        <v>263</v>
      </c>
      <c r="B253">
        <v>2</v>
      </c>
    </row>
    <row r="254" spans="1:2" x14ac:dyDescent="0.2">
      <c r="A254">
        <v>264</v>
      </c>
      <c r="B254">
        <v>1</v>
      </c>
    </row>
    <row r="255" spans="1:2" x14ac:dyDescent="0.2">
      <c r="A255">
        <v>265</v>
      </c>
      <c r="B255">
        <v>2</v>
      </c>
    </row>
    <row r="256" spans="1:2" x14ac:dyDescent="0.2">
      <c r="A256">
        <v>266</v>
      </c>
      <c r="B256">
        <v>2</v>
      </c>
    </row>
    <row r="257" spans="1:2" x14ac:dyDescent="0.2">
      <c r="A257">
        <v>267</v>
      </c>
      <c r="B257">
        <v>3</v>
      </c>
    </row>
    <row r="258" spans="1:2" x14ac:dyDescent="0.2">
      <c r="A258">
        <v>268</v>
      </c>
      <c r="B258">
        <v>3</v>
      </c>
    </row>
    <row r="259" spans="1:2" x14ac:dyDescent="0.2">
      <c r="A259">
        <v>269</v>
      </c>
      <c r="B259">
        <v>4</v>
      </c>
    </row>
    <row r="260" spans="1:2" x14ac:dyDescent="0.2">
      <c r="A260">
        <v>270</v>
      </c>
      <c r="B260">
        <v>2</v>
      </c>
    </row>
    <row r="261" spans="1:2" x14ac:dyDescent="0.2">
      <c r="A261">
        <v>271</v>
      </c>
      <c r="B261">
        <v>1</v>
      </c>
    </row>
    <row r="262" spans="1:2" x14ac:dyDescent="0.2">
      <c r="A262">
        <v>272</v>
      </c>
      <c r="B262">
        <v>4</v>
      </c>
    </row>
    <row r="263" spans="1:2" x14ac:dyDescent="0.2">
      <c r="A263">
        <v>273</v>
      </c>
      <c r="B263">
        <v>4</v>
      </c>
    </row>
    <row r="264" spans="1:2" x14ac:dyDescent="0.2">
      <c r="A264">
        <v>274</v>
      </c>
      <c r="B264">
        <v>3</v>
      </c>
    </row>
    <row r="265" spans="1:2" x14ac:dyDescent="0.2">
      <c r="A265">
        <v>275</v>
      </c>
      <c r="B265">
        <v>1</v>
      </c>
    </row>
    <row r="266" spans="1:2" x14ac:dyDescent="0.2">
      <c r="A266">
        <v>276</v>
      </c>
      <c r="B266">
        <v>2</v>
      </c>
    </row>
    <row r="267" spans="1:2" x14ac:dyDescent="0.2">
      <c r="A267">
        <v>278</v>
      </c>
      <c r="B267">
        <v>2</v>
      </c>
    </row>
    <row r="268" spans="1:2" x14ac:dyDescent="0.2">
      <c r="A268">
        <v>279</v>
      </c>
      <c r="B268">
        <v>4</v>
      </c>
    </row>
    <row r="269" spans="1:2" x14ac:dyDescent="0.2">
      <c r="A269">
        <v>280</v>
      </c>
      <c r="B269">
        <v>2</v>
      </c>
    </row>
    <row r="270" spans="1:2" x14ac:dyDescent="0.2">
      <c r="A270">
        <v>281</v>
      </c>
      <c r="B270">
        <v>1</v>
      </c>
    </row>
    <row r="271" spans="1:2" x14ac:dyDescent="0.2">
      <c r="A271">
        <v>282</v>
      </c>
      <c r="B271">
        <v>3</v>
      </c>
    </row>
    <row r="272" spans="1:2" x14ac:dyDescent="0.2">
      <c r="A272">
        <v>283</v>
      </c>
      <c r="B272">
        <v>2</v>
      </c>
    </row>
    <row r="273" spans="1:2" x14ac:dyDescent="0.2">
      <c r="A273">
        <v>284</v>
      </c>
      <c r="B273">
        <v>3</v>
      </c>
    </row>
    <row r="274" spans="1:2" x14ac:dyDescent="0.2">
      <c r="A274">
        <v>285</v>
      </c>
      <c r="B274">
        <v>4</v>
      </c>
    </row>
    <row r="275" spans="1:2" x14ac:dyDescent="0.2">
      <c r="A275">
        <v>286</v>
      </c>
      <c r="B275">
        <v>2</v>
      </c>
    </row>
    <row r="276" spans="1:2" x14ac:dyDescent="0.2">
      <c r="A276">
        <v>287</v>
      </c>
      <c r="B276">
        <v>4</v>
      </c>
    </row>
    <row r="277" spans="1:2" x14ac:dyDescent="0.2">
      <c r="A277">
        <v>288</v>
      </c>
      <c r="B277">
        <v>3</v>
      </c>
    </row>
    <row r="278" spans="1:2" x14ac:dyDescent="0.2">
      <c r="A278">
        <v>289</v>
      </c>
      <c r="B278">
        <v>4</v>
      </c>
    </row>
    <row r="279" spans="1:2" x14ac:dyDescent="0.2">
      <c r="A279">
        <v>290</v>
      </c>
      <c r="B279">
        <v>2</v>
      </c>
    </row>
    <row r="280" spans="1:2" x14ac:dyDescent="0.2">
      <c r="A280">
        <v>291</v>
      </c>
      <c r="B280">
        <v>3</v>
      </c>
    </row>
    <row r="281" spans="1:2" x14ac:dyDescent="0.2">
      <c r="A281">
        <v>292</v>
      </c>
      <c r="B281">
        <v>3</v>
      </c>
    </row>
    <row r="282" spans="1:2" x14ac:dyDescent="0.2">
      <c r="A282">
        <v>293</v>
      </c>
      <c r="B282">
        <v>4</v>
      </c>
    </row>
    <row r="283" spans="1:2" x14ac:dyDescent="0.2">
      <c r="A283">
        <v>294</v>
      </c>
      <c r="B283">
        <v>1</v>
      </c>
    </row>
    <row r="284" spans="1:2" x14ac:dyDescent="0.2">
      <c r="A284">
        <v>295</v>
      </c>
      <c r="B284">
        <v>1</v>
      </c>
    </row>
    <row r="285" spans="1:2" x14ac:dyDescent="0.2">
      <c r="A285">
        <v>296</v>
      </c>
      <c r="B285">
        <v>1</v>
      </c>
    </row>
    <row r="286" spans="1:2" x14ac:dyDescent="0.2">
      <c r="A286">
        <v>298</v>
      </c>
      <c r="B286">
        <v>3</v>
      </c>
    </row>
    <row r="287" spans="1:2" x14ac:dyDescent="0.2">
      <c r="A287">
        <v>299</v>
      </c>
      <c r="B287">
        <v>3</v>
      </c>
    </row>
    <row r="288" spans="1:2" x14ac:dyDescent="0.2">
      <c r="A288">
        <v>300</v>
      </c>
      <c r="B288">
        <v>1</v>
      </c>
    </row>
    <row r="289" spans="1:2" x14ac:dyDescent="0.2">
      <c r="A289">
        <v>301</v>
      </c>
      <c r="B289">
        <v>1</v>
      </c>
    </row>
    <row r="290" spans="1:2" x14ac:dyDescent="0.2">
      <c r="A290">
        <v>302</v>
      </c>
      <c r="B290">
        <v>4</v>
      </c>
    </row>
    <row r="291" spans="1:2" x14ac:dyDescent="0.2">
      <c r="A291">
        <v>303</v>
      </c>
      <c r="B291">
        <v>1</v>
      </c>
    </row>
    <row r="292" spans="1:2" x14ac:dyDescent="0.2">
      <c r="A292">
        <v>304</v>
      </c>
      <c r="B292">
        <v>2</v>
      </c>
    </row>
    <row r="293" spans="1:2" x14ac:dyDescent="0.2">
      <c r="A293">
        <v>305</v>
      </c>
      <c r="B293">
        <v>2</v>
      </c>
    </row>
    <row r="294" spans="1:2" x14ac:dyDescent="0.2">
      <c r="A294">
        <v>306</v>
      </c>
      <c r="B294">
        <v>2</v>
      </c>
    </row>
    <row r="295" spans="1:2" x14ac:dyDescent="0.2">
      <c r="A295">
        <v>307</v>
      </c>
      <c r="B295">
        <v>3</v>
      </c>
    </row>
    <row r="296" spans="1:2" x14ac:dyDescent="0.2">
      <c r="A296">
        <v>308</v>
      </c>
      <c r="B296">
        <v>4</v>
      </c>
    </row>
    <row r="297" spans="1:2" x14ac:dyDescent="0.2">
      <c r="A297">
        <v>309</v>
      </c>
      <c r="B297">
        <v>2</v>
      </c>
    </row>
    <row r="298" spans="1:2" x14ac:dyDescent="0.2">
      <c r="A298">
        <v>310</v>
      </c>
      <c r="B298">
        <v>2</v>
      </c>
    </row>
    <row r="299" spans="1:2" x14ac:dyDescent="0.2">
      <c r="A299">
        <v>311</v>
      </c>
      <c r="B299">
        <v>2</v>
      </c>
    </row>
    <row r="300" spans="1:2" x14ac:dyDescent="0.2">
      <c r="A300">
        <v>312</v>
      </c>
      <c r="B300">
        <v>2</v>
      </c>
    </row>
    <row r="301" spans="1:2" x14ac:dyDescent="0.2">
      <c r="A301">
        <v>313</v>
      </c>
      <c r="B301">
        <v>2</v>
      </c>
    </row>
    <row r="302" spans="1:2" x14ac:dyDescent="0.2">
      <c r="A302">
        <v>314</v>
      </c>
      <c r="B302">
        <v>4</v>
      </c>
    </row>
    <row r="303" spans="1:2" x14ac:dyDescent="0.2">
      <c r="A303">
        <v>315</v>
      </c>
      <c r="B303">
        <v>3</v>
      </c>
    </row>
    <row r="304" spans="1:2" x14ac:dyDescent="0.2">
      <c r="A304">
        <v>316</v>
      </c>
      <c r="B304">
        <v>1</v>
      </c>
    </row>
    <row r="305" spans="1:2" x14ac:dyDescent="0.2">
      <c r="A305">
        <v>317</v>
      </c>
      <c r="B305">
        <v>1</v>
      </c>
    </row>
    <row r="306" spans="1:2" x14ac:dyDescent="0.2">
      <c r="A306">
        <v>318</v>
      </c>
      <c r="B306">
        <v>3</v>
      </c>
    </row>
    <row r="307" spans="1:2" x14ac:dyDescent="0.2">
      <c r="A307">
        <v>319</v>
      </c>
      <c r="B307">
        <v>3</v>
      </c>
    </row>
    <row r="308" spans="1:2" x14ac:dyDescent="0.2">
      <c r="A308">
        <v>320</v>
      </c>
      <c r="B308">
        <v>1</v>
      </c>
    </row>
    <row r="309" spans="1:2" x14ac:dyDescent="0.2">
      <c r="A309">
        <v>321</v>
      </c>
      <c r="B309">
        <v>1</v>
      </c>
    </row>
    <row r="310" spans="1:2" x14ac:dyDescent="0.2">
      <c r="A310">
        <v>322</v>
      </c>
      <c r="B310">
        <v>3</v>
      </c>
    </row>
    <row r="311" spans="1:2" x14ac:dyDescent="0.2">
      <c r="A311">
        <v>323</v>
      </c>
      <c r="B311">
        <v>3</v>
      </c>
    </row>
    <row r="312" spans="1:2" x14ac:dyDescent="0.2">
      <c r="A312">
        <v>324</v>
      </c>
      <c r="B312">
        <v>2</v>
      </c>
    </row>
    <row r="313" spans="1:2" x14ac:dyDescent="0.2">
      <c r="A313">
        <v>325</v>
      </c>
      <c r="B313">
        <v>3</v>
      </c>
    </row>
    <row r="314" spans="1:2" x14ac:dyDescent="0.2">
      <c r="A314">
        <v>326</v>
      </c>
      <c r="B314">
        <v>4</v>
      </c>
    </row>
    <row r="315" spans="1:2" x14ac:dyDescent="0.2">
      <c r="A315">
        <v>328</v>
      </c>
      <c r="B315">
        <v>4</v>
      </c>
    </row>
    <row r="316" spans="1:2" x14ac:dyDescent="0.2">
      <c r="A316">
        <v>329</v>
      </c>
      <c r="B316">
        <v>3</v>
      </c>
    </row>
    <row r="317" spans="1:2" x14ac:dyDescent="0.2">
      <c r="A317">
        <v>330</v>
      </c>
      <c r="B317">
        <v>1</v>
      </c>
    </row>
    <row r="318" spans="1:2" x14ac:dyDescent="0.2">
      <c r="A318">
        <v>331</v>
      </c>
      <c r="B318">
        <v>2</v>
      </c>
    </row>
    <row r="319" spans="1:2" x14ac:dyDescent="0.2">
      <c r="A319">
        <v>332</v>
      </c>
      <c r="B319">
        <v>3</v>
      </c>
    </row>
    <row r="320" spans="1:2" x14ac:dyDescent="0.2">
      <c r="A320">
        <v>333</v>
      </c>
      <c r="B320">
        <v>2</v>
      </c>
    </row>
    <row r="321" spans="1:2" x14ac:dyDescent="0.2">
      <c r="A321">
        <v>334</v>
      </c>
      <c r="B321">
        <v>1</v>
      </c>
    </row>
    <row r="322" spans="1:2" x14ac:dyDescent="0.2">
      <c r="A322">
        <v>335</v>
      </c>
      <c r="B322">
        <v>3</v>
      </c>
    </row>
    <row r="323" spans="1:2" x14ac:dyDescent="0.2">
      <c r="A323">
        <v>336</v>
      </c>
      <c r="B323">
        <v>2</v>
      </c>
    </row>
    <row r="324" spans="1:2" x14ac:dyDescent="0.2">
      <c r="A324">
        <v>337</v>
      </c>
      <c r="B324">
        <v>2</v>
      </c>
    </row>
    <row r="325" spans="1:2" x14ac:dyDescent="0.2">
      <c r="A325">
        <v>338</v>
      </c>
      <c r="B325">
        <v>2</v>
      </c>
    </row>
    <row r="326" spans="1:2" x14ac:dyDescent="0.2">
      <c r="A326">
        <v>339</v>
      </c>
      <c r="B326">
        <v>2</v>
      </c>
    </row>
    <row r="327" spans="1:2" x14ac:dyDescent="0.2">
      <c r="A327">
        <v>341</v>
      </c>
      <c r="B327">
        <v>2</v>
      </c>
    </row>
    <row r="328" spans="1:2" x14ac:dyDescent="0.2">
      <c r="A328">
        <v>342</v>
      </c>
      <c r="B328">
        <v>3</v>
      </c>
    </row>
    <row r="329" spans="1:2" x14ac:dyDescent="0.2">
      <c r="A329">
        <v>343</v>
      </c>
      <c r="B329">
        <v>2</v>
      </c>
    </row>
    <row r="330" spans="1:2" x14ac:dyDescent="0.2">
      <c r="A330">
        <v>344</v>
      </c>
      <c r="B330">
        <v>3</v>
      </c>
    </row>
    <row r="331" spans="1:2" x14ac:dyDescent="0.2">
      <c r="A331">
        <v>345</v>
      </c>
      <c r="B331">
        <v>2</v>
      </c>
    </row>
    <row r="332" spans="1:2" x14ac:dyDescent="0.2">
      <c r="A332">
        <v>346</v>
      </c>
      <c r="B332">
        <v>3</v>
      </c>
    </row>
    <row r="333" spans="1:2" x14ac:dyDescent="0.2">
      <c r="A333">
        <v>348</v>
      </c>
      <c r="B333">
        <v>2</v>
      </c>
    </row>
    <row r="334" spans="1:2" x14ac:dyDescent="0.2">
      <c r="A334">
        <v>349</v>
      </c>
      <c r="B334">
        <v>3</v>
      </c>
    </row>
    <row r="335" spans="1:2" x14ac:dyDescent="0.2">
      <c r="A335">
        <v>350</v>
      </c>
      <c r="B335">
        <v>2</v>
      </c>
    </row>
    <row r="336" spans="1:2" x14ac:dyDescent="0.2">
      <c r="A336">
        <v>351</v>
      </c>
      <c r="B336">
        <v>3</v>
      </c>
    </row>
    <row r="337" spans="1:2" x14ac:dyDescent="0.2">
      <c r="A337">
        <v>353</v>
      </c>
      <c r="B337">
        <v>2</v>
      </c>
    </row>
    <row r="338" spans="1:2" x14ac:dyDescent="0.2">
      <c r="A338">
        <v>354</v>
      </c>
      <c r="B338">
        <v>3</v>
      </c>
    </row>
    <row r="339" spans="1:2" x14ac:dyDescent="0.2">
      <c r="A339">
        <v>355</v>
      </c>
      <c r="B339">
        <v>2</v>
      </c>
    </row>
    <row r="340" spans="1:2" x14ac:dyDescent="0.2">
      <c r="A340">
        <v>357</v>
      </c>
      <c r="B340">
        <v>2</v>
      </c>
    </row>
    <row r="341" spans="1:2" x14ac:dyDescent="0.2">
      <c r="A341">
        <v>358</v>
      </c>
      <c r="B341">
        <v>2</v>
      </c>
    </row>
    <row r="342" spans="1:2" x14ac:dyDescent="0.2">
      <c r="A342">
        <v>359</v>
      </c>
      <c r="B342">
        <v>3</v>
      </c>
    </row>
    <row r="343" spans="1:2" x14ac:dyDescent="0.2">
      <c r="A343">
        <v>360</v>
      </c>
      <c r="B343">
        <v>1</v>
      </c>
    </row>
    <row r="344" spans="1:2" x14ac:dyDescent="0.2">
      <c r="A344">
        <v>361</v>
      </c>
      <c r="B344">
        <v>3</v>
      </c>
    </row>
    <row r="345" spans="1:2" x14ac:dyDescent="0.2">
      <c r="A345">
        <v>362</v>
      </c>
      <c r="B345">
        <v>3</v>
      </c>
    </row>
    <row r="346" spans="1:2" x14ac:dyDescent="0.2">
      <c r="A346">
        <v>363</v>
      </c>
      <c r="B346">
        <v>1</v>
      </c>
    </row>
    <row r="347" spans="1:2" x14ac:dyDescent="0.2">
      <c r="A347">
        <v>364</v>
      </c>
      <c r="B347">
        <v>3</v>
      </c>
    </row>
    <row r="348" spans="1:2" x14ac:dyDescent="0.2">
      <c r="A348">
        <v>365</v>
      </c>
      <c r="B348">
        <v>3</v>
      </c>
    </row>
    <row r="349" spans="1:2" x14ac:dyDescent="0.2">
      <c r="A349">
        <v>366</v>
      </c>
      <c r="B349">
        <v>1</v>
      </c>
    </row>
    <row r="350" spans="1:2" x14ac:dyDescent="0.2">
      <c r="A350">
        <v>367</v>
      </c>
      <c r="B350">
        <v>3</v>
      </c>
    </row>
    <row r="351" spans="1:2" x14ac:dyDescent="0.2">
      <c r="A351">
        <v>368</v>
      </c>
      <c r="B351">
        <v>4</v>
      </c>
    </row>
    <row r="352" spans="1:2" x14ac:dyDescent="0.2">
      <c r="A352">
        <v>369</v>
      </c>
      <c r="B352">
        <v>2</v>
      </c>
    </row>
    <row r="353" spans="1:2" x14ac:dyDescent="0.2">
      <c r="A353">
        <v>370</v>
      </c>
      <c r="B353">
        <v>2</v>
      </c>
    </row>
    <row r="354" spans="1:2" x14ac:dyDescent="0.2">
      <c r="A354">
        <v>371</v>
      </c>
      <c r="B354">
        <v>2</v>
      </c>
    </row>
    <row r="355" spans="1:2" x14ac:dyDescent="0.2">
      <c r="A355">
        <v>372</v>
      </c>
      <c r="B355">
        <v>3</v>
      </c>
    </row>
    <row r="356" spans="1:2" x14ac:dyDescent="0.2">
      <c r="A356">
        <v>373</v>
      </c>
      <c r="B356">
        <v>1</v>
      </c>
    </row>
    <row r="357" spans="1:2" x14ac:dyDescent="0.2">
      <c r="A357">
        <v>374</v>
      </c>
      <c r="B357">
        <v>2</v>
      </c>
    </row>
    <row r="358" spans="1:2" x14ac:dyDescent="0.2">
      <c r="A358">
        <v>375</v>
      </c>
      <c r="B358">
        <v>2</v>
      </c>
    </row>
    <row r="359" spans="1:2" x14ac:dyDescent="0.2">
      <c r="A359">
        <v>377</v>
      </c>
      <c r="B359">
        <v>1</v>
      </c>
    </row>
    <row r="360" spans="1:2" x14ac:dyDescent="0.2">
      <c r="A360">
        <v>378</v>
      </c>
      <c r="B360">
        <v>3</v>
      </c>
    </row>
    <row r="361" spans="1:2" x14ac:dyDescent="0.2">
      <c r="A361">
        <v>379</v>
      </c>
      <c r="B361">
        <v>3</v>
      </c>
    </row>
    <row r="362" spans="1:2" x14ac:dyDescent="0.2">
      <c r="A362">
        <v>381</v>
      </c>
      <c r="B362">
        <v>2</v>
      </c>
    </row>
    <row r="363" spans="1:2" x14ac:dyDescent="0.2">
      <c r="A363">
        <v>382</v>
      </c>
      <c r="B363">
        <v>1</v>
      </c>
    </row>
    <row r="364" spans="1:2" x14ac:dyDescent="0.2">
      <c r="A364">
        <v>383</v>
      </c>
      <c r="B364">
        <v>3</v>
      </c>
    </row>
    <row r="365" spans="1:2" x14ac:dyDescent="0.2">
      <c r="A365">
        <v>384</v>
      </c>
      <c r="B365">
        <v>1</v>
      </c>
    </row>
    <row r="366" spans="1:2" x14ac:dyDescent="0.2">
      <c r="A366">
        <v>385</v>
      </c>
      <c r="B366">
        <v>2</v>
      </c>
    </row>
    <row r="367" spans="1:2" x14ac:dyDescent="0.2">
      <c r="A367">
        <v>386</v>
      </c>
      <c r="B367">
        <v>1</v>
      </c>
    </row>
    <row r="368" spans="1:2" x14ac:dyDescent="0.2">
      <c r="A368">
        <v>387</v>
      </c>
      <c r="B368">
        <v>3</v>
      </c>
    </row>
    <row r="369" spans="1:2" x14ac:dyDescent="0.2">
      <c r="A369">
        <v>388</v>
      </c>
      <c r="B369">
        <v>3</v>
      </c>
    </row>
    <row r="370" spans="1:2" x14ac:dyDescent="0.2">
      <c r="A370">
        <v>389</v>
      </c>
      <c r="B370">
        <v>3</v>
      </c>
    </row>
    <row r="371" spans="1:2" x14ac:dyDescent="0.2">
      <c r="A371">
        <v>390</v>
      </c>
      <c r="B371">
        <v>3</v>
      </c>
    </row>
    <row r="372" spans="1:2" x14ac:dyDescent="0.2">
      <c r="A372">
        <v>392</v>
      </c>
      <c r="B372">
        <v>3</v>
      </c>
    </row>
    <row r="373" spans="1:2" x14ac:dyDescent="0.2">
      <c r="A373">
        <v>393</v>
      </c>
      <c r="B373">
        <v>2</v>
      </c>
    </row>
    <row r="374" spans="1:2" x14ac:dyDescent="0.2">
      <c r="A374">
        <v>394</v>
      </c>
      <c r="B374">
        <v>1</v>
      </c>
    </row>
    <row r="375" spans="1:2" x14ac:dyDescent="0.2">
      <c r="A375">
        <v>395</v>
      </c>
      <c r="B375">
        <v>3</v>
      </c>
    </row>
    <row r="376" spans="1:2" x14ac:dyDescent="0.2">
      <c r="A376">
        <v>396</v>
      </c>
      <c r="B376">
        <v>3</v>
      </c>
    </row>
    <row r="377" spans="1:2" x14ac:dyDescent="0.2">
      <c r="A377">
        <v>397</v>
      </c>
      <c r="B377">
        <v>3</v>
      </c>
    </row>
    <row r="378" spans="1:2" x14ac:dyDescent="0.2">
      <c r="A378">
        <v>398</v>
      </c>
      <c r="B378">
        <v>3</v>
      </c>
    </row>
    <row r="379" spans="1:2" x14ac:dyDescent="0.2">
      <c r="A379">
        <v>399</v>
      </c>
      <c r="B379">
        <v>3</v>
      </c>
    </row>
    <row r="380" spans="1:2" x14ac:dyDescent="0.2">
      <c r="A380">
        <v>402</v>
      </c>
      <c r="B380">
        <v>3</v>
      </c>
    </row>
    <row r="381" spans="1:2" x14ac:dyDescent="0.2">
      <c r="A381">
        <v>403</v>
      </c>
      <c r="B381">
        <v>1</v>
      </c>
    </row>
    <row r="382" spans="1:2" x14ac:dyDescent="0.2">
      <c r="A382">
        <v>404</v>
      </c>
      <c r="B382">
        <v>2</v>
      </c>
    </row>
    <row r="383" spans="1:2" x14ac:dyDescent="0.2">
      <c r="A383">
        <v>405</v>
      </c>
      <c r="B383">
        <v>2</v>
      </c>
    </row>
    <row r="384" spans="1:2" x14ac:dyDescent="0.2">
      <c r="A384">
        <v>406</v>
      </c>
      <c r="B384">
        <v>2</v>
      </c>
    </row>
    <row r="385" spans="1:2" x14ac:dyDescent="0.2">
      <c r="A385">
        <v>407</v>
      </c>
      <c r="B385">
        <v>2</v>
      </c>
    </row>
    <row r="386" spans="1:2" x14ac:dyDescent="0.2">
      <c r="A386">
        <v>408</v>
      </c>
      <c r="B386">
        <v>4</v>
      </c>
    </row>
    <row r="387" spans="1:2" x14ac:dyDescent="0.2">
      <c r="A387">
        <v>409</v>
      </c>
      <c r="B387">
        <v>3</v>
      </c>
    </row>
    <row r="388" spans="1:2" x14ac:dyDescent="0.2">
      <c r="A388">
        <v>410</v>
      </c>
      <c r="B388">
        <v>2</v>
      </c>
    </row>
    <row r="389" spans="1:2" x14ac:dyDescent="0.2">
      <c r="A389">
        <v>411</v>
      </c>
      <c r="B389">
        <v>3</v>
      </c>
    </row>
    <row r="390" spans="1:2" x14ac:dyDescent="0.2">
      <c r="A390">
        <v>412</v>
      </c>
      <c r="B390">
        <v>1</v>
      </c>
    </row>
    <row r="391" spans="1:2" x14ac:dyDescent="0.2">
      <c r="A391">
        <v>413</v>
      </c>
      <c r="B391">
        <v>3</v>
      </c>
    </row>
    <row r="392" spans="1:2" x14ac:dyDescent="0.2">
      <c r="A392">
        <v>414</v>
      </c>
      <c r="B392">
        <v>2</v>
      </c>
    </row>
    <row r="393" spans="1:2" x14ac:dyDescent="0.2">
      <c r="A393">
        <v>415</v>
      </c>
      <c r="B393">
        <v>3</v>
      </c>
    </row>
    <row r="394" spans="1:2" x14ac:dyDescent="0.2">
      <c r="A394">
        <v>416</v>
      </c>
      <c r="B394">
        <v>3</v>
      </c>
    </row>
    <row r="395" spans="1:2" x14ac:dyDescent="0.2">
      <c r="A395">
        <v>417</v>
      </c>
      <c r="B395">
        <v>1</v>
      </c>
    </row>
    <row r="396" spans="1:2" x14ac:dyDescent="0.2">
      <c r="A396">
        <v>418</v>
      </c>
      <c r="B396">
        <v>3</v>
      </c>
    </row>
    <row r="397" spans="1:2" x14ac:dyDescent="0.2">
      <c r="A397">
        <v>419</v>
      </c>
      <c r="B397">
        <v>2</v>
      </c>
    </row>
    <row r="398" spans="1:2" x14ac:dyDescent="0.2">
      <c r="A398">
        <v>420</v>
      </c>
      <c r="B398">
        <v>4</v>
      </c>
    </row>
    <row r="399" spans="1:2" x14ac:dyDescent="0.2">
      <c r="A399">
        <v>421</v>
      </c>
      <c r="B399">
        <v>2</v>
      </c>
    </row>
    <row r="400" spans="1:2" x14ac:dyDescent="0.2">
      <c r="A400">
        <v>422</v>
      </c>
      <c r="B400">
        <v>2</v>
      </c>
    </row>
    <row r="401" spans="1:2" x14ac:dyDescent="0.2">
      <c r="A401">
        <v>423</v>
      </c>
      <c r="B401">
        <v>2</v>
      </c>
    </row>
    <row r="402" spans="1:2" x14ac:dyDescent="0.2">
      <c r="A402">
        <v>424</v>
      </c>
      <c r="B402">
        <v>3</v>
      </c>
    </row>
    <row r="403" spans="1:2" x14ac:dyDescent="0.2">
      <c r="A403">
        <v>425</v>
      </c>
      <c r="B403">
        <v>1</v>
      </c>
    </row>
    <row r="404" spans="1:2" x14ac:dyDescent="0.2">
      <c r="A404">
        <v>426</v>
      </c>
      <c r="B404">
        <v>2</v>
      </c>
    </row>
    <row r="405" spans="1:2" x14ac:dyDescent="0.2">
      <c r="A405">
        <v>427</v>
      </c>
      <c r="B405">
        <v>3</v>
      </c>
    </row>
    <row r="406" spans="1:2" x14ac:dyDescent="0.2">
      <c r="A406">
        <v>428</v>
      </c>
      <c r="B406">
        <v>2</v>
      </c>
    </row>
    <row r="407" spans="1:2" x14ac:dyDescent="0.2">
      <c r="A407">
        <v>429</v>
      </c>
      <c r="B407">
        <v>3</v>
      </c>
    </row>
    <row r="408" spans="1:2" x14ac:dyDescent="0.2">
      <c r="A408">
        <v>430</v>
      </c>
      <c r="B408">
        <v>1</v>
      </c>
    </row>
    <row r="409" spans="1:2" x14ac:dyDescent="0.2">
      <c r="A409">
        <v>431</v>
      </c>
      <c r="B409">
        <v>1</v>
      </c>
    </row>
    <row r="410" spans="1:2" x14ac:dyDescent="0.2">
      <c r="A410">
        <v>432</v>
      </c>
      <c r="B410">
        <v>2</v>
      </c>
    </row>
    <row r="411" spans="1:2" x14ac:dyDescent="0.2">
      <c r="A411">
        <v>433</v>
      </c>
      <c r="B411">
        <v>3</v>
      </c>
    </row>
    <row r="412" spans="1:2" x14ac:dyDescent="0.2">
      <c r="A412">
        <v>435</v>
      </c>
      <c r="B412">
        <v>3</v>
      </c>
    </row>
    <row r="413" spans="1:2" x14ac:dyDescent="0.2">
      <c r="A413">
        <v>436</v>
      </c>
      <c r="B413">
        <v>2</v>
      </c>
    </row>
    <row r="414" spans="1:2" x14ac:dyDescent="0.2">
      <c r="A414">
        <v>437</v>
      </c>
      <c r="B414">
        <v>3</v>
      </c>
    </row>
    <row r="415" spans="1:2" x14ac:dyDescent="0.2">
      <c r="A415">
        <v>438</v>
      </c>
      <c r="B415">
        <v>2</v>
      </c>
    </row>
    <row r="416" spans="1:2" x14ac:dyDescent="0.2">
      <c r="A416">
        <v>439</v>
      </c>
      <c r="B416">
        <v>3</v>
      </c>
    </row>
    <row r="417" spans="1:2" x14ac:dyDescent="0.2">
      <c r="A417">
        <v>440</v>
      </c>
      <c r="B417">
        <v>3</v>
      </c>
    </row>
    <row r="418" spans="1:2" x14ac:dyDescent="0.2">
      <c r="A418">
        <v>441</v>
      </c>
      <c r="B418">
        <v>3</v>
      </c>
    </row>
    <row r="419" spans="1:2" x14ac:dyDescent="0.2">
      <c r="A419">
        <v>442</v>
      </c>
      <c r="B419">
        <v>2</v>
      </c>
    </row>
    <row r="420" spans="1:2" x14ac:dyDescent="0.2">
      <c r="A420">
        <v>443</v>
      </c>
      <c r="B420">
        <v>2</v>
      </c>
    </row>
    <row r="421" spans="1:2" x14ac:dyDescent="0.2">
      <c r="A421">
        <v>444</v>
      </c>
      <c r="B421">
        <v>3</v>
      </c>
    </row>
    <row r="422" spans="1:2" x14ac:dyDescent="0.2">
      <c r="A422">
        <v>445</v>
      </c>
      <c r="B422">
        <v>1</v>
      </c>
    </row>
    <row r="423" spans="1:2" x14ac:dyDescent="0.2">
      <c r="A423">
        <v>446</v>
      </c>
      <c r="B423">
        <v>2</v>
      </c>
    </row>
    <row r="424" spans="1:2" x14ac:dyDescent="0.2">
      <c r="A424">
        <v>447</v>
      </c>
      <c r="B424">
        <v>1</v>
      </c>
    </row>
    <row r="425" spans="1:2" x14ac:dyDescent="0.2">
      <c r="A425">
        <v>448</v>
      </c>
      <c r="B425">
        <v>3</v>
      </c>
    </row>
    <row r="426" spans="1:2" x14ac:dyDescent="0.2">
      <c r="A426">
        <v>449</v>
      </c>
      <c r="B426">
        <v>3</v>
      </c>
    </row>
    <row r="427" spans="1:2" x14ac:dyDescent="0.2">
      <c r="A427">
        <v>450</v>
      </c>
      <c r="B427">
        <v>2</v>
      </c>
    </row>
    <row r="428" spans="1:2" x14ac:dyDescent="0.2">
      <c r="A428">
        <v>451</v>
      </c>
      <c r="B428">
        <v>2</v>
      </c>
    </row>
    <row r="429" spans="1:2" x14ac:dyDescent="0.2">
      <c r="A429">
        <v>452</v>
      </c>
      <c r="B429">
        <v>3</v>
      </c>
    </row>
    <row r="430" spans="1:2" x14ac:dyDescent="0.2">
      <c r="A430">
        <v>453</v>
      </c>
      <c r="B430">
        <v>3</v>
      </c>
    </row>
    <row r="431" spans="1:2" x14ac:dyDescent="0.2">
      <c r="A431">
        <v>454</v>
      </c>
      <c r="B431">
        <v>4</v>
      </c>
    </row>
    <row r="432" spans="1:2" x14ac:dyDescent="0.2">
      <c r="A432">
        <v>455</v>
      </c>
      <c r="B432">
        <v>3</v>
      </c>
    </row>
    <row r="433" spans="1:2" x14ac:dyDescent="0.2">
      <c r="A433">
        <v>456</v>
      </c>
      <c r="B433">
        <v>1</v>
      </c>
    </row>
    <row r="434" spans="1:2" x14ac:dyDescent="0.2">
      <c r="A434">
        <v>457</v>
      </c>
      <c r="B434">
        <v>1</v>
      </c>
    </row>
    <row r="435" spans="1:2" x14ac:dyDescent="0.2">
      <c r="A435">
        <v>458</v>
      </c>
      <c r="B435">
        <v>1</v>
      </c>
    </row>
    <row r="436" spans="1:2" x14ac:dyDescent="0.2">
      <c r="A436">
        <v>459</v>
      </c>
      <c r="B436">
        <v>3</v>
      </c>
    </row>
    <row r="437" spans="1:2" x14ac:dyDescent="0.2">
      <c r="A437">
        <v>460</v>
      </c>
      <c r="B437">
        <v>3</v>
      </c>
    </row>
    <row r="438" spans="1:2" x14ac:dyDescent="0.2">
      <c r="A438">
        <v>462</v>
      </c>
      <c r="B438">
        <v>2</v>
      </c>
    </row>
    <row r="439" spans="1:2" x14ac:dyDescent="0.2">
      <c r="A439">
        <v>463</v>
      </c>
      <c r="B439">
        <v>2</v>
      </c>
    </row>
    <row r="440" spans="1:2" x14ac:dyDescent="0.2">
      <c r="A440">
        <v>464</v>
      </c>
      <c r="B440">
        <v>3</v>
      </c>
    </row>
    <row r="441" spans="1:2" x14ac:dyDescent="0.2">
      <c r="A441">
        <v>465</v>
      </c>
      <c r="B441">
        <v>2</v>
      </c>
    </row>
    <row r="442" spans="1:2" x14ac:dyDescent="0.2">
      <c r="A442">
        <v>466</v>
      </c>
      <c r="B442">
        <v>3</v>
      </c>
    </row>
    <row r="443" spans="1:2" x14ac:dyDescent="0.2">
      <c r="A443">
        <v>467</v>
      </c>
      <c r="B443">
        <v>3</v>
      </c>
    </row>
    <row r="444" spans="1:2" x14ac:dyDescent="0.2">
      <c r="A444">
        <v>468</v>
      </c>
      <c r="B444">
        <v>2</v>
      </c>
    </row>
    <row r="445" spans="1:2" x14ac:dyDescent="0.2">
      <c r="A445">
        <v>469</v>
      </c>
      <c r="B445">
        <v>3</v>
      </c>
    </row>
    <row r="446" spans="1:2" x14ac:dyDescent="0.2">
      <c r="A446">
        <v>470</v>
      </c>
      <c r="B446">
        <v>1</v>
      </c>
    </row>
    <row r="447" spans="1:2" x14ac:dyDescent="0.2">
      <c r="A447">
        <v>471</v>
      </c>
      <c r="B447">
        <v>3</v>
      </c>
    </row>
    <row r="448" spans="1:2" x14ac:dyDescent="0.2">
      <c r="A448">
        <v>472</v>
      </c>
      <c r="B448">
        <v>1</v>
      </c>
    </row>
    <row r="449" spans="1:2" x14ac:dyDescent="0.2">
      <c r="A449">
        <v>473</v>
      </c>
      <c r="B449">
        <v>2</v>
      </c>
    </row>
    <row r="450" spans="1:2" x14ac:dyDescent="0.2">
      <c r="A450">
        <v>474</v>
      </c>
      <c r="B450">
        <v>1</v>
      </c>
    </row>
    <row r="451" spans="1:2" x14ac:dyDescent="0.2">
      <c r="A451">
        <v>475</v>
      </c>
      <c r="B451">
        <v>2</v>
      </c>
    </row>
    <row r="452" spans="1:2" x14ac:dyDescent="0.2">
      <c r="A452">
        <v>476</v>
      </c>
      <c r="B452">
        <v>2</v>
      </c>
    </row>
    <row r="453" spans="1:2" x14ac:dyDescent="0.2">
      <c r="A453">
        <v>477</v>
      </c>
      <c r="B453">
        <v>2</v>
      </c>
    </row>
    <row r="454" spans="1:2" x14ac:dyDescent="0.2">
      <c r="A454">
        <v>478</v>
      </c>
      <c r="B454">
        <v>4</v>
      </c>
    </row>
    <row r="455" spans="1:2" x14ac:dyDescent="0.2">
      <c r="A455">
        <v>479</v>
      </c>
      <c r="B455">
        <v>3</v>
      </c>
    </row>
    <row r="456" spans="1:2" x14ac:dyDescent="0.2">
      <c r="A456">
        <v>480</v>
      </c>
      <c r="B456">
        <v>2</v>
      </c>
    </row>
    <row r="457" spans="1:2" x14ac:dyDescent="0.2">
      <c r="A457">
        <v>481</v>
      </c>
      <c r="B457">
        <v>3</v>
      </c>
    </row>
    <row r="458" spans="1:2" x14ac:dyDescent="0.2">
      <c r="A458">
        <v>482</v>
      </c>
      <c r="B458">
        <v>1</v>
      </c>
    </row>
    <row r="459" spans="1:2" x14ac:dyDescent="0.2">
      <c r="A459">
        <v>483</v>
      </c>
      <c r="B459">
        <v>3</v>
      </c>
    </row>
    <row r="460" spans="1:2" x14ac:dyDescent="0.2">
      <c r="A460">
        <v>484</v>
      </c>
      <c r="B460">
        <v>2</v>
      </c>
    </row>
    <row r="461" spans="1:2" x14ac:dyDescent="0.2">
      <c r="A461">
        <v>485</v>
      </c>
      <c r="B461">
        <v>1</v>
      </c>
    </row>
    <row r="462" spans="1:2" x14ac:dyDescent="0.2">
      <c r="A462">
        <v>486</v>
      </c>
      <c r="B462">
        <v>3</v>
      </c>
    </row>
    <row r="463" spans="1:2" x14ac:dyDescent="0.2">
      <c r="A463">
        <v>487</v>
      </c>
      <c r="B463">
        <v>3</v>
      </c>
    </row>
    <row r="464" spans="1:2" x14ac:dyDescent="0.2">
      <c r="A464">
        <v>488</v>
      </c>
      <c r="B464">
        <v>2</v>
      </c>
    </row>
    <row r="465" spans="1:2" x14ac:dyDescent="0.2">
      <c r="A465">
        <v>489</v>
      </c>
      <c r="B465">
        <v>2</v>
      </c>
    </row>
    <row r="466" spans="1:2" x14ac:dyDescent="0.2">
      <c r="A466">
        <v>490</v>
      </c>
      <c r="B466">
        <v>1</v>
      </c>
    </row>
    <row r="467" spans="1:2" x14ac:dyDescent="0.2">
      <c r="A467">
        <v>492</v>
      </c>
      <c r="B467">
        <v>4</v>
      </c>
    </row>
    <row r="468" spans="1:2" x14ac:dyDescent="0.2">
      <c r="A468">
        <v>493</v>
      </c>
      <c r="B468">
        <v>2</v>
      </c>
    </row>
    <row r="469" spans="1:2" x14ac:dyDescent="0.2">
      <c r="A469">
        <v>494</v>
      </c>
      <c r="B469">
        <v>2</v>
      </c>
    </row>
    <row r="470" spans="1:2" x14ac:dyDescent="0.2">
      <c r="A470">
        <v>495</v>
      </c>
      <c r="B470">
        <v>3</v>
      </c>
    </row>
    <row r="471" spans="1:2" x14ac:dyDescent="0.2">
      <c r="A471">
        <v>497</v>
      </c>
      <c r="B471">
        <v>3</v>
      </c>
    </row>
    <row r="472" spans="1:2" x14ac:dyDescent="0.2">
      <c r="A472">
        <v>498</v>
      </c>
      <c r="B472">
        <v>4</v>
      </c>
    </row>
    <row r="473" spans="1:2" x14ac:dyDescent="0.2">
      <c r="A473">
        <v>499</v>
      </c>
      <c r="B473">
        <v>2</v>
      </c>
    </row>
    <row r="474" spans="1:2" x14ac:dyDescent="0.2">
      <c r="A474">
        <v>500</v>
      </c>
      <c r="B474">
        <v>1</v>
      </c>
    </row>
    <row r="475" spans="1:2" x14ac:dyDescent="0.2">
      <c r="A475">
        <v>11</v>
      </c>
      <c r="B475">
        <v>1</v>
      </c>
    </row>
    <row r="476" spans="1:2" x14ac:dyDescent="0.2">
      <c r="A476">
        <v>24</v>
      </c>
      <c r="B476">
        <v>1</v>
      </c>
    </row>
    <row r="477" spans="1:2" x14ac:dyDescent="0.2">
      <c r="A477">
        <v>31</v>
      </c>
      <c r="B477">
        <v>1</v>
      </c>
    </row>
    <row r="478" spans="1:2" x14ac:dyDescent="0.2">
      <c r="A478">
        <v>87</v>
      </c>
      <c r="B478">
        <v>1</v>
      </c>
    </row>
    <row r="479" spans="1:2" x14ac:dyDescent="0.2">
      <c r="A479">
        <v>126</v>
      </c>
      <c r="B479">
        <v>1</v>
      </c>
    </row>
    <row r="480" spans="1:2" x14ac:dyDescent="0.2">
      <c r="A480">
        <v>139</v>
      </c>
      <c r="B480">
        <v>1</v>
      </c>
    </row>
    <row r="481" spans="1:2" x14ac:dyDescent="0.2">
      <c r="A481">
        <v>193</v>
      </c>
      <c r="B481">
        <v>1</v>
      </c>
    </row>
    <row r="482" spans="1:2" x14ac:dyDescent="0.2">
      <c r="A482">
        <v>202</v>
      </c>
      <c r="B482">
        <v>1</v>
      </c>
    </row>
    <row r="483" spans="1:2" x14ac:dyDescent="0.2">
      <c r="A483">
        <v>222</v>
      </c>
      <c r="B483">
        <v>1</v>
      </c>
    </row>
    <row r="484" spans="1:2" x14ac:dyDescent="0.2">
      <c r="A484">
        <v>248</v>
      </c>
      <c r="B484">
        <v>1</v>
      </c>
    </row>
    <row r="485" spans="1:2" x14ac:dyDescent="0.2">
      <c r="A485">
        <v>249</v>
      </c>
      <c r="B485">
        <v>1</v>
      </c>
    </row>
    <row r="486" spans="1:2" x14ac:dyDescent="0.2">
      <c r="A486">
        <v>277</v>
      </c>
      <c r="B486">
        <v>1</v>
      </c>
    </row>
    <row r="487" spans="1:2" x14ac:dyDescent="0.2">
      <c r="A487">
        <v>297</v>
      </c>
      <c r="B487">
        <v>1</v>
      </c>
    </row>
    <row r="488" spans="1:2" x14ac:dyDescent="0.2">
      <c r="A488">
        <v>327</v>
      </c>
      <c r="B488">
        <v>1</v>
      </c>
    </row>
    <row r="489" spans="1:2" x14ac:dyDescent="0.2">
      <c r="A489">
        <v>340</v>
      </c>
      <c r="B489">
        <v>1</v>
      </c>
    </row>
    <row r="490" spans="1:2" x14ac:dyDescent="0.2">
      <c r="A490">
        <v>347</v>
      </c>
      <c r="B490">
        <v>1</v>
      </c>
    </row>
    <row r="491" spans="1:2" x14ac:dyDescent="0.2">
      <c r="A491">
        <v>352</v>
      </c>
      <c r="B491">
        <v>1</v>
      </c>
    </row>
    <row r="492" spans="1:2" x14ac:dyDescent="0.2">
      <c r="A492">
        <v>356</v>
      </c>
      <c r="B492">
        <v>1</v>
      </c>
    </row>
    <row r="493" spans="1:2" x14ac:dyDescent="0.2">
      <c r="A493">
        <v>376</v>
      </c>
      <c r="B493">
        <v>1</v>
      </c>
    </row>
    <row r="494" spans="1:2" x14ac:dyDescent="0.2">
      <c r="A494">
        <v>380</v>
      </c>
      <c r="B494">
        <v>1</v>
      </c>
    </row>
    <row r="495" spans="1:2" x14ac:dyDescent="0.2">
      <c r="A495">
        <v>391</v>
      </c>
      <c r="B495">
        <v>1</v>
      </c>
    </row>
    <row r="496" spans="1:2" x14ac:dyDescent="0.2">
      <c r="A496">
        <v>400</v>
      </c>
      <c r="B496">
        <v>1</v>
      </c>
    </row>
    <row r="497" spans="1:2" x14ac:dyDescent="0.2">
      <c r="A497">
        <v>401</v>
      </c>
      <c r="B497">
        <v>1</v>
      </c>
    </row>
    <row r="498" spans="1:2" x14ac:dyDescent="0.2">
      <c r="A498">
        <v>434</v>
      </c>
      <c r="B498">
        <v>1</v>
      </c>
    </row>
    <row r="499" spans="1:2" x14ac:dyDescent="0.2">
      <c r="A499">
        <v>461</v>
      </c>
      <c r="B499">
        <v>1</v>
      </c>
    </row>
    <row r="500" spans="1:2" x14ac:dyDescent="0.2">
      <c r="A500">
        <v>491</v>
      </c>
      <c r="B500">
        <v>1</v>
      </c>
    </row>
    <row r="501" spans="1:2" x14ac:dyDescent="0.2">
      <c r="A501">
        <v>496</v>
      </c>
      <c r="B501">
        <v>1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S1080"/>
  <sheetViews>
    <sheetView workbookViewId="0">
      <selection activeCell="H14" sqref="H14"/>
    </sheetView>
  </sheetViews>
  <sheetFormatPr baseColWidth="10" defaultRowHeight="16" x14ac:dyDescent="0.2"/>
  <cols>
    <col min="1" max="1" width="10.5" customWidth="1"/>
    <col min="2" max="2" width="19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10.5" bestFit="1" customWidth="1"/>
    <col min="11" max="11" width="15.83203125" bestFit="1" customWidth="1"/>
    <col min="12" max="12" width="16.83203125" bestFit="1" customWidth="1"/>
    <col min="13" max="13" width="23.1640625" bestFit="1" customWidth="1"/>
    <col min="19" max="19" width="13.3320312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27</v>
      </c>
      <c r="E1" t="s">
        <v>25</v>
      </c>
      <c r="F1" t="s">
        <v>26</v>
      </c>
    </row>
    <row r="2" spans="1:19" x14ac:dyDescent="0.2">
      <c r="A2">
        <v>1</v>
      </c>
      <c r="B2" s="13" t="s">
        <v>358</v>
      </c>
      <c r="C2" s="1">
        <v>45539</v>
      </c>
      <c r="D2" s="13" t="s">
        <v>358</v>
      </c>
      <c r="E2">
        <v>9.7750153504012394E-2</v>
      </c>
      <c r="F2">
        <v>9.7750153504012394E-2</v>
      </c>
    </row>
    <row r="3" spans="1:19" x14ac:dyDescent="0.2">
      <c r="A3">
        <v>1</v>
      </c>
      <c r="B3" s="13" t="s">
        <v>359</v>
      </c>
      <c r="C3" s="1">
        <v>45580</v>
      </c>
      <c r="D3" s="13" t="s">
        <v>359</v>
      </c>
      <c r="E3">
        <v>0.458855245396317</v>
      </c>
      <c r="F3">
        <v>0.458855245396317</v>
      </c>
      <c r="Q3" t="s">
        <v>626</v>
      </c>
    </row>
    <row r="4" spans="1:19" x14ac:dyDescent="0.2">
      <c r="A4">
        <v>1</v>
      </c>
      <c r="B4" s="13" t="s">
        <v>632</v>
      </c>
      <c r="C4" s="1">
        <v>45339</v>
      </c>
      <c r="D4" s="13" t="s">
        <v>632</v>
      </c>
      <c r="E4">
        <v>0.37241572656298699</v>
      </c>
      <c r="F4">
        <v>0.37241572656298699</v>
      </c>
      <c r="J4" t="s">
        <v>625</v>
      </c>
    </row>
    <row r="5" spans="1:19" x14ac:dyDescent="0.2">
      <c r="A5">
        <v>2</v>
      </c>
      <c r="B5" s="13" t="s">
        <v>633</v>
      </c>
      <c r="C5" s="1">
        <v>45399</v>
      </c>
      <c r="D5" s="13" t="s">
        <v>633</v>
      </c>
      <c r="E5">
        <v>0.108494636248558</v>
      </c>
      <c r="F5">
        <v>0.108494636248558</v>
      </c>
      <c r="J5" t="s">
        <v>624</v>
      </c>
      <c r="Q5" t="s">
        <v>628</v>
      </c>
    </row>
    <row r="6" spans="1:19" x14ac:dyDescent="0.2">
      <c r="A6">
        <v>3</v>
      </c>
      <c r="B6" s="13" t="s">
        <v>634</v>
      </c>
      <c r="C6" s="1">
        <v>45639</v>
      </c>
      <c r="D6" s="13" t="s">
        <v>634</v>
      </c>
      <c r="E6">
        <v>0.23113162748483701</v>
      </c>
      <c r="F6">
        <v>0.23113162748483701</v>
      </c>
      <c r="J6" t="s">
        <v>1149</v>
      </c>
    </row>
    <row r="7" spans="1:19" x14ac:dyDescent="0.2">
      <c r="A7">
        <v>3</v>
      </c>
      <c r="B7" s="13" t="s">
        <v>360</v>
      </c>
      <c r="C7" s="1">
        <v>45500</v>
      </c>
      <c r="D7" s="13" t="s">
        <v>360</v>
      </c>
      <c r="E7">
        <v>0.25448892155688102</v>
      </c>
      <c r="F7">
        <v>0.25448892155688102</v>
      </c>
      <c r="J7" s="9" t="s">
        <v>0</v>
      </c>
      <c r="K7" t="s">
        <v>622</v>
      </c>
      <c r="L7" t="s">
        <v>623</v>
      </c>
      <c r="Q7" cm="1">
        <f t="array" ref="Q7:S11">INDEX(_xlfn.CHOOSECOLS(
    _xlfn.SORTBY(claimSimResults[], claimSimResults[ValidClaimAmount], -1),
    MATCH("PolicyID", claimSimResults[#Headers], 0), MATCH("ValidClaimAmount", claimSimResults[#Headers], 0), MATCH("ClaimDate", claimSimResults[#Headers], 0)
), _xlfn.SEQUENCE(5), {1,2,3})</f>
        <v>243</v>
      </c>
      <c r="R7">
        <v>1.20154181782631</v>
      </c>
      <c r="S7">
        <v>45430</v>
      </c>
    </row>
    <row r="8" spans="1:19" x14ac:dyDescent="0.2">
      <c r="A8">
        <v>4</v>
      </c>
      <c r="B8" s="13" t="s">
        <v>635</v>
      </c>
      <c r="C8" s="1">
        <v>45428</v>
      </c>
      <c r="D8" s="13" t="s">
        <v>635</v>
      </c>
      <c r="E8">
        <v>0.19304343054670001</v>
      </c>
      <c r="F8">
        <v>0.19304343054670001</v>
      </c>
      <c r="J8" s="10">
        <v>1</v>
      </c>
      <c r="K8" s="13">
        <v>3</v>
      </c>
      <c r="L8" s="13">
        <v>0.9290211254633165</v>
      </c>
      <c r="Q8">
        <v>214</v>
      </c>
      <c r="R8">
        <v>0.74981548395261599</v>
      </c>
      <c r="S8">
        <v>45445</v>
      </c>
    </row>
    <row r="9" spans="1:19" x14ac:dyDescent="0.2">
      <c r="A9">
        <v>5</v>
      </c>
      <c r="B9" s="13" t="s">
        <v>636</v>
      </c>
      <c r="C9" s="1">
        <v>45399</v>
      </c>
      <c r="D9" s="13" t="s">
        <v>636</v>
      </c>
      <c r="E9">
        <v>0.51118086435928101</v>
      </c>
      <c r="F9">
        <v>0.51118086435928101</v>
      </c>
      <c r="J9" s="10">
        <v>2</v>
      </c>
      <c r="K9" s="13">
        <v>1</v>
      </c>
      <c r="L9" s="13">
        <v>0.108494636248558</v>
      </c>
      <c r="Q9">
        <v>275</v>
      </c>
      <c r="R9">
        <v>0.74919430560186095</v>
      </c>
      <c r="S9">
        <v>45335</v>
      </c>
    </row>
    <row r="10" spans="1:19" x14ac:dyDescent="0.2">
      <c r="A10">
        <v>6</v>
      </c>
      <c r="B10" s="13" t="s">
        <v>637</v>
      </c>
      <c r="C10" s="1">
        <v>45364</v>
      </c>
      <c r="D10" s="13" t="s">
        <v>637</v>
      </c>
      <c r="E10">
        <v>0.196254409076563</v>
      </c>
      <c r="F10">
        <v>0.196254409076563</v>
      </c>
      <c r="J10" s="10">
        <v>3</v>
      </c>
      <c r="K10" s="13">
        <v>2</v>
      </c>
      <c r="L10" s="13">
        <v>0.48562054904171803</v>
      </c>
      <c r="Q10">
        <v>101</v>
      </c>
      <c r="R10">
        <v>0.72833679507367799</v>
      </c>
      <c r="S10">
        <v>45547</v>
      </c>
    </row>
    <row r="11" spans="1:19" x14ac:dyDescent="0.2">
      <c r="A11">
        <v>6</v>
      </c>
      <c r="B11" s="13" t="s">
        <v>638</v>
      </c>
      <c r="C11" s="1">
        <v>45558</v>
      </c>
      <c r="D11" s="13" t="s">
        <v>638</v>
      </c>
      <c r="E11">
        <v>0.25528748263458101</v>
      </c>
      <c r="F11">
        <v>0.25528748263458101</v>
      </c>
      <c r="J11" s="10">
        <v>4</v>
      </c>
      <c r="K11" s="13">
        <v>1</v>
      </c>
      <c r="L11" s="13">
        <v>0.19304343054670001</v>
      </c>
      <c r="Q11">
        <v>419</v>
      </c>
      <c r="R11">
        <v>0.68041682076662502</v>
      </c>
      <c r="S11">
        <v>45381</v>
      </c>
    </row>
    <row r="12" spans="1:19" x14ac:dyDescent="0.2">
      <c r="A12">
        <v>6</v>
      </c>
      <c r="B12" s="13" t="s">
        <v>473</v>
      </c>
      <c r="C12" s="1">
        <v>45553</v>
      </c>
      <c r="D12" s="13" t="s">
        <v>473</v>
      </c>
      <c r="E12">
        <v>0.216981589551034</v>
      </c>
      <c r="F12">
        <v>0.216981589551034</v>
      </c>
      <c r="J12" s="10">
        <v>6</v>
      </c>
      <c r="K12" s="13">
        <v>4</v>
      </c>
      <c r="L12" s="13">
        <v>0.93135873389470092</v>
      </c>
    </row>
    <row r="13" spans="1:19" x14ac:dyDescent="0.2">
      <c r="A13">
        <v>6</v>
      </c>
      <c r="B13" s="13" t="s">
        <v>639</v>
      </c>
      <c r="C13" s="1">
        <v>45515</v>
      </c>
      <c r="D13" s="13" t="s">
        <v>639</v>
      </c>
      <c r="E13">
        <v>0.262835252632523</v>
      </c>
      <c r="F13">
        <v>0.262835252632523</v>
      </c>
      <c r="J13" s="10">
        <v>7</v>
      </c>
      <c r="K13" s="13">
        <v>2</v>
      </c>
      <c r="L13" s="13">
        <v>0.24845607605643091</v>
      </c>
    </row>
    <row r="14" spans="1:19" x14ac:dyDescent="0.2">
      <c r="A14">
        <v>7</v>
      </c>
      <c r="B14" s="13" t="s">
        <v>640</v>
      </c>
      <c r="C14" s="1">
        <v>45446</v>
      </c>
      <c r="D14" s="13" t="s">
        <v>640</v>
      </c>
      <c r="E14">
        <v>0.22319766481089001</v>
      </c>
      <c r="F14">
        <v>0.22319766481089001</v>
      </c>
      <c r="J14" s="10">
        <v>8</v>
      </c>
      <c r="K14" s="13">
        <v>1</v>
      </c>
      <c r="L14" s="13">
        <v>0.15652070059307399</v>
      </c>
    </row>
    <row r="15" spans="1:19" x14ac:dyDescent="0.2">
      <c r="A15">
        <v>7</v>
      </c>
      <c r="B15" s="13" t="s">
        <v>641</v>
      </c>
      <c r="C15" s="1">
        <v>45410</v>
      </c>
      <c r="D15" s="13" t="s">
        <v>641</v>
      </c>
      <c r="E15">
        <v>2.5258411245540902E-2</v>
      </c>
      <c r="F15">
        <v>2.5258411245540902E-2</v>
      </c>
      <c r="J15" s="10">
        <v>9</v>
      </c>
      <c r="K15" s="13">
        <v>2</v>
      </c>
      <c r="L15" s="13">
        <v>0.32732722877424003</v>
      </c>
    </row>
    <row r="16" spans="1:19" x14ac:dyDescent="0.2">
      <c r="A16">
        <v>8</v>
      </c>
      <c r="B16" s="13" t="s">
        <v>361</v>
      </c>
      <c r="C16" s="1">
        <v>45358</v>
      </c>
      <c r="D16" s="13" t="s">
        <v>361</v>
      </c>
      <c r="E16">
        <v>0.15652070059307399</v>
      </c>
      <c r="F16">
        <v>0.15652070059307399</v>
      </c>
      <c r="J16" s="10">
        <v>10</v>
      </c>
      <c r="K16" s="13">
        <v>2</v>
      </c>
      <c r="L16" s="13">
        <v>0.16742720838737959</v>
      </c>
    </row>
    <row r="17" spans="1:16" x14ac:dyDescent="0.2">
      <c r="A17">
        <v>9</v>
      </c>
      <c r="B17" s="13" t="s">
        <v>362</v>
      </c>
      <c r="C17" s="1">
        <v>45346</v>
      </c>
      <c r="D17" s="13" t="s">
        <v>362</v>
      </c>
      <c r="E17">
        <v>0.18820243128675301</v>
      </c>
      <c r="F17">
        <v>0.18820243128675301</v>
      </c>
      <c r="J17" s="10">
        <v>12</v>
      </c>
      <c r="K17" s="13">
        <v>2</v>
      </c>
      <c r="L17" s="13">
        <v>0.22878234796310201</v>
      </c>
    </row>
    <row r="18" spans="1:16" x14ac:dyDescent="0.2">
      <c r="A18">
        <v>9</v>
      </c>
      <c r="B18" s="13" t="s">
        <v>642</v>
      </c>
      <c r="C18" s="1">
        <v>45531</v>
      </c>
      <c r="D18" s="13" t="s">
        <v>642</v>
      </c>
      <c r="E18">
        <v>0.13912479748748699</v>
      </c>
      <c r="F18">
        <v>0.13912479748748699</v>
      </c>
      <c r="J18" s="10">
        <v>13</v>
      </c>
      <c r="K18" s="13">
        <v>2</v>
      </c>
      <c r="L18" s="13">
        <v>0.57268083893118704</v>
      </c>
    </row>
    <row r="19" spans="1:16" x14ac:dyDescent="0.2">
      <c r="A19">
        <v>10</v>
      </c>
      <c r="B19" s="13" t="s">
        <v>363</v>
      </c>
      <c r="C19" s="1">
        <v>45444</v>
      </c>
      <c r="D19" s="13" t="s">
        <v>363</v>
      </c>
      <c r="E19">
        <v>5.9037460126752601E-2</v>
      </c>
      <c r="F19">
        <v>5.9037460126752601E-2</v>
      </c>
      <c r="J19" s="10">
        <v>14</v>
      </c>
      <c r="K19" s="13">
        <v>2</v>
      </c>
      <c r="L19" s="13">
        <v>0.59434713876285794</v>
      </c>
    </row>
    <row r="20" spans="1:16" x14ac:dyDescent="0.2">
      <c r="A20">
        <v>10</v>
      </c>
      <c r="B20" s="13" t="s">
        <v>474</v>
      </c>
      <c r="C20" s="1">
        <v>45391</v>
      </c>
      <c r="D20" s="13" t="s">
        <v>474</v>
      </c>
      <c r="E20">
        <v>0.108389748260627</v>
      </c>
      <c r="F20">
        <v>0.108389748260627</v>
      </c>
      <c r="J20" s="10">
        <v>15</v>
      </c>
      <c r="K20" s="13">
        <v>3</v>
      </c>
      <c r="L20" s="13">
        <v>0.18945773086235421</v>
      </c>
    </row>
    <row r="21" spans="1:16" x14ac:dyDescent="0.2">
      <c r="A21">
        <v>12</v>
      </c>
      <c r="B21" s="13" t="s">
        <v>643</v>
      </c>
      <c r="C21" s="1">
        <v>45532</v>
      </c>
      <c r="D21" s="13" t="s">
        <v>643</v>
      </c>
      <c r="E21">
        <v>0.11571735351286901</v>
      </c>
      <c r="F21">
        <v>0.11571735351286901</v>
      </c>
      <c r="J21" s="10">
        <v>16</v>
      </c>
      <c r="K21" s="13">
        <v>1</v>
      </c>
      <c r="L21" s="13">
        <v>9.2033474374544594E-2</v>
      </c>
    </row>
    <row r="22" spans="1:16" x14ac:dyDescent="0.2">
      <c r="A22">
        <v>12</v>
      </c>
      <c r="B22" s="13" t="s">
        <v>475</v>
      </c>
      <c r="C22" s="1">
        <v>45315</v>
      </c>
      <c r="D22" s="13" t="s">
        <v>475</v>
      </c>
      <c r="E22">
        <v>0.11306499445023301</v>
      </c>
      <c r="F22">
        <v>0.11306499445023301</v>
      </c>
      <c r="J22" s="10">
        <v>17</v>
      </c>
      <c r="K22" s="13">
        <v>3</v>
      </c>
      <c r="L22" s="13">
        <v>0.56373225251367887</v>
      </c>
    </row>
    <row r="23" spans="1:16" x14ac:dyDescent="0.2">
      <c r="A23">
        <v>13</v>
      </c>
      <c r="B23" s="13" t="s">
        <v>476</v>
      </c>
      <c r="C23" s="1">
        <v>45328</v>
      </c>
      <c r="D23" s="13" t="s">
        <v>476</v>
      </c>
      <c r="E23">
        <v>0.27899338267374701</v>
      </c>
      <c r="F23">
        <v>0.27899338267374701</v>
      </c>
      <c r="J23" s="10">
        <v>18</v>
      </c>
      <c r="K23" s="13">
        <v>4</v>
      </c>
      <c r="L23" s="13">
        <v>0.5833616365732156</v>
      </c>
    </row>
    <row r="24" spans="1:16" x14ac:dyDescent="0.2">
      <c r="A24">
        <v>13</v>
      </c>
      <c r="B24" s="13" t="s">
        <v>364</v>
      </c>
      <c r="C24" s="1">
        <v>45465</v>
      </c>
      <c r="D24" s="13" t="s">
        <v>364</v>
      </c>
      <c r="E24">
        <v>0.29368745625744003</v>
      </c>
      <c r="F24">
        <v>0.29368745625744003</v>
      </c>
      <c r="J24" s="10">
        <v>19</v>
      </c>
      <c r="K24" s="13">
        <v>3</v>
      </c>
      <c r="L24" s="13">
        <v>0.4465102980343521</v>
      </c>
      <c r="P24" t="s">
        <v>627</v>
      </c>
    </row>
    <row r="25" spans="1:16" x14ac:dyDescent="0.2">
      <c r="A25">
        <v>14</v>
      </c>
      <c r="B25" s="13" t="s">
        <v>644</v>
      </c>
      <c r="C25" s="1">
        <v>45310</v>
      </c>
      <c r="D25" s="13" t="s">
        <v>644</v>
      </c>
      <c r="E25">
        <v>0.45045588411423898</v>
      </c>
      <c r="F25">
        <v>0.45045588411423898</v>
      </c>
      <c r="J25" s="10">
        <v>21</v>
      </c>
      <c r="K25" s="13">
        <v>1</v>
      </c>
      <c r="L25" s="13">
        <v>0.249795670859779</v>
      </c>
    </row>
    <row r="26" spans="1:16" x14ac:dyDescent="0.2">
      <c r="A26">
        <v>14</v>
      </c>
      <c r="B26" s="13" t="s">
        <v>477</v>
      </c>
      <c r="C26" s="1">
        <v>45491</v>
      </c>
      <c r="D26" s="13" t="s">
        <v>477</v>
      </c>
      <c r="E26">
        <v>0.14389125464861899</v>
      </c>
      <c r="F26">
        <v>0.14389125464861899</v>
      </c>
      <c r="J26" s="10">
        <v>22</v>
      </c>
      <c r="K26" s="13">
        <v>2</v>
      </c>
      <c r="L26" s="13">
        <v>0.47875751381274101</v>
      </c>
    </row>
    <row r="27" spans="1:16" x14ac:dyDescent="0.2">
      <c r="A27">
        <v>15</v>
      </c>
      <c r="B27" s="13" t="s">
        <v>478</v>
      </c>
      <c r="C27" s="1">
        <v>45430</v>
      </c>
      <c r="D27" s="13" t="s">
        <v>478</v>
      </c>
      <c r="E27">
        <v>2.7429398210546501E-2</v>
      </c>
      <c r="F27">
        <v>2.7429398210546501E-2</v>
      </c>
      <c r="J27" s="10">
        <v>23</v>
      </c>
      <c r="K27" s="13">
        <v>2</v>
      </c>
      <c r="L27" s="13">
        <v>0.22022160347889069</v>
      </c>
    </row>
    <row r="28" spans="1:16" x14ac:dyDescent="0.2">
      <c r="A28">
        <v>15</v>
      </c>
      <c r="B28" s="13" t="s">
        <v>645</v>
      </c>
      <c r="C28" s="1">
        <v>45590</v>
      </c>
      <c r="D28" s="13" t="s">
        <v>645</v>
      </c>
      <c r="E28">
        <v>9.3673455743463196E-2</v>
      </c>
      <c r="F28">
        <v>9.3673455743463196E-2</v>
      </c>
      <c r="J28" s="10">
        <v>25</v>
      </c>
      <c r="K28" s="13">
        <v>2</v>
      </c>
      <c r="L28" s="13">
        <v>0.1477750999152731</v>
      </c>
    </row>
    <row r="29" spans="1:16" x14ac:dyDescent="0.2">
      <c r="A29">
        <v>15</v>
      </c>
      <c r="B29" s="13" t="s">
        <v>479</v>
      </c>
      <c r="C29" s="1">
        <v>45449</v>
      </c>
      <c r="D29" s="13" t="s">
        <v>479</v>
      </c>
      <c r="E29">
        <v>6.8354876908344506E-2</v>
      </c>
      <c r="F29">
        <v>6.8354876908344506E-2</v>
      </c>
      <c r="J29" s="10">
        <v>26</v>
      </c>
      <c r="K29" s="13">
        <v>2</v>
      </c>
      <c r="L29" s="13">
        <v>0.1972910259553089</v>
      </c>
    </row>
    <row r="30" spans="1:16" x14ac:dyDescent="0.2">
      <c r="A30">
        <v>16</v>
      </c>
      <c r="B30" s="13" t="s">
        <v>646</v>
      </c>
      <c r="C30" s="1">
        <v>45480</v>
      </c>
      <c r="D30" s="13" t="s">
        <v>646</v>
      </c>
      <c r="E30">
        <v>9.2033474374544594E-2</v>
      </c>
      <c r="F30">
        <v>9.2033474374544594E-2</v>
      </c>
      <c r="J30" s="10">
        <v>27</v>
      </c>
      <c r="K30" s="13">
        <v>2</v>
      </c>
      <c r="L30" s="13">
        <v>0.67856659118643603</v>
      </c>
    </row>
    <row r="31" spans="1:16" x14ac:dyDescent="0.2">
      <c r="A31">
        <v>17</v>
      </c>
      <c r="B31" s="13" t="s">
        <v>480</v>
      </c>
      <c r="C31" s="1">
        <v>45535</v>
      </c>
      <c r="D31" s="13" t="s">
        <v>480</v>
      </c>
      <c r="E31">
        <v>0.28682289021316298</v>
      </c>
      <c r="F31">
        <v>0.28682289021316298</v>
      </c>
      <c r="J31" s="10">
        <v>28</v>
      </c>
      <c r="K31" s="13">
        <v>2</v>
      </c>
      <c r="L31" s="13">
        <v>0.51675843896195794</v>
      </c>
    </row>
    <row r="32" spans="1:16" x14ac:dyDescent="0.2">
      <c r="A32">
        <v>17</v>
      </c>
      <c r="B32" s="13" t="s">
        <v>481</v>
      </c>
      <c r="C32" s="1">
        <v>45297</v>
      </c>
      <c r="D32" s="13" t="s">
        <v>481</v>
      </c>
      <c r="E32">
        <v>0.21297451889094701</v>
      </c>
      <c r="F32">
        <v>0.21297451889094701</v>
      </c>
      <c r="J32" s="10">
        <v>29</v>
      </c>
      <c r="K32" s="13">
        <v>3</v>
      </c>
      <c r="L32" s="13">
        <v>0.23776565047220033</v>
      </c>
    </row>
    <row r="33" spans="1:12" x14ac:dyDescent="0.2">
      <c r="A33">
        <v>17</v>
      </c>
      <c r="B33" s="13" t="s">
        <v>482</v>
      </c>
      <c r="C33" s="1">
        <v>45419</v>
      </c>
      <c r="D33" s="13" t="s">
        <v>482</v>
      </c>
      <c r="E33">
        <v>6.3934843409568898E-2</v>
      </c>
      <c r="F33">
        <v>6.3934843409568898E-2</v>
      </c>
      <c r="J33" s="10">
        <v>30</v>
      </c>
      <c r="K33" s="13">
        <v>3</v>
      </c>
      <c r="L33" s="13">
        <v>1.099040433381546</v>
      </c>
    </row>
    <row r="34" spans="1:12" x14ac:dyDescent="0.2">
      <c r="A34">
        <v>18</v>
      </c>
      <c r="B34" s="13" t="s">
        <v>483</v>
      </c>
      <c r="C34" s="1">
        <v>45594</v>
      </c>
      <c r="D34" s="13" t="s">
        <v>483</v>
      </c>
      <c r="E34">
        <v>0.30571085635744899</v>
      </c>
      <c r="F34">
        <v>0.30571085635744899</v>
      </c>
      <c r="J34" s="10">
        <v>32</v>
      </c>
      <c r="K34" s="13">
        <v>1</v>
      </c>
      <c r="L34" s="13">
        <v>0.33304641915667099</v>
      </c>
    </row>
    <row r="35" spans="1:12" x14ac:dyDescent="0.2">
      <c r="A35">
        <v>18</v>
      </c>
      <c r="B35" s="13" t="s">
        <v>484</v>
      </c>
      <c r="C35" s="1">
        <v>45439</v>
      </c>
      <c r="D35" s="13" t="s">
        <v>484</v>
      </c>
      <c r="E35">
        <v>2.8038382345310399E-2</v>
      </c>
      <c r="F35">
        <v>2.8038382345310399E-2</v>
      </c>
      <c r="J35" s="10">
        <v>33</v>
      </c>
      <c r="K35" s="13">
        <v>2</v>
      </c>
      <c r="L35" s="13">
        <v>0.32204133880188451</v>
      </c>
    </row>
    <row r="36" spans="1:12" x14ac:dyDescent="0.2">
      <c r="A36">
        <v>18</v>
      </c>
      <c r="B36" s="13" t="s">
        <v>647</v>
      </c>
      <c r="C36" s="1">
        <v>45481</v>
      </c>
      <c r="D36" s="13" t="s">
        <v>647</v>
      </c>
      <c r="E36">
        <v>2.6495051880788201E-2</v>
      </c>
      <c r="F36">
        <v>2.6495051880788201E-2</v>
      </c>
      <c r="J36" s="10">
        <v>34</v>
      </c>
      <c r="K36" s="13">
        <v>1</v>
      </c>
      <c r="L36" s="13">
        <v>7.3836472158057401E-2</v>
      </c>
    </row>
    <row r="37" spans="1:12" x14ac:dyDescent="0.2">
      <c r="A37">
        <v>18</v>
      </c>
      <c r="B37" s="13" t="s">
        <v>485</v>
      </c>
      <c r="C37" s="1">
        <v>45403</v>
      </c>
      <c r="D37" s="13" t="s">
        <v>485</v>
      </c>
      <c r="E37">
        <v>0.22311734598966801</v>
      </c>
      <c r="F37">
        <v>0.22311734598966801</v>
      </c>
      <c r="J37" s="10">
        <v>35</v>
      </c>
      <c r="K37" s="13">
        <v>4</v>
      </c>
      <c r="L37" s="13">
        <v>0.67383500726735968</v>
      </c>
    </row>
    <row r="38" spans="1:12" x14ac:dyDescent="0.2">
      <c r="A38">
        <v>19</v>
      </c>
      <c r="B38" s="13" t="s">
        <v>648</v>
      </c>
      <c r="C38" s="1">
        <v>45596</v>
      </c>
      <c r="D38" s="13" t="s">
        <v>648</v>
      </c>
      <c r="E38">
        <v>0.13717652609834599</v>
      </c>
      <c r="F38">
        <v>0.13717652609834599</v>
      </c>
      <c r="J38" s="10">
        <v>36</v>
      </c>
      <c r="K38" s="13">
        <v>2</v>
      </c>
      <c r="L38" s="13">
        <v>0.1757068999453297</v>
      </c>
    </row>
    <row r="39" spans="1:12" x14ac:dyDescent="0.2">
      <c r="A39">
        <v>19</v>
      </c>
      <c r="B39" s="13" t="s">
        <v>649</v>
      </c>
      <c r="C39" s="1">
        <v>45352</v>
      </c>
      <c r="D39" s="13" t="s">
        <v>649</v>
      </c>
      <c r="E39">
        <v>0.27319146516874898</v>
      </c>
      <c r="F39">
        <v>0.27319146516874898</v>
      </c>
      <c r="J39" s="10">
        <v>37</v>
      </c>
      <c r="K39" s="13">
        <v>1</v>
      </c>
      <c r="L39" s="13">
        <v>0.35448175121283299</v>
      </c>
    </row>
    <row r="40" spans="1:12" x14ac:dyDescent="0.2">
      <c r="A40">
        <v>19</v>
      </c>
      <c r="B40" s="13" t="s">
        <v>650</v>
      </c>
      <c r="C40" s="1">
        <v>45399</v>
      </c>
      <c r="D40" s="13" t="s">
        <v>650</v>
      </c>
      <c r="E40">
        <v>3.6142306767257097E-2</v>
      </c>
      <c r="F40">
        <v>3.6142306767257097E-2</v>
      </c>
      <c r="J40" s="10">
        <v>38</v>
      </c>
      <c r="K40" s="13">
        <v>3</v>
      </c>
      <c r="L40" s="13">
        <v>0.30834110633175299</v>
      </c>
    </row>
    <row r="41" spans="1:12" x14ac:dyDescent="0.2">
      <c r="A41">
        <v>20</v>
      </c>
      <c r="B41" s="13" t="s">
        <v>651</v>
      </c>
      <c r="C41" s="1">
        <v>45379</v>
      </c>
      <c r="D41" s="13" t="s">
        <v>651</v>
      </c>
      <c r="E41">
        <v>0.26043978602927498</v>
      </c>
      <c r="F41">
        <v>0.26043978602927498</v>
      </c>
      <c r="J41" s="10">
        <v>39</v>
      </c>
      <c r="K41" s="13">
        <v>3</v>
      </c>
      <c r="L41" s="13">
        <v>0.77095966371773406</v>
      </c>
    </row>
    <row r="42" spans="1:12" x14ac:dyDescent="0.2">
      <c r="A42">
        <v>21</v>
      </c>
      <c r="B42" s="13" t="s">
        <v>652</v>
      </c>
      <c r="C42" s="1">
        <v>45477</v>
      </c>
      <c r="D42" s="13" t="s">
        <v>652</v>
      </c>
      <c r="E42">
        <v>0.249795670859779</v>
      </c>
      <c r="F42">
        <v>0.249795670859779</v>
      </c>
      <c r="J42" s="10">
        <v>40</v>
      </c>
      <c r="K42" s="13">
        <v>3</v>
      </c>
      <c r="L42" s="13">
        <v>0.27738254229436188</v>
      </c>
    </row>
    <row r="43" spans="1:12" x14ac:dyDescent="0.2">
      <c r="A43">
        <v>22</v>
      </c>
      <c r="B43" s="13" t="s">
        <v>365</v>
      </c>
      <c r="C43" s="1">
        <v>45537</v>
      </c>
      <c r="D43" s="13" t="s">
        <v>365</v>
      </c>
      <c r="E43">
        <v>0.21471571865464201</v>
      </c>
      <c r="F43">
        <v>0.21471571865464201</v>
      </c>
      <c r="J43" s="10">
        <v>41</v>
      </c>
      <c r="K43" s="13">
        <v>3</v>
      </c>
      <c r="L43" s="13">
        <v>0.56419339429898696</v>
      </c>
    </row>
    <row r="44" spans="1:12" x14ac:dyDescent="0.2">
      <c r="A44">
        <v>22</v>
      </c>
      <c r="B44" s="13" t="s">
        <v>653</v>
      </c>
      <c r="C44" s="1">
        <v>45469</v>
      </c>
      <c r="D44" s="13" t="s">
        <v>653</v>
      </c>
      <c r="E44">
        <v>0.264041795158099</v>
      </c>
      <c r="F44">
        <v>0.264041795158099</v>
      </c>
      <c r="J44" s="10">
        <v>42</v>
      </c>
      <c r="K44" s="13">
        <v>2</v>
      </c>
      <c r="L44" s="13">
        <v>0.38762401323974</v>
      </c>
    </row>
    <row r="45" spans="1:12" x14ac:dyDescent="0.2">
      <c r="A45">
        <v>23</v>
      </c>
      <c r="B45" s="13" t="s">
        <v>654</v>
      </c>
      <c r="C45" s="1">
        <v>45453</v>
      </c>
      <c r="D45" s="13" t="s">
        <v>654</v>
      </c>
      <c r="E45">
        <v>7.2574562189476693E-2</v>
      </c>
      <c r="F45">
        <v>7.2574562189476693E-2</v>
      </c>
      <c r="J45" s="10">
        <v>43</v>
      </c>
      <c r="K45" s="13">
        <v>2</v>
      </c>
      <c r="L45" s="13">
        <v>0.47490065830491918</v>
      </c>
    </row>
    <row r="46" spans="1:12" x14ac:dyDescent="0.2">
      <c r="A46">
        <v>23</v>
      </c>
      <c r="B46" s="13" t="s">
        <v>655</v>
      </c>
      <c r="C46" s="1">
        <v>45613</v>
      </c>
      <c r="D46" s="13" t="s">
        <v>655</v>
      </c>
      <c r="E46">
        <v>0.147647041289414</v>
      </c>
      <c r="F46">
        <v>0.147647041289414</v>
      </c>
      <c r="J46" s="10">
        <v>44</v>
      </c>
      <c r="K46" s="13">
        <v>3</v>
      </c>
      <c r="L46" s="13">
        <v>0.47878495857582881</v>
      </c>
    </row>
    <row r="47" spans="1:12" x14ac:dyDescent="0.2">
      <c r="A47">
        <v>25</v>
      </c>
      <c r="B47" s="13" t="s">
        <v>366</v>
      </c>
      <c r="C47" s="1">
        <v>45490</v>
      </c>
      <c r="D47" s="13" t="s">
        <v>366</v>
      </c>
      <c r="E47">
        <v>4.9478220511179803E-2</v>
      </c>
      <c r="F47">
        <v>4.9478220511179803E-2</v>
      </c>
      <c r="J47" s="10">
        <v>45</v>
      </c>
      <c r="K47" s="13">
        <v>3</v>
      </c>
      <c r="L47" s="13">
        <v>0.44806760499004683</v>
      </c>
    </row>
    <row r="48" spans="1:12" x14ac:dyDescent="0.2">
      <c r="A48">
        <v>25</v>
      </c>
      <c r="B48" s="13" t="s">
        <v>656</v>
      </c>
      <c r="C48" s="1">
        <v>45386</v>
      </c>
      <c r="D48" s="13" t="s">
        <v>656</v>
      </c>
      <c r="E48">
        <v>9.8296879404093304E-2</v>
      </c>
      <c r="F48">
        <v>9.8296879404093304E-2</v>
      </c>
      <c r="J48" s="10">
        <v>46</v>
      </c>
      <c r="K48" s="13">
        <v>3</v>
      </c>
      <c r="L48" s="13">
        <v>0.34744550602726043</v>
      </c>
    </row>
    <row r="49" spans="1:12" x14ac:dyDescent="0.2">
      <c r="A49">
        <v>26</v>
      </c>
      <c r="B49" s="13" t="s">
        <v>657</v>
      </c>
      <c r="C49" s="1">
        <v>45475</v>
      </c>
      <c r="D49" s="13" t="s">
        <v>657</v>
      </c>
      <c r="E49">
        <v>5.50457772989019E-2</v>
      </c>
      <c r="F49">
        <v>5.50457772989019E-2</v>
      </c>
      <c r="J49" s="10">
        <v>47</v>
      </c>
      <c r="K49" s="13">
        <v>3</v>
      </c>
      <c r="L49" s="13">
        <v>0.4201813002972018</v>
      </c>
    </row>
    <row r="50" spans="1:12" x14ac:dyDescent="0.2">
      <c r="A50">
        <v>26</v>
      </c>
      <c r="B50" s="13" t="s">
        <v>658</v>
      </c>
      <c r="C50" s="1">
        <v>45452</v>
      </c>
      <c r="D50" s="13" t="s">
        <v>658</v>
      </c>
      <c r="E50">
        <v>0.142245248656407</v>
      </c>
      <c r="F50">
        <v>0.142245248656407</v>
      </c>
      <c r="J50" s="10">
        <v>48</v>
      </c>
      <c r="K50" s="13">
        <v>2</v>
      </c>
      <c r="L50" s="13">
        <v>0.30097110959005602</v>
      </c>
    </row>
    <row r="51" spans="1:12" x14ac:dyDescent="0.2">
      <c r="A51">
        <v>27</v>
      </c>
      <c r="B51" s="13" t="s">
        <v>367</v>
      </c>
      <c r="C51" s="1">
        <v>45593</v>
      </c>
      <c r="D51" s="13" t="s">
        <v>367</v>
      </c>
      <c r="E51">
        <v>0.10561391617423101</v>
      </c>
      <c r="F51">
        <v>0.10561391617423101</v>
      </c>
      <c r="J51" s="10">
        <v>49</v>
      </c>
      <c r="K51" s="13">
        <v>3</v>
      </c>
      <c r="L51" s="13">
        <v>0.42580196028220502</v>
      </c>
    </row>
    <row r="52" spans="1:12" x14ac:dyDescent="0.2">
      <c r="A52">
        <v>27</v>
      </c>
      <c r="B52" s="13" t="s">
        <v>659</v>
      </c>
      <c r="C52" s="1">
        <v>45315</v>
      </c>
      <c r="D52" s="13" t="s">
        <v>659</v>
      </c>
      <c r="E52">
        <v>0.57295267501220504</v>
      </c>
      <c r="F52">
        <v>0.57295267501220504</v>
      </c>
      <c r="J52" s="10">
        <v>50</v>
      </c>
      <c r="K52" s="13">
        <v>1</v>
      </c>
      <c r="L52" s="13">
        <v>0.107370364016353</v>
      </c>
    </row>
    <row r="53" spans="1:12" x14ac:dyDescent="0.2">
      <c r="A53">
        <v>28</v>
      </c>
      <c r="B53" s="13" t="s">
        <v>368</v>
      </c>
      <c r="C53" s="1">
        <v>45515</v>
      </c>
      <c r="D53" s="13" t="s">
        <v>368</v>
      </c>
      <c r="E53">
        <v>0.29215800278999399</v>
      </c>
      <c r="F53">
        <v>0.29215800278999399</v>
      </c>
      <c r="J53" s="10">
        <v>51</v>
      </c>
      <c r="K53" s="13">
        <v>4</v>
      </c>
      <c r="L53" s="13">
        <v>0.85145589884895001</v>
      </c>
    </row>
    <row r="54" spans="1:12" x14ac:dyDescent="0.2">
      <c r="A54">
        <v>28</v>
      </c>
      <c r="B54" s="13" t="s">
        <v>660</v>
      </c>
      <c r="C54" s="1">
        <v>45564</v>
      </c>
      <c r="D54" s="13" t="s">
        <v>660</v>
      </c>
      <c r="E54">
        <v>0.22460043617196401</v>
      </c>
      <c r="F54">
        <v>0.22460043617196401</v>
      </c>
      <c r="J54" s="10">
        <v>52</v>
      </c>
      <c r="K54" s="13">
        <v>2</v>
      </c>
      <c r="L54" s="13">
        <v>0.252880930136892</v>
      </c>
    </row>
    <row r="55" spans="1:12" x14ac:dyDescent="0.2">
      <c r="A55">
        <v>29</v>
      </c>
      <c r="B55" s="13" t="s">
        <v>661</v>
      </c>
      <c r="C55" s="1">
        <v>45592</v>
      </c>
      <c r="D55" s="13" t="s">
        <v>661</v>
      </c>
      <c r="E55">
        <v>4.6314138606822304E-3</v>
      </c>
      <c r="F55">
        <v>4.6314138606822304E-3</v>
      </c>
      <c r="J55" s="10">
        <v>53</v>
      </c>
      <c r="K55" s="13">
        <v>1</v>
      </c>
      <c r="L55" s="13">
        <v>0.29696290717306001</v>
      </c>
    </row>
    <row r="56" spans="1:12" x14ac:dyDescent="0.2">
      <c r="A56">
        <v>29</v>
      </c>
      <c r="B56" s="13" t="s">
        <v>662</v>
      </c>
      <c r="C56" s="1">
        <v>45427</v>
      </c>
      <c r="D56" s="13" t="s">
        <v>662</v>
      </c>
      <c r="E56">
        <v>0.18171925050202201</v>
      </c>
      <c r="F56">
        <v>0.18171925050202201</v>
      </c>
      <c r="J56" s="10">
        <v>54</v>
      </c>
      <c r="K56" s="13">
        <v>3</v>
      </c>
      <c r="L56" s="13">
        <v>0.26440852331858422</v>
      </c>
    </row>
    <row r="57" spans="1:12" x14ac:dyDescent="0.2">
      <c r="A57">
        <v>29</v>
      </c>
      <c r="B57" s="13" t="s">
        <v>663</v>
      </c>
      <c r="C57" s="1">
        <v>45370</v>
      </c>
      <c r="D57" s="13" t="s">
        <v>663</v>
      </c>
      <c r="E57">
        <v>5.1414986109496102E-2</v>
      </c>
      <c r="F57">
        <v>5.1414986109496102E-2</v>
      </c>
      <c r="J57" s="10">
        <v>55</v>
      </c>
      <c r="K57" s="13">
        <v>2</v>
      </c>
      <c r="L57" s="13">
        <v>0.81636520287641801</v>
      </c>
    </row>
    <row r="58" spans="1:12" x14ac:dyDescent="0.2">
      <c r="A58">
        <v>30</v>
      </c>
      <c r="B58" s="13" t="s">
        <v>664</v>
      </c>
      <c r="C58" s="1">
        <v>45625</v>
      </c>
      <c r="D58" s="13" t="s">
        <v>664</v>
      </c>
      <c r="E58">
        <v>0.53819355738755803</v>
      </c>
      <c r="F58">
        <v>0.53819355738755803</v>
      </c>
      <c r="J58" s="10">
        <v>56</v>
      </c>
      <c r="K58" s="13">
        <v>3</v>
      </c>
      <c r="L58" s="13">
        <v>0.48370743076172601</v>
      </c>
    </row>
    <row r="59" spans="1:12" x14ac:dyDescent="0.2">
      <c r="A59">
        <v>30</v>
      </c>
      <c r="B59" s="13" t="s">
        <v>665</v>
      </c>
      <c r="C59" s="1">
        <v>45509</v>
      </c>
      <c r="D59" s="13" t="s">
        <v>665</v>
      </c>
      <c r="E59">
        <v>0.404335277171188</v>
      </c>
      <c r="F59">
        <v>0.404335277171188</v>
      </c>
      <c r="J59" s="10">
        <v>57</v>
      </c>
      <c r="K59" s="13">
        <v>3</v>
      </c>
      <c r="L59" s="13">
        <v>0.31092779665233861</v>
      </c>
    </row>
    <row r="60" spans="1:12" x14ac:dyDescent="0.2">
      <c r="A60">
        <v>30</v>
      </c>
      <c r="B60" s="13" t="s">
        <v>666</v>
      </c>
      <c r="C60" s="1">
        <v>45619</v>
      </c>
      <c r="D60" s="13" t="s">
        <v>666</v>
      </c>
      <c r="E60">
        <v>0.1565115988228</v>
      </c>
      <c r="F60">
        <v>0.1565115988228</v>
      </c>
      <c r="J60" s="10">
        <v>58</v>
      </c>
      <c r="K60" s="13">
        <v>1</v>
      </c>
      <c r="L60" s="13">
        <v>0.10483637120534101</v>
      </c>
    </row>
    <row r="61" spans="1:12" x14ac:dyDescent="0.2">
      <c r="A61">
        <v>32</v>
      </c>
      <c r="B61" s="13" t="s">
        <v>667</v>
      </c>
      <c r="C61" s="1">
        <v>45555</v>
      </c>
      <c r="D61" s="13" t="s">
        <v>667</v>
      </c>
      <c r="E61">
        <v>0.33304641915667099</v>
      </c>
      <c r="F61">
        <v>0.33304641915667099</v>
      </c>
      <c r="J61" s="10">
        <v>59</v>
      </c>
      <c r="K61" s="13">
        <v>1</v>
      </c>
      <c r="L61" s="13">
        <v>0.26439186657909802</v>
      </c>
    </row>
    <row r="62" spans="1:12" x14ac:dyDescent="0.2">
      <c r="A62">
        <v>33</v>
      </c>
      <c r="B62" s="13" t="s">
        <v>668</v>
      </c>
      <c r="C62" s="1">
        <v>45459</v>
      </c>
      <c r="D62" s="13" t="s">
        <v>668</v>
      </c>
      <c r="E62">
        <v>0.25023858627977402</v>
      </c>
      <c r="F62">
        <v>0.25023858627977402</v>
      </c>
      <c r="J62" s="10">
        <v>60</v>
      </c>
      <c r="K62" s="13">
        <v>3</v>
      </c>
      <c r="L62" s="13">
        <v>0.59042776771190264</v>
      </c>
    </row>
    <row r="63" spans="1:12" x14ac:dyDescent="0.2">
      <c r="A63">
        <v>33</v>
      </c>
      <c r="B63" s="13" t="s">
        <v>669</v>
      </c>
      <c r="C63" s="1">
        <v>45549</v>
      </c>
      <c r="D63" s="13" t="s">
        <v>669</v>
      </c>
      <c r="E63">
        <v>7.1802752522110505E-2</v>
      </c>
      <c r="F63">
        <v>7.1802752522110505E-2</v>
      </c>
      <c r="J63" s="10">
        <v>61</v>
      </c>
      <c r="K63" s="13">
        <v>2</v>
      </c>
      <c r="L63" s="13">
        <v>0.24170758746835602</v>
      </c>
    </row>
    <row r="64" spans="1:12" x14ac:dyDescent="0.2">
      <c r="A64">
        <v>34</v>
      </c>
      <c r="B64" s="13" t="s">
        <v>369</v>
      </c>
      <c r="C64" s="1">
        <v>45320</v>
      </c>
      <c r="D64" s="13" t="s">
        <v>369</v>
      </c>
      <c r="E64">
        <v>7.3836472158057401E-2</v>
      </c>
      <c r="F64">
        <v>7.3836472158057401E-2</v>
      </c>
      <c r="J64" s="10">
        <v>62</v>
      </c>
      <c r="K64" s="13">
        <v>3</v>
      </c>
      <c r="L64" s="13">
        <v>0.47987736631974898</v>
      </c>
    </row>
    <row r="65" spans="1:12" x14ac:dyDescent="0.2">
      <c r="A65">
        <v>35</v>
      </c>
      <c r="B65" s="13" t="s">
        <v>486</v>
      </c>
      <c r="C65" s="1">
        <v>45432</v>
      </c>
      <c r="D65" s="13" t="s">
        <v>486</v>
      </c>
      <c r="E65">
        <v>5.9646347843209602E-2</v>
      </c>
      <c r="F65">
        <v>5.9646347843209602E-2</v>
      </c>
      <c r="J65" s="10">
        <v>63</v>
      </c>
      <c r="K65" s="13">
        <v>2</v>
      </c>
      <c r="L65" s="13">
        <v>0.23895393931496889</v>
      </c>
    </row>
    <row r="66" spans="1:12" x14ac:dyDescent="0.2">
      <c r="A66">
        <v>35</v>
      </c>
      <c r="B66" s="13" t="s">
        <v>670</v>
      </c>
      <c r="C66" s="1">
        <v>45429</v>
      </c>
      <c r="D66" s="13" t="s">
        <v>670</v>
      </c>
      <c r="E66">
        <v>0.33224436828765602</v>
      </c>
      <c r="F66">
        <v>0.33224436828765602</v>
      </c>
      <c r="J66" s="10">
        <v>64</v>
      </c>
      <c r="K66" s="13">
        <v>3</v>
      </c>
      <c r="L66" s="13">
        <v>0.42283223385989999</v>
      </c>
    </row>
    <row r="67" spans="1:12" x14ac:dyDescent="0.2">
      <c r="A67">
        <v>35</v>
      </c>
      <c r="B67" s="13" t="s">
        <v>671</v>
      </c>
      <c r="C67" s="1">
        <v>45385</v>
      </c>
      <c r="D67" s="13" t="s">
        <v>671</v>
      </c>
      <c r="E67">
        <v>0.14851562040525701</v>
      </c>
      <c r="F67">
        <v>0.14851562040525701</v>
      </c>
      <c r="J67" s="10">
        <v>65</v>
      </c>
      <c r="K67" s="13">
        <v>1</v>
      </c>
      <c r="L67" s="13">
        <v>0.42206667201291398</v>
      </c>
    </row>
    <row r="68" spans="1:12" x14ac:dyDescent="0.2">
      <c r="A68">
        <v>35</v>
      </c>
      <c r="B68" s="13" t="s">
        <v>672</v>
      </c>
      <c r="C68" s="1">
        <v>45418</v>
      </c>
      <c r="D68" s="13" t="s">
        <v>672</v>
      </c>
      <c r="E68">
        <v>0.13342867073123699</v>
      </c>
      <c r="F68">
        <v>0.13342867073123699</v>
      </c>
      <c r="J68" s="10">
        <v>66</v>
      </c>
      <c r="K68" s="13">
        <v>2</v>
      </c>
      <c r="L68" s="13">
        <v>0.641793215111229</v>
      </c>
    </row>
    <row r="69" spans="1:12" x14ac:dyDescent="0.2">
      <c r="A69">
        <v>36</v>
      </c>
      <c r="B69" s="13" t="s">
        <v>370</v>
      </c>
      <c r="C69" s="1">
        <v>45374</v>
      </c>
      <c r="D69" s="13" t="s">
        <v>370</v>
      </c>
      <c r="E69">
        <v>0.100859476501755</v>
      </c>
      <c r="F69">
        <v>0.100859476501755</v>
      </c>
      <c r="J69" s="10">
        <v>67</v>
      </c>
      <c r="K69" s="13">
        <v>1</v>
      </c>
      <c r="L69" s="13">
        <v>0.14841507451730299</v>
      </c>
    </row>
    <row r="70" spans="1:12" x14ac:dyDescent="0.2">
      <c r="A70">
        <v>36</v>
      </c>
      <c r="B70" s="13" t="s">
        <v>673</v>
      </c>
      <c r="C70" s="1">
        <v>45526</v>
      </c>
      <c r="D70" s="13" t="s">
        <v>673</v>
      </c>
      <c r="E70">
        <v>7.4847423443574701E-2</v>
      </c>
      <c r="F70">
        <v>7.4847423443574701E-2</v>
      </c>
      <c r="J70" s="10">
        <v>68</v>
      </c>
      <c r="K70" s="13">
        <v>1</v>
      </c>
      <c r="L70" s="13">
        <v>2.4462078359288601E-2</v>
      </c>
    </row>
    <row r="71" spans="1:12" x14ac:dyDescent="0.2">
      <c r="A71">
        <v>37</v>
      </c>
      <c r="B71" s="13" t="s">
        <v>371</v>
      </c>
      <c r="C71" s="1">
        <v>45534</v>
      </c>
      <c r="D71" s="13" t="s">
        <v>371</v>
      </c>
      <c r="E71">
        <v>0.35448175121283299</v>
      </c>
      <c r="F71">
        <v>0.35448175121283299</v>
      </c>
      <c r="J71" s="10">
        <v>69</v>
      </c>
      <c r="K71" s="13">
        <v>1</v>
      </c>
      <c r="L71" s="13">
        <v>5.82129938308482E-2</v>
      </c>
    </row>
    <row r="72" spans="1:12" x14ac:dyDescent="0.2">
      <c r="A72">
        <v>38</v>
      </c>
      <c r="B72" s="13" t="s">
        <v>372</v>
      </c>
      <c r="C72" s="1">
        <v>45533</v>
      </c>
      <c r="D72" s="13" t="s">
        <v>372</v>
      </c>
      <c r="E72">
        <v>1.1803321686785301E-2</v>
      </c>
      <c r="F72">
        <v>1.1803321686785301E-2</v>
      </c>
      <c r="J72" s="10">
        <v>70</v>
      </c>
      <c r="K72" s="13">
        <v>2</v>
      </c>
      <c r="L72" s="13">
        <v>0.463830715256485</v>
      </c>
    </row>
    <row r="73" spans="1:12" x14ac:dyDescent="0.2">
      <c r="A73">
        <v>38</v>
      </c>
      <c r="B73" s="13" t="s">
        <v>487</v>
      </c>
      <c r="C73" s="1">
        <v>45557</v>
      </c>
      <c r="D73" s="13" t="s">
        <v>487</v>
      </c>
      <c r="E73">
        <v>0.20020421517081199</v>
      </c>
      <c r="F73">
        <v>0.20020421517081199</v>
      </c>
      <c r="J73" s="10">
        <v>71</v>
      </c>
      <c r="K73" s="13">
        <v>1</v>
      </c>
      <c r="L73" s="13">
        <v>0.174117266183312</v>
      </c>
    </row>
    <row r="74" spans="1:12" x14ac:dyDescent="0.2">
      <c r="A74">
        <v>38</v>
      </c>
      <c r="B74" s="13" t="s">
        <v>488</v>
      </c>
      <c r="C74" s="1">
        <v>45355</v>
      </c>
      <c r="D74" s="13" t="s">
        <v>488</v>
      </c>
      <c r="E74">
        <v>9.6333569474155695E-2</v>
      </c>
      <c r="F74">
        <v>9.6333569474155695E-2</v>
      </c>
      <c r="J74" s="10">
        <v>72</v>
      </c>
      <c r="K74" s="13">
        <v>2</v>
      </c>
      <c r="L74" s="13">
        <v>0.13533285976560111</v>
      </c>
    </row>
    <row r="75" spans="1:12" x14ac:dyDescent="0.2">
      <c r="A75">
        <v>39</v>
      </c>
      <c r="B75" s="13" t="s">
        <v>373</v>
      </c>
      <c r="C75" s="1">
        <v>45457</v>
      </c>
      <c r="D75" s="13" t="s">
        <v>373</v>
      </c>
      <c r="E75">
        <v>0.23133151779079</v>
      </c>
      <c r="F75">
        <v>0.23133151779079</v>
      </c>
      <c r="J75" s="10">
        <v>73</v>
      </c>
      <c r="K75" s="13">
        <v>2</v>
      </c>
      <c r="L75" s="13">
        <v>0.49206263377652304</v>
      </c>
    </row>
    <row r="76" spans="1:12" x14ac:dyDescent="0.2">
      <c r="A76">
        <v>39</v>
      </c>
      <c r="B76" s="13" t="s">
        <v>489</v>
      </c>
      <c r="C76" s="1">
        <v>45308</v>
      </c>
      <c r="D76" s="13" t="s">
        <v>489</v>
      </c>
      <c r="E76">
        <v>0.39591376378965898</v>
      </c>
      <c r="F76">
        <v>0.39591376378965898</v>
      </c>
      <c r="J76" s="10">
        <v>74</v>
      </c>
      <c r="K76" s="13">
        <v>4</v>
      </c>
      <c r="L76" s="13">
        <v>0.45786445899271089</v>
      </c>
    </row>
    <row r="77" spans="1:12" x14ac:dyDescent="0.2">
      <c r="A77">
        <v>39</v>
      </c>
      <c r="B77" s="13" t="s">
        <v>674</v>
      </c>
      <c r="C77" s="1">
        <v>45520</v>
      </c>
      <c r="D77" s="13" t="s">
        <v>674</v>
      </c>
      <c r="E77">
        <v>0.14371438213728499</v>
      </c>
      <c r="F77">
        <v>0.14371438213728499</v>
      </c>
      <c r="J77" s="10">
        <v>75</v>
      </c>
      <c r="K77" s="13">
        <v>2</v>
      </c>
      <c r="L77" s="13">
        <v>0.37100782355462802</v>
      </c>
    </row>
    <row r="78" spans="1:12" x14ac:dyDescent="0.2">
      <c r="A78">
        <v>40</v>
      </c>
      <c r="B78" s="13" t="s">
        <v>490</v>
      </c>
      <c r="C78" s="1">
        <v>45518</v>
      </c>
      <c r="D78" s="13" t="s">
        <v>490</v>
      </c>
      <c r="E78">
        <v>2.8842938294210901E-2</v>
      </c>
      <c r="F78">
        <v>2.8842938294210901E-2</v>
      </c>
      <c r="J78" s="10">
        <v>76</v>
      </c>
      <c r="K78" s="13">
        <v>3</v>
      </c>
      <c r="L78" s="13">
        <v>0.50290183858063964</v>
      </c>
    </row>
    <row r="79" spans="1:12" x14ac:dyDescent="0.2">
      <c r="A79">
        <v>40</v>
      </c>
      <c r="B79" s="13" t="s">
        <v>491</v>
      </c>
      <c r="C79" s="1">
        <v>45613</v>
      </c>
      <c r="D79" s="13" t="s">
        <v>491</v>
      </c>
      <c r="E79">
        <v>9.4764907286520997E-2</v>
      </c>
      <c r="F79">
        <v>9.4764907286520997E-2</v>
      </c>
      <c r="J79" s="10">
        <v>77</v>
      </c>
      <c r="K79" s="13">
        <v>2</v>
      </c>
      <c r="L79" s="13">
        <v>0.18341873469151171</v>
      </c>
    </row>
    <row r="80" spans="1:12" x14ac:dyDescent="0.2">
      <c r="A80">
        <v>40</v>
      </c>
      <c r="B80" s="13" t="s">
        <v>675</v>
      </c>
      <c r="C80" s="1">
        <v>45617</v>
      </c>
      <c r="D80" s="13" t="s">
        <v>675</v>
      </c>
      <c r="E80">
        <v>0.15377469671363</v>
      </c>
      <c r="F80">
        <v>0.15377469671363</v>
      </c>
      <c r="J80" s="10">
        <v>78</v>
      </c>
      <c r="K80" s="13">
        <v>2</v>
      </c>
      <c r="L80" s="13">
        <v>0.77653801514006104</v>
      </c>
    </row>
    <row r="81" spans="1:12" x14ac:dyDescent="0.2">
      <c r="A81">
        <v>41</v>
      </c>
      <c r="B81" s="13" t="s">
        <v>492</v>
      </c>
      <c r="C81" s="1">
        <v>45403</v>
      </c>
      <c r="D81" s="13" t="s">
        <v>492</v>
      </c>
      <c r="E81">
        <v>0.406919628547396</v>
      </c>
      <c r="F81">
        <v>0.406919628547396</v>
      </c>
      <c r="J81" s="10">
        <v>79</v>
      </c>
      <c r="K81" s="13">
        <v>3</v>
      </c>
      <c r="L81" s="13">
        <v>0.38866402499785146</v>
      </c>
    </row>
    <row r="82" spans="1:12" x14ac:dyDescent="0.2">
      <c r="A82">
        <v>41</v>
      </c>
      <c r="B82" s="13" t="s">
        <v>493</v>
      </c>
      <c r="C82" s="1">
        <v>45384</v>
      </c>
      <c r="D82" s="13" t="s">
        <v>493</v>
      </c>
      <c r="E82">
        <v>1.8623633183213899E-2</v>
      </c>
      <c r="F82">
        <v>1.8623633183213899E-2</v>
      </c>
      <c r="J82" s="10">
        <v>80</v>
      </c>
      <c r="K82" s="13">
        <v>3</v>
      </c>
      <c r="L82" s="13">
        <v>0.39071414650903497</v>
      </c>
    </row>
    <row r="83" spans="1:12" x14ac:dyDescent="0.2">
      <c r="A83">
        <v>41</v>
      </c>
      <c r="B83" s="13" t="s">
        <v>374</v>
      </c>
      <c r="C83" s="1">
        <v>45568</v>
      </c>
      <c r="D83" s="13" t="s">
        <v>374</v>
      </c>
      <c r="E83">
        <v>0.13865013256837699</v>
      </c>
      <c r="F83">
        <v>0.13865013256837699</v>
      </c>
      <c r="J83" s="10">
        <v>81</v>
      </c>
      <c r="K83" s="13">
        <v>3</v>
      </c>
      <c r="L83" s="13">
        <v>0.49353000814372505</v>
      </c>
    </row>
    <row r="84" spans="1:12" x14ac:dyDescent="0.2">
      <c r="A84">
        <v>42</v>
      </c>
      <c r="B84" s="13" t="s">
        <v>375</v>
      </c>
      <c r="C84" s="1">
        <v>45396</v>
      </c>
      <c r="D84" s="13" t="s">
        <v>375</v>
      </c>
      <c r="E84">
        <v>0.13039070358205601</v>
      </c>
      <c r="F84">
        <v>0.13039070358205601</v>
      </c>
      <c r="J84" s="10">
        <v>82</v>
      </c>
      <c r="K84" s="13">
        <v>2</v>
      </c>
      <c r="L84" s="13">
        <v>0.29845918500860102</v>
      </c>
    </row>
    <row r="85" spans="1:12" x14ac:dyDescent="0.2">
      <c r="A85">
        <v>42</v>
      </c>
      <c r="B85" s="13" t="s">
        <v>494</v>
      </c>
      <c r="C85" s="1">
        <v>45462</v>
      </c>
      <c r="D85" s="13" t="s">
        <v>494</v>
      </c>
      <c r="E85">
        <v>0.25723330965768398</v>
      </c>
      <c r="F85">
        <v>0.25723330965768398</v>
      </c>
      <c r="J85" s="10">
        <v>83</v>
      </c>
      <c r="K85" s="13">
        <v>2</v>
      </c>
      <c r="L85" s="13">
        <v>0.39934290211289902</v>
      </c>
    </row>
    <row r="86" spans="1:12" x14ac:dyDescent="0.2">
      <c r="A86">
        <v>43</v>
      </c>
      <c r="B86" s="13" t="s">
        <v>495</v>
      </c>
      <c r="C86" s="1">
        <v>45341</v>
      </c>
      <c r="D86" s="13" t="s">
        <v>495</v>
      </c>
      <c r="E86">
        <v>0.37765454952028499</v>
      </c>
      <c r="F86">
        <v>0.37765454952028499</v>
      </c>
      <c r="J86" s="10">
        <v>84</v>
      </c>
      <c r="K86" s="13">
        <v>1</v>
      </c>
      <c r="L86" s="13">
        <v>1.84792430343956E-2</v>
      </c>
    </row>
    <row r="87" spans="1:12" x14ac:dyDescent="0.2">
      <c r="A87">
        <v>43</v>
      </c>
      <c r="B87" s="13" t="s">
        <v>496</v>
      </c>
      <c r="C87" s="1">
        <v>45430</v>
      </c>
      <c r="D87" s="13" t="s">
        <v>496</v>
      </c>
      <c r="E87">
        <v>9.7246108784634203E-2</v>
      </c>
      <c r="F87">
        <v>9.7246108784634203E-2</v>
      </c>
      <c r="J87" s="10">
        <v>85</v>
      </c>
      <c r="K87" s="13">
        <v>3</v>
      </c>
      <c r="L87" s="13">
        <v>0.3200945053018982</v>
      </c>
    </row>
    <row r="88" spans="1:12" x14ac:dyDescent="0.2">
      <c r="A88">
        <v>44</v>
      </c>
      <c r="B88" s="13" t="s">
        <v>497</v>
      </c>
      <c r="C88" s="1">
        <v>45412</v>
      </c>
      <c r="D88" s="13" t="s">
        <v>497</v>
      </c>
      <c r="E88">
        <v>0.31850781056713101</v>
      </c>
      <c r="F88">
        <v>0.31850781056713101</v>
      </c>
      <c r="J88" s="10">
        <v>86</v>
      </c>
      <c r="K88" s="13">
        <v>2</v>
      </c>
      <c r="L88" s="13">
        <v>0.17666169064019752</v>
      </c>
    </row>
    <row r="89" spans="1:12" x14ac:dyDescent="0.2">
      <c r="A89">
        <v>44</v>
      </c>
      <c r="B89" s="13" t="s">
        <v>498</v>
      </c>
      <c r="C89" s="1">
        <v>45405</v>
      </c>
      <c r="D89" s="13" t="s">
        <v>498</v>
      </c>
      <c r="E89">
        <v>4.2005328626041803E-2</v>
      </c>
      <c r="F89">
        <v>4.2005328626041803E-2</v>
      </c>
      <c r="J89" s="10">
        <v>88</v>
      </c>
      <c r="K89" s="13">
        <v>1</v>
      </c>
      <c r="L89" s="13">
        <v>4.8378869804656E-2</v>
      </c>
    </row>
    <row r="90" spans="1:12" x14ac:dyDescent="0.2">
      <c r="A90">
        <v>44</v>
      </c>
      <c r="B90" s="13" t="s">
        <v>676</v>
      </c>
      <c r="C90" s="1">
        <v>45486</v>
      </c>
      <c r="D90" s="13" t="s">
        <v>676</v>
      </c>
      <c r="E90">
        <v>0.118271819382656</v>
      </c>
      <c r="F90">
        <v>0.118271819382656</v>
      </c>
      <c r="J90" s="10">
        <v>89</v>
      </c>
      <c r="K90" s="13">
        <v>1</v>
      </c>
      <c r="L90" s="13">
        <v>8.73682137872651E-2</v>
      </c>
    </row>
    <row r="91" spans="1:12" x14ac:dyDescent="0.2">
      <c r="A91">
        <v>45</v>
      </c>
      <c r="B91" s="13" t="s">
        <v>499</v>
      </c>
      <c r="C91" s="1">
        <v>45414</v>
      </c>
      <c r="D91" s="13" t="s">
        <v>499</v>
      </c>
      <c r="E91">
        <v>0.26306270217896199</v>
      </c>
      <c r="F91">
        <v>0.26306270217896199</v>
      </c>
      <c r="J91" s="10">
        <v>90</v>
      </c>
      <c r="K91" s="13">
        <v>3</v>
      </c>
      <c r="L91" s="13">
        <v>0.54439071151107565</v>
      </c>
    </row>
    <row r="92" spans="1:12" x14ac:dyDescent="0.2">
      <c r="A92">
        <v>45</v>
      </c>
      <c r="B92" s="13" t="s">
        <v>500</v>
      </c>
      <c r="C92" s="1">
        <v>45553</v>
      </c>
      <c r="D92" s="13" t="s">
        <v>500</v>
      </c>
      <c r="E92">
        <v>0.107422759787035</v>
      </c>
      <c r="F92">
        <v>0.107422759787035</v>
      </c>
      <c r="J92" s="10">
        <v>91</v>
      </c>
      <c r="K92" s="13">
        <v>3</v>
      </c>
      <c r="L92" s="13">
        <v>0.63571687657198295</v>
      </c>
    </row>
    <row r="93" spans="1:12" x14ac:dyDescent="0.2">
      <c r="A93">
        <v>45</v>
      </c>
      <c r="B93" s="13" t="s">
        <v>501</v>
      </c>
      <c r="C93" s="1">
        <v>45378</v>
      </c>
      <c r="D93" s="13" t="s">
        <v>501</v>
      </c>
      <c r="E93">
        <v>7.7582143024049893E-2</v>
      </c>
      <c r="F93">
        <v>7.7582143024049893E-2</v>
      </c>
      <c r="J93" s="10">
        <v>92</v>
      </c>
      <c r="K93" s="13">
        <v>2</v>
      </c>
      <c r="L93" s="13">
        <v>0.23537509783533681</v>
      </c>
    </row>
    <row r="94" spans="1:12" x14ac:dyDescent="0.2">
      <c r="A94">
        <v>46</v>
      </c>
      <c r="B94" s="13" t="s">
        <v>502</v>
      </c>
      <c r="C94" s="1">
        <v>45525</v>
      </c>
      <c r="D94" s="13" t="s">
        <v>502</v>
      </c>
      <c r="E94">
        <v>0.232807431685087</v>
      </c>
      <c r="F94">
        <v>0.232807431685087</v>
      </c>
      <c r="J94" s="10">
        <v>93</v>
      </c>
      <c r="K94" s="13">
        <v>3</v>
      </c>
      <c r="L94" s="13">
        <v>0.44137002080488486</v>
      </c>
    </row>
    <row r="95" spans="1:12" x14ac:dyDescent="0.2">
      <c r="A95">
        <v>46</v>
      </c>
      <c r="B95" s="13" t="s">
        <v>503</v>
      </c>
      <c r="C95" s="1">
        <v>45308</v>
      </c>
      <c r="D95" s="13" t="s">
        <v>503</v>
      </c>
      <c r="E95">
        <v>2.00956302435496E-2</v>
      </c>
      <c r="F95">
        <v>2.00956302435496E-2</v>
      </c>
      <c r="J95" s="10">
        <v>94</v>
      </c>
      <c r="K95" s="13">
        <v>2</v>
      </c>
      <c r="L95" s="13">
        <v>0.65076662576713806</v>
      </c>
    </row>
    <row r="96" spans="1:12" x14ac:dyDescent="0.2">
      <c r="A96">
        <v>46</v>
      </c>
      <c r="B96" s="13" t="s">
        <v>677</v>
      </c>
      <c r="C96" s="1">
        <v>45618</v>
      </c>
      <c r="D96" s="13" t="s">
        <v>677</v>
      </c>
      <c r="E96">
        <v>9.4542444098623807E-2</v>
      </c>
      <c r="F96">
        <v>9.4542444098623807E-2</v>
      </c>
      <c r="J96" s="10">
        <v>95</v>
      </c>
      <c r="K96" s="13">
        <v>3</v>
      </c>
      <c r="L96" s="13">
        <v>0.48698313995992537</v>
      </c>
    </row>
    <row r="97" spans="1:12" x14ac:dyDescent="0.2">
      <c r="A97">
        <v>47</v>
      </c>
      <c r="B97" s="13" t="s">
        <v>678</v>
      </c>
      <c r="C97" s="1">
        <v>45509</v>
      </c>
      <c r="D97" s="13" t="s">
        <v>678</v>
      </c>
      <c r="E97">
        <v>0.17969458030667201</v>
      </c>
      <c r="F97">
        <v>0.17969458030667201</v>
      </c>
      <c r="J97" s="10">
        <v>96</v>
      </c>
      <c r="K97" s="13">
        <v>3</v>
      </c>
      <c r="L97" s="13">
        <v>0.82754719766174289</v>
      </c>
    </row>
    <row r="98" spans="1:12" x14ac:dyDescent="0.2">
      <c r="A98">
        <v>47</v>
      </c>
      <c r="B98" s="13" t="s">
        <v>679</v>
      </c>
      <c r="C98" s="1">
        <v>45446</v>
      </c>
      <c r="D98" s="13" t="s">
        <v>679</v>
      </c>
      <c r="E98">
        <v>7.8994702050429799E-2</v>
      </c>
      <c r="F98">
        <v>7.8994702050429799E-2</v>
      </c>
      <c r="J98" s="10">
        <v>97</v>
      </c>
      <c r="K98" s="13">
        <v>1</v>
      </c>
      <c r="L98" s="13">
        <v>0.26374204235940502</v>
      </c>
    </row>
    <row r="99" spans="1:12" x14ac:dyDescent="0.2">
      <c r="A99">
        <v>47</v>
      </c>
      <c r="B99" s="13" t="s">
        <v>680</v>
      </c>
      <c r="C99" s="1">
        <v>45500</v>
      </c>
      <c r="D99" s="13" t="s">
        <v>680</v>
      </c>
      <c r="E99">
        <v>0.16149201794010001</v>
      </c>
      <c r="F99">
        <v>0.16149201794010001</v>
      </c>
      <c r="J99" s="10">
        <v>98</v>
      </c>
      <c r="K99" s="13">
        <v>3</v>
      </c>
      <c r="L99" s="13">
        <v>0.74759755760207458</v>
      </c>
    </row>
    <row r="100" spans="1:12" x14ac:dyDescent="0.2">
      <c r="A100">
        <v>48</v>
      </c>
      <c r="B100" s="13" t="s">
        <v>681</v>
      </c>
      <c r="C100" s="1">
        <v>45638</v>
      </c>
      <c r="D100" s="13" t="s">
        <v>681</v>
      </c>
      <c r="E100">
        <v>0.15224997363471901</v>
      </c>
      <c r="F100">
        <v>0.15224997363471901</v>
      </c>
      <c r="J100" s="10">
        <v>99</v>
      </c>
      <c r="K100" s="13">
        <v>2</v>
      </c>
      <c r="L100" s="13">
        <v>0.22789046662944829</v>
      </c>
    </row>
    <row r="101" spans="1:12" x14ac:dyDescent="0.2">
      <c r="A101">
        <v>48</v>
      </c>
      <c r="B101" s="13" t="s">
        <v>376</v>
      </c>
      <c r="C101" s="1">
        <v>45589</v>
      </c>
      <c r="D101" s="13" t="s">
        <v>376</v>
      </c>
      <c r="E101">
        <v>0.14872113595533701</v>
      </c>
      <c r="F101">
        <v>0.14872113595533701</v>
      </c>
      <c r="J101" s="10">
        <v>100</v>
      </c>
      <c r="K101" s="13">
        <v>2</v>
      </c>
      <c r="L101" s="13">
        <v>0.1879398378780614</v>
      </c>
    </row>
    <row r="102" spans="1:12" x14ac:dyDescent="0.2">
      <c r="A102">
        <v>49</v>
      </c>
      <c r="B102" s="13" t="s">
        <v>377</v>
      </c>
      <c r="C102" s="1">
        <v>45538</v>
      </c>
      <c r="D102" s="13" t="s">
        <v>377</v>
      </c>
      <c r="E102">
        <v>0.150121320569233</v>
      </c>
      <c r="F102">
        <v>0.150121320569233</v>
      </c>
      <c r="J102" s="10">
        <v>101</v>
      </c>
      <c r="K102" s="13">
        <v>2</v>
      </c>
      <c r="L102" s="13">
        <v>0.84376214021792295</v>
      </c>
    </row>
    <row r="103" spans="1:12" x14ac:dyDescent="0.2">
      <c r="A103">
        <v>49</v>
      </c>
      <c r="B103" s="13" t="s">
        <v>682</v>
      </c>
      <c r="C103" s="1">
        <v>45309</v>
      </c>
      <c r="D103" s="13" t="s">
        <v>682</v>
      </c>
      <c r="E103">
        <v>0.15355455457603301</v>
      </c>
      <c r="F103">
        <v>0.15355455457603301</v>
      </c>
      <c r="J103" s="10">
        <v>102</v>
      </c>
      <c r="K103" s="13">
        <v>3</v>
      </c>
      <c r="L103" s="13">
        <v>0.48874102981345524</v>
      </c>
    </row>
    <row r="104" spans="1:12" x14ac:dyDescent="0.2">
      <c r="A104">
        <v>49</v>
      </c>
      <c r="B104" s="13" t="s">
        <v>504</v>
      </c>
      <c r="C104" s="1">
        <v>45655</v>
      </c>
      <c r="D104" s="13" t="s">
        <v>504</v>
      </c>
      <c r="E104">
        <v>0.122126085136939</v>
      </c>
      <c r="F104">
        <v>0.122126085136939</v>
      </c>
      <c r="J104" s="10">
        <v>103</v>
      </c>
      <c r="K104" s="13">
        <v>2</v>
      </c>
      <c r="L104" s="13">
        <v>0.22401226850117731</v>
      </c>
    </row>
    <row r="105" spans="1:12" x14ac:dyDescent="0.2">
      <c r="A105">
        <v>50</v>
      </c>
      <c r="B105" s="13" t="s">
        <v>378</v>
      </c>
      <c r="C105" s="1">
        <v>45320</v>
      </c>
      <c r="D105" s="13" t="s">
        <v>378</v>
      </c>
      <c r="E105">
        <v>0.107370364016353</v>
      </c>
      <c r="F105">
        <v>0.107370364016353</v>
      </c>
      <c r="J105" s="10">
        <v>105</v>
      </c>
      <c r="K105" s="13">
        <v>2</v>
      </c>
      <c r="L105" s="13">
        <v>0.27952257039449713</v>
      </c>
    </row>
    <row r="106" spans="1:12" x14ac:dyDescent="0.2">
      <c r="A106">
        <v>51</v>
      </c>
      <c r="B106" s="13" t="s">
        <v>379</v>
      </c>
      <c r="C106" s="1">
        <v>45609</v>
      </c>
      <c r="D106" s="13" t="s">
        <v>379</v>
      </c>
      <c r="E106">
        <v>0.20448187366854201</v>
      </c>
      <c r="F106">
        <v>0.20448187366854201</v>
      </c>
      <c r="J106" s="10">
        <v>106</v>
      </c>
      <c r="K106" s="13">
        <v>1</v>
      </c>
      <c r="L106" s="13">
        <v>5.3047133682949298E-2</v>
      </c>
    </row>
    <row r="107" spans="1:12" x14ac:dyDescent="0.2">
      <c r="A107">
        <v>51</v>
      </c>
      <c r="B107" s="13" t="s">
        <v>380</v>
      </c>
      <c r="C107" s="1">
        <v>45355</v>
      </c>
      <c r="D107" s="13" t="s">
        <v>380</v>
      </c>
      <c r="E107">
        <v>0.30881400930462799</v>
      </c>
      <c r="F107">
        <v>0.30881400930462799</v>
      </c>
      <c r="J107" s="10">
        <v>108</v>
      </c>
      <c r="K107" s="13">
        <v>2</v>
      </c>
      <c r="L107" s="13">
        <v>0.19209940962391497</v>
      </c>
    </row>
    <row r="108" spans="1:12" x14ac:dyDescent="0.2">
      <c r="A108">
        <v>51</v>
      </c>
      <c r="B108" s="13" t="s">
        <v>683</v>
      </c>
      <c r="C108" s="1">
        <v>45368</v>
      </c>
      <c r="D108" s="13" t="s">
        <v>683</v>
      </c>
      <c r="E108">
        <v>0.15229058551338101</v>
      </c>
      <c r="F108">
        <v>0.15229058551338101</v>
      </c>
      <c r="J108" s="10">
        <v>109</v>
      </c>
      <c r="K108" s="13">
        <v>2</v>
      </c>
      <c r="L108" s="13">
        <v>0.65205601700546101</v>
      </c>
    </row>
    <row r="109" spans="1:12" x14ac:dyDescent="0.2">
      <c r="A109">
        <v>51</v>
      </c>
      <c r="B109" s="13" t="s">
        <v>381</v>
      </c>
      <c r="C109" s="1">
        <v>45398</v>
      </c>
      <c r="D109" s="13" t="s">
        <v>381</v>
      </c>
      <c r="E109">
        <v>0.185869430362399</v>
      </c>
      <c r="F109">
        <v>0.185869430362399</v>
      </c>
      <c r="J109" s="10">
        <v>110</v>
      </c>
      <c r="K109" s="13">
        <v>3</v>
      </c>
      <c r="L109" s="13">
        <v>0.3498234052422417</v>
      </c>
    </row>
    <row r="110" spans="1:12" x14ac:dyDescent="0.2">
      <c r="A110">
        <v>52</v>
      </c>
      <c r="B110" s="13" t="s">
        <v>684</v>
      </c>
      <c r="C110" s="1">
        <v>45646</v>
      </c>
      <c r="D110" s="13" t="s">
        <v>684</v>
      </c>
      <c r="E110">
        <v>0.101894177581257</v>
      </c>
      <c r="F110">
        <v>0.101894177581257</v>
      </c>
      <c r="J110" s="10">
        <v>112</v>
      </c>
      <c r="K110" s="13">
        <v>3</v>
      </c>
      <c r="L110" s="13">
        <v>0.56044672572909371</v>
      </c>
    </row>
    <row r="111" spans="1:12" x14ac:dyDescent="0.2">
      <c r="A111">
        <v>52</v>
      </c>
      <c r="B111" s="13" t="s">
        <v>685</v>
      </c>
      <c r="C111" s="1">
        <v>45630</v>
      </c>
      <c r="D111" s="13" t="s">
        <v>685</v>
      </c>
      <c r="E111">
        <v>0.15098675255563501</v>
      </c>
      <c r="F111">
        <v>0.15098675255563501</v>
      </c>
      <c r="J111" s="10">
        <v>113</v>
      </c>
      <c r="K111" s="13">
        <v>4</v>
      </c>
      <c r="L111" s="13">
        <v>0.57467949198868096</v>
      </c>
    </row>
    <row r="112" spans="1:12" x14ac:dyDescent="0.2">
      <c r="A112">
        <v>53</v>
      </c>
      <c r="B112" s="13" t="s">
        <v>382</v>
      </c>
      <c r="C112" s="1">
        <v>45549</v>
      </c>
      <c r="D112" s="13" t="s">
        <v>382</v>
      </c>
      <c r="E112">
        <v>0.29696290717306001</v>
      </c>
      <c r="F112">
        <v>0.29696290717306001</v>
      </c>
      <c r="J112" s="10">
        <v>115</v>
      </c>
      <c r="K112" s="13">
        <v>2</v>
      </c>
      <c r="L112" s="13">
        <v>0.60243490498626984</v>
      </c>
    </row>
    <row r="113" spans="1:12" x14ac:dyDescent="0.2">
      <c r="A113">
        <v>54</v>
      </c>
      <c r="B113" s="13" t="s">
        <v>383</v>
      </c>
      <c r="C113" s="1">
        <v>45434</v>
      </c>
      <c r="D113" s="13" t="s">
        <v>383</v>
      </c>
      <c r="E113">
        <v>7.70234706117017E-2</v>
      </c>
      <c r="F113">
        <v>7.70234706117017E-2</v>
      </c>
      <c r="J113" s="10">
        <v>116</v>
      </c>
      <c r="K113" s="13">
        <v>3</v>
      </c>
      <c r="L113" s="13">
        <v>0.76965151821242417</v>
      </c>
    </row>
    <row r="114" spans="1:12" x14ac:dyDescent="0.2">
      <c r="A114">
        <v>54</v>
      </c>
      <c r="B114" s="13" t="s">
        <v>505</v>
      </c>
      <c r="C114" s="1">
        <v>45525</v>
      </c>
      <c r="D114" s="13" t="s">
        <v>505</v>
      </c>
      <c r="E114">
        <v>9.8213941854022005E-2</v>
      </c>
      <c r="F114">
        <v>9.8213941854022005E-2</v>
      </c>
      <c r="J114" s="10">
        <v>117</v>
      </c>
      <c r="K114" s="13">
        <v>2</v>
      </c>
      <c r="L114" s="13">
        <v>0.34556811781031682</v>
      </c>
    </row>
    <row r="115" spans="1:12" x14ac:dyDescent="0.2">
      <c r="A115">
        <v>54</v>
      </c>
      <c r="B115" s="13" t="s">
        <v>686</v>
      </c>
      <c r="C115" s="1">
        <v>45394</v>
      </c>
      <c r="D115" s="13" t="s">
        <v>686</v>
      </c>
      <c r="E115">
        <v>8.9171110852860502E-2</v>
      </c>
      <c r="F115">
        <v>8.9171110852860502E-2</v>
      </c>
      <c r="J115" s="10">
        <v>119</v>
      </c>
      <c r="K115" s="13">
        <v>2</v>
      </c>
      <c r="L115" s="13">
        <v>0.56576884936679295</v>
      </c>
    </row>
    <row r="116" spans="1:12" x14ac:dyDescent="0.2">
      <c r="A116">
        <v>55</v>
      </c>
      <c r="B116" s="13" t="s">
        <v>687</v>
      </c>
      <c r="C116" s="1">
        <v>45572</v>
      </c>
      <c r="D116" s="13" t="s">
        <v>687</v>
      </c>
      <c r="E116">
        <v>0.45550765080717698</v>
      </c>
      <c r="F116">
        <v>0.45550765080717698</v>
      </c>
      <c r="J116" s="10">
        <v>120</v>
      </c>
      <c r="K116" s="13">
        <v>2</v>
      </c>
      <c r="L116" s="13">
        <v>0.19044343041476902</v>
      </c>
    </row>
    <row r="117" spans="1:12" x14ac:dyDescent="0.2">
      <c r="A117">
        <v>55</v>
      </c>
      <c r="B117" s="13" t="s">
        <v>506</v>
      </c>
      <c r="C117" s="1">
        <v>45421</v>
      </c>
      <c r="D117" s="13" t="s">
        <v>506</v>
      </c>
      <c r="E117">
        <v>0.36085755206924103</v>
      </c>
      <c r="F117">
        <v>0.36085755206924103</v>
      </c>
      <c r="J117" s="10">
        <v>121</v>
      </c>
      <c r="K117" s="13">
        <v>2</v>
      </c>
      <c r="L117" s="13">
        <v>0.53023813746113502</v>
      </c>
    </row>
    <row r="118" spans="1:12" x14ac:dyDescent="0.2">
      <c r="A118">
        <v>56</v>
      </c>
      <c r="B118" s="13" t="s">
        <v>384</v>
      </c>
      <c r="C118" s="1">
        <v>45639</v>
      </c>
      <c r="D118" s="13" t="s">
        <v>384</v>
      </c>
      <c r="E118">
        <v>0.26106965023080803</v>
      </c>
      <c r="F118">
        <v>0.26106965023080803</v>
      </c>
      <c r="J118" s="10">
        <v>122</v>
      </c>
      <c r="K118" s="13">
        <v>3</v>
      </c>
      <c r="L118" s="13">
        <v>0.20271260530174759</v>
      </c>
    </row>
    <row r="119" spans="1:12" x14ac:dyDescent="0.2">
      <c r="A119">
        <v>56</v>
      </c>
      <c r="B119" s="13" t="s">
        <v>385</v>
      </c>
      <c r="C119" s="1">
        <v>45358</v>
      </c>
      <c r="D119" s="13" t="s">
        <v>385</v>
      </c>
      <c r="E119">
        <v>0.107353305945828</v>
      </c>
      <c r="F119">
        <v>0.107353305945828</v>
      </c>
      <c r="J119" s="10">
        <v>123</v>
      </c>
      <c r="K119" s="13">
        <v>3</v>
      </c>
      <c r="L119" s="13">
        <v>0.95182801810891804</v>
      </c>
    </row>
    <row r="120" spans="1:12" x14ac:dyDescent="0.2">
      <c r="A120">
        <v>56</v>
      </c>
      <c r="B120" s="13" t="s">
        <v>688</v>
      </c>
      <c r="C120" s="1">
        <v>45657</v>
      </c>
      <c r="D120" s="13" t="s">
        <v>688</v>
      </c>
      <c r="E120">
        <v>0.11528447458509</v>
      </c>
      <c r="F120">
        <v>0.11528447458509</v>
      </c>
      <c r="J120" s="10">
        <v>124</v>
      </c>
      <c r="K120" s="13">
        <v>3</v>
      </c>
      <c r="L120" s="13">
        <v>0.57817724216077004</v>
      </c>
    </row>
    <row r="121" spans="1:12" x14ac:dyDescent="0.2">
      <c r="A121">
        <v>57</v>
      </c>
      <c r="B121" s="13" t="s">
        <v>386</v>
      </c>
      <c r="C121" s="1">
        <v>45635</v>
      </c>
      <c r="D121" s="13" t="s">
        <v>386</v>
      </c>
      <c r="E121">
        <v>1.7518795833281E-2</v>
      </c>
      <c r="F121">
        <v>1.7518795833281E-2</v>
      </c>
      <c r="J121" s="10">
        <v>125</v>
      </c>
      <c r="K121" s="13">
        <v>3</v>
      </c>
      <c r="L121" s="13">
        <v>0.73800860843080907</v>
      </c>
    </row>
    <row r="122" spans="1:12" x14ac:dyDescent="0.2">
      <c r="A122">
        <v>57</v>
      </c>
      <c r="B122" s="13" t="s">
        <v>387</v>
      </c>
      <c r="C122" s="1">
        <v>45459</v>
      </c>
      <c r="D122" s="13" t="s">
        <v>387</v>
      </c>
      <c r="E122">
        <v>3.6270098544225603E-2</v>
      </c>
      <c r="F122">
        <v>3.6270098544225603E-2</v>
      </c>
      <c r="J122" s="10">
        <v>127</v>
      </c>
      <c r="K122" s="13">
        <v>3</v>
      </c>
      <c r="L122" s="13">
        <v>0.39929283388629844</v>
      </c>
    </row>
    <row r="123" spans="1:12" x14ac:dyDescent="0.2">
      <c r="A123">
        <v>57</v>
      </c>
      <c r="B123" s="13" t="s">
        <v>507</v>
      </c>
      <c r="C123" s="1">
        <v>45452</v>
      </c>
      <c r="D123" s="13" t="s">
        <v>507</v>
      </c>
      <c r="E123">
        <v>0.25713890227483199</v>
      </c>
      <c r="F123">
        <v>0.25713890227483199</v>
      </c>
      <c r="J123" s="10">
        <v>128</v>
      </c>
      <c r="K123" s="13">
        <v>3</v>
      </c>
      <c r="L123" s="13">
        <v>0.38269402209959041</v>
      </c>
    </row>
    <row r="124" spans="1:12" x14ac:dyDescent="0.2">
      <c r="A124">
        <v>58</v>
      </c>
      <c r="B124" s="13" t="s">
        <v>689</v>
      </c>
      <c r="C124" s="1">
        <v>45412</v>
      </c>
      <c r="D124" s="13" t="s">
        <v>689</v>
      </c>
      <c r="E124">
        <v>0.10483637120534101</v>
      </c>
      <c r="F124">
        <v>0.10483637120534101</v>
      </c>
      <c r="J124" s="10">
        <v>129</v>
      </c>
      <c r="K124" s="13">
        <v>3</v>
      </c>
      <c r="L124" s="13">
        <v>0.2512355830547725</v>
      </c>
    </row>
    <row r="125" spans="1:12" x14ac:dyDescent="0.2">
      <c r="A125">
        <v>59</v>
      </c>
      <c r="B125" s="13" t="s">
        <v>690</v>
      </c>
      <c r="C125" s="1">
        <v>45444</v>
      </c>
      <c r="D125" s="13" t="s">
        <v>690</v>
      </c>
      <c r="E125">
        <v>0.26439186657909802</v>
      </c>
      <c r="F125">
        <v>0.26439186657909802</v>
      </c>
      <c r="J125" s="10">
        <v>130</v>
      </c>
      <c r="K125" s="13">
        <v>2</v>
      </c>
      <c r="L125" s="13">
        <v>0.36208704023589</v>
      </c>
    </row>
    <row r="126" spans="1:12" x14ac:dyDescent="0.2">
      <c r="A126">
        <v>60</v>
      </c>
      <c r="B126" s="13" t="s">
        <v>388</v>
      </c>
      <c r="C126" s="1">
        <v>45643</v>
      </c>
      <c r="D126" s="13" t="s">
        <v>388</v>
      </c>
      <c r="E126">
        <v>0.388019936906847</v>
      </c>
      <c r="F126">
        <v>0.388019936906847</v>
      </c>
      <c r="J126" s="10">
        <v>131</v>
      </c>
      <c r="K126" s="13">
        <v>2</v>
      </c>
      <c r="L126" s="13">
        <v>0.69640072764514005</v>
      </c>
    </row>
    <row r="127" spans="1:12" x14ac:dyDescent="0.2">
      <c r="A127">
        <v>60</v>
      </c>
      <c r="B127" s="13" t="s">
        <v>691</v>
      </c>
      <c r="C127" s="1">
        <v>45612</v>
      </c>
      <c r="D127" s="13" t="s">
        <v>691</v>
      </c>
      <c r="E127">
        <v>0.111070257604355</v>
      </c>
      <c r="F127">
        <v>0.111070257604355</v>
      </c>
      <c r="J127" s="10">
        <v>132</v>
      </c>
      <c r="K127" s="13">
        <v>1</v>
      </c>
      <c r="L127" s="13">
        <v>0.14783157129394101</v>
      </c>
    </row>
    <row r="128" spans="1:12" x14ac:dyDescent="0.2">
      <c r="A128">
        <v>60</v>
      </c>
      <c r="B128" s="13" t="s">
        <v>692</v>
      </c>
      <c r="C128" s="1">
        <v>45641</v>
      </c>
      <c r="D128" s="13" t="s">
        <v>692</v>
      </c>
      <c r="E128">
        <v>9.13375732007006E-2</v>
      </c>
      <c r="F128">
        <v>9.13375732007006E-2</v>
      </c>
      <c r="J128" s="10">
        <v>133</v>
      </c>
      <c r="K128" s="13">
        <v>2</v>
      </c>
      <c r="L128" s="13">
        <v>0.367514189502119</v>
      </c>
    </row>
    <row r="129" spans="1:12" x14ac:dyDescent="0.2">
      <c r="A129">
        <v>61</v>
      </c>
      <c r="B129" s="13" t="s">
        <v>508</v>
      </c>
      <c r="C129" s="1">
        <v>45347</v>
      </c>
      <c r="D129" s="13" t="s">
        <v>508</v>
      </c>
      <c r="E129">
        <v>0.10242245814553801</v>
      </c>
      <c r="F129">
        <v>0.10242245814553801</v>
      </c>
      <c r="J129" s="10">
        <v>134</v>
      </c>
      <c r="K129" s="13">
        <v>2</v>
      </c>
      <c r="L129" s="13">
        <v>0.4596725383535748</v>
      </c>
    </row>
    <row r="130" spans="1:12" x14ac:dyDescent="0.2">
      <c r="A130">
        <v>61</v>
      </c>
      <c r="B130" s="13" t="s">
        <v>693</v>
      </c>
      <c r="C130" s="1">
        <v>45569</v>
      </c>
      <c r="D130" s="13" t="s">
        <v>693</v>
      </c>
      <c r="E130">
        <v>0.139285129322818</v>
      </c>
      <c r="F130">
        <v>0.139285129322818</v>
      </c>
      <c r="J130" s="10">
        <v>135</v>
      </c>
      <c r="K130" s="13">
        <v>2</v>
      </c>
      <c r="L130" s="13">
        <v>0.59392431631557008</v>
      </c>
    </row>
    <row r="131" spans="1:12" x14ac:dyDescent="0.2">
      <c r="A131">
        <v>62</v>
      </c>
      <c r="B131" s="13" t="s">
        <v>694</v>
      </c>
      <c r="C131" s="1">
        <v>45365</v>
      </c>
      <c r="D131" s="13" t="s">
        <v>694</v>
      </c>
      <c r="E131">
        <v>0.12520639406075401</v>
      </c>
      <c r="F131">
        <v>0.12520639406075401</v>
      </c>
      <c r="J131" s="10">
        <v>136</v>
      </c>
      <c r="K131" s="13">
        <v>2</v>
      </c>
      <c r="L131" s="13">
        <v>0.56003986474471501</v>
      </c>
    </row>
    <row r="132" spans="1:12" x14ac:dyDescent="0.2">
      <c r="A132">
        <v>62</v>
      </c>
      <c r="B132" s="13" t="s">
        <v>509</v>
      </c>
      <c r="C132" s="1">
        <v>45377</v>
      </c>
      <c r="D132" s="13" t="s">
        <v>509</v>
      </c>
      <c r="E132">
        <v>0.17253272277899601</v>
      </c>
      <c r="F132">
        <v>0.17253272277899601</v>
      </c>
      <c r="J132" s="10">
        <v>137</v>
      </c>
      <c r="K132" s="13">
        <v>1</v>
      </c>
      <c r="L132" s="13">
        <v>0.11283438595663101</v>
      </c>
    </row>
    <row r="133" spans="1:12" x14ac:dyDescent="0.2">
      <c r="A133">
        <v>62</v>
      </c>
      <c r="B133" s="13" t="s">
        <v>695</v>
      </c>
      <c r="C133" s="1">
        <v>45308</v>
      </c>
      <c r="D133" s="13" t="s">
        <v>695</v>
      </c>
      <c r="E133">
        <v>0.18213824947999899</v>
      </c>
      <c r="F133">
        <v>0.18213824947999899</v>
      </c>
      <c r="J133" s="10">
        <v>138</v>
      </c>
      <c r="K133" s="13">
        <v>1</v>
      </c>
      <c r="L133" s="13">
        <v>7.9821505492401107E-2</v>
      </c>
    </row>
    <row r="134" spans="1:12" x14ac:dyDescent="0.2">
      <c r="A134">
        <v>63</v>
      </c>
      <c r="B134" s="13" t="s">
        <v>696</v>
      </c>
      <c r="C134" s="1">
        <v>45476</v>
      </c>
      <c r="D134" s="13" t="s">
        <v>696</v>
      </c>
      <c r="E134">
        <v>0.17746214178611</v>
      </c>
      <c r="F134">
        <v>0.17746214178611</v>
      </c>
      <c r="J134" s="10">
        <v>140</v>
      </c>
      <c r="K134" s="13">
        <v>2</v>
      </c>
      <c r="L134" s="13">
        <v>0.10981008322924721</v>
      </c>
    </row>
    <row r="135" spans="1:12" x14ac:dyDescent="0.2">
      <c r="A135">
        <v>63</v>
      </c>
      <c r="B135" s="13" t="s">
        <v>697</v>
      </c>
      <c r="C135" s="1">
        <v>45435</v>
      </c>
      <c r="D135" s="13" t="s">
        <v>697</v>
      </c>
      <c r="E135">
        <v>6.1491797528858902E-2</v>
      </c>
      <c r="F135">
        <v>6.1491797528858902E-2</v>
      </c>
      <c r="J135" s="10">
        <v>141</v>
      </c>
      <c r="K135" s="13">
        <v>3</v>
      </c>
      <c r="L135" s="13">
        <v>0.44490217116078401</v>
      </c>
    </row>
    <row r="136" spans="1:12" x14ac:dyDescent="0.2">
      <c r="A136">
        <v>64</v>
      </c>
      <c r="B136" s="13" t="s">
        <v>510</v>
      </c>
      <c r="C136" s="1">
        <v>45327</v>
      </c>
      <c r="D136" s="13" t="s">
        <v>510</v>
      </c>
      <c r="E136">
        <v>0.106394471362976</v>
      </c>
      <c r="F136">
        <v>0.106394471362976</v>
      </c>
      <c r="J136" s="10">
        <v>142</v>
      </c>
      <c r="K136" s="13">
        <v>2</v>
      </c>
      <c r="L136" s="13">
        <v>0.559039806318685</v>
      </c>
    </row>
    <row r="137" spans="1:12" x14ac:dyDescent="0.2">
      <c r="A137">
        <v>64</v>
      </c>
      <c r="B137" s="13" t="s">
        <v>511</v>
      </c>
      <c r="C137" s="1">
        <v>45466</v>
      </c>
      <c r="D137" s="13" t="s">
        <v>511</v>
      </c>
      <c r="E137">
        <v>0.16421729579928901</v>
      </c>
      <c r="F137">
        <v>0.16421729579928901</v>
      </c>
      <c r="J137" s="10">
        <v>143</v>
      </c>
      <c r="K137" s="13">
        <v>4</v>
      </c>
      <c r="L137" s="13">
        <v>0.58120660000768987</v>
      </c>
    </row>
    <row r="138" spans="1:12" x14ac:dyDescent="0.2">
      <c r="A138">
        <v>64</v>
      </c>
      <c r="B138" s="13" t="s">
        <v>698</v>
      </c>
      <c r="C138" s="1">
        <v>45319</v>
      </c>
      <c r="D138" s="13" t="s">
        <v>698</v>
      </c>
      <c r="E138">
        <v>0.152220466697635</v>
      </c>
      <c r="F138">
        <v>0.152220466697635</v>
      </c>
      <c r="J138" s="10">
        <v>144</v>
      </c>
      <c r="K138" s="13">
        <v>3</v>
      </c>
      <c r="L138" s="13">
        <v>0.52664086146338618</v>
      </c>
    </row>
    <row r="139" spans="1:12" x14ac:dyDescent="0.2">
      <c r="A139">
        <v>65</v>
      </c>
      <c r="B139" s="13" t="s">
        <v>699</v>
      </c>
      <c r="C139" s="1">
        <v>45591</v>
      </c>
      <c r="D139" s="13" t="s">
        <v>699</v>
      </c>
      <c r="E139">
        <v>0.42206667201291398</v>
      </c>
      <c r="F139">
        <v>0.42206667201291398</v>
      </c>
      <c r="J139" s="10">
        <v>145</v>
      </c>
      <c r="K139" s="13">
        <v>1</v>
      </c>
      <c r="L139" s="13">
        <v>2.2949639563861701E-2</v>
      </c>
    </row>
    <row r="140" spans="1:12" x14ac:dyDescent="0.2">
      <c r="A140">
        <v>66</v>
      </c>
      <c r="B140" s="13" t="s">
        <v>512</v>
      </c>
      <c r="C140" s="1">
        <v>45384</v>
      </c>
      <c r="D140" s="13" t="s">
        <v>512</v>
      </c>
      <c r="E140">
        <v>0.13333580975269599</v>
      </c>
      <c r="F140">
        <v>0.13333580975269599</v>
      </c>
      <c r="J140" s="10">
        <v>146</v>
      </c>
      <c r="K140" s="13">
        <v>3</v>
      </c>
      <c r="L140" s="13">
        <v>0.77659794741707788</v>
      </c>
    </row>
    <row r="141" spans="1:12" x14ac:dyDescent="0.2">
      <c r="A141">
        <v>66</v>
      </c>
      <c r="B141" s="13" t="s">
        <v>513</v>
      </c>
      <c r="C141" s="1">
        <v>45560</v>
      </c>
      <c r="D141" s="13" t="s">
        <v>513</v>
      </c>
      <c r="E141">
        <v>0.50845740535853301</v>
      </c>
      <c r="F141">
        <v>0.50845740535853301</v>
      </c>
      <c r="J141" s="10">
        <v>147</v>
      </c>
      <c r="K141" s="13">
        <v>3</v>
      </c>
      <c r="L141" s="13">
        <v>0.32011438796146507</v>
      </c>
    </row>
    <row r="142" spans="1:12" x14ac:dyDescent="0.2">
      <c r="A142">
        <v>67</v>
      </c>
      <c r="B142" s="13" t="s">
        <v>514</v>
      </c>
      <c r="C142" s="1">
        <v>45296</v>
      </c>
      <c r="D142" s="13" t="s">
        <v>514</v>
      </c>
      <c r="E142">
        <v>0.14841507451730299</v>
      </c>
      <c r="F142">
        <v>0.14841507451730299</v>
      </c>
      <c r="J142" s="10">
        <v>148</v>
      </c>
      <c r="K142" s="13">
        <v>4</v>
      </c>
      <c r="L142" s="13">
        <v>0.542727387844258</v>
      </c>
    </row>
    <row r="143" spans="1:12" x14ac:dyDescent="0.2">
      <c r="A143">
        <v>68</v>
      </c>
      <c r="B143" s="13" t="s">
        <v>389</v>
      </c>
      <c r="C143" s="1">
        <v>45639</v>
      </c>
      <c r="D143" s="13" t="s">
        <v>389</v>
      </c>
      <c r="E143">
        <v>2.4462078359288601E-2</v>
      </c>
      <c r="F143">
        <v>2.4462078359288601E-2</v>
      </c>
      <c r="J143" s="10">
        <v>149</v>
      </c>
      <c r="K143" s="13">
        <v>3</v>
      </c>
      <c r="L143" s="13">
        <v>0.49355600995540028</v>
      </c>
    </row>
    <row r="144" spans="1:12" x14ac:dyDescent="0.2">
      <c r="A144">
        <v>69</v>
      </c>
      <c r="B144" s="13" t="s">
        <v>390</v>
      </c>
      <c r="C144" s="1">
        <v>45443</v>
      </c>
      <c r="D144" s="13" t="s">
        <v>390</v>
      </c>
      <c r="E144">
        <v>5.82129938308482E-2</v>
      </c>
      <c r="F144">
        <v>5.82129938308482E-2</v>
      </c>
      <c r="J144" s="10">
        <v>150</v>
      </c>
      <c r="K144" s="13">
        <v>2</v>
      </c>
      <c r="L144" s="13">
        <v>0.21552202779096061</v>
      </c>
    </row>
    <row r="145" spans="1:12" x14ac:dyDescent="0.2">
      <c r="A145">
        <v>70</v>
      </c>
      <c r="B145" s="13" t="s">
        <v>391</v>
      </c>
      <c r="C145" s="1">
        <v>45316</v>
      </c>
      <c r="D145" s="13" t="s">
        <v>391</v>
      </c>
      <c r="E145">
        <v>0.303595296925044</v>
      </c>
      <c r="F145">
        <v>0.303595296925044</v>
      </c>
      <c r="J145" s="10">
        <v>151</v>
      </c>
      <c r="K145" s="13">
        <v>1</v>
      </c>
      <c r="L145" s="13">
        <v>0.281600924730603</v>
      </c>
    </row>
    <row r="146" spans="1:12" x14ac:dyDescent="0.2">
      <c r="A146">
        <v>70</v>
      </c>
      <c r="B146" s="13" t="s">
        <v>515</v>
      </c>
      <c r="C146" s="1">
        <v>45385</v>
      </c>
      <c r="D146" s="13" t="s">
        <v>515</v>
      </c>
      <c r="E146">
        <v>0.160235418331441</v>
      </c>
      <c r="F146">
        <v>0.160235418331441</v>
      </c>
      <c r="J146" s="10">
        <v>152</v>
      </c>
      <c r="K146" s="13">
        <v>2</v>
      </c>
      <c r="L146" s="13">
        <v>0.53293197006190096</v>
      </c>
    </row>
    <row r="147" spans="1:12" x14ac:dyDescent="0.2">
      <c r="A147">
        <v>71</v>
      </c>
      <c r="B147" s="13" t="s">
        <v>700</v>
      </c>
      <c r="C147" s="1">
        <v>45584</v>
      </c>
      <c r="D147" s="13" t="s">
        <v>700</v>
      </c>
      <c r="E147">
        <v>0.174117266183312</v>
      </c>
      <c r="F147">
        <v>0.174117266183312</v>
      </c>
      <c r="J147" s="10">
        <v>153</v>
      </c>
      <c r="K147" s="13">
        <v>2</v>
      </c>
      <c r="L147" s="13">
        <v>0.1782325123516646</v>
      </c>
    </row>
    <row r="148" spans="1:12" x14ac:dyDescent="0.2">
      <c r="A148">
        <v>72</v>
      </c>
      <c r="B148" s="13" t="s">
        <v>701</v>
      </c>
      <c r="C148" s="1">
        <v>45482</v>
      </c>
      <c r="D148" s="13" t="s">
        <v>701</v>
      </c>
      <c r="E148">
        <v>7.9009825174560497E-2</v>
      </c>
      <c r="F148">
        <v>7.9009825174560497E-2</v>
      </c>
      <c r="J148" s="10">
        <v>154</v>
      </c>
      <c r="K148" s="13">
        <v>3</v>
      </c>
      <c r="L148" s="13">
        <v>0.76806512882181788</v>
      </c>
    </row>
    <row r="149" spans="1:12" x14ac:dyDescent="0.2">
      <c r="A149">
        <v>72</v>
      </c>
      <c r="B149" s="13" t="s">
        <v>392</v>
      </c>
      <c r="C149" s="1">
        <v>45634</v>
      </c>
      <c r="D149" s="13" t="s">
        <v>392</v>
      </c>
      <c r="E149">
        <v>5.6323034591040599E-2</v>
      </c>
      <c r="F149">
        <v>5.6323034591040599E-2</v>
      </c>
      <c r="J149" s="10">
        <v>155</v>
      </c>
      <c r="K149" s="13">
        <v>3</v>
      </c>
      <c r="L149" s="13">
        <v>1.2941157912651828</v>
      </c>
    </row>
    <row r="150" spans="1:12" x14ac:dyDescent="0.2">
      <c r="A150">
        <v>73</v>
      </c>
      <c r="B150" s="13" t="s">
        <v>516</v>
      </c>
      <c r="C150" s="1">
        <v>45506</v>
      </c>
      <c r="D150" s="13" t="s">
        <v>516</v>
      </c>
      <c r="E150">
        <v>0.33651137340571502</v>
      </c>
      <c r="F150">
        <v>0.33651137340571502</v>
      </c>
      <c r="J150" s="10">
        <v>156</v>
      </c>
      <c r="K150" s="13">
        <v>2</v>
      </c>
      <c r="L150" s="13">
        <v>0.223733632332419</v>
      </c>
    </row>
    <row r="151" spans="1:12" x14ac:dyDescent="0.2">
      <c r="A151">
        <v>73</v>
      </c>
      <c r="B151" s="13" t="s">
        <v>517</v>
      </c>
      <c r="C151" s="1">
        <v>45394</v>
      </c>
      <c r="D151" s="13" t="s">
        <v>517</v>
      </c>
      <c r="E151">
        <v>0.15555126037080799</v>
      </c>
      <c r="F151">
        <v>0.15555126037080799</v>
      </c>
      <c r="J151" s="10">
        <v>157</v>
      </c>
      <c r="K151" s="13">
        <v>2</v>
      </c>
      <c r="L151" s="13">
        <v>0.346186099476465</v>
      </c>
    </row>
    <row r="152" spans="1:12" x14ac:dyDescent="0.2">
      <c r="A152">
        <v>74</v>
      </c>
      <c r="B152" s="13" t="s">
        <v>518</v>
      </c>
      <c r="C152" s="1">
        <v>45477</v>
      </c>
      <c r="D152" s="13" t="s">
        <v>518</v>
      </c>
      <c r="E152">
        <v>5.9299976638207401E-2</v>
      </c>
      <c r="F152">
        <v>5.9299976638207401E-2</v>
      </c>
      <c r="J152" s="10">
        <v>158</v>
      </c>
      <c r="K152" s="13">
        <v>3</v>
      </c>
      <c r="L152" s="13">
        <v>0.6043011302019945</v>
      </c>
    </row>
    <row r="153" spans="1:12" x14ac:dyDescent="0.2">
      <c r="A153">
        <v>74</v>
      </c>
      <c r="B153" s="13" t="s">
        <v>702</v>
      </c>
      <c r="C153" s="1">
        <v>45577</v>
      </c>
      <c r="D153" s="13" t="s">
        <v>702</v>
      </c>
      <c r="E153">
        <v>0.224552436246474</v>
      </c>
      <c r="F153">
        <v>0.224552436246474</v>
      </c>
      <c r="J153" s="10">
        <v>159</v>
      </c>
      <c r="K153" s="13">
        <v>2</v>
      </c>
      <c r="L153" s="13">
        <v>0.30293253443653123</v>
      </c>
    </row>
    <row r="154" spans="1:12" x14ac:dyDescent="0.2">
      <c r="A154">
        <v>74</v>
      </c>
      <c r="B154" s="13" t="s">
        <v>519</v>
      </c>
      <c r="C154" s="1">
        <v>45508</v>
      </c>
      <c r="D154" s="13" t="s">
        <v>519</v>
      </c>
      <c r="E154">
        <v>7.81563647771574E-2</v>
      </c>
      <c r="F154">
        <v>7.81563647771574E-2</v>
      </c>
      <c r="J154" s="10">
        <v>160</v>
      </c>
      <c r="K154" s="13">
        <v>3</v>
      </c>
      <c r="L154" s="13">
        <v>0.22543298323109001</v>
      </c>
    </row>
    <row r="155" spans="1:12" x14ac:dyDescent="0.2">
      <c r="A155">
        <v>74</v>
      </c>
      <c r="B155" s="13" t="s">
        <v>393</v>
      </c>
      <c r="C155" s="1">
        <v>45617</v>
      </c>
      <c r="D155" s="13" t="s">
        <v>393</v>
      </c>
      <c r="E155">
        <v>9.5855681330872106E-2</v>
      </c>
      <c r="F155">
        <v>9.5855681330872106E-2</v>
      </c>
      <c r="J155" s="10">
        <v>161</v>
      </c>
      <c r="K155" s="13">
        <v>2</v>
      </c>
      <c r="L155" s="13">
        <v>7.9801203798246706E-2</v>
      </c>
    </row>
    <row r="156" spans="1:12" x14ac:dyDescent="0.2">
      <c r="A156">
        <v>75</v>
      </c>
      <c r="B156" s="13" t="s">
        <v>520</v>
      </c>
      <c r="C156" s="1">
        <v>45406</v>
      </c>
      <c r="D156" s="13" t="s">
        <v>520</v>
      </c>
      <c r="E156">
        <v>0.214588452736652</v>
      </c>
      <c r="F156">
        <v>0.214588452736652</v>
      </c>
      <c r="J156" s="10">
        <v>162</v>
      </c>
      <c r="K156" s="13">
        <v>3</v>
      </c>
      <c r="L156" s="13">
        <v>0.28512208932815009</v>
      </c>
    </row>
    <row r="157" spans="1:12" x14ac:dyDescent="0.2">
      <c r="A157">
        <v>75</v>
      </c>
      <c r="B157" s="13" t="s">
        <v>394</v>
      </c>
      <c r="C157" s="1">
        <v>45529</v>
      </c>
      <c r="D157" s="13" t="s">
        <v>394</v>
      </c>
      <c r="E157">
        <v>0.15641937081797599</v>
      </c>
      <c r="F157">
        <v>0.15641937081797599</v>
      </c>
      <c r="J157" s="10">
        <v>163</v>
      </c>
      <c r="K157" s="13">
        <v>2</v>
      </c>
      <c r="L157" s="13">
        <v>0.61802983473317807</v>
      </c>
    </row>
    <row r="158" spans="1:12" x14ac:dyDescent="0.2">
      <c r="A158">
        <v>76</v>
      </c>
      <c r="B158" s="13" t="s">
        <v>521</v>
      </c>
      <c r="C158" s="1">
        <v>45452</v>
      </c>
      <c r="D158" s="13" t="s">
        <v>521</v>
      </c>
      <c r="E158">
        <v>0.26743294069496498</v>
      </c>
      <c r="F158">
        <v>0.26743294069496498</v>
      </c>
      <c r="J158" s="10">
        <v>164</v>
      </c>
      <c r="K158" s="13">
        <v>3</v>
      </c>
      <c r="L158" s="13">
        <v>0.48994304789338761</v>
      </c>
    </row>
    <row r="159" spans="1:12" x14ac:dyDescent="0.2">
      <c r="A159">
        <v>76</v>
      </c>
      <c r="B159" s="13" t="s">
        <v>395</v>
      </c>
      <c r="C159" s="1">
        <v>45455</v>
      </c>
      <c r="D159" s="13" t="s">
        <v>395</v>
      </c>
      <c r="E159">
        <v>0.152231095363354</v>
      </c>
      <c r="F159">
        <v>0.152231095363354</v>
      </c>
      <c r="J159" s="10">
        <v>165</v>
      </c>
      <c r="K159" s="13">
        <v>3</v>
      </c>
      <c r="L159" s="13">
        <v>0.52051774976180543</v>
      </c>
    </row>
    <row r="160" spans="1:12" x14ac:dyDescent="0.2">
      <c r="A160">
        <v>76</v>
      </c>
      <c r="B160" s="13" t="s">
        <v>396</v>
      </c>
      <c r="C160" s="1">
        <v>45406</v>
      </c>
      <c r="D160" s="13" t="s">
        <v>396</v>
      </c>
      <c r="E160">
        <v>8.32378025223207E-2</v>
      </c>
      <c r="F160">
        <v>8.32378025223207E-2</v>
      </c>
      <c r="J160" s="10">
        <v>166</v>
      </c>
      <c r="K160" s="13">
        <v>2</v>
      </c>
      <c r="L160" s="13">
        <v>0.29625887958619501</v>
      </c>
    </row>
    <row r="161" spans="1:12" x14ac:dyDescent="0.2">
      <c r="A161">
        <v>77</v>
      </c>
      <c r="B161" s="13" t="s">
        <v>703</v>
      </c>
      <c r="C161" s="1">
        <v>45385</v>
      </c>
      <c r="D161" s="13" t="s">
        <v>703</v>
      </c>
      <c r="E161">
        <v>3.3282946642601702E-2</v>
      </c>
      <c r="F161">
        <v>3.3282946642601702E-2</v>
      </c>
      <c r="J161" s="10">
        <v>167</v>
      </c>
      <c r="K161" s="13">
        <v>2</v>
      </c>
      <c r="L161" s="13">
        <v>0.19442250074499179</v>
      </c>
    </row>
    <row r="162" spans="1:12" x14ac:dyDescent="0.2">
      <c r="A162">
        <v>77</v>
      </c>
      <c r="B162" s="13" t="s">
        <v>43</v>
      </c>
      <c r="C162" s="1">
        <v>45410</v>
      </c>
      <c r="D162" s="13" t="s">
        <v>43</v>
      </c>
      <c r="E162">
        <v>0.15013578804891001</v>
      </c>
      <c r="F162">
        <v>0.15013578804891001</v>
      </c>
      <c r="J162" s="10">
        <v>168</v>
      </c>
      <c r="K162" s="13">
        <v>3</v>
      </c>
      <c r="L162" s="13">
        <v>0.69617614723908505</v>
      </c>
    </row>
    <row r="163" spans="1:12" x14ac:dyDescent="0.2">
      <c r="A163">
        <v>78</v>
      </c>
      <c r="B163" s="13" t="s">
        <v>44</v>
      </c>
      <c r="C163" s="1">
        <v>45573</v>
      </c>
      <c r="D163" s="13" t="s">
        <v>44</v>
      </c>
      <c r="E163">
        <v>0.33338483446879003</v>
      </c>
      <c r="F163">
        <v>0.33338483446879003</v>
      </c>
      <c r="J163" s="10">
        <v>169</v>
      </c>
      <c r="K163" s="13">
        <v>2</v>
      </c>
      <c r="L163" s="13">
        <v>0.23507879353479899</v>
      </c>
    </row>
    <row r="164" spans="1:12" x14ac:dyDescent="0.2">
      <c r="A164">
        <v>78</v>
      </c>
      <c r="B164" s="13" t="s">
        <v>45</v>
      </c>
      <c r="C164" s="1">
        <v>45583</v>
      </c>
      <c r="D164" s="13" t="s">
        <v>45</v>
      </c>
      <c r="E164">
        <v>0.44315318067127102</v>
      </c>
      <c r="F164">
        <v>0.44315318067127102</v>
      </c>
      <c r="J164" s="10">
        <v>170</v>
      </c>
      <c r="K164" s="13">
        <v>3</v>
      </c>
      <c r="L164" s="13">
        <v>0.29550948126159582</v>
      </c>
    </row>
    <row r="165" spans="1:12" x14ac:dyDescent="0.2">
      <c r="A165">
        <v>79</v>
      </c>
      <c r="B165" s="13" t="s">
        <v>46</v>
      </c>
      <c r="C165" s="1">
        <v>45302</v>
      </c>
      <c r="D165" s="13" t="s">
        <v>46</v>
      </c>
      <c r="E165">
        <v>0.179698192352091</v>
      </c>
      <c r="F165">
        <v>0.179698192352091</v>
      </c>
      <c r="J165" s="10">
        <v>171</v>
      </c>
      <c r="K165" s="13">
        <v>2</v>
      </c>
      <c r="L165" s="13">
        <v>0.33251354882899498</v>
      </c>
    </row>
    <row r="166" spans="1:12" x14ac:dyDescent="0.2">
      <c r="A166">
        <v>79</v>
      </c>
      <c r="B166" s="13" t="s">
        <v>47</v>
      </c>
      <c r="C166" s="1">
        <v>45521</v>
      </c>
      <c r="D166" s="13" t="s">
        <v>47</v>
      </c>
      <c r="E166">
        <v>8.9349957463014495E-2</v>
      </c>
      <c r="F166">
        <v>8.9349957463014495E-2</v>
      </c>
      <c r="J166" s="10">
        <v>172</v>
      </c>
      <c r="K166" s="13">
        <v>3</v>
      </c>
      <c r="L166" s="13">
        <v>0.4752738871644327</v>
      </c>
    </row>
    <row r="167" spans="1:12" x14ac:dyDescent="0.2">
      <c r="A167">
        <v>79</v>
      </c>
      <c r="B167" s="13" t="s">
        <v>48</v>
      </c>
      <c r="C167" s="1">
        <v>45643</v>
      </c>
      <c r="D167" s="13" t="s">
        <v>48</v>
      </c>
      <c r="E167">
        <v>0.119615875182746</v>
      </c>
      <c r="F167">
        <v>0.119615875182746</v>
      </c>
      <c r="J167" s="10">
        <v>173</v>
      </c>
      <c r="K167" s="13">
        <v>1</v>
      </c>
      <c r="L167" s="13">
        <v>0.11046107852591799</v>
      </c>
    </row>
    <row r="168" spans="1:12" x14ac:dyDescent="0.2">
      <c r="A168">
        <v>80</v>
      </c>
      <c r="B168" s="13" t="s">
        <v>49</v>
      </c>
      <c r="C168" s="1">
        <v>45534</v>
      </c>
      <c r="D168" s="13" t="s">
        <v>49</v>
      </c>
      <c r="E168">
        <v>0.124475269550402</v>
      </c>
      <c r="F168">
        <v>0.124475269550402</v>
      </c>
      <c r="J168" s="10">
        <v>174</v>
      </c>
      <c r="K168" s="13">
        <v>1</v>
      </c>
      <c r="L168" s="13">
        <v>5.2021115242138802E-2</v>
      </c>
    </row>
    <row r="169" spans="1:12" x14ac:dyDescent="0.2">
      <c r="A169">
        <v>80</v>
      </c>
      <c r="B169" s="13" t="s">
        <v>50</v>
      </c>
      <c r="C169" s="1">
        <v>45387</v>
      </c>
      <c r="D169" s="13" t="s">
        <v>50</v>
      </c>
      <c r="E169">
        <v>0.1842568009661</v>
      </c>
      <c r="F169">
        <v>0.1842568009661</v>
      </c>
      <c r="J169" s="10">
        <v>175</v>
      </c>
      <c r="K169" s="13">
        <v>2</v>
      </c>
      <c r="L169" s="13">
        <v>0.26235919543640202</v>
      </c>
    </row>
    <row r="170" spans="1:12" x14ac:dyDescent="0.2">
      <c r="A170">
        <v>80</v>
      </c>
      <c r="B170" s="13" t="s">
        <v>51</v>
      </c>
      <c r="C170" s="1">
        <v>45609</v>
      </c>
      <c r="D170" s="13" t="s">
        <v>51</v>
      </c>
      <c r="E170">
        <v>8.1982075992533002E-2</v>
      </c>
      <c r="F170">
        <v>8.1982075992533002E-2</v>
      </c>
      <c r="J170" s="10">
        <v>176</v>
      </c>
      <c r="K170" s="13">
        <v>2</v>
      </c>
      <c r="L170" s="13">
        <v>0.114614355593009</v>
      </c>
    </row>
    <row r="171" spans="1:12" x14ac:dyDescent="0.2">
      <c r="A171">
        <v>81</v>
      </c>
      <c r="B171" s="13" t="s">
        <v>397</v>
      </c>
      <c r="C171" s="1">
        <v>45507</v>
      </c>
      <c r="D171" s="13" t="s">
        <v>397</v>
      </c>
      <c r="E171">
        <v>0.26463638384661198</v>
      </c>
      <c r="F171">
        <v>0.26463638384661198</v>
      </c>
      <c r="J171" s="10">
        <v>177</v>
      </c>
      <c r="K171" s="13">
        <v>3</v>
      </c>
      <c r="L171" s="13">
        <v>0.64799406290874839</v>
      </c>
    </row>
    <row r="172" spans="1:12" x14ac:dyDescent="0.2">
      <c r="A172">
        <v>81</v>
      </c>
      <c r="B172" s="13" t="s">
        <v>522</v>
      </c>
      <c r="C172" s="1">
        <v>45568</v>
      </c>
      <c r="D172" s="13" t="s">
        <v>522</v>
      </c>
      <c r="E172">
        <v>6.74011320738441E-2</v>
      </c>
      <c r="F172">
        <v>6.74011320738441E-2</v>
      </c>
      <c r="J172" s="10">
        <v>178</v>
      </c>
      <c r="K172" s="13">
        <v>2</v>
      </c>
      <c r="L172" s="13">
        <v>0.50059567638806002</v>
      </c>
    </row>
    <row r="173" spans="1:12" x14ac:dyDescent="0.2">
      <c r="A173">
        <v>81</v>
      </c>
      <c r="B173" s="13" t="s">
        <v>704</v>
      </c>
      <c r="C173" s="1">
        <v>45566</v>
      </c>
      <c r="D173" s="13" t="s">
        <v>704</v>
      </c>
      <c r="E173">
        <v>0.161492492223269</v>
      </c>
      <c r="F173">
        <v>0.161492492223269</v>
      </c>
      <c r="J173" s="10">
        <v>179</v>
      </c>
      <c r="K173" s="13">
        <v>1</v>
      </c>
      <c r="L173" s="13">
        <v>7.5579926617120397E-3</v>
      </c>
    </row>
    <row r="174" spans="1:12" x14ac:dyDescent="0.2">
      <c r="A174">
        <v>82</v>
      </c>
      <c r="B174" s="13" t="s">
        <v>52</v>
      </c>
      <c r="C174" s="1">
        <v>45488</v>
      </c>
      <c r="D174" s="13" t="s">
        <v>52</v>
      </c>
      <c r="E174">
        <v>0.195525415822038</v>
      </c>
      <c r="F174">
        <v>0.195525415822038</v>
      </c>
      <c r="J174" s="10">
        <v>180</v>
      </c>
      <c r="K174" s="13">
        <v>2</v>
      </c>
      <c r="L174" s="13">
        <v>0.2229406968384014</v>
      </c>
    </row>
    <row r="175" spans="1:12" x14ac:dyDescent="0.2">
      <c r="A175">
        <v>82</v>
      </c>
      <c r="B175" s="13" t="s">
        <v>53</v>
      </c>
      <c r="C175" s="1">
        <v>45464</v>
      </c>
      <c r="D175" s="13" t="s">
        <v>53</v>
      </c>
      <c r="E175">
        <v>0.102933769186563</v>
      </c>
      <c r="F175">
        <v>0.102933769186563</v>
      </c>
      <c r="J175" s="10">
        <v>181</v>
      </c>
      <c r="K175" s="13">
        <v>1</v>
      </c>
      <c r="L175" s="13">
        <v>5.0890603680890198E-2</v>
      </c>
    </row>
    <row r="176" spans="1:12" x14ac:dyDescent="0.2">
      <c r="A176">
        <v>83</v>
      </c>
      <c r="B176" s="13" t="s">
        <v>54</v>
      </c>
      <c r="C176" s="1">
        <v>45562</v>
      </c>
      <c r="D176" s="13" t="s">
        <v>54</v>
      </c>
      <c r="E176">
        <v>9.8035089555572996E-2</v>
      </c>
      <c r="F176">
        <v>9.8035089555572996E-2</v>
      </c>
      <c r="J176" s="10">
        <v>182</v>
      </c>
      <c r="K176" s="13">
        <v>3</v>
      </c>
      <c r="L176" s="13">
        <v>0.58236440693074898</v>
      </c>
    </row>
    <row r="177" spans="1:12" x14ac:dyDescent="0.2">
      <c r="A177">
        <v>83</v>
      </c>
      <c r="B177" s="13" t="s">
        <v>55</v>
      </c>
      <c r="C177" s="1">
        <v>45445</v>
      </c>
      <c r="D177" s="13" t="s">
        <v>55</v>
      </c>
      <c r="E177">
        <v>0.30130781255732603</v>
      </c>
      <c r="F177">
        <v>0.30130781255732603</v>
      </c>
      <c r="J177" s="10">
        <v>183</v>
      </c>
      <c r="K177" s="13">
        <v>2</v>
      </c>
      <c r="L177" s="13">
        <v>0.59218113842884101</v>
      </c>
    </row>
    <row r="178" spans="1:12" x14ac:dyDescent="0.2">
      <c r="A178">
        <v>84</v>
      </c>
      <c r="B178" s="13" t="s">
        <v>705</v>
      </c>
      <c r="C178" s="1">
        <v>45443</v>
      </c>
      <c r="D178" s="13" t="s">
        <v>705</v>
      </c>
      <c r="E178">
        <v>1.84792430343956E-2</v>
      </c>
      <c r="F178">
        <v>1.84792430343956E-2</v>
      </c>
      <c r="J178" s="10">
        <v>184</v>
      </c>
      <c r="K178" s="13">
        <v>3</v>
      </c>
      <c r="L178" s="13">
        <v>0.54269413137243316</v>
      </c>
    </row>
    <row r="179" spans="1:12" x14ac:dyDescent="0.2">
      <c r="A179">
        <v>85</v>
      </c>
      <c r="B179" s="13" t="s">
        <v>706</v>
      </c>
      <c r="C179" s="1">
        <v>45615</v>
      </c>
      <c r="D179" s="13" t="s">
        <v>706</v>
      </c>
      <c r="E179">
        <v>0.12572920615993</v>
      </c>
      <c r="F179">
        <v>0.12572920615993</v>
      </c>
      <c r="J179" s="10">
        <v>185</v>
      </c>
      <c r="K179" s="13">
        <v>2</v>
      </c>
      <c r="L179" s="13">
        <v>0.44368250156198596</v>
      </c>
    </row>
    <row r="180" spans="1:12" x14ac:dyDescent="0.2">
      <c r="A180">
        <v>85</v>
      </c>
      <c r="B180" s="13" t="s">
        <v>56</v>
      </c>
      <c r="C180" s="1">
        <v>45418</v>
      </c>
      <c r="D180" s="13" t="s">
        <v>56</v>
      </c>
      <c r="E180">
        <v>0.12702955852422401</v>
      </c>
      <c r="F180">
        <v>0.12702955852422401</v>
      </c>
      <c r="J180" s="10">
        <v>186</v>
      </c>
      <c r="K180" s="13">
        <v>2</v>
      </c>
      <c r="L180" s="13">
        <v>0.16850946646802839</v>
      </c>
    </row>
    <row r="181" spans="1:12" x14ac:dyDescent="0.2">
      <c r="A181">
        <v>85</v>
      </c>
      <c r="B181" s="13" t="s">
        <v>57</v>
      </c>
      <c r="C181" s="1">
        <v>45316</v>
      </c>
      <c r="D181" s="13" t="s">
        <v>57</v>
      </c>
      <c r="E181">
        <v>6.7335740617744194E-2</v>
      </c>
      <c r="F181">
        <v>6.7335740617744194E-2</v>
      </c>
      <c r="J181" s="10">
        <v>187</v>
      </c>
      <c r="K181" s="13">
        <v>3</v>
      </c>
      <c r="L181" s="13">
        <v>0.58170208548878344</v>
      </c>
    </row>
    <row r="182" spans="1:12" x14ac:dyDescent="0.2">
      <c r="A182">
        <v>86</v>
      </c>
      <c r="B182" s="13" t="s">
        <v>58</v>
      </c>
      <c r="C182" s="1">
        <v>45300</v>
      </c>
      <c r="D182" s="13" t="s">
        <v>58</v>
      </c>
      <c r="E182">
        <v>0.14991741186104601</v>
      </c>
      <c r="F182">
        <v>0.14991741186104601</v>
      </c>
      <c r="J182" s="10">
        <v>188</v>
      </c>
      <c r="K182" s="13">
        <v>2</v>
      </c>
      <c r="L182" s="13">
        <v>0.3627835225706797</v>
      </c>
    </row>
    <row r="183" spans="1:12" x14ac:dyDescent="0.2">
      <c r="A183">
        <v>86</v>
      </c>
      <c r="B183" s="13" t="s">
        <v>59</v>
      </c>
      <c r="C183" s="1">
        <v>45584</v>
      </c>
      <c r="D183" s="13" t="s">
        <v>59</v>
      </c>
      <c r="E183">
        <v>2.67442787791515E-2</v>
      </c>
      <c r="F183">
        <v>2.67442787791515E-2</v>
      </c>
      <c r="J183" s="10">
        <v>190</v>
      </c>
      <c r="K183" s="13">
        <v>1</v>
      </c>
      <c r="L183" s="13">
        <v>0.13524167443708601</v>
      </c>
    </row>
    <row r="184" spans="1:12" x14ac:dyDescent="0.2">
      <c r="A184">
        <v>88</v>
      </c>
      <c r="B184" s="13" t="s">
        <v>60</v>
      </c>
      <c r="C184" s="1">
        <v>45527</v>
      </c>
      <c r="D184" s="13" t="s">
        <v>60</v>
      </c>
      <c r="E184">
        <v>4.8378869804656E-2</v>
      </c>
      <c r="F184">
        <v>4.8378869804656E-2</v>
      </c>
      <c r="J184" s="10">
        <v>191</v>
      </c>
      <c r="K184" s="13">
        <v>3</v>
      </c>
      <c r="L184" s="13">
        <v>0.5822447904055551</v>
      </c>
    </row>
    <row r="185" spans="1:12" x14ac:dyDescent="0.2">
      <c r="A185">
        <v>89</v>
      </c>
      <c r="B185" s="13" t="s">
        <v>398</v>
      </c>
      <c r="C185" s="1">
        <v>45561</v>
      </c>
      <c r="D185" s="13" t="s">
        <v>398</v>
      </c>
      <c r="E185">
        <v>8.73682137872651E-2</v>
      </c>
      <c r="F185">
        <v>8.73682137872651E-2</v>
      </c>
      <c r="J185" s="10">
        <v>192</v>
      </c>
      <c r="K185" s="13">
        <v>3</v>
      </c>
      <c r="L185" s="13">
        <v>0.37346406787833503</v>
      </c>
    </row>
    <row r="186" spans="1:12" x14ac:dyDescent="0.2">
      <c r="A186">
        <v>90</v>
      </c>
      <c r="B186" s="13" t="s">
        <v>707</v>
      </c>
      <c r="C186" s="1">
        <v>45514</v>
      </c>
      <c r="D186" s="13" t="s">
        <v>707</v>
      </c>
      <c r="E186">
        <v>0.15993193644007</v>
      </c>
      <c r="F186">
        <v>0.15993193644007</v>
      </c>
      <c r="J186" s="10">
        <v>194</v>
      </c>
      <c r="K186" s="13">
        <v>2</v>
      </c>
      <c r="L186" s="13">
        <v>0.25819919321228701</v>
      </c>
    </row>
    <row r="187" spans="1:12" x14ac:dyDescent="0.2">
      <c r="A187">
        <v>90</v>
      </c>
      <c r="B187" s="13" t="s">
        <v>708</v>
      </c>
      <c r="C187" s="1">
        <v>45458</v>
      </c>
      <c r="D187" s="13" t="s">
        <v>708</v>
      </c>
      <c r="E187">
        <v>0.35365485854121398</v>
      </c>
      <c r="F187">
        <v>0.35365485854121398</v>
      </c>
      <c r="J187" s="10">
        <v>196</v>
      </c>
      <c r="K187" s="13">
        <v>2</v>
      </c>
      <c r="L187" s="13">
        <v>0.37880646091208703</v>
      </c>
    </row>
    <row r="188" spans="1:12" x14ac:dyDescent="0.2">
      <c r="A188">
        <v>90</v>
      </c>
      <c r="B188" s="13" t="s">
        <v>61</v>
      </c>
      <c r="C188" s="1">
        <v>45520</v>
      </c>
      <c r="D188" s="13" t="s">
        <v>61</v>
      </c>
      <c r="E188">
        <v>3.08039165297916E-2</v>
      </c>
      <c r="F188">
        <v>3.08039165297916E-2</v>
      </c>
      <c r="J188" s="10">
        <v>197</v>
      </c>
      <c r="K188" s="13">
        <v>2</v>
      </c>
      <c r="L188" s="13">
        <v>0.31345458833186501</v>
      </c>
    </row>
    <row r="189" spans="1:12" x14ac:dyDescent="0.2">
      <c r="A189">
        <v>91</v>
      </c>
      <c r="B189" s="13" t="s">
        <v>62</v>
      </c>
      <c r="C189" s="1">
        <v>45337</v>
      </c>
      <c r="D189" s="13" t="s">
        <v>62</v>
      </c>
      <c r="E189">
        <v>0.24508959407821701</v>
      </c>
      <c r="F189">
        <v>0.24508959407821701</v>
      </c>
      <c r="J189" s="10">
        <v>198</v>
      </c>
      <c r="K189" s="13">
        <v>2</v>
      </c>
      <c r="L189" s="13">
        <v>0.43026079418582197</v>
      </c>
    </row>
    <row r="190" spans="1:12" x14ac:dyDescent="0.2">
      <c r="A190">
        <v>91</v>
      </c>
      <c r="B190" s="13" t="s">
        <v>63</v>
      </c>
      <c r="C190" s="1">
        <v>45314</v>
      </c>
      <c r="D190" s="13" t="s">
        <v>63</v>
      </c>
      <c r="E190">
        <v>0.106247455715166</v>
      </c>
      <c r="F190">
        <v>0.106247455715166</v>
      </c>
      <c r="J190" s="10">
        <v>199</v>
      </c>
      <c r="K190" s="13">
        <v>3</v>
      </c>
      <c r="L190" s="13">
        <v>0.4018580140049462</v>
      </c>
    </row>
    <row r="191" spans="1:12" x14ac:dyDescent="0.2">
      <c r="A191">
        <v>91</v>
      </c>
      <c r="B191" s="13" t="s">
        <v>64</v>
      </c>
      <c r="C191" s="1">
        <v>45514</v>
      </c>
      <c r="D191" s="13" t="s">
        <v>64</v>
      </c>
      <c r="E191">
        <v>0.28437982677860002</v>
      </c>
      <c r="F191">
        <v>0.28437982677860002</v>
      </c>
      <c r="J191" s="10">
        <v>200</v>
      </c>
      <c r="K191" s="13">
        <v>2</v>
      </c>
      <c r="L191" s="13">
        <v>0.34441069516898881</v>
      </c>
    </row>
    <row r="192" spans="1:12" x14ac:dyDescent="0.2">
      <c r="A192">
        <v>92</v>
      </c>
      <c r="B192" s="13" t="s">
        <v>399</v>
      </c>
      <c r="C192" s="1">
        <v>45618</v>
      </c>
      <c r="D192" s="13" t="s">
        <v>399</v>
      </c>
      <c r="E192">
        <v>1.18206393706828E-2</v>
      </c>
      <c r="F192">
        <v>1.18206393706828E-2</v>
      </c>
      <c r="J192" s="10">
        <v>201</v>
      </c>
      <c r="K192" s="13">
        <v>3</v>
      </c>
      <c r="L192" s="13">
        <v>0.29619326826307169</v>
      </c>
    </row>
    <row r="193" spans="1:12" x14ac:dyDescent="0.2">
      <c r="A193">
        <v>92</v>
      </c>
      <c r="B193" s="13" t="s">
        <v>709</v>
      </c>
      <c r="C193" s="1">
        <v>45336</v>
      </c>
      <c r="D193" s="13" t="s">
        <v>709</v>
      </c>
      <c r="E193">
        <v>0.22355445846465399</v>
      </c>
      <c r="F193">
        <v>0.22355445846465399</v>
      </c>
      <c r="J193" s="10">
        <v>203</v>
      </c>
      <c r="K193" s="13">
        <v>2</v>
      </c>
      <c r="L193" s="13">
        <v>0.44425615991816703</v>
      </c>
    </row>
    <row r="194" spans="1:12" x14ac:dyDescent="0.2">
      <c r="A194">
        <v>93</v>
      </c>
      <c r="B194" s="13" t="s">
        <v>65</v>
      </c>
      <c r="C194" s="1">
        <v>45636</v>
      </c>
      <c r="D194" s="13" t="s">
        <v>65</v>
      </c>
      <c r="E194">
        <v>7.6729139836456794E-2</v>
      </c>
      <c r="F194">
        <v>7.6729139836456794E-2</v>
      </c>
      <c r="J194" s="10">
        <v>204</v>
      </c>
      <c r="K194" s="13">
        <v>2</v>
      </c>
      <c r="L194" s="13">
        <v>0.13578001707481152</v>
      </c>
    </row>
    <row r="195" spans="1:12" x14ac:dyDescent="0.2">
      <c r="A195">
        <v>93</v>
      </c>
      <c r="B195" s="13" t="s">
        <v>66</v>
      </c>
      <c r="C195" s="1">
        <v>45428</v>
      </c>
      <c r="D195" s="13" t="s">
        <v>66</v>
      </c>
      <c r="E195">
        <v>0.20637093662587999</v>
      </c>
      <c r="F195">
        <v>0.20637093662587999</v>
      </c>
      <c r="J195" s="10">
        <v>205</v>
      </c>
      <c r="K195" s="13">
        <v>2</v>
      </c>
      <c r="L195" s="13">
        <v>0.27904505022917847</v>
      </c>
    </row>
    <row r="196" spans="1:12" x14ac:dyDescent="0.2">
      <c r="A196">
        <v>93</v>
      </c>
      <c r="B196" s="13" t="s">
        <v>67</v>
      </c>
      <c r="C196" s="1">
        <v>45400</v>
      </c>
      <c r="D196" s="13" t="s">
        <v>67</v>
      </c>
      <c r="E196">
        <v>0.15826994434254801</v>
      </c>
      <c r="F196">
        <v>0.15826994434254801</v>
      </c>
      <c r="J196" s="10">
        <v>206</v>
      </c>
      <c r="K196" s="13">
        <v>1</v>
      </c>
      <c r="L196" s="13">
        <v>4.3098338748726199E-2</v>
      </c>
    </row>
    <row r="197" spans="1:12" x14ac:dyDescent="0.2">
      <c r="A197">
        <v>94</v>
      </c>
      <c r="B197" s="13" t="s">
        <v>710</v>
      </c>
      <c r="C197" s="1">
        <v>45457</v>
      </c>
      <c r="D197" s="13" t="s">
        <v>710</v>
      </c>
      <c r="E197">
        <v>0.39864496664575599</v>
      </c>
      <c r="F197">
        <v>0.39864496664575599</v>
      </c>
      <c r="J197" s="10">
        <v>207</v>
      </c>
      <c r="K197" s="13">
        <v>3</v>
      </c>
      <c r="L197" s="13">
        <v>0.68969289151898305</v>
      </c>
    </row>
    <row r="198" spans="1:12" x14ac:dyDescent="0.2">
      <c r="A198">
        <v>94</v>
      </c>
      <c r="B198" s="13" t="s">
        <v>68</v>
      </c>
      <c r="C198" s="1">
        <v>45580</v>
      </c>
      <c r="D198" s="13" t="s">
        <v>68</v>
      </c>
      <c r="E198">
        <v>0.25212165912138201</v>
      </c>
      <c r="F198">
        <v>0.25212165912138201</v>
      </c>
      <c r="J198" s="10">
        <v>208</v>
      </c>
      <c r="K198" s="13">
        <v>3</v>
      </c>
      <c r="L198" s="13">
        <v>0.28361006299609043</v>
      </c>
    </row>
    <row r="199" spans="1:12" x14ac:dyDescent="0.2">
      <c r="A199">
        <v>95</v>
      </c>
      <c r="B199" s="13" t="s">
        <v>711</v>
      </c>
      <c r="C199" s="1">
        <v>45328</v>
      </c>
      <c r="D199" s="13" t="s">
        <v>711</v>
      </c>
      <c r="E199">
        <v>0.336711557261893</v>
      </c>
      <c r="F199">
        <v>0.336711557261893</v>
      </c>
      <c r="J199" s="10">
        <v>209</v>
      </c>
      <c r="K199" s="13">
        <v>3</v>
      </c>
      <c r="L199" s="13">
        <v>0.49233171691317301</v>
      </c>
    </row>
    <row r="200" spans="1:12" x14ac:dyDescent="0.2">
      <c r="A200">
        <v>95</v>
      </c>
      <c r="B200" s="13" t="s">
        <v>400</v>
      </c>
      <c r="C200" s="1">
        <v>45374</v>
      </c>
      <c r="D200" s="13" t="s">
        <v>400</v>
      </c>
      <c r="E200">
        <v>0.13019375769755201</v>
      </c>
      <c r="F200">
        <v>0.13019375769755201</v>
      </c>
      <c r="J200" s="10">
        <v>210</v>
      </c>
      <c r="K200" s="13">
        <v>3</v>
      </c>
      <c r="L200" s="13">
        <v>0.755920087116836</v>
      </c>
    </row>
    <row r="201" spans="1:12" x14ac:dyDescent="0.2">
      <c r="A201">
        <v>95</v>
      </c>
      <c r="B201" s="13" t="s">
        <v>401</v>
      </c>
      <c r="C201" s="1">
        <v>45435</v>
      </c>
      <c r="D201" s="13" t="s">
        <v>401</v>
      </c>
      <c r="E201">
        <v>2.0077825000480401E-2</v>
      </c>
      <c r="F201">
        <v>2.0077825000480401E-2</v>
      </c>
      <c r="J201" s="10">
        <v>211</v>
      </c>
      <c r="K201" s="13">
        <v>2</v>
      </c>
      <c r="L201" s="13">
        <v>0.17135542635603018</v>
      </c>
    </row>
    <row r="202" spans="1:12" x14ac:dyDescent="0.2">
      <c r="A202">
        <v>96</v>
      </c>
      <c r="B202" s="13" t="s">
        <v>69</v>
      </c>
      <c r="C202" s="1">
        <v>45593</v>
      </c>
      <c r="D202" s="13" t="s">
        <v>69</v>
      </c>
      <c r="E202">
        <v>0.26220123492320901</v>
      </c>
      <c r="F202">
        <v>0.26220123492320901</v>
      </c>
      <c r="J202" s="10">
        <v>212</v>
      </c>
      <c r="K202" s="13">
        <v>3</v>
      </c>
      <c r="L202" s="13">
        <v>0.26299002695667895</v>
      </c>
    </row>
    <row r="203" spans="1:12" x14ac:dyDescent="0.2">
      <c r="A203">
        <v>96</v>
      </c>
      <c r="B203" s="13" t="s">
        <v>70</v>
      </c>
      <c r="C203" s="1">
        <v>45636</v>
      </c>
      <c r="D203" s="13" t="s">
        <v>70</v>
      </c>
      <c r="E203">
        <v>3.4613039320735901E-2</v>
      </c>
      <c r="F203">
        <v>3.4613039320735901E-2</v>
      </c>
      <c r="J203" s="10">
        <v>213</v>
      </c>
      <c r="K203" s="13">
        <v>3</v>
      </c>
      <c r="L203" s="13">
        <v>0.52855421656508705</v>
      </c>
    </row>
    <row r="204" spans="1:12" x14ac:dyDescent="0.2">
      <c r="A204">
        <v>96</v>
      </c>
      <c r="B204" s="13" t="s">
        <v>71</v>
      </c>
      <c r="C204" s="1">
        <v>45555</v>
      </c>
      <c r="D204" s="13" t="s">
        <v>71</v>
      </c>
      <c r="E204">
        <v>0.53073292341779799</v>
      </c>
      <c r="F204">
        <v>0.53073292341779799</v>
      </c>
      <c r="J204" s="10">
        <v>214</v>
      </c>
      <c r="K204" s="13">
        <v>2</v>
      </c>
      <c r="L204" s="13">
        <v>0.85543257289248997</v>
      </c>
    </row>
    <row r="205" spans="1:12" x14ac:dyDescent="0.2">
      <c r="A205">
        <v>97</v>
      </c>
      <c r="B205" s="13" t="s">
        <v>712</v>
      </c>
      <c r="C205" s="1">
        <v>45535</v>
      </c>
      <c r="D205" s="13" t="s">
        <v>712</v>
      </c>
      <c r="E205">
        <v>0.26374204235940502</v>
      </c>
      <c r="F205">
        <v>0.26374204235940502</v>
      </c>
      <c r="J205" s="10">
        <v>215</v>
      </c>
      <c r="K205" s="13">
        <v>4</v>
      </c>
      <c r="L205" s="13">
        <v>0.47756348227660389</v>
      </c>
    </row>
    <row r="206" spans="1:12" x14ac:dyDescent="0.2">
      <c r="A206">
        <v>98</v>
      </c>
      <c r="B206" s="13" t="s">
        <v>402</v>
      </c>
      <c r="C206" s="1">
        <v>45326</v>
      </c>
      <c r="D206" s="13" t="s">
        <v>402</v>
      </c>
      <c r="E206">
        <v>0.60072672632240098</v>
      </c>
      <c r="F206">
        <v>0.60072672632240098</v>
      </c>
      <c r="J206" s="10">
        <v>216</v>
      </c>
      <c r="K206" s="13">
        <v>2</v>
      </c>
      <c r="L206" s="13">
        <v>0.25188014013864041</v>
      </c>
    </row>
    <row r="207" spans="1:12" x14ac:dyDescent="0.2">
      <c r="A207">
        <v>98</v>
      </c>
      <c r="B207" s="13" t="s">
        <v>523</v>
      </c>
      <c r="C207" s="1">
        <v>45529</v>
      </c>
      <c r="D207" s="13" t="s">
        <v>523</v>
      </c>
      <c r="E207">
        <v>8.7917115140020596E-2</v>
      </c>
      <c r="F207">
        <v>8.7917115140020596E-2</v>
      </c>
      <c r="J207" s="10">
        <v>217</v>
      </c>
      <c r="K207" s="13">
        <v>3</v>
      </c>
      <c r="L207" s="13">
        <v>0.33968026545101787</v>
      </c>
    </row>
    <row r="208" spans="1:12" x14ac:dyDescent="0.2">
      <c r="A208">
        <v>98</v>
      </c>
      <c r="B208" s="13" t="s">
        <v>72</v>
      </c>
      <c r="C208" s="1">
        <v>45501</v>
      </c>
      <c r="D208" s="13" t="s">
        <v>72</v>
      </c>
      <c r="E208">
        <v>5.8953716139653001E-2</v>
      </c>
      <c r="F208">
        <v>5.8953716139653001E-2</v>
      </c>
      <c r="J208" s="10">
        <v>218</v>
      </c>
      <c r="K208" s="13">
        <v>2</v>
      </c>
      <c r="L208" s="13">
        <v>0.20991340821917662</v>
      </c>
    </row>
    <row r="209" spans="1:12" x14ac:dyDescent="0.2">
      <c r="A209">
        <v>99</v>
      </c>
      <c r="B209" s="13" t="s">
        <v>524</v>
      </c>
      <c r="C209" s="1">
        <v>45573</v>
      </c>
      <c r="D209" s="13" t="s">
        <v>524</v>
      </c>
      <c r="E209">
        <v>6.6664244581874296E-2</v>
      </c>
      <c r="F209">
        <v>6.6664244581874296E-2</v>
      </c>
      <c r="J209" s="10">
        <v>219</v>
      </c>
      <c r="K209" s="13">
        <v>1</v>
      </c>
      <c r="L209" s="13">
        <v>0.24602839042987201</v>
      </c>
    </row>
    <row r="210" spans="1:12" x14ac:dyDescent="0.2">
      <c r="A210">
        <v>99</v>
      </c>
      <c r="B210" s="13" t="s">
        <v>403</v>
      </c>
      <c r="C210" s="1">
        <v>45495</v>
      </c>
      <c r="D210" s="13" t="s">
        <v>403</v>
      </c>
      <c r="E210">
        <v>0.161226222047574</v>
      </c>
      <c r="F210">
        <v>0.161226222047574</v>
      </c>
      <c r="J210" s="10">
        <v>221</v>
      </c>
      <c r="K210" s="13">
        <v>3</v>
      </c>
      <c r="L210" s="13">
        <v>0.63773696191859808</v>
      </c>
    </row>
    <row r="211" spans="1:12" x14ac:dyDescent="0.2">
      <c r="A211">
        <v>100</v>
      </c>
      <c r="B211" s="13" t="s">
        <v>73</v>
      </c>
      <c r="C211" s="1">
        <v>45630</v>
      </c>
      <c r="D211" s="13" t="s">
        <v>73</v>
      </c>
      <c r="E211">
        <v>0.12328835899983499</v>
      </c>
      <c r="F211">
        <v>0.12328835899983499</v>
      </c>
      <c r="J211" s="10">
        <v>223</v>
      </c>
      <c r="K211" s="13">
        <v>2</v>
      </c>
      <c r="L211" s="13">
        <v>0.61891832030624705</v>
      </c>
    </row>
    <row r="212" spans="1:12" x14ac:dyDescent="0.2">
      <c r="A212">
        <v>100</v>
      </c>
      <c r="B212" s="13" t="s">
        <v>74</v>
      </c>
      <c r="C212" s="1">
        <v>45649</v>
      </c>
      <c r="D212" s="13" t="s">
        <v>74</v>
      </c>
      <c r="E212">
        <v>6.4651478878226407E-2</v>
      </c>
      <c r="F212">
        <v>6.4651478878226407E-2</v>
      </c>
      <c r="J212" s="10">
        <v>224</v>
      </c>
      <c r="K212" s="13">
        <v>2</v>
      </c>
      <c r="L212" s="13">
        <v>0.61705498539000703</v>
      </c>
    </row>
    <row r="213" spans="1:12" x14ac:dyDescent="0.2">
      <c r="A213">
        <v>101</v>
      </c>
      <c r="B213" s="13" t="s">
        <v>713</v>
      </c>
      <c r="C213" s="1">
        <v>45583</v>
      </c>
      <c r="D213" s="13" t="s">
        <v>713</v>
      </c>
      <c r="E213">
        <v>0.115425345144245</v>
      </c>
      <c r="F213">
        <v>0.115425345144245</v>
      </c>
      <c r="J213" s="10">
        <v>225</v>
      </c>
      <c r="K213" s="13">
        <v>4</v>
      </c>
      <c r="L213" s="13">
        <v>0.67905134888378094</v>
      </c>
    </row>
    <row r="214" spans="1:12" x14ac:dyDescent="0.2">
      <c r="A214">
        <v>101</v>
      </c>
      <c r="B214" s="13" t="s">
        <v>714</v>
      </c>
      <c r="C214" s="1">
        <v>45547</v>
      </c>
      <c r="D214" s="13" t="s">
        <v>714</v>
      </c>
      <c r="E214">
        <v>0.72833679507367799</v>
      </c>
      <c r="F214">
        <v>0.72833679507367799</v>
      </c>
      <c r="J214" s="10">
        <v>226</v>
      </c>
      <c r="K214" s="13">
        <v>2</v>
      </c>
      <c r="L214" s="13">
        <v>0.61215530595893197</v>
      </c>
    </row>
    <row r="215" spans="1:12" x14ac:dyDescent="0.2">
      <c r="A215">
        <v>102</v>
      </c>
      <c r="B215" s="13" t="s">
        <v>715</v>
      </c>
      <c r="C215" s="1">
        <v>45481</v>
      </c>
      <c r="D215" s="13" t="s">
        <v>715</v>
      </c>
      <c r="E215">
        <v>1.5721624251492799E-2</v>
      </c>
      <c r="F215">
        <v>1.5721624251492799E-2</v>
      </c>
      <c r="J215" s="10">
        <v>227</v>
      </c>
      <c r="K215" s="13">
        <v>2</v>
      </c>
      <c r="L215" s="13">
        <v>0.451171639685223</v>
      </c>
    </row>
    <row r="216" spans="1:12" x14ac:dyDescent="0.2">
      <c r="A216">
        <v>102</v>
      </c>
      <c r="B216" s="13" t="s">
        <v>716</v>
      </c>
      <c r="C216" s="1">
        <v>45512</v>
      </c>
      <c r="D216" s="13" t="s">
        <v>716</v>
      </c>
      <c r="E216">
        <v>0.44555221442579301</v>
      </c>
      <c r="F216">
        <v>0.44555221442579301</v>
      </c>
      <c r="J216" s="10">
        <v>228</v>
      </c>
      <c r="K216" s="13">
        <v>2</v>
      </c>
      <c r="L216" s="13">
        <v>0.2363196672902601</v>
      </c>
    </row>
    <row r="217" spans="1:12" x14ac:dyDescent="0.2">
      <c r="A217">
        <v>102</v>
      </c>
      <c r="B217" s="13" t="s">
        <v>525</v>
      </c>
      <c r="C217" s="1">
        <v>45484</v>
      </c>
      <c r="D217" s="13" t="s">
        <v>525</v>
      </c>
      <c r="E217">
        <v>2.7467191136169401E-2</v>
      </c>
      <c r="F217">
        <v>2.7467191136169401E-2</v>
      </c>
      <c r="J217" s="10">
        <v>229</v>
      </c>
      <c r="K217" s="13">
        <v>2</v>
      </c>
      <c r="L217" s="13">
        <v>0.11526624489001171</v>
      </c>
    </row>
    <row r="218" spans="1:12" x14ac:dyDescent="0.2">
      <c r="A218">
        <v>103</v>
      </c>
      <c r="B218" s="13" t="s">
        <v>75</v>
      </c>
      <c r="C218" s="1">
        <v>45453</v>
      </c>
      <c r="D218" s="13" t="s">
        <v>75</v>
      </c>
      <c r="E218">
        <v>8.7348776724163302E-2</v>
      </c>
      <c r="F218">
        <v>8.7348776724163302E-2</v>
      </c>
      <c r="J218" s="10">
        <v>231</v>
      </c>
      <c r="K218" s="13">
        <v>2</v>
      </c>
      <c r="L218" s="13">
        <v>0.71043563153568001</v>
      </c>
    </row>
    <row r="219" spans="1:12" x14ac:dyDescent="0.2">
      <c r="A219">
        <v>103</v>
      </c>
      <c r="B219" s="13" t="s">
        <v>76</v>
      </c>
      <c r="C219" s="1">
        <v>45498</v>
      </c>
      <c r="D219" s="13" t="s">
        <v>76</v>
      </c>
      <c r="E219">
        <v>0.13666349177701401</v>
      </c>
      <c r="F219">
        <v>0.13666349177701401</v>
      </c>
      <c r="J219" s="10">
        <v>232</v>
      </c>
      <c r="K219" s="13">
        <v>2</v>
      </c>
      <c r="L219" s="13">
        <v>0.10005760632340829</v>
      </c>
    </row>
    <row r="220" spans="1:12" x14ac:dyDescent="0.2">
      <c r="A220">
        <v>104</v>
      </c>
      <c r="B220" s="13" t="s">
        <v>717</v>
      </c>
      <c r="C220" s="1">
        <v>45460</v>
      </c>
      <c r="D220" s="13" t="s">
        <v>717</v>
      </c>
      <c r="E220">
        <v>0.37864642824570799</v>
      </c>
      <c r="F220">
        <v>0.37864642824570799</v>
      </c>
      <c r="J220" s="10">
        <v>233</v>
      </c>
      <c r="K220" s="13">
        <v>2</v>
      </c>
      <c r="L220" s="13">
        <v>0.32257079597022598</v>
      </c>
    </row>
    <row r="221" spans="1:12" x14ac:dyDescent="0.2">
      <c r="A221">
        <v>105</v>
      </c>
      <c r="B221" s="13" t="s">
        <v>77</v>
      </c>
      <c r="C221" s="1">
        <v>45644</v>
      </c>
      <c r="D221" s="13" t="s">
        <v>77</v>
      </c>
      <c r="E221">
        <v>9.6490287093305094E-2</v>
      </c>
      <c r="F221">
        <v>9.6490287093305094E-2</v>
      </c>
      <c r="J221" s="10">
        <v>234</v>
      </c>
      <c r="K221" s="13">
        <v>4</v>
      </c>
      <c r="L221" s="13">
        <v>0.58124453595940573</v>
      </c>
    </row>
    <row r="222" spans="1:12" x14ac:dyDescent="0.2">
      <c r="A222">
        <v>105</v>
      </c>
      <c r="B222" s="13" t="s">
        <v>78</v>
      </c>
      <c r="C222" s="1">
        <v>45649</v>
      </c>
      <c r="D222" s="13" t="s">
        <v>78</v>
      </c>
      <c r="E222">
        <v>0.18303228330119201</v>
      </c>
      <c r="F222">
        <v>0.18303228330119201</v>
      </c>
      <c r="J222" s="10">
        <v>235</v>
      </c>
      <c r="K222" s="13">
        <v>3</v>
      </c>
      <c r="L222" s="13">
        <v>0.36252899572001407</v>
      </c>
    </row>
    <row r="223" spans="1:12" x14ac:dyDescent="0.2">
      <c r="A223">
        <v>106</v>
      </c>
      <c r="B223" s="13" t="s">
        <v>79</v>
      </c>
      <c r="C223" s="1">
        <v>45637</v>
      </c>
      <c r="D223" s="13" t="s">
        <v>79</v>
      </c>
      <c r="E223">
        <v>5.3047133682949298E-2</v>
      </c>
      <c r="F223">
        <v>5.3047133682949298E-2</v>
      </c>
      <c r="J223" s="10">
        <v>236</v>
      </c>
      <c r="K223" s="13">
        <v>2</v>
      </c>
      <c r="L223" s="13">
        <v>0.471253796258295</v>
      </c>
    </row>
    <row r="224" spans="1:12" x14ac:dyDescent="0.2">
      <c r="A224">
        <v>107</v>
      </c>
      <c r="B224" s="13" t="s">
        <v>718</v>
      </c>
      <c r="C224" s="1">
        <v>45326</v>
      </c>
      <c r="D224" s="13" t="s">
        <v>718</v>
      </c>
      <c r="E224">
        <v>0.25765924153868602</v>
      </c>
      <c r="F224">
        <v>0.25765924153868602</v>
      </c>
      <c r="J224" s="10">
        <v>237</v>
      </c>
      <c r="K224" s="13">
        <v>3</v>
      </c>
      <c r="L224" s="13">
        <v>0.65909159627398484</v>
      </c>
    </row>
    <row r="225" spans="1:12" x14ac:dyDescent="0.2">
      <c r="A225">
        <v>108</v>
      </c>
      <c r="B225" s="13" t="s">
        <v>526</v>
      </c>
      <c r="C225" s="1">
        <v>45364</v>
      </c>
      <c r="D225" s="13" t="s">
        <v>526</v>
      </c>
      <c r="E225">
        <v>3.9219138284822999E-2</v>
      </c>
      <c r="F225">
        <v>3.9219138284822999E-2</v>
      </c>
      <c r="J225" s="10">
        <v>238</v>
      </c>
      <c r="K225" s="13">
        <v>1</v>
      </c>
      <c r="L225" s="13">
        <v>0.17575809534738401</v>
      </c>
    </row>
    <row r="226" spans="1:12" x14ac:dyDescent="0.2">
      <c r="A226">
        <v>108</v>
      </c>
      <c r="B226" s="13" t="s">
        <v>80</v>
      </c>
      <c r="C226" s="1">
        <v>45569</v>
      </c>
      <c r="D226" s="13" t="s">
        <v>80</v>
      </c>
      <c r="E226">
        <v>0.15288027133909199</v>
      </c>
      <c r="F226">
        <v>0.15288027133909199</v>
      </c>
      <c r="J226" s="10">
        <v>239</v>
      </c>
      <c r="K226" s="13">
        <v>3</v>
      </c>
      <c r="L226" s="13">
        <v>0.4496808590271395</v>
      </c>
    </row>
    <row r="227" spans="1:12" x14ac:dyDescent="0.2">
      <c r="A227">
        <v>109</v>
      </c>
      <c r="B227" s="13" t="s">
        <v>404</v>
      </c>
      <c r="C227" s="1">
        <v>45460</v>
      </c>
      <c r="D227" s="13" t="s">
        <v>404</v>
      </c>
      <c r="E227">
        <v>0.48319205344236799</v>
      </c>
      <c r="F227">
        <v>0.48319205344236799</v>
      </c>
      <c r="J227" s="10">
        <v>240</v>
      </c>
      <c r="K227" s="13">
        <v>1</v>
      </c>
      <c r="L227" s="13">
        <v>0.12793963424486801</v>
      </c>
    </row>
    <row r="228" spans="1:12" x14ac:dyDescent="0.2">
      <c r="A228">
        <v>109</v>
      </c>
      <c r="B228" s="13" t="s">
        <v>719</v>
      </c>
      <c r="C228" s="1">
        <v>45320</v>
      </c>
      <c r="D228" s="13" t="s">
        <v>719</v>
      </c>
      <c r="E228">
        <v>0.16886396356309299</v>
      </c>
      <c r="F228">
        <v>0.16886396356309299</v>
      </c>
      <c r="J228" s="10">
        <v>241</v>
      </c>
      <c r="K228" s="13">
        <v>2</v>
      </c>
      <c r="L228" s="13">
        <v>0.34443060464918729</v>
      </c>
    </row>
    <row r="229" spans="1:12" x14ac:dyDescent="0.2">
      <c r="A229">
        <v>110</v>
      </c>
      <c r="B229" s="13" t="s">
        <v>720</v>
      </c>
      <c r="C229" s="1">
        <v>45636</v>
      </c>
      <c r="D229" s="13" t="s">
        <v>720</v>
      </c>
      <c r="E229">
        <v>1.7768721543668702E-2</v>
      </c>
      <c r="F229">
        <v>1.7768721543668702E-2</v>
      </c>
      <c r="J229" s="10">
        <v>242</v>
      </c>
      <c r="K229" s="13">
        <v>2</v>
      </c>
      <c r="L229" s="13">
        <v>0.54932614636375798</v>
      </c>
    </row>
    <row r="230" spans="1:12" x14ac:dyDescent="0.2">
      <c r="A230">
        <v>110</v>
      </c>
      <c r="B230" s="13" t="s">
        <v>721</v>
      </c>
      <c r="C230" s="1">
        <v>45560</v>
      </c>
      <c r="D230" s="13" t="s">
        <v>721</v>
      </c>
      <c r="E230">
        <v>0.27674076354390598</v>
      </c>
      <c r="F230">
        <v>0.27674076354390598</v>
      </c>
      <c r="J230" s="10">
        <v>243</v>
      </c>
      <c r="K230" s="13">
        <v>3</v>
      </c>
      <c r="L230" s="13">
        <v>1.3823360415908801</v>
      </c>
    </row>
    <row r="231" spans="1:12" x14ac:dyDescent="0.2">
      <c r="A231">
        <v>110</v>
      </c>
      <c r="B231" s="13" t="s">
        <v>527</v>
      </c>
      <c r="C231" s="1">
        <v>45367</v>
      </c>
      <c r="D231" s="13" t="s">
        <v>527</v>
      </c>
      <c r="E231">
        <v>5.5313920154666997E-2</v>
      </c>
      <c r="F231">
        <v>5.5313920154666997E-2</v>
      </c>
      <c r="J231" s="10">
        <v>244</v>
      </c>
      <c r="K231" s="13">
        <v>2</v>
      </c>
      <c r="L231" s="13">
        <v>0.56554564034777255</v>
      </c>
    </row>
    <row r="232" spans="1:12" x14ac:dyDescent="0.2">
      <c r="A232">
        <v>111</v>
      </c>
      <c r="B232" s="13" t="s">
        <v>722</v>
      </c>
      <c r="C232" s="1">
        <v>45383</v>
      </c>
      <c r="D232" s="13" t="s">
        <v>722</v>
      </c>
      <c r="E232">
        <v>0.18417063270655001</v>
      </c>
      <c r="F232">
        <v>0.18417063270655001</v>
      </c>
      <c r="J232" s="10">
        <v>245</v>
      </c>
      <c r="K232" s="13">
        <v>3</v>
      </c>
      <c r="L232" s="13">
        <v>0.68851918369472798</v>
      </c>
    </row>
    <row r="233" spans="1:12" x14ac:dyDescent="0.2">
      <c r="A233">
        <v>112</v>
      </c>
      <c r="B233" s="13" t="s">
        <v>723</v>
      </c>
      <c r="C233" s="1">
        <v>45446</v>
      </c>
      <c r="D233" s="13" t="s">
        <v>723</v>
      </c>
      <c r="E233">
        <v>5.30614460824467E-2</v>
      </c>
      <c r="F233">
        <v>5.30614460824467E-2</v>
      </c>
      <c r="J233" s="10">
        <v>246</v>
      </c>
      <c r="K233" s="13">
        <v>2</v>
      </c>
      <c r="L233" s="13">
        <v>0.56182704364387803</v>
      </c>
    </row>
    <row r="234" spans="1:12" x14ac:dyDescent="0.2">
      <c r="A234">
        <v>112</v>
      </c>
      <c r="B234" s="13" t="s">
        <v>405</v>
      </c>
      <c r="C234" s="1">
        <v>45549</v>
      </c>
      <c r="D234" s="13" t="s">
        <v>405</v>
      </c>
      <c r="E234">
        <v>0.24465908953593099</v>
      </c>
      <c r="F234">
        <v>0.24465908953593099</v>
      </c>
      <c r="J234" s="10">
        <v>247</v>
      </c>
      <c r="K234" s="13">
        <v>2</v>
      </c>
      <c r="L234" s="13">
        <v>0.32103332396733297</v>
      </c>
    </row>
    <row r="235" spans="1:12" x14ac:dyDescent="0.2">
      <c r="A235">
        <v>112</v>
      </c>
      <c r="B235" s="13" t="s">
        <v>724</v>
      </c>
      <c r="C235" s="1">
        <v>45543</v>
      </c>
      <c r="D235" s="13" t="s">
        <v>724</v>
      </c>
      <c r="E235">
        <v>0.26272619011071602</v>
      </c>
      <c r="F235">
        <v>0.26272619011071602</v>
      </c>
      <c r="J235" s="10">
        <v>250</v>
      </c>
      <c r="K235" s="13">
        <v>2</v>
      </c>
      <c r="L235" s="13">
        <v>0.45307463774122103</v>
      </c>
    </row>
    <row r="236" spans="1:12" x14ac:dyDescent="0.2">
      <c r="A236">
        <v>113</v>
      </c>
      <c r="B236" s="13" t="s">
        <v>81</v>
      </c>
      <c r="C236" s="1">
        <v>45487</v>
      </c>
      <c r="D236" s="13" t="s">
        <v>81</v>
      </c>
      <c r="E236">
        <v>3.0910770658142801E-2</v>
      </c>
      <c r="F236">
        <v>3.0910770658142801E-2</v>
      </c>
      <c r="J236" s="10">
        <v>251</v>
      </c>
      <c r="K236" s="13">
        <v>3</v>
      </c>
      <c r="L236" s="13">
        <v>0.37813036448972059</v>
      </c>
    </row>
    <row r="237" spans="1:12" x14ac:dyDescent="0.2">
      <c r="A237">
        <v>113</v>
      </c>
      <c r="B237" s="13" t="s">
        <v>82</v>
      </c>
      <c r="C237" s="1">
        <v>45460</v>
      </c>
      <c r="D237" s="13" t="s">
        <v>82</v>
      </c>
      <c r="E237">
        <v>9.8434816150046206E-2</v>
      </c>
      <c r="F237">
        <v>9.8434816150046206E-2</v>
      </c>
      <c r="J237" s="10">
        <v>252</v>
      </c>
      <c r="K237" s="13">
        <v>3</v>
      </c>
      <c r="L237" s="13">
        <v>0.58540848897183506</v>
      </c>
    </row>
    <row r="238" spans="1:12" x14ac:dyDescent="0.2">
      <c r="A238">
        <v>113</v>
      </c>
      <c r="B238" s="13" t="s">
        <v>83</v>
      </c>
      <c r="C238" s="1">
        <v>45403</v>
      </c>
      <c r="D238" s="13" t="s">
        <v>83</v>
      </c>
      <c r="E238">
        <v>0.142417403386908</v>
      </c>
      <c r="F238">
        <v>0.142417403386908</v>
      </c>
      <c r="J238" s="10">
        <v>253</v>
      </c>
      <c r="K238" s="13">
        <v>2</v>
      </c>
      <c r="L238" s="13">
        <v>0.49818086201156297</v>
      </c>
    </row>
    <row r="239" spans="1:12" x14ac:dyDescent="0.2">
      <c r="A239">
        <v>113</v>
      </c>
      <c r="B239" s="13" t="s">
        <v>84</v>
      </c>
      <c r="C239" s="1">
        <v>45386</v>
      </c>
      <c r="D239" s="13" t="s">
        <v>84</v>
      </c>
      <c r="E239">
        <v>0.30291650179358398</v>
      </c>
      <c r="F239">
        <v>0.30291650179358398</v>
      </c>
      <c r="J239" s="10">
        <v>254</v>
      </c>
      <c r="K239" s="13">
        <v>3</v>
      </c>
      <c r="L239" s="13">
        <v>0.2623874333952686</v>
      </c>
    </row>
    <row r="240" spans="1:12" x14ac:dyDescent="0.2">
      <c r="A240">
        <v>114</v>
      </c>
      <c r="B240" s="13" t="s">
        <v>85</v>
      </c>
      <c r="C240" s="1">
        <v>45428</v>
      </c>
      <c r="D240" s="13" t="s">
        <v>85</v>
      </c>
      <c r="E240">
        <v>0.23842714733329101</v>
      </c>
      <c r="F240">
        <v>0.23842714733329101</v>
      </c>
      <c r="J240" s="10">
        <v>255</v>
      </c>
      <c r="K240" s="13">
        <v>2</v>
      </c>
      <c r="L240" s="13">
        <v>8.9743329487155701E-2</v>
      </c>
    </row>
    <row r="241" spans="1:12" x14ac:dyDescent="0.2">
      <c r="A241">
        <v>115</v>
      </c>
      <c r="B241" s="13" t="s">
        <v>406</v>
      </c>
      <c r="C241" s="1">
        <v>45332</v>
      </c>
      <c r="D241" s="13" t="s">
        <v>406</v>
      </c>
      <c r="E241">
        <v>8.0808322370647806E-2</v>
      </c>
      <c r="F241">
        <v>8.0808322370647806E-2</v>
      </c>
      <c r="J241" s="10">
        <v>256</v>
      </c>
      <c r="K241" s="13">
        <v>1</v>
      </c>
      <c r="L241" s="13">
        <v>0.156090078889354</v>
      </c>
    </row>
    <row r="242" spans="1:12" x14ac:dyDescent="0.2">
      <c r="A242">
        <v>115</v>
      </c>
      <c r="B242" s="13" t="s">
        <v>528</v>
      </c>
      <c r="C242" s="1">
        <v>45316</v>
      </c>
      <c r="D242" s="13" t="s">
        <v>528</v>
      </c>
      <c r="E242">
        <v>0.521626582615622</v>
      </c>
      <c r="F242">
        <v>0.521626582615622</v>
      </c>
      <c r="J242" s="10">
        <v>257</v>
      </c>
      <c r="K242" s="13">
        <v>3</v>
      </c>
      <c r="L242" s="13">
        <v>0.61268839712952006</v>
      </c>
    </row>
    <row r="243" spans="1:12" x14ac:dyDescent="0.2">
      <c r="A243">
        <v>116</v>
      </c>
      <c r="B243" s="13" t="s">
        <v>407</v>
      </c>
      <c r="C243" s="1">
        <v>45492</v>
      </c>
      <c r="D243" s="13" t="s">
        <v>407</v>
      </c>
      <c r="E243">
        <v>8.0423912839763897E-2</v>
      </c>
      <c r="F243">
        <v>8.0423912839763897E-2</v>
      </c>
      <c r="J243" s="10">
        <v>258</v>
      </c>
      <c r="K243" s="13">
        <v>2</v>
      </c>
      <c r="L243" s="13">
        <v>0.42138885258697101</v>
      </c>
    </row>
    <row r="244" spans="1:12" x14ac:dyDescent="0.2">
      <c r="A244">
        <v>116</v>
      </c>
      <c r="B244" s="13" t="s">
        <v>529</v>
      </c>
      <c r="C244" s="1">
        <v>45635</v>
      </c>
      <c r="D244" s="13" t="s">
        <v>529</v>
      </c>
      <c r="E244">
        <v>0.59912584101316901</v>
      </c>
      <c r="F244">
        <v>0.59912584101316901</v>
      </c>
      <c r="J244" s="10">
        <v>259</v>
      </c>
      <c r="K244" s="13">
        <v>2</v>
      </c>
      <c r="L244" s="13">
        <v>0.28257612076095168</v>
      </c>
    </row>
    <row r="245" spans="1:12" x14ac:dyDescent="0.2">
      <c r="A245">
        <v>116</v>
      </c>
      <c r="B245" s="13" t="s">
        <v>725</v>
      </c>
      <c r="C245" s="1">
        <v>45630</v>
      </c>
      <c r="D245" s="13" t="s">
        <v>725</v>
      </c>
      <c r="E245">
        <v>9.0101764359491299E-2</v>
      </c>
      <c r="F245">
        <v>9.0101764359491299E-2</v>
      </c>
      <c r="J245" s="10">
        <v>260</v>
      </c>
      <c r="K245" s="13">
        <v>1</v>
      </c>
      <c r="L245" s="13">
        <v>0.342070391415565</v>
      </c>
    </row>
    <row r="246" spans="1:12" x14ac:dyDescent="0.2">
      <c r="A246">
        <v>117</v>
      </c>
      <c r="B246" s="13" t="s">
        <v>726</v>
      </c>
      <c r="C246" s="1">
        <v>45570</v>
      </c>
      <c r="D246" s="13" t="s">
        <v>726</v>
      </c>
      <c r="E246">
        <v>7.4121717159534806E-2</v>
      </c>
      <c r="F246">
        <v>7.4121717159534806E-2</v>
      </c>
      <c r="J246" s="10">
        <v>262</v>
      </c>
      <c r="K246" s="13">
        <v>1</v>
      </c>
      <c r="L246" s="13">
        <v>8.20823699813579E-2</v>
      </c>
    </row>
    <row r="247" spans="1:12" x14ac:dyDescent="0.2">
      <c r="A247">
        <v>117</v>
      </c>
      <c r="B247" s="13" t="s">
        <v>408</v>
      </c>
      <c r="C247" s="1">
        <v>45539</v>
      </c>
      <c r="D247" s="13" t="s">
        <v>408</v>
      </c>
      <c r="E247">
        <v>0.27144640065078202</v>
      </c>
      <c r="F247">
        <v>0.27144640065078202</v>
      </c>
      <c r="J247" s="10">
        <v>263</v>
      </c>
      <c r="K247" s="13">
        <v>2</v>
      </c>
      <c r="L247" s="13">
        <v>0.1632811936388659</v>
      </c>
    </row>
    <row r="248" spans="1:12" x14ac:dyDescent="0.2">
      <c r="A248">
        <v>118</v>
      </c>
      <c r="B248" s="13" t="s">
        <v>727</v>
      </c>
      <c r="C248" s="1">
        <v>45309</v>
      </c>
      <c r="D248" s="13" t="s">
        <v>727</v>
      </c>
      <c r="E248">
        <v>5.5543089184637302E-2</v>
      </c>
      <c r="F248">
        <v>5.5543089184637302E-2</v>
      </c>
      <c r="J248" s="10">
        <v>265</v>
      </c>
      <c r="K248" s="13">
        <v>2</v>
      </c>
      <c r="L248" s="13">
        <v>0.32201821820222798</v>
      </c>
    </row>
    <row r="249" spans="1:12" x14ac:dyDescent="0.2">
      <c r="A249">
        <v>119</v>
      </c>
      <c r="B249" s="13" t="s">
        <v>728</v>
      </c>
      <c r="C249" s="1">
        <v>45362</v>
      </c>
      <c r="D249" s="13" t="s">
        <v>728</v>
      </c>
      <c r="E249">
        <v>0.35834421776682002</v>
      </c>
      <c r="F249">
        <v>0.35834421776682002</v>
      </c>
      <c r="J249" s="10">
        <v>266</v>
      </c>
      <c r="K249" s="13">
        <v>2</v>
      </c>
      <c r="L249" s="13">
        <v>0.33142240340051399</v>
      </c>
    </row>
    <row r="250" spans="1:12" x14ac:dyDescent="0.2">
      <c r="A250">
        <v>119</v>
      </c>
      <c r="B250" s="13" t="s">
        <v>729</v>
      </c>
      <c r="C250" s="1">
        <v>45650</v>
      </c>
      <c r="D250" s="13" t="s">
        <v>729</v>
      </c>
      <c r="E250">
        <v>0.20742463159997299</v>
      </c>
      <c r="F250">
        <v>0.20742463159997299</v>
      </c>
      <c r="J250" s="10">
        <v>267</v>
      </c>
      <c r="K250" s="13">
        <v>3</v>
      </c>
      <c r="L250" s="13">
        <v>0.27696254436654838</v>
      </c>
    </row>
    <row r="251" spans="1:12" x14ac:dyDescent="0.2">
      <c r="A251">
        <v>120</v>
      </c>
      <c r="B251" s="13" t="s">
        <v>409</v>
      </c>
      <c r="C251" s="1">
        <v>45518</v>
      </c>
      <c r="D251" s="13" t="s">
        <v>409</v>
      </c>
      <c r="E251">
        <v>0.17099281629590901</v>
      </c>
      <c r="F251">
        <v>0.17099281629590901</v>
      </c>
      <c r="J251" s="10">
        <v>268</v>
      </c>
      <c r="K251" s="13">
        <v>3</v>
      </c>
      <c r="L251" s="13">
        <v>1.2075382391162082</v>
      </c>
    </row>
    <row r="252" spans="1:12" x14ac:dyDescent="0.2">
      <c r="A252">
        <v>120</v>
      </c>
      <c r="B252" s="13" t="s">
        <v>730</v>
      </c>
      <c r="C252" s="1">
        <v>45312</v>
      </c>
      <c r="D252" s="13" t="s">
        <v>730</v>
      </c>
      <c r="E252">
        <v>1.945061411886E-2</v>
      </c>
      <c r="F252">
        <v>1.945061411886E-2</v>
      </c>
      <c r="J252" s="10">
        <v>269</v>
      </c>
      <c r="K252" s="13">
        <v>4</v>
      </c>
      <c r="L252" s="13">
        <v>0.52690410284642675</v>
      </c>
    </row>
    <row r="253" spans="1:12" x14ac:dyDescent="0.2">
      <c r="A253">
        <v>121</v>
      </c>
      <c r="B253" s="13" t="s">
        <v>731</v>
      </c>
      <c r="C253" s="1">
        <v>45445</v>
      </c>
      <c r="D253" s="13" t="s">
        <v>731</v>
      </c>
      <c r="E253">
        <v>0.153187391670569</v>
      </c>
      <c r="F253">
        <v>0.153187391670569</v>
      </c>
      <c r="J253" s="10">
        <v>270</v>
      </c>
      <c r="K253" s="13">
        <v>2</v>
      </c>
      <c r="L253" s="13">
        <v>0.22936779417352221</v>
      </c>
    </row>
    <row r="254" spans="1:12" x14ac:dyDescent="0.2">
      <c r="A254">
        <v>121</v>
      </c>
      <c r="B254" s="13" t="s">
        <v>732</v>
      </c>
      <c r="C254" s="1">
        <v>45420</v>
      </c>
      <c r="D254" s="13" t="s">
        <v>732</v>
      </c>
      <c r="E254">
        <v>0.37705074579056602</v>
      </c>
      <c r="F254">
        <v>0.37705074579056602</v>
      </c>
      <c r="J254" s="10">
        <v>271</v>
      </c>
      <c r="K254" s="13">
        <v>1</v>
      </c>
      <c r="L254" s="13">
        <v>0.16628158238846599</v>
      </c>
    </row>
    <row r="255" spans="1:12" x14ac:dyDescent="0.2">
      <c r="A255">
        <v>122</v>
      </c>
      <c r="B255" s="13" t="s">
        <v>733</v>
      </c>
      <c r="C255" s="1">
        <v>45303</v>
      </c>
      <c r="D255" s="13" t="s">
        <v>733</v>
      </c>
      <c r="E255">
        <v>8.7717855171256395E-2</v>
      </c>
      <c r="F255">
        <v>8.7717855171256395E-2</v>
      </c>
      <c r="J255" s="10">
        <v>272</v>
      </c>
      <c r="K255" s="13">
        <v>4</v>
      </c>
      <c r="L255" s="13">
        <v>0.48478040443992299</v>
      </c>
    </row>
    <row r="256" spans="1:12" x14ac:dyDescent="0.2">
      <c r="A256">
        <v>122</v>
      </c>
      <c r="B256" s="13" t="s">
        <v>734</v>
      </c>
      <c r="C256" s="1">
        <v>45540</v>
      </c>
      <c r="D256" s="13" t="s">
        <v>734</v>
      </c>
      <c r="E256">
        <v>5.6984550689134598E-2</v>
      </c>
      <c r="F256">
        <v>5.6984550689134598E-2</v>
      </c>
      <c r="J256" s="10">
        <v>273</v>
      </c>
      <c r="K256" s="13">
        <v>4</v>
      </c>
      <c r="L256" s="13">
        <v>0.6703180831386143</v>
      </c>
    </row>
    <row r="257" spans="1:12" x14ac:dyDescent="0.2">
      <c r="A257">
        <v>122</v>
      </c>
      <c r="B257" s="13" t="s">
        <v>410</v>
      </c>
      <c r="C257" s="1">
        <v>45432</v>
      </c>
      <c r="D257" s="13" t="s">
        <v>410</v>
      </c>
      <c r="E257">
        <v>5.8010199441356602E-2</v>
      </c>
      <c r="F257">
        <v>5.8010199441356602E-2</v>
      </c>
      <c r="J257" s="10">
        <v>274</v>
      </c>
      <c r="K257" s="13">
        <v>3</v>
      </c>
      <c r="L257" s="13">
        <v>0.76553951525890751</v>
      </c>
    </row>
    <row r="258" spans="1:12" x14ac:dyDescent="0.2">
      <c r="A258">
        <v>123</v>
      </c>
      <c r="B258" s="13" t="s">
        <v>411</v>
      </c>
      <c r="C258" s="1">
        <v>45643</v>
      </c>
      <c r="D258" s="13" t="s">
        <v>411</v>
      </c>
      <c r="E258">
        <v>0.251261118008413</v>
      </c>
      <c r="F258">
        <v>0.251261118008413</v>
      </c>
      <c r="J258" s="10">
        <v>275</v>
      </c>
      <c r="K258" s="13">
        <v>1</v>
      </c>
      <c r="L258" s="13">
        <v>0.74919430560186095</v>
      </c>
    </row>
    <row r="259" spans="1:12" x14ac:dyDescent="0.2">
      <c r="A259">
        <v>123</v>
      </c>
      <c r="B259" s="13" t="s">
        <v>412</v>
      </c>
      <c r="C259" s="1">
        <v>45485</v>
      </c>
      <c r="D259" s="13" t="s">
        <v>412</v>
      </c>
      <c r="E259">
        <v>0.27757814902231298</v>
      </c>
      <c r="F259">
        <v>0.27757814902231298</v>
      </c>
      <c r="J259" s="10">
        <v>276</v>
      </c>
      <c r="K259" s="13">
        <v>2</v>
      </c>
      <c r="L259" s="13">
        <v>0.29345272864827898</v>
      </c>
    </row>
    <row r="260" spans="1:12" x14ac:dyDescent="0.2">
      <c r="A260">
        <v>123</v>
      </c>
      <c r="B260" s="13" t="s">
        <v>530</v>
      </c>
      <c r="C260" s="1">
        <v>45578</v>
      </c>
      <c r="D260" s="13" t="s">
        <v>530</v>
      </c>
      <c r="E260">
        <v>0.422988751078192</v>
      </c>
      <c r="F260">
        <v>0.422988751078192</v>
      </c>
      <c r="J260" s="10">
        <v>278</v>
      </c>
      <c r="K260" s="13">
        <v>2</v>
      </c>
      <c r="L260" s="13">
        <v>0.25906751189351263</v>
      </c>
    </row>
    <row r="261" spans="1:12" x14ac:dyDescent="0.2">
      <c r="A261">
        <v>124</v>
      </c>
      <c r="B261" s="13" t="s">
        <v>735</v>
      </c>
      <c r="C261" s="1">
        <v>45493</v>
      </c>
      <c r="D261" s="13" t="s">
        <v>735</v>
      </c>
      <c r="E261">
        <v>0.23696615774765201</v>
      </c>
      <c r="F261">
        <v>0.23696615774765201</v>
      </c>
      <c r="J261" s="10">
        <v>279</v>
      </c>
      <c r="K261" s="13">
        <v>4</v>
      </c>
      <c r="L261" s="13">
        <v>0.58215599897804848</v>
      </c>
    </row>
    <row r="262" spans="1:12" x14ac:dyDescent="0.2">
      <c r="A262">
        <v>124</v>
      </c>
      <c r="B262" s="13" t="s">
        <v>736</v>
      </c>
      <c r="C262" s="1">
        <v>45462</v>
      </c>
      <c r="D262" s="13" t="s">
        <v>736</v>
      </c>
      <c r="E262">
        <v>0.10158390104510601</v>
      </c>
      <c r="F262">
        <v>0.10158390104510601</v>
      </c>
      <c r="J262" s="10">
        <v>280</v>
      </c>
      <c r="K262" s="13">
        <v>2</v>
      </c>
      <c r="L262" s="13">
        <v>0.51669498995436602</v>
      </c>
    </row>
    <row r="263" spans="1:12" x14ac:dyDescent="0.2">
      <c r="A263">
        <v>124</v>
      </c>
      <c r="B263" s="13" t="s">
        <v>737</v>
      </c>
      <c r="C263" s="1">
        <v>45438</v>
      </c>
      <c r="D263" s="13" t="s">
        <v>737</v>
      </c>
      <c r="E263">
        <v>0.239627183368012</v>
      </c>
      <c r="F263">
        <v>0.239627183368012</v>
      </c>
      <c r="J263" s="10">
        <v>281</v>
      </c>
      <c r="K263" s="13">
        <v>1</v>
      </c>
      <c r="L263" s="13">
        <v>0.23032937261544001</v>
      </c>
    </row>
    <row r="264" spans="1:12" x14ac:dyDescent="0.2">
      <c r="A264">
        <v>125</v>
      </c>
      <c r="B264" s="13" t="s">
        <v>738</v>
      </c>
      <c r="C264" s="1">
        <v>45581</v>
      </c>
      <c r="D264" s="13" t="s">
        <v>738</v>
      </c>
      <c r="E264">
        <v>0.35815985257262001</v>
      </c>
      <c r="F264">
        <v>0.35815985257262001</v>
      </c>
      <c r="J264" s="10">
        <v>282</v>
      </c>
      <c r="K264" s="13">
        <v>3</v>
      </c>
      <c r="L264" s="13">
        <v>0.45133818407324133</v>
      </c>
    </row>
    <row r="265" spans="1:12" x14ac:dyDescent="0.2">
      <c r="A265">
        <v>125</v>
      </c>
      <c r="B265" s="13" t="s">
        <v>413</v>
      </c>
      <c r="C265" s="1">
        <v>45368</v>
      </c>
      <c r="D265" s="13" t="s">
        <v>413</v>
      </c>
      <c r="E265">
        <v>0.17655947315892101</v>
      </c>
      <c r="F265">
        <v>0.17655947315892101</v>
      </c>
      <c r="J265" s="10">
        <v>283</v>
      </c>
      <c r="K265" s="13">
        <v>2</v>
      </c>
      <c r="L265" s="13">
        <v>0.215044868404655</v>
      </c>
    </row>
    <row r="266" spans="1:12" x14ac:dyDescent="0.2">
      <c r="A266">
        <v>125</v>
      </c>
      <c r="B266" s="13" t="s">
        <v>531</v>
      </c>
      <c r="C266" s="1">
        <v>45601</v>
      </c>
      <c r="D266" s="13" t="s">
        <v>531</v>
      </c>
      <c r="E266">
        <v>0.20328928269926799</v>
      </c>
      <c r="F266">
        <v>0.20328928269926799</v>
      </c>
      <c r="J266" s="10">
        <v>284</v>
      </c>
      <c r="K266" s="13">
        <v>3</v>
      </c>
      <c r="L266" s="13">
        <v>0.83834158589418806</v>
      </c>
    </row>
    <row r="267" spans="1:12" x14ac:dyDescent="0.2">
      <c r="A267">
        <v>127</v>
      </c>
      <c r="B267" s="13" t="s">
        <v>414</v>
      </c>
      <c r="C267" s="1">
        <v>45641</v>
      </c>
      <c r="D267" s="13" t="s">
        <v>414</v>
      </c>
      <c r="E267">
        <v>6.4518935917016407E-2</v>
      </c>
      <c r="F267">
        <v>6.4518935917016407E-2</v>
      </c>
      <c r="J267" s="10">
        <v>285</v>
      </c>
      <c r="K267" s="13">
        <v>4</v>
      </c>
      <c r="L267" s="13">
        <v>0.3723002282913167</v>
      </c>
    </row>
    <row r="268" spans="1:12" x14ac:dyDescent="0.2">
      <c r="A268">
        <v>127</v>
      </c>
      <c r="B268" s="13" t="s">
        <v>739</v>
      </c>
      <c r="C268" s="1">
        <v>45362</v>
      </c>
      <c r="D268" s="13" t="s">
        <v>739</v>
      </c>
      <c r="E268">
        <v>0.12865299423476101</v>
      </c>
      <c r="F268">
        <v>0.12865299423476101</v>
      </c>
      <c r="J268" s="10">
        <v>286</v>
      </c>
      <c r="K268" s="13">
        <v>2</v>
      </c>
      <c r="L268" s="13">
        <v>0.1852408083345875</v>
      </c>
    </row>
    <row r="269" spans="1:12" x14ac:dyDescent="0.2">
      <c r="A269">
        <v>127</v>
      </c>
      <c r="B269" s="13" t="s">
        <v>740</v>
      </c>
      <c r="C269" s="1">
        <v>45657</v>
      </c>
      <c r="D269" s="13" t="s">
        <v>740</v>
      </c>
      <c r="E269">
        <v>0.20612090373452099</v>
      </c>
      <c r="F269">
        <v>0.20612090373452099</v>
      </c>
      <c r="J269" s="10">
        <v>287</v>
      </c>
      <c r="K269" s="13">
        <v>4</v>
      </c>
      <c r="L269" s="13">
        <v>0.90710622739408275</v>
      </c>
    </row>
    <row r="270" spans="1:12" x14ac:dyDescent="0.2">
      <c r="A270">
        <v>128</v>
      </c>
      <c r="B270" s="13" t="s">
        <v>741</v>
      </c>
      <c r="C270" s="1">
        <v>45651</v>
      </c>
      <c r="D270" s="13" t="s">
        <v>741</v>
      </c>
      <c r="E270">
        <v>0.27345400977506001</v>
      </c>
      <c r="F270">
        <v>0.27345400977506001</v>
      </c>
      <c r="J270" s="10">
        <v>288</v>
      </c>
      <c r="K270" s="13">
        <v>3</v>
      </c>
      <c r="L270" s="13">
        <v>0.79645920568337614</v>
      </c>
    </row>
    <row r="271" spans="1:12" x14ac:dyDescent="0.2">
      <c r="A271">
        <v>128</v>
      </c>
      <c r="B271" s="13" t="s">
        <v>742</v>
      </c>
      <c r="C271" s="1">
        <v>45452</v>
      </c>
      <c r="D271" s="13" t="s">
        <v>742</v>
      </c>
      <c r="E271">
        <v>9.2954153925750901E-3</v>
      </c>
      <c r="F271">
        <v>9.2954153925750901E-3</v>
      </c>
      <c r="J271" s="10">
        <v>289</v>
      </c>
      <c r="K271" s="13">
        <v>4</v>
      </c>
      <c r="L271" s="13">
        <v>0.55738136296130825</v>
      </c>
    </row>
    <row r="272" spans="1:12" x14ac:dyDescent="0.2">
      <c r="A272">
        <v>128</v>
      </c>
      <c r="B272" s="13" t="s">
        <v>743</v>
      </c>
      <c r="C272" s="1">
        <v>45453</v>
      </c>
      <c r="D272" s="13" t="s">
        <v>743</v>
      </c>
      <c r="E272">
        <v>9.9944596931955301E-2</v>
      </c>
      <c r="F272">
        <v>9.9944596931955301E-2</v>
      </c>
      <c r="J272" s="10">
        <v>290</v>
      </c>
      <c r="K272" s="13">
        <v>2</v>
      </c>
      <c r="L272" s="13">
        <v>0.10784003279389109</v>
      </c>
    </row>
    <row r="273" spans="1:12" x14ac:dyDescent="0.2">
      <c r="A273">
        <v>129</v>
      </c>
      <c r="B273" s="13" t="s">
        <v>532</v>
      </c>
      <c r="C273" s="1">
        <v>45395</v>
      </c>
      <c r="D273" s="13" t="s">
        <v>532</v>
      </c>
      <c r="E273">
        <v>4.6825068802322803E-2</v>
      </c>
      <c r="F273">
        <v>4.6825068802322803E-2</v>
      </c>
      <c r="J273" s="10">
        <v>291</v>
      </c>
      <c r="K273" s="13">
        <v>3</v>
      </c>
      <c r="L273" s="13">
        <v>0.62291810127918201</v>
      </c>
    </row>
    <row r="274" spans="1:12" x14ac:dyDescent="0.2">
      <c r="A274">
        <v>129</v>
      </c>
      <c r="B274" s="13" t="s">
        <v>744</v>
      </c>
      <c r="C274" s="1">
        <v>45478</v>
      </c>
      <c r="D274" s="13" t="s">
        <v>744</v>
      </c>
      <c r="E274">
        <v>0.18969606299959199</v>
      </c>
      <c r="F274">
        <v>0.18969606299959199</v>
      </c>
      <c r="J274" s="10">
        <v>292</v>
      </c>
      <c r="K274" s="13">
        <v>3</v>
      </c>
      <c r="L274" s="13">
        <v>0.57435829853248399</v>
      </c>
    </row>
    <row r="275" spans="1:12" x14ac:dyDescent="0.2">
      <c r="A275">
        <v>129</v>
      </c>
      <c r="B275" s="13" t="s">
        <v>745</v>
      </c>
      <c r="C275" s="1">
        <v>45324</v>
      </c>
      <c r="D275" s="13" t="s">
        <v>745</v>
      </c>
      <c r="E275">
        <v>1.47144512528577E-2</v>
      </c>
      <c r="F275">
        <v>1.47144512528577E-2</v>
      </c>
      <c r="I275" s="5"/>
      <c r="J275" s="10">
        <v>293</v>
      </c>
      <c r="K275" s="13">
        <v>4</v>
      </c>
      <c r="L275" s="13">
        <v>0.78950259467724804</v>
      </c>
    </row>
    <row r="276" spans="1:12" x14ac:dyDescent="0.2">
      <c r="A276">
        <v>130</v>
      </c>
      <c r="B276" s="13" t="s">
        <v>746</v>
      </c>
      <c r="C276" s="1">
        <v>45619</v>
      </c>
      <c r="D276" s="13" t="s">
        <v>746</v>
      </c>
      <c r="E276">
        <v>0.165198016412749</v>
      </c>
      <c r="F276">
        <v>0.165198016412749</v>
      </c>
      <c r="J276" s="10">
        <v>294</v>
      </c>
      <c r="K276" s="13">
        <v>1</v>
      </c>
      <c r="L276" s="13">
        <v>1.95411430148472E-2</v>
      </c>
    </row>
    <row r="277" spans="1:12" x14ac:dyDescent="0.2">
      <c r="A277">
        <v>130</v>
      </c>
      <c r="B277" s="13" t="s">
        <v>747</v>
      </c>
      <c r="C277" s="1">
        <v>45372</v>
      </c>
      <c r="D277" s="13" t="s">
        <v>747</v>
      </c>
      <c r="E277">
        <v>0.196889023823141</v>
      </c>
      <c r="F277">
        <v>0.196889023823141</v>
      </c>
      <c r="J277" s="10">
        <v>295</v>
      </c>
      <c r="K277" s="13">
        <v>1</v>
      </c>
      <c r="L277" s="13">
        <v>0.23838796511891899</v>
      </c>
    </row>
    <row r="278" spans="1:12" x14ac:dyDescent="0.2">
      <c r="A278">
        <v>131</v>
      </c>
      <c r="B278" s="13" t="s">
        <v>86</v>
      </c>
      <c r="C278" s="1">
        <v>45342</v>
      </c>
      <c r="D278" s="13" t="s">
        <v>86</v>
      </c>
      <c r="E278">
        <v>0.12253670391672</v>
      </c>
      <c r="F278">
        <v>0.12253670391672</v>
      </c>
      <c r="J278" s="10">
        <v>296</v>
      </c>
      <c r="K278" s="13">
        <v>1</v>
      </c>
      <c r="L278" s="13">
        <v>0.17089750143944599</v>
      </c>
    </row>
    <row r="279" spans="1:12" x14ac:dyDescent="0.2">
      <c r="A279">
        <v>131</v>
      </c>
      <c r="B279" s="13" t="s">
        <v>87</v>
      </c>
      <c r="C279" s="1">
        <v>45446</v>
      </c>
      <c r="D279" s="13" t="s">
        <v>87</v>
      </c>
      <c r="E279">
        <v>0.57386402372842005</v>
      </c>
      <c r="F279">
        <v>0.57386402372842005</v>
      </c>
      <c r="J279" s="10">
        <v>298</v>
      </c>
      <c r="K279" s="13">
        <v>3</v>
      </c>
      <c r="L279" s="13">
        <v>0.80508732745361</v>
      </c>
    </row>
    <row r="280" spans="1:12" x14ac:dyDescent="0.2">
      <c r="A280">
        <v>132</v>
      </c>
      <c r="B280" s="13" t="s">
        <v>533</v>
      </c>
      <c r="C280" s="1">
        <v>45527</v>
      </c>
      <c r="D280" s="13" t="s">
        <v>533</v>
      </c>
      <c r="E280">
        <v>0.14783157129394101</v>
      </c>
      <c r="F280">
        <v>0.14783157129394101</v>
      </c>
      <c r="J280" s="10">
        <v>299</v>
      </c>
      <c r="K280" s="13">
        <v>3</v>
      </c>
      <c r="L280" s="13">
        <v>0.71173772098598298</v>
      </c>
    </row>
    <row r="281" spans="1:12" x14ac:dyDescent="0.2">
      <c r="A281">
        <v>133</v>
      </c>
      <c r="B281" s="13" t="s">
        <v>88</v>
      </c>
      <c r="C281" s="1">
        <v>45616</v>
      </c>
      <c r="D281" s="13" t="s">
        <v>88</v>
      </c>
      <c r="E281">
        <v>0.23094336037794899</v>
      </c>
      <c r="F281">
        <v>0.23094336037794899</v>
      </c>
      <c r="J281" s="10">
        <v>300</v>
      </c>
      <c r="K281" s="13">
        <v>1</v>
      </c>
      <c r="L281" s="13">
        <v>0.24072838804539801</v>
      </c>
    </row>
    <row r="282" spans="1:12" x14ac:dyDescent="0.2">
      <c r="A282">
        <v>133</v>
      </c>
      <c r="B282" s="13" t="s">
        <v>89</v>
      </c>
      <c r="C282" s="1">
        <v>45532</v>
      </c>
      <c r="D282" s="13" t="s">
        <v>89</v>
      </c>
      <c r="E282">
        <v>0.13657082912417001</v>
      </c>
      <c r="F282">
        <v>0.13657082912417001</v>
      </c>
      <c r="J282" s="10">
        <v>301</v>
      </c>
      <c r="K282" s="13">
        <v>1</v>
      </c>
      <c r="L282" s="13">
        <v>5.6030365291685799E-2</v>
      </c>
    </row>
    <row r="283" spans="1:12" x14ac:dyDescent="0.2">
      <c r="A283">
        <v>134</v>
      </c>
      <c r="B283" s="13" t="s">
        <v>748</v>
      </c>
      <c r="C283" s="1">
        <v>45520</v>
      </c>
      <c r="D283" s="13" t="s">
        <v>748</v>
      </c>
      <c r="E283">
        <v>8.8201754109967806E-2</v>
      </c>
      <c r="F283">
        <v>8.8201754109967806E-2</v>
      </c>
      <c r="J283" s="10">
        <v>302</v>
      </c>
      <c r="K283" s="13">
        <v>4</v>
      </c>
      <c r="L283" s="13">
        <v>1.1390851577654741</v>
      </c>
    </row>
    <row r="284" spans="1:12" x14ac:dyDescent="0.2">
      <c r="A284">
        <v>134</v>
      </c>
      <c r="B284" s="13" t="s">
        <v>90</v>
      </c>
      <c r="C284" s="1">
        <v>45625</v>
      </c>
      <c r="D284" s="13" t="s">
        <v>90</v>
      </c>
      <c r="E284">
        <v>0.37147078424360702</v>
      </c>
      <c r="F284">
        <v>0.37147078424360702</v>
      </c>
      <c r="J284" s="10">
        <v>303</v>
      </c>
      <c r="K284" s="13">
        <v>1</v>
      </c>
      <c r="L284" s="13">
        <v>0.25542903648708698</v>
      </c>
    </row>
    <row r="285" spans="1:12" x14ac:dyDescent="0.2">
      <c r="A285">
        <v>135</v>
      </c>
      <c r="B285" s="13" t="s">
        <v>749</v>
      </c>
      <c r="C285" s="1">
        <v>45383</v>
      </c>
      <c r="D285" s="13" t="s">
        <v>749</v>
      </c>
      <c r="E285">
        <v>0.1137656078123</v>
      </c>
      <c r="F285">
        <v>0.1137656078123</v>
      </c>
      <c r="J285" s="10">
        <v>304</v>
      </c>
      <c r="K285" s="13">
        <v>2</v>
      </c>
      <c r="L285" s="13">
        <v>0.47824045004088722</v>
      </c>
    </row>
    <row r="286" spans="1:12" x14ac:dyDescent="0.2">
      <c r="A286">
        <v>135</v>
      </c>
      <c r="B286" s="13" t="s">
        <v>91</v>
      </c>
      <c r="C286" s="1">
        <v>45471</v>
      </c>
      <c r="D286" s="13" t="s">
        <v>91</v>
      </c>
      <c r="E286">
        <v>0.48015870850327003</v>
      </c>
      <c r="F286">
        <v>0.48015870850327003</v>
      </c>
      <c r="J286" s="10">
        <v>305</v>
      </c>
      <c r="K286" s="13">
        <v>2</v>
      </c>
      <c r="L286" s="13">
        <v>0.65259401448975296</v>
      </c>
    </row>
    <row r="287" spans="1:12" x14ac:dyDescent="0.2">
      <c r="A287">
        <v>136</v>
      </c>
      <c r="B287" s="13" t="s">
        <v>415</v>
      </c>
      <c r="C287" s="1">
        <v>45366</v>
      </c>
      <c r="D287" s="13" t="s">
        <v>415</v>
      </c>
      <c r="E287">
        <v>0.36222935949295398</v>
      </c>
      <c r="F287">
        <v>0.36222935949295398</v>
      </c>
      <c r="J287" s="10">
        <v>306</v>
      </c>
      <c r="K287" s="13">
        <v>2</v>
      </c>
      <c r="L287" s="13">
        <v>9.8732526705476803E-2</v>
      </c>
    </row>
    <row r="288" spans="1:12" x14ac:dyDescent="0.2">
      <c r="A288">
        <v>136</v>
      </c>
      <c r="B288" s="13" t="s">
        <v>750</v>
      </c>
      <c r="C288" s="1">
        <v>45587</v>
      </c>
      <c r="D288" s="13" t="s">
        <v>750</v>
      </c>
      <c r="E288">
        <v>0.197810505251761</v>
      </c>
      <c r="F288">
        <v>0.197810505251761</v>
      </c>
      <c r="J288" s="10">
        <v>307</v>
      </c>
      <c r="K288" s="13">
        <v>3</v>
      </c>
      <c r="L288" s="13">
        <v>0.44000318705285468</v>
      </c>
    </row>
    <row r="289" spans="1:12" x14ac:dyDescent="0.2">
      <c r="A289">
        <v>137</v>
      </c>
      <c r="B289" s="13" t="s">
        <v>416</v>
      </c>
      <c r="C289" s="1">
        <v>45349</v>
      </c>
      <c r="D289" s="13" t="s">
        <v>416</v>
      </c>
      <c r="E289">
        <v>0.11283438595663101</v>
      </c>
      <c r="F289">
        <v>0.11283438595663101</v>
      </c>
      <c r="J289" s="10">
        <v>308</v>
      </c>
      <c r="K289" s="13">
        <v>4</v>
      </c>
      <c r="L289" s="13">
        <v>1.038519574231481</v>
      </c>
    </row>
    <row r="290" spans="1:12" x14ac:dyDescent="0.2">
      <c r="A290">
        <v>138</v>
      </c>
      <c r="B290" s="13" t="s">
        <v>534</v>
      </c>
      <c r="C290" s="1">
        <v>45453</v>
      </c>
      <c r="D290" s="13" t="s">
        <v>534</v>
      </c>
      <c r="E290">
        <v>7.9821505492401107E-2</v>
      </c>
      <c r="F290">
        <v>7.9821505492401107E-2</v>
      </c>
      <c r="J290" s="10">
        <v>309</v>
      </c>
      <c r="K290" s="13">
        <v>2</v>
      </c>
      <c r="L290" s="13">
        <v>0.24097937870778799</v>
      </c>
    </row>
    <row r="291" spans="1:12" x14ac:dyDescent="0.2">
      <c r="A291">
        <v>140</v>
      </c>
      <c r="B291" s="13" t="s">
        <v>751</v>
      </c>
      <c r="C291" s="1">
        <v>45381</v>
      </c>
      <c r="D291" s="13" t="s">
        <v>751</v>
      </c>
      <c r="E291">
        <v>6.7919531643255301E-2</v>
      </c>
      <c r="F291">
        <v>6.7919531643255301E-2</v>
      </c>
      <c r="J291" s="10">
        <v>310</v>
      </c>
      <c r="K291" s="13">
        <v>2</v>
      </c>
      <c r="L291" s="13">
        <v>0.27170324016658398</v>
      </c>
    </row>
    <row r="292" spans="1:12" x14ac:dyDescent="0.2">
      <c r="A292">
        <v>140</v>
      </c>
      <c r="B292" s="13" t="s">
        <v>417</v>
      </c>
      <c r="C292" s="1">
        <v>45423</v>
      </c>
      <c r="D292" s="13" t="s">
        <v>417</v>
      </c>
      <c r="E292">
        <v>4.1890551585991899E-2</v>
      </c>
      <c r="F292">
        <v>4.1890551585991899E-2</v>
      </c>
      <c r="J292" s="10">
        <v>311</v>
      </c>
      <c r="K292" s="13">
        <v>2</v>
      </c>
      <c r="L292" s="13">
        <v>0.28958460733125818</v>
      </c>
    </row>
    <row r="293" spans="1:12" x14ac:dyDescent="0.2">
      <c r="A293">
        <v>141</v>
      </c>
      <c r="B293" s="13" t="s">
        <v>92</v>
      </c>
      <c r="C293" s="1">
        <v>45436</v>
      </c>
      <c r="D293" s="13" t="s">
        <v>92</v>
      </c>
      <c r="E293">
        <v>9.9228894714108007E-2</v>
      </c>
      <c r="F293">
        <v>9.9228894714108007E-2</v>
      </c>
      <c r="J293" s="10">
        <v>312</v>
      </c>
      <c r="K293" s="13">
        <v>2</v>
      </c>
      <c r="L293" s="13">
        <v>0.16398683390893692</v>
      </c>
    </row>
    <row r="294" spans="1:12" x14ac:dyDescent="0.2">
      <c r="A294">
        <v>141</v>
      </c>
      <c r="B294" s="13" t="s">
        <v>93</v>
      </c>
      <c r="C294" s="1">
        <v>45540</v>
      </c>
      <c r="D294" s="13" t="s">
        <v>93</v>
      </c>
      <c r="E294">
        <v>0.238160075380521</v>
      </c>
      <c r="F294">
        <v>0.238160075380521</v>
      </c>
      <c r="J294" s="10">
        <v>313</v>
      </c>
      <c r="K294" s="13">
        <v>2</v>
      </c>
      <c r="L294" s="13">
        <v>0.34942021781670796</v>
      </c>
    </row>
    <row r="295" spans="1:12" x14ac:dyDescent="0.2">
      <c r="A295">
        <v>141</v>
      </c>
      <c r="B295" s="13" t="s">
        <v>94</v>
      </c>
      <c r="C295" s="1">
        <v>45350</v>
      </c>
      <c r="D295" s="13" t="s">
        <v>94</v>
      </c>
      <c r="E295">
        <v>0.107513201066155</v>
      </c>
      <c r="F295">
        <v>0.107513201066155</v>
      </c>
      <c r="J295" s="10">
        <v>314</v>
      </c>
      <c r="K295" s="13">
        <v>4</v>
      </c>
      <c r="L295" s="13">
        <v>0.48478266837707784</v>
      </c>
    </row>
    <row r="296" spans="1:12" x14ac:dyDescent="0.2">
      <c r="A296">
        <v>142</v>
      </c>
      <c r="B296" s="13" t="s">
        <v>418</v>
      </c>
      <c r="C296" s="1">
        <v>45588</v>
      </c>
      <c r="D296" s="13" t="s">
        <v>418</v>
      </c>
      <c r="E296">
        <v>0.45130579394148002</v>
      </c>
      <c r="F296">
        <v>0.45130579394148002</v>
      </c>
      <c r="J296" s="10">
        <v>315</v>
      </c>
      <c r="K296" s="13">
        <v>3</v>
      </c>
      <c r="L296" s="13">
        <v>0.73366839794828198</v>
      </c>
    </row>
    <row r="297" spans="1:12" x14ac:dyDescent="0.2">
      <c r="A297">
        <v>142</v>
      </c>
      <c r="B297" s="13" t="s">
        <v>419</v>
      </c>
      <c r="C297" s="1">
        <v>45326</v>
      </c>
      <c r="D297" s="13" t="s">
        <v>419</v>
      </c>
      <c r="E297">
        <v>0.10773401237720499</v>
      </c>
      <c r="F297">
        <v>0.10773401237720499</v>
      </c>
      <c r="J297" s="10">
        <v>316</v>
      </c>
      <c r="K297" s="13">
        <v>1</v>
      </c>
      <c r="L297" s="13">
        <v>0.13179963043578699</v>
      </c>
    </row>
    <row r="298" spans="1:12" x14ac:dyDescent="0.2">
      <c r="A298">
        <v>143</v>
      </c>
      <c r="B298" s="13" t="s">
        <v>420</v>
      </c>
      <c r="C298" s="1">
        <v>45466</v>
      </c>
      <c r="D298" s="13" t="s">
        <v>420</v>
      </c>
      <c r="E298">
        <v>4.7396816684003903E-2</v>
      </c>
      <c r="F298">
        <v>4.7396816684003903E-2</v>
      </c>
      <c r="J298" s="10">
        <v>317</v>
      </c>
      <c r="K298" s="13">
        <v>1</v>
      </c>
      <c r="L298" s="13">
        <v>7.32748709930915E-3</v>
      </c>
    </row>
    <row r="299" spans="1:12" x14ac:dyDescent="0.2">
      <c r="A299">
        <v>143</v>
      </c>
      <c r="B299" s="13" t="s">
        <v>535</v>
      </c>
      <c r="C299" s="1">
        <v>45384</v>
      </c>
      <c r="D299" s="13" t="s">
        <v>535</v>
      </c>
      <c r="E299">
        <v>0.150917783831714</v>
      </c>
      <c r="F299">
        <v>0.150917783831714</v>
      </c>
      <c r="J299" s="10">
        <v>318</v>
      </c>
      <c r="K299" s="13">
        <v>3</v>
      </c>
      <c r="L299" s="13">
        <v>0.71668426273623731</v>
      </c>
    </row>
    <row r="300" spans="1:12" x14ac:dyDescent="0.2">
      <c r="A300">
        <v>143</v>
      </c>
      <c r="B300" s="13" t="s">
        <v>752</v>
      </c>
      <c r="C300" s="1">
        <v>45525</v>
      </c>
      <c r="D300" s="13" t="s">
        <v>752</v>
      </c>
      <c r="E300">
        <v>0.21221160113902399</v>
      </c>
      <c r="F300">
        <v>0.21221160113902399</v>
      </c>
      <c r="J300" s="10">
        <v>319</v>
      </c>
      <c r="K300" s="13">
        <v>3</v>
      </c>
      <c r="L300" s="13">
        <v>0.5959920650753463</v>
      </c>
    </row>
    <row r="301" spans="1:12" x14ac:dyDescent="0.2">
      <c r="A301">
        <v>143</v>
      </c>
      <c r="B301" s="13" t="s">
        <v>753</v>
      </c>
      <c r="C301" s="1">
        <v>45600</v>
      </c>
      <c r="D301" s="13" t="s">
        <v>753</v>
      </c>
      <c r="E301">
        <v>0.17068039835294799</v>
      </c>
      <c r="F301">
        <v>0.17068039835294799</v>
      </c>
      <c r="J301" s="10">
        <v>320</v>
      </c>
      <c r="K301" s="13">
        <v>1</v>
      </c>
      <c r="L301" s="13">
        <v>0.22982114772693099</v>
      </c>
    </row>
    <row r="302" spans="1:12" x14ac:dyDescent="0.2">
      <c r="A302">
        <v>144</v>
      </c>
      <c r="B302" s="13" t="s">
        <v>95</v>
      </c>
      <c r="C302" s="1">
        <v>45612</v>
      </c>
      <c r="D302" s="13" t="s">
        <v>95</v>
      </c>
      <c r="E302">
        <v>2.5513561615363198E-2</v>
      </c>
      <c r="F302">
        <v>2.5513561615363198E-2</v>
      </c>
      <c r="J302" s="10">
        <v>321</v>
      </c>
      <c r="K302" s="13">
        <v>1</v>
      </c>
      <c r="L302" s="13">
        <v>0.13597406345712101</v>
      </c>
    </row>
    <row r="303" spans="1:12" x14ac:dyDescent="0.2">
      <c r="A303">
        <v>144</v>
      </c>
      <c r="B303" s="13" t="s">
        <v>96</v>
      </c>
      <c r="C303" s="1">
        <v>45505</v>
      </c>
      <c r="D303" s="13" t="s">
        <v>96</v>
      </c>
      <c r="E303">
        <v>0.263478185814358</v>
      </c>
      <c r="F303">
        <v>0.263478185814358</v>
      </c>
      <c r="J303" s="10">
        <v>322</v>
      </c>
      <c r="K303" s="13">
        <v>3</v>
      </c>
      <c r="L303" s="13">
        <v>0.28175657257685721</v>
      </c>
    </row>
    <row r="304" spans="1:12" x14ac:dyDescent="0.2">
      <c r="A304">
        <v>144</v>
      </c>
      <c r="B304" s="13" t="s">
        <v>97</v>
      </c>
      <c r="C304" s="1">
        <v>45489</v>
      </c>
      <c r="D304" s="13" t="s">
        <v>97</v>
      </c>
      <c r="E304">
        <v>0.23764911403366501</v>
      </c>
      <c r="F304">
        <v>0.23764911403366501</v>
      </c>
      <c r="J304" s="10">
        <v>323</v>
      </c>
      <c r="K304" s="13">
        <v>3</v>
      </c>
      <c r="L304" s="13">
        <v>0.3522460719851192</v>
      </c>
    </row>
    <row r="305" spans="1:12" x14ac:dyDescent="0.2">
      <c r="A305">
        <v>145</v>
      </c>
      <c r="B305" s="13" t="s">
        <v>754</v>
      </c>
      <c r="C305" s="1">
        <v>45578</v>
      </c>
      <c r="D305" s="13" t="s">
        <v>754</v>
      </c>
      <c r="E305">
        <v>2.2949639563861701E-2</v>
      </c>
      <c r="F305">
        <v>2.2949639563861701E-2</v>
      </c>
      <c r="J305" s="10">
        <v>324</v>
      </c>
      <c r="K305" s="13">
        <v>2</v>
      </c>
      <c r="L305" s="13">
        <v>0.68197314369626705</v>
      </c>
    </row>
    <row r="306" spans="1:12" x14ac:dyDescent="0.2">
      <c r="A306">
        <v>146</v>
      </c>
      <c r="B306" s="13" t="s">
        <v>755</v>
      </c>
      <c r="C306" s="1">
        <v>45585</v>
      </c>
      <c r="D306" s="13" t="s">
        <v>755</v>
      </c>
      <c r="E306">
        <v>0.119320982351639</v>
      </c>
      <c r="F306">
        <v>0.119320982351639</v>
      </c>
      <c r="J306" s="10">
        <v>325</v>
      </c>
      <c r="K306" s="13">
        <v>3</v>
      </c>
      <c r="L306" s="13">
        <v>0.62339904885050768</v>
      </c>
    </row>
    <row r="307" spans="1:12" x14ac:dyDescent="0.2">
      <c r="A307">
        <v>146</v>
      </c>
      <c r="B307" s="13" t="s">
        <v>756</v>
      </c>
      <c r="C307" s="1">
        <v>45321</v>
      </c>
      <c r="D307" s="13" t="s">
        <v>756</v>
      </c>
      <c r="E307">
        <v>0.57583264204043605</v>
      </c>
      <c r="F307">
        <v>0.57583264204043605</v>
      </c>
      <c r="J307" s="10">
        <v>326</v>
      </c>
      <c r="K307" s="13">
        <v>4</v>
      </c>
      <c r="L307" s="13">
        <v>1.3674437206616898</v>
      </c>
    </row>
    <row r="308" spans="1:12" x14ac:dyDescent="0.2">
      <c r="A308">
        <v>146</v>
      </c>
      <c r="B308" s="13" t="s">
        <v>98</v>
      </c>
      <c r="C308" s="1">
        <v>45457</v>
      </c>
      <c r="D308" s="13" t="s">
        <v>98</v>
      </c>
      <c r="E308">
        <v>8.1444323025002804E-2</v>
      </c>
      <c r="F308">
        <v>8.1444323025002804E-2</v>
      </c>
      <c r="J308" s="10">
        <v>328</v>
      </c>
      <c r="K308" s="13">
        <v>4</v>
      </c>
      <c r="L308" s="13">
        <v>0.807162815880625</v>
      </c>
    </row>
    <row r="309" spans="1:12" x14ac:dyDescent="0.2">
      <c r="A309">
        <v>147</v>
      </c>
      <c r="B309" s="13" t="s">
        <v>757</v>
      </c>
      <c r="C309" s="1">
        <v>45643</v>
      </c>
      <c r="D309" s="13" t="s">
        <v>757</v>
      </c>
      <c r="E309">
        <v>0.184696758886608</v>
      </c>
      <c r="F309">
        <v>0.184696758886608</v>
      </c>
      <c r="J309" s="10">
        <v>329</v>
      </c>
      <c r="K309" s="13">
        <v>3</v>
      </c>
      <c r="L309" s="13">
        <v>0.3601481670469347</v>
      </c>
    </row>
    <row r="310" spans="1:12" x14ac:dyDescent="0.2">
      <c r="A310">
        <v>147</v>
      </c>
      <c r="B310" s="13" t="s">
        <v>758</v>
      </c>
      <c r="C310" s="1">
        <v>45417</v>
      </c>
      <c r="D310" s="13" t="s">
        <v>758</v>
      </c>
      <c r="E310">
        <v>7.3544444871036702E-2</v>
      </c>
      <c r="F310">
        <v>7.3544444871036702E-2</v>
      </c>
      <c r="J310" s="10">
        <v>331</v>
      </c>
      <c r="K310" s="13">
        <v>2</v>
      </c>
      <c r="L310" s="13">
        <v>7.08930211662369E-2</v>
      </c>
    </row>
    <row r="311" spans="1:12" x14ac:dyDescent="0.2">
      <c r="A311">
        <v>147</v>
      </c>
      <c r="B311" s="13" t="s">
        <v>759</v>
      </c>
      <c r="C311" s="1">
        <v>45522</v>
      </c>
      <c r="D311" s="13" t="s">
        <v>759</v>
      </c>
      <c r="E311">
        <v>6.1873184203820403E-2</v>
      </c>
      <c r="F311">
        <v>6.1873184203820403E-2</v>
      </c>
      <c r="J311" s="10">
        <v>332</v>
      </c>
      <c r="K311" s="13">
        <v>3</v>
      </c>
      <c r="L311" s="13">
        <v>0.41415959140490932</v>
      </c>
    </row>
    <row r="312" spans="1:12" x14ac:dyDescent="0.2">
      <c r="A312">
        <v>148</v>
      </c>
      <c r="B312" s="13" t="s">
        <v>421</v>
      </c>
      <c r="C312" s="1">
        <v>45426</v>
      </c>
      <c r="D312" s="13" t="s">
        <v>421</v>
      </c>
      <c r="E312">
        <v>4.6817543681079002E-2</v>
      </c>
      <c r="F312">
        <v>4.6817543681079002E-2</v>
      </c>
      <c r="J312" s="10">
        <v>333</v>
      </c>
      <c r="K312" s="13">
        <v>2</v>
      </c>
      <c r="L312" s="13">
        <v>0.373121271164783</v>
      </c>
    </row>
    <row r="313" spans="1:12" x14ac:dyDescent="0.2">
      <c r="A313">
        <v>148</v>
      </c>
      <c r="B313" s="13" t="s">
        <v>99</v>
      </c>
      <c r="C313" s="1">
        <v>45486</v>
      </c>
      <c r="D313" s="13" t="s">
        <v>99</v>
      </c>
      <c r="E313">
        <v>3.9893706875472501E-2</v>
      </c>
      <c r="F313">
        <v>3.9893706875472501E-2</v>
      </c>
      <c r="J313" s="10">
        <v>334</v>
      </c>
      <c r="K313" s="13">
        <v>1</v>
      </c>
      <c r="L313" s="13">
        <v>0.115424361015751</v>
      </c>
    </row>
    <row r="314" spans="1:12" x14ac:dyDescent="0.2">
      <c r="A314">
        <v>148</v>
      </c>
      <c r="B314" s="13" t="s">
        <v>100</v>
      </c>
      <c r="C314" s="1">
        <v>45507</v>
      </c>
      <c r="D314" s="13" t="s">
        <v>100</v>
      </c>
      <c r="E314">
        <v>9.9276725987245504E-2</v>
      </c>
      <c r="F314">
        <v>9.9276725987245504E-2</v>
      </c>
      <c r="J314" s="10">
        <v>335</v>
      </c>
      <c r="K314" s="13">
        <v>3</v>
      </c>
      <c r="L314" s="13">
        <v>0.5554445922796617</v>
      </c>
    </row>
    <row r="315" spans="1:12" x14ac:dyDescent="0.2">
      <c r="A315">
        <v>148</v>
      </c>
      <c r="B315" s="13" t="s">
        <v>101</v>
      </c>
      <c r="C315" s="1">
        <v>45498</v>
      </c>
      <c r="D315" s="13" t="s">
        <v>101</v>
      </c>
      <c r="E315">
        <v>0.356739411300461</v>
      </c>
      <c r="F315">
        <v>0.356739411300461</v>
      </c>
      <c r="J315" s="10">
        <v>336</v>
      </c>
      <c r="K315" s="13">
        <v>2</v>
      </c>
      <c r="L315" s="13">
        <v>6.6699865196630709E-2</v>
      </c>
    </row>
    <row r="316" spans="1:12" x14ac:dyDescent="0.2">
      <c r="A316">
        <v>149</v>
      </c>
      <c r="B316" s="13" t="s">
        <v>102</v>
      </c>
      <c r="C316" s="1">
        <v>45340</v>
      </c>
      <c r="D316" s="13" t="s">
        <v>102</v>
      </c>
      <c r="E316">
        <v>0.18190042067043699</v>
      </c>
      <c r="F316">
        <v>0.18190042067043699</v>
      </c>
      <c r="J316" s="10">
        <v>337</v>
      </c>
      <c r="K316" s="13">
        <v>2</v>
      </c>
      <c r="L316" s="13">
        <v>0.31398473807930921</v>
      </c>
    </row>
    <row r="317" spans="1:12" x14ac:dyDescent="0.2">
      <c r="A317">
        <v>149</v>
      </c>
      <c r="B317" s="13" t="s">
        <v>103</v>
      </c>
      <c r="C317" s="1">
        <v>45427</v>
      </c>
      <c r="D317" s="13" t="s">
        <v>103</v>
      </c>
      <c r="E317">
        <v>8.9673747178311294E-2</v>
      </c>
      <c r="F317">
        <v>8.9673747178311294E-2</v>
      </c>
      <c r="J317" s="10">
        <v>338</v>
      </c>
      <c r="K317" s="13">
        <v>2</v>
      </c>
      <c r="L317" s="13">
        <v>0.31544232860676369</v>
      </c>
    </row>
    <row r="318" spans="1:12" x14ac:dyDescent="0.2">
      <c r="A318">
        <v>149</v>
      </c>
      <c r="B318" s="13" t="s">
        <v>104</v>
      </c>
      <c r="C318" s="1">
        <v>45516</v>
      </c>
      <c r="D318" s="13" t="s">
        <v>104</v>
      </c>
      <c r="E318">
        <v>0.22198184210665201</v>
      </c>
      <c r="F318">
        <v>0.22198184210665201</v>
      </c>
      <c r="J318" s="10">
        <v>339</v>
      </c>
      <c r="K318" s="13">
        <v>2</v>
      </c>
      <c r="L318" s="13">
        <v>0.78091306214171308</v>
      </c>
    </row>
    <row r="319" spans="1:12" x14ac:dyDescent="0.2">
      <c r="A319">
        <v>150</v>
      </c>
      <c r="B319" s="13" t="s">
        <v>105</v>
      </c>
      <c r="C319" s="1">
        <v>45502</v>
      </c>
      <c r="D319" s="13" t="s">
        <v>105</v>
      </c>
      <c r="E319">
        <v>4.2053537066086603E-2</v>
      </c>
      <c r="F319">
        <v>4.2053537066086603E-2</v>
      </c>
      <c r="J319" s="10">
        <v>341</v>
      </c>
      <c r="K319" s="13">
        <v>2</v>
      </c>
      <c r="L319" s="13">
        <v>0.36287533732603405</v>
      </c>
    </row>
    <row r="320" spans="1:12" x14ac:dyDescent="0.2">
      <c r="A320">
        <v>150</v>
      </c>
      <c r="B320" s="13" t="s">
        <v>106</v>
      </c>
      <c r="C320" s="1">
        <v>45386</v>
      </c>
      <c r="D320" s="13" t="s">
        <v>106</v>
      </c>
      <c r="E320">
        <v>0.173468490724874</v>
      </c>
      <c r="F320">
        <v>0.173468490724874</v>
      </c>
      <c r="J320" s="10">
        <v>342</v>
      </c>
      <c r="K320" s="13">
        <v>3</v>
      </c>
      <c r="L320" s="13">
        <v>0.42337611923973673</v>
      </c>
    </row>
    <row r="321" spans="1:12" x14ac:dyDescent="0.2">
      <c r="A321">
        <v>151</v>
      </c>
      <c r="B321" s="13" t="s">
        <v>536</v>
      </c>
      <c r="C321" s="1">
        <v>45448</v>
      </c>
      <c r="D321" s="13" t="s">
        <v>536</v>
      </c>
      <c r="E321">
        <v>0.281600924730603</v>
      </c>
      <c r="F321">
        <v>0.281600924730603</v>
      </c>
      <c r="J321" s="10">
        <v>343</v>
      </c>
      <c r="K321" s="13">
        <v>2</v>
      </c>
      <c r="L321" s="13">
        <v>0.41878293133343214</v>
      </c>
    </row>
    <row r="322" spans="1:12" x14ac:dyDescent="0.2">
      <c r="A322">
        <v>152</v>
      </c>
      <c r="B322" s="13" t="s">
        <v>422</v>
      </c>
      <c r="C322" s="1">
        <v>45504</v>
      </c>
      <c r="D322" s="13" t="s">
        <v>422</v>
      </c>
      <c r="E322">
        <v>0.31019538650107698</v>
      </c>
      <c r="F322">
        <v>0.31019538650107698</v>
      </c>
      <c r="J322" s="10">
        <v>344</v>
      </c>
      <c r="K322" s="13">
        <v>3</v>
      </c>
      <c r="L322" s="13">
        <v>0.558269192704828</v>
      </c>
    </row>
    <row r="323" spans="1:12" x14ac:dyDescent="0.2">
      <c r="A323">
        <v>152</v>
      </c>
      <c r="B323" s="13" t="s">
        <v>423</v>
      </c>
      <c r="C323" s="1">
        <v>45516</v>
      </c>
      <c r="D323" s="13" t="s">
        <v>423</v>
      </c>
      <c r="E323">
        <v>0.22273658356082399</v>
      </c>
      <c r="F323">
        <v>0.22273658356082399</v>
      </c>
      <c r="J323" s="10">
        <v>345</v>
      </c>
      <c r="K323" s="13">
        <v>2</v>
      </c>
      <c r="L323" s="13">
        <v>0.31624110566929897</v>
      </c>
    </row>
    <row r="324" spans="1:12" x14ac:dyDescent="0.2">
      <c r="A324">
        <v>153</v>
      </c>
      <c r="B324" s="13" t="s">
        <v>424</v>
      </c>
      <c r="C324" s="1">
        <v>45356</v>
      </c>
      <c r="D324" s="13" t="s">
        <v>424</v>
      </c>
      <c r="E324">
        <v>4.38634564580156E-2</v>
      </c>
      <c r="F324">
        <v>4.38634564580156E-2</v>
      </c>
      <c r="J324" s="10">
        <v>346</v>
      </c>
      <c r="K324" s="13">
        <v>3</v>
      </c>
      <c r="L324" s="13">
        <v>0.73354392606807906</v>
      </c>
    </row>
    <row r="325" spans="1:12" x14ac:dyDescent="0.2">
      <c r="A325">
        <v>153</v>
      </c>
      <c r="B325" s="13" t="s">
        <v>425</v>
      </c>
      <c r="C325" s="1">
        <v>45645</v>
      </c>
      <c r="D325" s="13" t="s">
        <v>425</v>
      </c>
      <c r="E325">
        <v>0.134369055893649</v>
      </c>
      <c r="F325">
        <v>0.134369055893649</v>
      </c>
      <c r="J325" s="10">
        <v>348</v>
      </c>
      <c r="K325" s="13">
        <v>2</v>
      </c>
      <c r="L325" s="13">
        <v>0.308783770366233</v>
      </c>
    </row>
    <row r="326" spans="1:12" x14ac:dyDescent="0.2">
      <c r="A326">
        <v>154</v>
      </c>
      <c r="B326" s="13" t="s">
        <v>426</v>
      </c>
      <c r="C326" s="1">
        <v>45514</v>
      </c>
      <c r="D326" s="13" t="s">
        <v>426</v>
      </c>
      <c r="E326">
        <v>6.4411205530750804E-2</v>
      </c>
      <c r="F326">
        <v>6.4411205530750804E-2</v>
      </c>
      <c r="J326" s="10">
        <v>349</v>
      </c>
      <c r="K326" s="13">
        <v>3</v>
      </c>
      <c r="L326" s="13">
        <v>0.51792460915800598</v>
      </c>
    </row>
    <row r="327" spans="1:12" x14ac:dyDescent="0.2">
      <c r="A327">
        <v>154</v>
      </c>
      <c r="B327" s="13" t="s">
        <v>760</v>
      </c>
      <c r="C327" s="1">
        <v>45305</v>
      </c>
      <c r="D327" s="13" t="s">
        <v>760</v>
      </c>
      <c r="E327">
        <v>0.16558555001869901</v>
      </c>
      <c r="F327">
        <v>0.16558555001869901</v>
      </c>
      <c r="J327" s="10">
        <v>350</v>
      </c>
      <c r="K327" s="13">
        <v>2</v>
      </c>
      <c r="L327" s="13">
        <v>0.37391493501380801</v>
      </c>
    </row>
    <row r="328" spans="1:12" x14ac:dyDescent="0.2">
      <c r="A328">
        <v>154</v>
      </c>
      <c r="B328" s="13" t="s">
        <v>107</v>
      </c>
      <c r="C328" s="1">
        <v>45523</v>
      </c>
      <c r="D328" s="13" t="s">
        <v>107</v>
      </c>
      <c r="E328">
        <v>0.53806837327236801</v>
      </c>
      <c r="F328">
        <v>0.53806837327236801</v>
      </c>
      <c r="J328" s="10">
        <v>351</v>
      </c>
      <c r="K328" s="13">
        <v>3</v>
      </c>
      <c r="L328" s="13">
        <v>0.385561088864529</v>
      </c>
    </row>
    <row r="329" spans="1:12" x14ac:dyDescent="0.2">
      <c r="A329">
        <v>155</v>
      </c>
      <c r="B329" s="13" t="s">
        <v>537</v>
      </c>
      <c r="C329" s="1">
        <v>45441</v>
      </c>
      <c r="D329" s="13" t="s">
        <v>537</v>
      </c>
      <c r="E329">
        <v>0.62567634252573101</v>
      </c>
      <c r="F329">
        <v>0.62567634252573101</v>
      </c>
      <c r="J329" s="10">
        <v>353</v>
      </c>
      <c r="K329" s="13">
        <v>2</v>
      </c>
      <c r="L329" s="13">
        <v>0.18149792687777361</v>
      </c>
    </row>
    <row r="330" spans="1:12" x14ac:dyDescent="0.2">
      <c r="A330">
        <v>155</v>
      </c>
      <c r="B330" s="13" t="s">
        <v>761</v>
      </c>
      <c r="C330" s="1">
        <v>45463</v>
      </c>
      <c r="D330" s="13" t="s">
        <v>761</v>
      </c>
      <c r="E330">
        <v>0.634011850913488</v>
      </c>
      <c r="F330">
        <v>0.634011850913488</v>
      </c>
      <c r="J330" s="10">
        <v>354</v>
      </c>
      <c r="K330" s="13">
        <v>3</v>
      </c>
      <c r="L330" s="13">
        <v>0.38324033461218548</v>
      </c>
    </row>
    <row r="331" spans="1:12" x14ac:dyDescent="0.2">
      <c r="A331">
        <v>155</v>
      </c>
      <c r="B331" s="13" t="s">
        <v>108</v>
      </c>
      <c r="C331" s="1">
        <v>45546</v>
      </c>
      <c r="D331" s="13" t="s">
        <v>108</v>
      </c>
      <c r="E331">
        <v>3.4427597825963802E-2</v>
      </c>
      <c r="F331">
        <v>3.4427597825963802E-2</v>
      </c>
      <c r="J331" s="10">
        <v>355</v>
      </c>
      <c r="K331" s="13">
        <v>2</v>
      </c>
      <c r="L331" s="13">
        <v>8.5734077196733899E-2</v>
      </c>
    </row>
    <row r="332" spans="1:12" x14ac:dyDescent="0.2">
      <c r="A332">
        <v>156</v>
      </c>
      <c r="B332" s="13" t="s">
        <v>109</v>
      </c>
      <c r="C332" s="1">
        <v>45490</v>
      </c>
      <c r="D332" s="13" t="s">
        <v>109</v>
      </c>
      <c r="E332">
        <v>0.15904109080713499</v>
      </c>
      <c r="F332">
        <v>0.15904109080713499</v>
      </c>
      <c r="J332" s="10">
        <v>357</v>
      </c>
      <c r="K332" s="13">
        <v>2</v>
      </c>
      <c r="L332" s="13">
        <v>0.23460190643941742</v>
      </c>
    </row>
    <row r="333" spans="1:12" x14ac:dyDescent="0.2">
      <c r="A333">
        <v>156</v>
      </c>
      <c r="B333" s="13" t="s">
        <v>110</v>
      </c>
      <c r="C333" s="1">
        <v>45465</v>
      </c>
      <c r="D333" s="13" t="s">
        <v>110</v>
      </c>
      <c r="E333">
        <v>6.4692541525284003E-2</v>
      </c>
      <c r="F333">
        <v>6.4692541525284003E-2</v>
      </c>
      <c r="J333" s="10">
        <v>358</v>
      </c>
      <c r="K333" s="13">
        <v>2</v>
      </c>
      <c r="L333" s="13">
        <v>0.44662714019352201</v>
      </c>
    </row>
    <row r="334" spans="1:12" x14ac:dyDescent="0.2">
      <c r="A334">
        <v>157</v>
      </c>
      <c r="B334" s="13" t="s">
        <v>111</v>
      </c>
      <c r="C334" s="1">
        <v>45321</v>
      </c>
      <c r="D334" s="13" t="s">
        <v>111</v>
      </c>
      <c r="E334">
        <v>0.118705726486683</v>
      </c>
      <c r="F334">
        <v>0.118705726486683</v>
      </c>
      <c r="J334" s="10">
        <v>359</v>
      </c>
      <c r="K334" s="13">
        <v>3</v>
      </c>
      <c r="L334" s="13">
        <v>0.42737786449536652</v>
      </c>
    </row>
    <row r="335" spans="1:12" x14ac:dyDescent="0.2">
      <c r="A335">
        <v>157</v>
      </c>
      <c r="B335" s="13" t="s">
        <v>112</v>
      </c>
      <c r="C335" s="1">
        <v>45489</v>
      </c>
      <c r="D335" s="13" t="s">
        <v>112</v>
      </c>
      <c r="E335">
        <v>0.22748037298978199</v>
      </c>
      <c r="F335">
        <v>0.22748037298978199</v>
      </c>
      <c r="J335" s="10">
        <v>360</v>
      </c>
      <c r="K335" s="13">
        <v>1</v>
      </c>
      <c r="L335" s="13">
        <v>0.18114351190988301</v>
      </c>
    </row>
    <row r="336" spans="1:12" x14ac:dyDescent="0.2">
      <c r="A336">
        <v>158</v>
      </c>
      <c r="B336" s="13" t="s">
        <v>113</v>
      </c>
      <c r="C336" s="1">
        <v>45473</v>
      </c>
      <c r="D336" s="13" t="s">
        <v>113</v>
      </c>
      <c r="E336">
        <v>5.8690979026245503E-2</v>
      </c>
      <c r="F336">
        <v>5.8690979026245503E-2</v>
      </c>
      <c r="J336" s="10">
        <v>361</v>
      </c>
      <c r="K336" s="13">
        <v>3</v>
      </c>
      <c r="L336" s="13">
        <v>0.39842435592189973</v>
      </c>
    </row>
    <row r="337" spans="1:12" x14ac:dyDescent="0.2">
      <c r="A337">
        <v>158</v>
      </c>
      <c r="B337" s="13" t="s">
        <v>114</v>
      </c>
      <c r="C337" s="1">
        <v>45474</v>
      </c>
      <c r="D337" s="13" t="s">
        <v>114</v>
      </c>
      <c r="E337">
        <v>0.16299850484821299</v>
      </c>
      <c r="F337">
        <v>0.16299850484821299</v>
      </c>
      <c r="J337" s="10">
        <v>362</v>
      </c>
      <c r="K337" s="13">
        <v>3</v>
      </c>
      <c r="L337" s="13">
        <v>0.43545412648486298</v>
      </c>
    </row>
    <row r="338" spans="1:12" x14ac:dyDescent="0.2">
      <c r="A338">
        <v>158</v>
      </c>
      <c r="B338" s="13" t="s">
        <v>115</v>
      </c>
      <c r="C338" s="1">
        <v>45337</v>
      </c>
      <c r="D338" s="13" t="s">
        <v>115</v>
      </c>
      <c r="E338">
        <v>0.38261164632753603</v>
      </c>
      <c r="F338">
        <v>0.38261164632753603</v>
      </c>
      <c r="J338" s="10">
        <v>363</v>
      </c>
      <c r="K338" s="13">
        <v>1</v>
      </c>
      <c r="L338" s="13">
        <v>0.122135697898172</v>
      </c>
    </row>
    <row r="339" spans="1:12" x14ac:dyDescent="0.2">
      <c r="A339">
        <v>159</v>
      </c>
      <c r="B339" s="13" t="s">
        <v>116</v>
      </c>
      <c r="C339" s="1">
        <v>45453</v>
      </c>
      <c r="D339" s="13" t="s">
        <v>116</v>
      </c>
      <c r="E339">
        <v>3.5656655729836201E-2</v>
      </c>
      <c r="F339">
        <v>3.5656655729836201E-2</v>
      </c>
      <c r="J339" s="10">
        <v>364</v>
      </c>
      <c r="K339" s="13">
        <v>3</v>
      </c>
      <c r="L339" s="13">
        <v>0.25199608201453311</v>
      </c>
    </row>
    <row r="340" spans="1:12" x14ac:dyDescent="0.2">
      <c r="A340">
        <v>159</v>
      </c>
      <c r="B340" s="13" t="s">
        <v>117</v>
      </c>
      <c r="C340" s="1">
        <v>45498</v>
      </c>
      <c r="D340" s="13" t="s">
        <v>117</v>
      </c>
      <c r="E340">
        <v>0.267275878706695</v>
      </c>
      <c r="F340">
        <v>0.267275878706695</v>
      </c>
      <c r="J340" s="10">
        <v>365</v>
      </c>
      <c r="K340" s="13">
        <v>3</v>
      </c>
      <c r="L340" s="13">
        <v>0.29610052219089827</v>
      </c>
    </row>
    <row r="341" spans="1:12" x14ac:dyDescent="0.2">
      <c r="A341">
        <v>160</v>
      </c>
      <c r="B341" s="13" t="s">
        <v>427</v>
      </c>
      <c r="C341" s="1">
        <v>45546</v>
      </c>
      <c r="D341" s="13" t="s">
        <v>427</v>
      </c>
      <c r="E341">
        <v>7.6587649518391296E-2</v>
      </c>
      <c r="F341">
        <v>7.6587649518391296E-2</v>
      </c>
      <c r="J341" s="10">
        <v>366</v>
      </c>
      <c r="K341" s="13">
        <v>1</v>
      </c>
      <c r="L341" s="13">
        <v>0.121167481217458</v>
      </c>
    </row>
    <row r="342" spans="1:12" x14ac:dyDescent="0.2">
      <c r="A342">
        <v>160</v>
      </c>
      <c r="B342" s="13" t="s">
        <v>762</v>
      </c>
      <c r="C342" s="1">
        <v>45609</v>
      </c>
      <c r="D342" s="13" t="s">
        <v>762</v>
      </c>
      <c r="E342">
        <v>3.9157043544412698E-2</v>
      </c>
      <c r="F342">
        <v>3.9157043544412698E-2</v>
      </c>
      <c r="J342" s="10">
        <v>367</v>
      </c>
      <c r="K342" s="13">
        <v>3</v>
      </c>
      <c r="L342" s="13">
        <v>0.35018958055749</v>
      </c>
    </row>
    <row r="343" spans="1:12" x14ac:dyDescent="0.2">
      <c r="A343">
        <v>160</v>
      </c>
      <c r="B343" s="13" t="s">
        <v>428</v>
      </c>
      <c r="C343" s="1">
        <v>45430</v>
      </c>
      <c r="D343" s="13" t="s">
        <v>428</v>
      </c>
      <c r="E343">
        <v>0.109688290168286</v>
      </c>
      <c r="F343">
        <v>0.109688290168286</v>
      </c>
      <c r="J343" s="10">
        <v>368</v>
      </c>
      <c r="K343" s="13">
        <v>4</v>
      </c>
      <c r="L343" s="13">
        <v>0.33705190434889198</v>
      </c>
    </row>
    <row r="344" spans="1:12" x14ac:dyDescent="0.2">
      <c r="A344">
        <v>161</v>
      </c>
      <c r="B344" s="13" t="s">
        <v>118</v>
      </c>
      <c r="C344" s="1">
        <v>45476</v>
      </c>
      <c r="D344" s="13" t="s">
        <v>118</v>
      </c>
      <c r="E344">
        <v>4.6289442509800799E-2</v>
      </c>
      <c r="F344">
        <v>4.6289442509800799E-2</v>
      </c>
      <c r="J344" s="10">
        <v>369</v>
      </c>
      <c r="K344" s="13">
        <v>2</v>
      </c>
      <c r="L344" s="13">
        <v>0.28135120667570102</v>
      </c>
    </row>
    <row r="345" spans="1:12" x14ac:dyDescent="0.2">
      <c r="A345">
        <v>161</v>
      </c>
      <c r="B345" s="13" t="s">
        <v>119</v>
      </c>
      <c r="C345" s="1">
        <v>45641</v>
      </c>
      <c r="D345" s="13" t="s">
        <v>119</v>
      </c>
      <c r="E345">
        <v>3.35117612884459E-2</v>
      </c>
      <c r="F345">
        <v>3.35117612884459E-2</v>
      </c>
      <c r="J345" s="10">
        <v>370</v>
      </c>
      <c r="K345" s="13">
        <v>2</v>
      </c>
      <c r="L345" s="13">
        <v>0.39709700454784691</v>
      </c>
    </row>
    <row r="346" spans="1:12" x14ac:dyDescent="0.2">
      <c r="A346">
        <v>162</v>
      </c>
      <c r="B346" s="13" t="s">
        <v>538</v>
      </c>
      <c r="C346" s="1">
        <v>45609</v>
      </c>
      <c r="D346" s="13" t="s">
        <v>538</v>
      </c>
      <c r="E346">
        <v>8.4541579950177595E-2</v>
      </c>
      <c r="F346">
        <v>8.4541579950177595E-2</v>
      </c>
      <c r="J346" s="10">
        <v>371</v>
      </c>
      <c r="K346" s="13">
        <v>2</v>
      </c>
      <c r="L346" s="13">
        <v>0.26965986751096699</v>
      </c>
    </row>
    <row r="347" spans="1:12" x14ac:dyDescent="0.2">
      <c r="A347">
        <v>162</v>
      </c>
      <c r="B347" s="13" t="s">
        <v>429</v>
      </c>
      <c r="C347" s="1">
        <v>45413</v>
      </c>
      <c r="D347" s="13" t="s">
        <v>429</v>
      </c>
      <c r="E347">
        <v>8.6864992527742504E-2</v>
      </c>
      <c r="F347">
        <v>8.6864992527742504E-2</v>
      </c>
      <c r="J347" s="10">
        <v>372</v>
      </c>
      <c r="K347" s="13">
        <v>3</v>
      </c>
      <c r="L347" s="13">
        <v>0.32123154484415761</v>
      </c>
    </row>
    <row r="348" spans="1:12" x14ac:dyDescent="0.2">
      <c r="A348">
        <v>162</v>
      </c>
      <c r="B348" s="13" t="s">
        <v>120</v>
      </c>
      <c r="C348" s="1">
        <v>45478</v>
      </c>
      <c r="D348" s="13" t="s">
        <v>120</v>
      </c>
      <c r="E348">
        <v>0.11371551685023</v>
      </c>
      <c r="F348">
        <v>0.11371551685023</v>
      </c>
      <c r="J348" s="10">
        <v>373</v>
      </c>
      <c r="K348" s="13">
        <v>1</v>
      </c>
      <c r="L348" s="13">
        <v>0.18265333346206</v>
      </c>
    </row>
    <row r="349" spans="1:12" x14ac:dyDescent="0.2">
      <c r="A349">
        <v>163</v>
      </c>
      <c r="B349" s="13" t="s">
        <v>763</v>
      </c>
      <c r="C349" s="1">
        <v>45323</v>
      </c>
      <c r="D349" s="13" t="s">
        <v>763</v>
      </c>
      <c r="E349">
        <v>0.40967948701069101</v>
      </c>
      <c r="F349">
        <v>0.40967948701069101</v>
      </c>
      <c r="J349" s="10">
        <v>374</v>
      </c>
      <c r="K349" s="13">
        <v>2</v>
      </c>
      <c r="L349" s="13">
        <v>0.52556851714505115</v>
      </c>
    </row>
    <row r="350" spans="1:12" x14ac:dyDescent="0.2">
      <c r="A350">
        <v>163</v>
      </c>
      <c r="B350" s="13" t="s">
        <v>121</v>
      </c>
      <c r="C350" s="1">
        <v>45393</v>
      </c>
      <c r="D350" s="13" t="s">
        <v>121</v>
      </c>
      <c r="E350">
        <v>0.20835034772248701</v>
      </c>
      <c r="F350">
        <v>0.20835034772248701</v>
      </c>
      <c r="J350" s="10">
        <v>375</v>
      </c>
      <c r="K350" s="13">
        <v>2</v>
      </c>
      <c r="L350" s="13">
        <v>0.39978252184039997</v>
      </c>
    </row>
    <row r="351" spans="1:12" x14ac:dyDescent="0.2">
      <c r="A351">
        <v>164</v>
      </c>
      <c r="B351" s="13" t="s">
        <v>539</v>
      </c>
      <c r="C351" s="1">
        <v>45638</v>
      </c>
      <c r="D351" s="13" t="s">
        <v>539</v>
      </c>
      <c r="E351">
        <v>0.26797942722552598</v>
      </c>
      <c r="F351">
        <v>0.26797942722552598</v>
      </c>
      <c r="J351" s="10">
        <v>377</v>
      </c>
      <c r="K351" s="13">
        <v>1</v>
      </c>
      <c r="L351" s="13">
        <v>0.14263391983530799</v>
      </c>
    </row>
    <row r="352" spans="1:12" x14ac:dyDescent="0.2">
      <c r="A352">
        <v>164</v>
      </c>
      <c r="B352" s="13" t="s">
        <v>764</v>
      </c>
      <c r="C352" s="1">
        <v>45362</v>
      </c>
      <c r="D352" s="13" t="s">
        <v>764</v>
      </c>
      <c r="E352">
        <v>7.9458364105756601E-2</v>
      </c>
      <c r="F352">
        <v>7.9458364105756601E-2</v>
      </c>
      <c r="J352" s="10">
        <v>378</v>
      </c>
      <c r="K352" s="13">
        <v>3</v>
      </c>
      <c r="L352" s="13">
        <v>0.36857585509225249</v>
      </c>
    </row>
    <row r="353" spans="1:12" x14ac:dyDescent="0.2">
      <c r="A353">
        <v>164</v>
      </c>
      <c r="B353" s="13" t="s">
        <v>540</v>
      </c>
      <c r="C353" s="1">
        <v>45327</v>
      </c>
      <c r="D353" s="13" t="s">
        <v>540</v>
      </c>
      <c r="E353">
        <v>0.142505256562105</v>
      </c>
      <c r="F353">
        <v>0.142505256562105</v>
      </c>
      <c r="J353" s="10">
        <v>379</v>
      </c>
      <c r="K353" s="13">
        <v>3</v>
      </c>
      <c r="L353" s="13">
        <v>0.54463726569005</v>
      </c>
    </row>
    <row r="354" spans="1:12" x14ac:dyDescent="0.2">
      <c r="A354">
        <v>165</v>
      </c>
      <c r="B354" s="13" t="s">
        <v>430</v>
      </c>
      <c r="C354" s="1">
        <v>45324</v>
      </c>
      <c r="D354" s="13" t="s">
        <v>430</v>
      </c>
      <c r="E354">
        <v>0.27013548905218498</v>
      </c>
      <c r="F354">
        <v>0.27013548905218498</v>
      </c>
      <c r="J354" s="10">
        <v>381</v>
      </c>
      <c r="K354" s="13">
        <v>2</v>
      </c>
      <c r="L354" s="13">
        <v>0.35638675974260736</v>
      </c>
    </row>
    <row r="355" spans="1:12" x14ac:dyDescent="0.2">
      <c r="A355">
        <v>165</v>
      </c>
      <c r="B355" s="13" t="s">
        <v>765</v>
      </c>
      <c r="C355" s="1">
        <v>45397</v>
      </c>
      <c r="D355" s="13" t="s">
        <v>765</v>
      </c>
      <c r="E355">
        <v>0.18689819072136499</v>
      </c>
      <c r="F355">
        <v>0.18689819072136499</v>
      </c>
      <c r="J355" s="10">
        <v>382</v>
      </c>
      <c r="K355" s="13">
        <v>1</v>
      </c>
      <c r="L355" s="13">
        <v>0.193905821251804</v>
      </c>
    </row>
    <row r="356" spans="1:12" x14ac:dyDescent="0.2">
      <c r="A356">
        <v>165</v>
      </c>
      <c r="B356" s="13" t="s">
        <v>431</v>
      </c>
      <c r="C356" s="1">
        <v>45323</v>
      </c>
      <c r="D356" s="13" t="s">
        <v>431</v>
      </c>
      <c r="E356">
        <v>6.3484069988255495E-2</v>
      </c>
      <c r="F356">
        <v>6.3484069988255495E-2</v>
      </c>
      <c r="J356" s="10">
        <v>383</v>
      </c>
      <c r="K356" s="13">
        <v>3</v>
      </c>
      <c r="L356" s="13">
        <v>0.77269160002600101</v>
      </c>
    </row>
    <row r="357" spans="1:12" x14ac:dyDescent="0.2">
      <c r="A357">
        <v>166</v>
      </c>
      <c r="B357" s="13" t="s">
        <v>432</v>
      </c>
      <c r="C357" s="1">
        <v>45481</v>
      </c>
      <c r="D357" s="13" t="s">
        <v>432</v>
      </c>
      <c r="E357">
        <v>0.104162111072632</v>
      </c>
      <c r="F357">
        <v>0.104162111072632</v>
      </c>
      <c r="J357" s="10">
        <v>384</v>
      </c>
      <c r="K357" s="13">
        <v>1</v>
      </c>
      <c r="L357" s="13">
        <v>0.30847804639013598</v>
      </c>
    </row>
    <row r="358" spans="1:12" x14ac:dyDescent="0.2">
      <c r="A358">
        <v>166</v>
      </c>
      <c r="B358" s="13" t="s">
        <v>766</v>
      </c>
      <c r="C358" s="1">
        <v>45387</v>
      </c>
      <c r="D358" s="13" t="s">
        <v>766</v>
      </c>
      <c r="E358">
        <v>0.192096768513563</v>
      </c>
      <c r="F358">
        <v>0.192096768513563</v>
      </c>
      <c r="J358" s="10">
        <v>385</v>
      </c>
      <c r="K358" s="13">
        <v>2</v>
      </c>
      <c r="L358" s="13">
        <v>0.30852504493855443</v>
      </c>
    </row>
    <row r="359" spans="1:12" x14ac:dyDescent="0.2">
      <c r="A359">
        <v>167</v>
      </c>
      <c r="B359" s="13" t="s">
        <v>541</v>
      </c>
      <c r="C359" s="1">
        <v>45561</v>
      </c>
      <c r="D359" s="13" t="s">
        <v>541</v>
      </c>
      <c r="E359">
        <v>0.14069936399426999</v>
      </c>
      <c r="F359">
        <v>0.14069936399426999</v>
      </c>
      <c r="J359" s="10">
        <v>387</v>
      </c>
      <c r="K359" s="13">
        <v>3</v>
      </c>
      <c r="L359" s="13">
        <v>0.51325611221563294</v>
      </c>
    </row>
    <row r="360" spans="1:12" x14ac:dyDescent="0.2">
      <c r="A360">
        <v>167</v>
      </c>
      <c r="B360" s="13" t="s">
        <v>767</v>
      </c>
      <c r="C360" s="1">
        <v>45653</v>
      </c>
      <c r="D360" s="13" t="s">
        <v>767</v>
      </c>
      <c r="E360">
        <v>5.3723136750721802E-2</v>
      </c>
      <c r="F360">
        <v>5.3723136750721802E-2</v>
      </c>
      <c r="J360" s="10">
        <v>388</v>
      </c>
      <c r="K360" s="13">
        <v>3</v>
      </c>
      <c r="L360" s="13">
        <v>0.2727848435398923</v>
      </c>
    </row>
    <row r="361" spans="1:12" x14ac:dyDescent="0.2">
      <c r="A361">
        <v>168</v>
      </c>
      <c r="B361" s="13" t="s">
        <v>768</v>
      </c>
      <c r="C361" s="1">
        <v>45608</v>
      </c>
      <c r="D361" s="13" t="s">
        <v>768</v>
      </c>
      <c r="E361">
        <v>7.9227678507554106E-2</v>
      </c>
      <c r="F361">
        <v>7.9227678507554106E-2</v>
      </c>
      <c r="J361" s="10">
        <v>389</v>
      </c>
      <c r="K361" s="13">
        <v>3</v>
      </c>
      <c r="L361" s="13">
        <v>0.60063276014820388</v>
      </c>
    </row>
    <row r="362" spans="1:12" x14ac:dyDescent="0.2">
      <c r="A362">
        <v>168</v>
      </c>
      <c r="B362" s="13" t="s">
        <v>769</v>
      </c>
      <c r="C362" s="1">
        <v>45414</v>
      </c>
      <c r="D362" s="13" t="s">
        <v>769</v>
      </c>
      <c r="E362">
        <v>0.20377114511473299</v>
      </c>
      <c r="F362">
        <v>0.20377114511473299</v>
      </c>
      <c r="J362" s="10">
        <v>390</v>
      </c>
      <c r="K362" s="13">
        <v>3</v>
      </c>
      <c r="L362" s="13">
        <v>0.76046408013778599</v>
      </c>
    </row>
    <row r="363" spans="1:12" x14ac:dyDescent="0.2">
      <c r="A363">
        <v>168</v>
      </c>
      <c r="B363" s="13" t="s">
        <v>770</v>
      </c>
      <c r="C363" s="1">
        <v>45642</v>
      </c>
      <c r="D363" s="13" t="s">
        <v>770</v>
      </c>
      <c r="E363">
        <v>0.41317732361679799</v>
      </c>
      <c r="F363">
        <v>0.41317732361679799</v>
      </c>
      <c r="J363" s="10">
        <v>392</v>
      </c>
      <c r="K363" s="13">
        <v>3</v>
      </c>
      <c r="L363" s="13">
        <v>0.27054771037311698</v>
      </c>
    </row>
    <row r="364" spans="1:12" x14ac:dyDescent="0.2">
      <c r="A364">
        <v>169</v>
      </c>
      <c r="B364" s="13" t="s">
        <v>542</v>
      </c>
      <c r="C364" s="1">
        <v>45638</v>
      </c>
      <c r="D364" s="13" t="s">
        <v>542</v>
      </c>
      <c r="E364">
        <v>0.124863796969598</v>
      </c>
      <c r="F364">
        <v>0.124863796969598</v>
      </c>
      <c r="J364" s="10">
        <v>393</v>
      </c>
      <c r="K364" s="13">
        <v>2</v>
      </c>
      <c r="L364" s="13">
        <v>0.12969821248504299</v>
      </c>
    </row>
    <row r="365" spans="1:12" x14ac:dyDescent="0.2">
      <c r="A365">
        <v>169</v>
      </c>
      <c r="B365" s="13" t="s">
        <v>771</v>
      </c>
      <c r="C365" s="1">
        <v>45340</v>
      </c>
      <c r="D365" s="13" t="s">
        <v>771</v>
      </c>
      <c r="E365">
        <v>0.11021499656520101</v>
      </c>
      <c r="F365">
        <v>0.11021499656520101</v>
      </c>
      <c r="J365" s="10">
        <v>394</v>
      </c>
      <c r="K365" s="13">
        <v>1</v>
      </c>
      <c r="L365" s="13">
        <v>0.110262436891627</v>
      </c>
    </row>
    <row r="366" spans="1:12" x14ac:dyDescent="0.2">
      <c r="A366">
        <v>170</v>
      </c>
      <c r="B366" s="13" t="s">
        <v>543</v>
      </c>
      <c r="C366" s="1">
        <v>45598</v>
      </c>
      <c r="D366" s="13" t="s">
        <v>543</v>
      </c>
      <c r="E366">
        <v>0.163251394309507</v>
      </c>
      <c r="F366">
        <v>0.163251394309507</v>
      </c>
      <c r="J366" s="10">
        <v>395</v>
      </c>
      <c r="K366" s="13">
        <v>3</v>
      </c>
      <c r="L366" s="13">
        <v>0.58748348416465379</v>
      </c>
    </row>
    <row r="367" spans="1:12" x14ac:dyDescent="0.2">
      <c r="A367">
        <v>170</v>
      </c>
      <c r="B367" s="13" t="s">
        <v>433</v>
      </c>
      <c r="C367" s="1">
        <v>45322</v>
      </c>
      <c r="D367" s="13" t="s">
        <v>433</v>
      </c>
      <c r="E367">
        <v>1.30454356358988E-2</v>
      </c>
      <c r="F367">
        <v>1.30454356358988E-2</v>
      </c>
      <c r="J367" s="10">
        <v>396</v>
      </c>
      <c r="K367" s="13">
        <v>3</v>
      </c>
      <c r="L367" s="13">
        <v>0.36144010980505392</v>
      </c>
    </row>
    <row r="368" spans="1:12" x14ac:dyDescent="0.2">
      <c r="A368">
        <v>170</v>
      </c>
      <c r="B368" s="13" t="s">
        <v>434</v>
      </c>
      <c r="C368" s="1">
        <v>45521</v>
      </c>
      <c r="D368" s="13" t="s">
        <v>434</v>
      </c>
      <c r="E368">
        <v>0.11921265131618999</v>
      </c>
      <c r="F368">
        <v>0.11921265131618999</v>
      </c>
      <c r="J368" s="10">
        <v>397</v>
      </c>
      <c r="K368" s="13">
        <v>3</v>
      </c>
      <c r="L368" s="13">
        <v>0.34980044584535541</v>
      </c>
    </row>
    <row r="369" spans="1:12" x14ac:dyDescent="0.2">
      <c r="A369">
        <v>171</v>
      </c>
      <c r="B369" s="13" t="s">
        <v>772</v>
      </c>
      <c r="C369" s="1">
        <v>45598</v>
      </c>
      <c r="D369" s="13" t="s">
        <v>772</v>
      </c>
      <c r="E369">
        <v>9.0617424886420994E-2</v>
      </c>
      <c r="F369">
        <v>9.0617424886420994E-2</v>
      </c>
      <c r="J369" s="10">
        <v>398</v>
      </c>
      <c r="K369" s="13">
        <v>3</v>
      </c>
      <c r="L369" s="13">
        <v>0.42042127304895199</v>
      </c>
    </row>
    <row r="370" spans="1:12" x14ac:dyDescent="0.2">
      <c r="A370">
        <v>171</v>
      </c>
      <c r="B370" s="13" t="s">
        <v>435</v>
      </c>
      <c r="C370" s="1">
        <v>45351</v>
      </c>
      <c r="D370" s="13" t="s">
        <v>435</v>
      </c>
      <c r="E370">
        <v>0.24189612394257401</v>
      </c>
      <c r="F370">
        <v>0.24189612394257401</v>
      </c>
      <c r="J370" s="10">
        <v>399</v>
      </c>
      <c r="K370" s="13">
        <v>3</v>
      </c>
      <c r="L370" s="13">
        <v>0.7092396433312842</v>
      </c>
    </row>
    <row r="371" spans="1:12" x14ac:dyDescent="0.2">
      <c r="A371">
        <v>172</v>
      </c>
      <c r="B371" s="13" t="s">
        <v>773</v>
      </c>
      <c r="C371" s="1">
        <v>45303</v>
      </c>
      <c r="D371" s="13" t="s">
        <v>773</v>
      </c>
      <c r="E371">
        <v>0.126971590535499</v>
      </c>
      <c r="F371">
        <v>0.126971590535499</v>
      </c>
      <c r="J371" s="10">
        <v>402</v>
      </c>
      <c r="K371" s="13">
        <v>3</v>
      </c>
      <c r="L371" s="13">
        <v>0.55005259472283818</v>
      </c>
    </row>
    <row r="372" spans="1:12" x14ac:dyDescent="0.2">
      <c r="A372">
        <v>172</v>
      </c>
      <c r="B372" s="13" t="s">
        <v>774</v>
      </c>
      <c r="C372" s="1">
        <v>45335</v>
      </c>
      <c r="D372" s="13" t="s">
        <v>774</v>
      </c>
      <c r="E372">
        <v>0.273142709948556</v>
      </c>
      <c r="F372">
        <v>0.273142709948556</v>
      </c>
      <c r="J372" s="10">
        <v>404</v>
      </c>
      <c r="K372" s="13">
        <v>2</v>
      </c>
      <c r="L372" s="13">
        <v>0.31319055692245301</v>
      </c>
    </row>
    <row r="373" spans="1:12" x14ac:dyDescent="0.2">
      <c r="A373">
        <v>172</v>
      </c>
      <c r="B373" s="13" t="s">
        <v>775</v>
      </c>
      <c r="C373" s="1">
        <v>45647</v>
      </c>
      <c r="D373" s="13" t="s">
        <v>775</v>
      </c>
      <c r="E373">
        <v>7.5159586680377699E-2</v>
      </c>
      <c r="F373">
        <v>7.5159586680377699E-2</v>
      </c>
      <c r="J373" s="10">
        <v>405</v>
      </c>
      <c r="K373" s="13">
        <v>2</v>
      </c>
      <c r="L373" s="13">
        <v>0.27699264928858902</v>
      </c>
    </row>
    <row r="374" spans="1:12" x14ac:dyDescent="0.2">
      <c r="A374">
        <v>173</v>
      </c>
      <c r="B374" s="13" t="s">
        <v>776</v>
      </c>
      <c r="C374" s="1">
        <v>45468</v>
      </c>
      <c r="D374" s="13" t="s">
        <v>776</v>
      </c>
      <c r="E374">
        <v>0.11046107852591799</v>
      </c>
      <c r="F374">
        <v>0.11046107852591799</v>
      </c>
      <c r="J374" s="10">
        <v>406</v>
      </c>
      <c r="K374" s="13">
        <v>2</v>
      </c>
      <c r="L374" s="13">
        <v>0.27117250111996721</v>
      </c>
    </row>
    <row r="375" spans="1:12" x14ac:dyDescent="0.2">
      <c r="A375">
        <v>174</v>
      </c>
      <c r="B375" s="13" t="s">
        <v>436</v>
      </c>
      <c r="C375" s="1">
        <v>45566</v>
      </c>
      <c r="D375" s="13" t="s">
        <v>436</v>
      </c>
      <c r="E375">
        <v>5.2021115242138802E-2</v>
      </c>
      <c r="F375">
        <v>5.2021115242138802E-2</v>
      </c>
      <c r="J375" s="10">
        <v>407</v>
      </c>
      <c r="K375" s="13">
        <v>2</v>
      </c>
      <c r="L375" s="13">
        <v>0.44089195543713799</v>
      </c>
    </row>
    <row r="376" spans="1:12" x14ac:dyDescent="0.2">
      <c r="A376">
        <v>175</v>
      </c>
      <c r="B376" s="13" t="s">
        <v>437</v>
      </c>
      <c r="C376" s="1">
        <v>45435</v>
      </c>
      <c r="D376" s="13" t="s">
        <v>437</v>
      </c>
      <c r="E376">
        <v>0.154792847051134</v>
      </c>
      <c r="F376">
        <v>0.154792847051134</v>
      </c>
      <c r="J376" s="10">
        <v>408</v>
      </c>
      <c r="K376" s="13">
        <v>4</v>
      </c>
      <c r="L376" s="13">
        <v>1.2606092889779301</v>
      </c>
    </row>
    <row r="377" spans="1:12" x14ac:dyDescent="0.2">
      <c r="A377">
        <v>175</v>
      </c>
      <c r="B377" s="13" t="s">
        <v>544</v>
      </c>
      <c r="C377" s="1">
        <v>45399</v>
      </c>
      <c r="D377" s="13" t="s">
        <v>544</v>
      </c>
      <c r="E377">
        <v>0.107566348385268</v>
      </c>
      <c r="F377">
        <v>0.107566348385268</v>
      </c>
      <c r="J377" s="10">
        <v>409</v>
      </c>
      <c r="K377" s="13">
        <v>3</v>
      </c>
      <c r="L377" s="13">
        <v>0.26538144446861567</v>
      </c>
    </row>
    <row r="378" spans="1:12" x14ac:dyDescent="0.2">
      <c r="A378">
        <v>176</v>
      </c>
      <c r="B378" s="13" t="s">
        <v>777</v>
      </c>
      <c r="C378" s="1">
        <v>45464</v>
      </c>
      <c r="D378" s="13" t="s">
        <v>777</v>
      </c>
      <c r="E378">
        <v>2.8994430128620401E-2</v>
      </c>
      <c r="F378">
        <v>2.8994430128620401E-2</v>
      </c>
      <c r="J378" s="10">
        <v>410</v>
      </c>
      <c r="K378" s="13">
        <v>2</v>
      </c>
      <c r="L378" s="13">
        <v>0.1168176572041528</v>
      </c>
    </row>
    <row r="379" spans="1:12" x14ac:dyDescent="0.2">
      <c r="A379">
        <v>176</v>
      </c>
      <c r="B379" s="13" t="s">
        <v>778</v>
      </c>
      <c r="C379" s="1">
        <v>45585</v>
      </c>
      <c r="D379" s="13" t="s">
        <v>778</v>
      </c>
      <c r="E379">
        <v>8.5619925464388597E-2</v>
      </c>
      <c r="F379">
        <v>8.5619925464388597E-2</v>
      </c>
      <c r="J379" s="10">
        <v>411</v>
      </c>
      <c r="K379" s="13">
        <v>3</v>
      </c>
      <c r="L379" s="13">
        <v>0.30820743723164573</v>
      </c>
    </row>
    <row r="380" spans="1:12" x14ac:dyDescent="0.2">
      <c r="A380">
        <v>177</v>
      </c>
      <c r="B380" s="13" t="s">
        <v>779</v>
      </c>
      <c r="C380" s="1">
        <v>45506</v>
      </c>
      <c r="D380" s="13" t="s">
        <v>779</v>
      </c>
      <c r="E380">
        <v>0.53990159457133902</v>
      </c>
      <c r="F380">
        <v>0.53990159457133902</v>
      </c>
      <c r="J380" s="10">
        <v>412</v>
      </c>
      <c r="K380" s="13">
        <v>1</v>
      </c>
      <c r="L380" s="13">
        <v>0.169578201188605</v>
      </c>
    </row>
    <row r="381" spans="1:12" x14ac:dyDescent="0.2">
      <c r="A381">
        <v>177</v>
      </c>
      <c r="B381" s="13" t="s">
        <v>780</v>
      </c>
      <c r="C381" s="1">
        <v>45601</v>
      </c>
      <c r="D381" s="13" t="s">
        <v>780</v>
      </c>
      <c r="E381">
        <v>5.34466920645192E-2</v>
      </c>
      <c r="F381">
        <v>5.34466920645192E-2</v>
      </c>
      <c r="J381" s="10">
        <v>413</v>
      </c>
      <c r="K381" s="13">
        <v>3</v>
      </c>
      <c r="L381" s="13">
        <v>0.29054350894057218</v>
      </c>
    </row>
    <row r="382" spans="1:12" x14ac:dyDescent="0.2">
      <c r="A382">
        <v>177</v>
      </c>
      <c r="B382" s="13" t="s">
        <v>438</v>
      </c>
      <c r="C382" s="1">
        <v>45632</v>
      </c>
      <c r="D382" s="13" t="s">
        <v>438</v>
      </c>
      <c r="E382">
        <v>5.4645776272890099E-2</v>
      </c>
      <c r="F382">
        <v>5.4645776272890099E-2</v>
      </c>
      <c r="J382" s="10">
        <v>414</v>
      </c>
      <c r="K382" s="13">
        <v>2</v>
      </c>
      <c r="L382" s="13">
        <v>0.40317822669225739</v>
      </c>
    </row>
    <row r="383" spans="1:12" x14ac:dyDescent="0.2">
      <c r="A383">
        <v>178</v>
      </c>
      <c r="B383" s="13" t="s">
        <v>781</v>
      </c>
      <c r="C383" s="1">
        <v>45412</v>
      </c>
      <c r="D383" s="13" t="s">
        <v>781</v>
      </c>
      <c r="E383">
        <v>0.36815896614711302</v>
      </c>
      <c r="F383">
        <v>0.36815896614711302</v>
      </c>
      <c r="J383" s="10">
        <v>415</v>
      </c>
      <c r="K383" s="13">
        <v>3</v>
      </c>
      <c r="L383" s="13">
        <v>0.32126755459007583</v>
      </c>
    </row>
    <row r="384" spans="1:12" x14ac:dyDescent="0.2">
      <c r="A384">
        <v>178</v>
      </c>
      <c r="B384" s="13" t="s">
        <v>545</v>
      </c>
      <c r="C384" s="1">
        <v>45455</v>
      </c>
      <c r="D384" s="13" t="s">
        <v>545</v>
      </c>
      <c r="E384">
        <v>0.132436710240947</v>
      </c>
      <c r="F384">
        <v>0.132436710240947</v>
      </c>
      <c r="J384" s="10">
        <v>416</v>
      </c>
      <c r="K384" s="13">
        <v>3</v>
      </c>
      <c r="L384" s="13">
        <v>0.74304067150583997</v>
      </c>
    </row>
    <row r="385" spans="1:12" x14ac:dyDescent="0.2">
      <c r="A385">
        <v>179</v>
      </c>
      <c r="B385" s="13" t="s">
        <v>546</v>
      </c>
      <c r="C385" s="1">
        <v>45642</v>
      </c>
      <c r="D385" s="13" t="s">
        <v>546</v>
      </c>
      <c r="E385">
        <v>7.5579926617120397E-3</v>
      </c>
      <c r="F385">
        <v>7.5579926617120397E-3</v>
      </c>
      <c r="J385" s="10">
        <v>418</v>
      </c>
      <c r="K385" s="13">
        <v>3</v>
      </c>
      <c r="L385" s="13">
        <v>0.55738372078103871</v>
      </c>
    </row>
    <row r="386" spans="1:12" x14ac:dyDescent="0.2">
      <c r="A386">
        <v>180</v>
      </c>
      <c r="B386" s="13" t="s">
        <v>547</v>
      </c>
      <c r="C386" s="1">
        <v>45507</v>
      </c>
      <c r="D386" s="13" t="s">
        <v>547</v>
      </c>
      <c r="E386">
        <v>0.123613137574759</v>
      </c>
      <c r="F386">
        <v>0.123613137574759</v>
      </c>
      <c r="J386" s="10">
        <v>419</v>
      </c>
      <c r="K386" s="13">
        <v>2</v>
      </c>
      <c r="L386" s="13">
        <v>0.77323344145760375</v>
      </c>
    </row>
    <row r="387" spans="1:12" x14ac:dyDescent="0.2">
      <c r="A387">
        <v>180</v>
      </c>
      <c r="B387" s="13" t="s">
        <v>782</v>
      </c>
      <c r="C387" s="1">
        <v>45564</v>
      </c>
      <c r="D387" s="13" t="s">
        <v>782</v>
      </c>
      <c r="E387">
        <v>9.9327559263642395E-2</v>
      </c>
      <c r="F387">
        <v>9.9327559263642395E-2</v>
      </c>
      <c r="J387" s="10">
        <v>420</v>
      </c>
      <c r="K387" s="13">
        <v>4</v>
      </c>
      <c r="L387" s="13">
        <v>0.4683974148916919</v>
      </c>
    </row>
    <row r="388" spans="1:12" x14ac:dyDescent="0.2">
      <c r="A388">
        <v>181</v>
      </c>
      <c r="B388" s="13" t="s">
        <v>122</v>
      </c>
      <c r="C388" s="1">
        <v>45601</v>
      </c>
      <c r="D388" s="13" t="s">
        <v>122</v>
      </c>
      <c r="E388">
        <v>5.0890603680890198E-2</v>
      </c>
      <c r="F388">
        <v>5.0890603680890198E-2</v>
      </c>
      <c r="J388" s="10">
        <v>421</v>
      </c>
      <c r="K388" s="13">
        <v>2</v>
      </c>
      <c r="L388" s="13">
        <v>0.795367361566235</v>
      </c>
    </row>
    <row r="389" spans="1:12" x14ac:dyDescent="0.2">
      <c r="A389">
        <v>182</v>
      </c>
      <c r="B389" s="13" t="s">
        <v>783</v>
      </c>
      <c r="C389" s="1">
        <v>45460</v>
      </c>
      <c r="D389" s="13" t="s">
        <v>783</v>
      </c>
      <c r="E389">
        <v>0.149232872142784</v>
      </c>
      <c r="F389">
        <v>0.149232872142784</v>
      </c>
      <c r="J389" s="10">
        <v>422</v>
      </c>
      <c r="K389" s="13">
        <v>2</v>
      </c>
      <c r="L389" s="13">
        <v>0.34082218923244001</v>
      </c>
    </row>
    <row r="390" spans="1:12" x14ac:dyDescent="0.2">
      <c r="A390">
        <v>182</v>
      </c>
      <c r="B390" s="13" t="s">
        <v>439</v>
      </c>
      <c r="C390" s="1">
        <v>45383</v>
      </c>
      <c r="D390" s="13" t="s">
        <v>439</v>
      </c>
      <c r="E390">
        <v>0.31784653979517102</v>
      </c>
      <c r="F390">
        <v>0.31784653979517102</v>
      </c>
      <c r="J390" s="10">
        <v>423</v>
      </c>
      <c r="K390" s="13">
        <v>2</v>
      </c>
      <c r="L390" s="13">
        <v>0.433752671048175</v>
      </c>
    </row>
    <row r="391" spans="1:12" x14ac:dyDescent="0.2">
      <c r="A391">
        <v>182</v>
      </c>
      <c r="B391" s="13" t="s">
        <v>123</v>
      </c>
      <c r="C391" s="1">
        <v>45415</v>
      </c>
      <c r="D391" s="13" t="s">
        <v>123</v>
      </c>
      <c r="E391">
        <v>0.115284994992794</v>
      </c>
      <c r="F391">
        <v>0.115284994992794</v>
      </c>
      <c r="J391" s="10">
        <v>424</v>
      </c>
      <c r="K391" s="13">
        <v>3</v>
      </c>
      <c r="L391" s="13">
        <v>0.47704864434346339</v>
      </c>
    </row>
    <row r="392" spans="1:12" x14ac:dyDescent="0.2">
      <c r="A392">
        <v>183</v>
      </c>
      <c r="B392" s="13" t="s">
        <v>124</v>
      </c>
      <c r="C392" s="1">
        <v>45546</v>
      </c>
      <c r="D392" s="13" t="s">
        <v>124</v>
      </c>
      <c r="E392">
        <v>0.28124033877899002</v>
      </c>
      <c r="F392">
        <v>0.28124033877899002</v>
      </c>
      <c r="J392" s="10">
        <v>425</v>
      </c>
      <c r="K392" s="13">
        <v>1</v>
      </c>
      <c r="L392" s="13">
        <v>3.6959271610768403E-2</v>
      </c>
    </row>
    <row r="393" spans="1:12" x14ac:dyDescent="0.2">
      <c r="A393">
        <v>183</v>
      </c>
      <c r="B393" s="13" t="s">
        <v>125</v>
      </c>
      <c r="C393" s="1">
        <v>45554</v>
      </c>
      <c r="D393" s="13" t="s">
        <v>125</v>
      </c>
      <c r="E393">
        <v>0.310940799649851</v>
      </c>
      <c r="F393">
        <v>0.310940799649851</v>
      </c>
      <c r="J393" s="10">
        <v>426</v>
      </c>
      <c r="K393" s="13">
        <v>2</v>
      </c>
      <c r="L393" s="13">
        <v>0.81937446570233408</v>
      </c>
    </row>
    <row r="394" spans="1:12" x14ac:dyDescent="0.2">
      <c r="A394">
        <v>184</v>
      </c>
      <c r="B394" s="13" t="s">
        <v>126</v>
      </c>
      <c r="C394" s="1">
        <v>45483</v>
      </c>
      <c r="D394" s="13" t="s">
        <v>126</v>
      </c>
      <c r="E394">
        <v>5.6191125914629103E-2</v>
      </c>
      <c r="F394">
        <v>5.6191125914629103E-2</v>
      </c>
      <c r="J394" s="10">
        <v>427</v>
      </c>
      <c r="K394" s="13">
        <v>3</v>
      </c>
      <c r="L394" s="13">
        <v>0.4071995892558955</v>
      </c>
    </row>
    <row r="395" spans="1:12" x14ac:dyDescent="0.2">
      <c r="A395">
        <v>184</v>
      </c>
      <c r="B395" s="13" t="s">
        <v>127</v>
      </c>
      <c r="C395" s="1">
        <v>45607</v>
      </c>
      <c r="D395" s="13" t="s">
        <v>127</v>
      </c>
      <c r="E395">
        <v>0.336747804332997</v>
      </c>
      <c r="F395">
        <v>0.336747804332997</v>
      </c>
      <c r="J395" s="10">
        <v>428</v>
      </c>
      <c r="K395" s="13">
        <v>2</v>
      </c>
      <c r="L395" s="13">
        <v>0.25841518214646902</v>
      </c>
    </row>
    <row r="396" spans="1:12" x14ac:dyDescent="0.2">
      <c r="A396">
        <v>184</v>
      </c>
      <c r="B396" s="13" t="s">
        <v>128</v>
      </c>
      <c r="C396" s="1">
        <v>45307</v>
      </c>
      <c r="D396" s="13" t="s">
        <v>128</v>
      </c>
      <c r="E396">
        <v>0.149755201124807</v>
      </c>
      <c r="F396">
        <v>0.149755201124807</v>
      </c>
      <c r="J396" s="10">
        <v>429</v>
      </c>
      <c r="K396" s="13">
        <v>3</v>
      </c>
      <c r="L396" s="13">
        <v>0.37402859597871591</v>
      </c>
    </row>
    <row r="397" spans="1:12" x14ac:dyDescent="0.2">
      <c r="A397">
        <v>185</v>
      </c>
      <c r="B397" s="13" t="s">
        <v>129</v>
      </c>
      <c r="C397" s="1">
        <v>45352</v>
      </c>
      <c r="D397" s="13" t="s">
        <v>129</v>
      </c>
      <c r="E397">
        <v>0.2563322577928</v>
      </c>
      <c r="F397">
        <v>0.2563322577928</v>
      </c>
      <c r="J397" s="10">
        <v>430</v>
      </c>
      <c r="K397" s="13">
        <v>1</v>
      </c>
      <c r="L397" s="13">
        <v>7.0741365235641701E-2</v>
      </c>
    </row>
    <row r="398" spans="1:12" x14ac:dyDescent="0.2">
      <c r="A398">
        <v>185</v>
      </c>
      <c r="B398" s="13" t="s">
        <v>130</v>
      </c>
      <c r="C398" s="1">
        <v>45609</v>
      </c>
      <c r="D398" s="13" t="s">
        <v>130</v>
      </c>
      <c r="E398">
        <v>0.18735024376918599</v>
      </c>
      <c r="F398">
        <v>0.18735024376918599</v>
      </c>
      <c r="J398" s="10">
        <v>432</v>
      </c>
      <c r="K398" s="13">
        <v>2</v>
      </c>
      <c r="L398" s="13">
        <v>0.16899778660917811</v>
      </c>
    </row>
    <row r="399" spans="1:12" x14ac:dyDescent="0.2">
      <c r="A399">
        <v>186</v>
      </c>
      <c r="B399" s="13" t="s">
        <v>440</v>
      </c>
      <c r="C399" s="1">
        <v>45302</v>
      </c>
      <c r="D399" s="13" t="s">
        <v>440</v>
      </c>
      <c r="E399">
        <v>0.101795842580063</v>
      </c>
      <c r="F399">
        <v>0.101795842580063</v>
      </c>
      <c r="J399" s="10">
        <v>433</v>
      </c>
      <c r="K399" s="13">
        <v>3</v>
      </c>
      <c r="L399" s="13">
        <v>0.45923025484926028</v>
      </c>
    </row>
    <row r="400" spans="1:12" x14ac:dyDescent="0.2">
      <c r="A400">
        <v>186</v>
      </c>
      <c r="B400" s="13" t="s">
        <v>131</v>
      </c>
      <c r="C400" s="1">
        <v>45526</v>
      </c>
      <c r="D400" s="13" t="s">
        <v>131</v>
      </c>
      <c r="E400">
        <v>6.6713623887965395E-2</v>
      </c>
      <c r="F400">
        <v>6.6713623887965395E-2</v>
      </c>
      <c r="J400" s="10">
        <v>435</v>
      </c>
      <c r="K400" s="13">
        <v>3</v>
      </c>
      <c r="L400" s="13">
        <v>0.64069411975190793</v>
      </c>
    </row>
    <row r="401" spans="1:12" x14ac:dyDescent="0.2">
      <c r="A401">
        <v>187</v>
      </c>
      <c r="B401" s="13" t="s">
        <v>784</v>
      </c>
      <c r="C401" s="1">
        <v>45390</v>
      </c>
      <c r="D401" s="13" t="s">
        <v>784</v>
      </c>
      <c r="E401">
        <v>0.20774395002721099</v>
      </c>
      <c r="F401">
        <v>0.20774395002721099</v>
      </c>
      <c r="J401" s="10">
        <v>436</v>
      </c>
      <c r="K401" s="13">
        <v>2</v>
      </c>
      <c r="L401" s="13">
        <v>0.32778250298153799</v>
      </c>
    </row>
    <row r="402" spans="1:12" x14ac:dyDescent="0.2">
      <c r="A402">
        <v>187</v>
      </c>
      <c r="B402" s="13" t="s">
        <v>785</v>
      </c>
      <c r="C402" s="1">
        <v>45298</v>
      </c>
      <c r="D402" s="13" t="s">
        <v>785</v>
      </c>
      <c r="E402">
        <v>2.2599537125891401E-2</v>
      </c>
      <c r="F402">
        <v>2.2599537125891401E-2</v>
      </c>
      <c r="J402" s="10">
        <v>437</v>
      </c>
      <c r="K402" s="13">
        <v>3</v>
      </c>
      <c r="L402" s="13">
        <v>0.48747912857840758</v>
      </c>
    </row>
    <row r="403" spans="1:12" x14ac:dyDescent="0.2">
      <c r="A403">
        <v>187</v>
      </c>
      <c r="B403" s="13" t="s">
        <v>786</v>
      </c>
      <c r="C403" s="1">
        <v>45547</v>
      </c>
      <c r="D403" s="13" t="s">
        <v>786</v>
      </c>
      <c r="E403">
        <v>0.351358598335681</v>
      </c>
      <c r="F403">
        <v>0.351358598335681</v>
      </c>
      <c r="J403" s="10">
        <v>438</v>
      </c>
      <c r="K403" s="13">
        <v>2</v>
      </c>
      <c r="L403" s="13">
        <v>0.48575045297740599</v>
      </c>
    </row>
    <row r="404" spans="1:12" x14ac:dyDescent="0.2">
      <c r="A404">
        <v>188</v>
      </c>
      <c r="B404" s="13" t="s">
        <v>787</v>
      </c>
      <c r="C404" s="1">
        <v>45540</v>
      </c>
      <c r="D404" s="13" t="s">
        <v>787</v>
      </c>
      <c r="E404">
        <v>0.340132217857464</v>
      </c>
      <c r="F404">
        <v>0.340132217857464</v>
      </c>
      <c r="J404" s="10">
        <v>439</v>
      </c>
      <c r="K404" s="13">
        <v>3</v>
      </c>
      <c r="L404" s="13">
        <v>0.19947223997906421</v>
      </c>
    </row>
    <row r="405" spans="1:12" x14ac:dyDescent="0.2">
      <c r="A405">
        <v>188</v>
      </c>
      <c r="B405" s="13" t="s">
        <v>788</v>
      </c>
      <c r="C405" s="1">
        <v>45650</v>
      </c>
      <c r="D405" s="13" t="s">
        <v>788</v>
      </c>
      <c r="E405">
        <v>2.2651304713215699E-2</v>
      </c>
      <c r="F405">
        <v>2.2651304713215699E-2</v>
      </c>
      <c r="J405" s="10">
        <v>440</v>
      </c>
      <c r="K405" s="13">
        <v>3</v>
      </c>
      <c r="L405" s="13">
        <v>0.3433141154770839</v>
      </c>
    </row>
    <row r="406" spans="1:12" x14ac:dyDescent="0.2">
      <c r="A406">
        <v>189</v>
      </c>
      <c r="B406" s="13" t="s">
        <v>441</v>
      </c>
      <c r="C406" s="1">
        <v>45515</v>
      </c>
      <c r="D406" s="13" t="s">
        <v>441</v>
      </c>
      <c r="E406">
        <v>0.25947922774422</v>
      </c>
      <c r="F406">
        <v>0.25947922774422</v>
      </c>
      <c r="J406" s="10">
        <v>441</v>
      </c>
      <c r="K406" s="13">
        <v>3</v>
      </c>
      <c r="L406" s="13">
        <v>0.65987803629464503</v>
      </c>
    </row>
    <row r="407" spans="1:12" x14ac:dyDescent="0.2">
      <c r="A407">
        <v>190</v>
      </c>
      <c r="B407" s="13" t="s">
        <v>442</v>
      </c>
      <c r="C407" s="1">
        <v>45502</v>
      </c>
      <c r="D407" s="13" t="s">
        <v>442</v>
      </c>
      <c r="E407">
        <v>0.13524167443708601</v>
      </c>
      <c r="F407">
        <v>0.13524167443708601</v>
      </c>
      <c r="J407" s="10">
        <v>442</v>
      </c>
      <c r="K407" s="13">
        <v>2</v>
      </c>
      <c r="L407" s="13">
        <v>0.21040089110274351</v>
      </c>
    </row>
    <row r="408" spans="1:12" x14ac:dyDescent="0.2">
      <c r="A408">
        <v>191</v>
      </c>
      <c r="B408" s="13" t="s">
        <v>443</v>
      </c>
      <c r="C408" s="1">
        <v>45621</v>
      </c>
      <c r="D408" s="13" t="s">
        <v>443</v>
      </c>
      <c r="E408">
        <v>6.3525991187566105E-2</v>
      </c>
      <c r="F408">
        <v>6.3525991187566105E-2</v>
      </c>
      <c r="J408" s="10">
        <v>443</v>
      </c>
      <c r="K408" s="13">
        <v>2</v>
      </c>
      <c r="L408" s="13">
        <v>0.23579069814959391</v>
      </c>
    </row>
    <row r="409" spans="1:12" x14ac:dyDescent="0.2">
      <c r="A409">
        <v>191</v>
      </c>
      <c r="B409" s="13" t="s">
        <v>789</v>
      </c>
      <c r="C409" s="1">
        <v>45307</v>
      </c>
      <c r="D409" s="13" t="s">
        <v>789</v>
      </c>
      <c r="E409">
        <v>0.20643526603707399</v>
      </c>
      <c r="F409">
        <v>0.20643526603707399</v>
      </c>
      <c r="J409" s="10">
        <v>444</v>
      </c>
      <c r="K409" s="13">
        <v>3</v>
      </c>
      <c r="L409" s="13">
        <v>0.28143793240388981</v>
      </c>
    </row>
    <row r="410" spans="1:12" x14ac:dyDescent="0.2">
      <c r="A410">
        <v>191</v>
      </c>
      <c r="B410" s="13" t="s">
        <v>790</v>
      </c>
      <c r="C410" s="1">
        <v>45389</v>
      </c>
      <c r="D410" s="13" t="s">
        <v>790</v>
      </c>
      <c r="E410">
        <v>0.31228353318091501</v>
      </c>
      <c r="F410">
        <v>0.31228353318091501</v>
      </c>
      <c r="J410" s="10">
        <v>445</v>
      </c>
      <c r="K410" s="13">
        <v>1</v>
      </c>
      <c r="L410" s="13">
        <v>0.273419937718551</v>
      </c>
    </row>
    <row r="411" spans="1:12" x14ac:dyDescent="0.2">
      <c r="A411">
        <v>192</v>
      </c>
      <c r="B411" s="13" t="s">
        <v>132</v>
      </c>
      <c r="C411" s="1">
        <v>45635</v>
      </c>
      <c r="D411" s="13" t="s">
        <v>132</v>
      </c>
      <c r="E411">
        <v>0.157145007123487</v>
      </c>
      <c r="F411">
        <v>0.157145007123487</v>
      </c>
      <c r="J411" s="10">
        <v>446</v>
      </c>
      <c r="K411" s="13">
        <v>2</v>
      </c>
      <c r="L411" s="13">
        <v>0.54622472486802176</v>
      </c>
    </row>
    <row r="412" spans="1:12" x14ac:dyDescent="0.2">
      <c r="A412">
        <v>192</v>
      </c>
      <c r="B412" s="13" t="s">
        <v>133</v>
      </c>
      <c r="C412" s="1">
        <v>45307</v>
      </c>
      <c r="D412" s="13" t="s">
        <v>133</v>
      </c>
      <c r="E412">
        <v>0.11199847788122901</v>
      </c>
      <c r="F412">
        <v>0.11199847788122901</v>
      </c>
      <c r="J412" s="10">
        <v>447</v>
      </c>
      <c r="K412" s="13">
        <v>1</v>
      </c>
      <c r="L412" s="13">
        <v>0.18738768368467501</v>
      </c>
    </row>
    <row r="413" spans="1:12" x14ac:dyDescent="0.2">
      <c r="A413">
        <v>192</v>
      </c>
      <c r="B413" s="13" t="s">
        <v>134</v>
      </c>
      <c r="C413" s="1">
        <v>45551</v>
      </c>
      <c r="D413" s="13" t="s">
        <v>134</v>
      </c>
      <c r="E413">
        <v>0.10432058287361901</v>
      </c>
      <c r="F413">
        <v>0.10432058287361901</v>
      </c>
      <c r="J413" s="10">
        <v>448</v>
      </c>
      <c r="K413" s="13">
        <v>3</v>
      </c>
      <c r="L413" s="13">
        <v>0.68299422841250901</v>
      </c>
    </row>
    <row r="414" spans="1:12" x14ac:dyDescent="0.2">
      <c r="A414">
        <v>194</v>
      </c>
      <c r="B414" s="13" t="s">
        <v>135</v>
      </c>
      <c r="C414" s="1">
        <v>45502</v>
      </c>
      <c r="D414" s="13" t="s">
        <v>135</v>
      </c>
      <c r="E414">
        <v>0.10384284385039701</v>
      </c>
      <c r="F414">
        <v>0.10384284385039701</v>
      </c>
      <c r="J414" s="10">
        <v>449</v>
      </c>
      <c r="K414" s="13">
        <v>3</v>
      </c>
      <c r="L414" s="13">
        <v>0.7619351971182341</v>
      </c>
    </row>
    <row r="415" spans="1:12" x14ac:dyDescent="0.2">
      <c r="A415">
        <v>194</v>
      </c>
      <c r="B415" s="13" t="s">
        <v>136</v>
      </c>
      <c r="C415" s="1">
        <v>45442</v>
      </c>
      <c r="D415" s="13" t="s">
        <v>136</v>
      </c>
      <c r="E415">
        <v>0.15435634936188999</v>
      </c>
      <c r="F415">
        <v>0.15435634936188999</v>
      </c>
      <c r="J415" s="10">
        <v>450</v>
      </c>
      <c r="K415" s="13">
        <v>2</v>
      </c>
      <c r="L415" s="13">
        <v>9.0791188551460109E-2</v>
      </c>
    </row>
    <row r="416" spans="1:12" x14ac:dyDescent="0.2">
      <c r="A416">
        <v>195</v>
      </c>
      <c r="B416" s="13" t="s">
        <v>791</v>
      </c>
      <c r="C416" s="1">
        <v>45495</v>
      </c>
      <c r="D416" s="13" t="s">
        <v>791</v>
      </c>
      <c r="E416">
        <v>7.3367864489922205E-2</v>
      </c>
      <c r="F416">
        <v>7.3367864489922205E-2</v>
      </c>
      <c r="J416" s="10">
        <v>451</v>
      </c>
      <c r="K416" s="13">
        <v>2</v>
      </c>
      <c r="L416" s="13">
        <v>0.23209760806761071</v>
      </c>
    </row>
    <row r="417" spans="1:12" x14ac:dyDescent="0.2">
      <c r="A417">
        <v>196</v>
      </c>
      <c r="B417" s="13" t="s">
        <v>792</v>
      </c>
      <c r="C417" s="1">
        <v>45314</v>
      </c>
      <c r="D417" s="13" t="s">
        <v>792</v>
      </c>
      <c r="E417">
        <v>6.1351642913535002E-2</v>
      </c>
      <c r="F417">
        <v>6.1351642913535002E-2</v>
      </c>
      <c r="J417" s="10">
        <v>452</v>
      </c>
      <c r="K417" s="13">
        <v>3</v>
      </c>
      <c r="L417" s="13">
        <v>0.3822220112589812</v>
      </c>
    </row>
    <row r="418" spans="1:12" x14ac:dyDescent="0.2">
      <c r="A418">
        <v>196</v>
      </c>
      <c r="B418" s="13" t="s">
        <v>444</v>
      </c>
      <c r="C418" s="1">
        <v>45430</v>
      </c>
      <c r="D418" s="13" t="s">
        <v>444</v>
      </c>
      <c r="E418">
        <v>0.31745481799855202</v>
      </c>
      <c r="F418">
        <v>0.31745481799855202</v>
      </c>
      <c r="J418" s="10">
        <v>453</v>
      </c>
      <c r="K418" s="13">
        <v>3</v>
      </c>
      <c r="L418" s="13">
        <v>0.81870083919710002</v>
      </c>
    </row>
    <row r="419" spans="1:12" x14ac:dyDescent="0.2">
      <c r="A419">
        <v>197</v>
      </c>
      <c r="B419" s="13" t="s">
        <v>793</v>
      </c>
      <c r="C419" s="1">
        <v>45564</v>
      </c>
      <c r="D419" s="13" t="s">
        <v>793</v>
      </c>
      <c r="E419">
        <v>0.24765218703105499</v>
      </c>
      <c r="F419">
        <v>0.24765218703105499</v>
      </c>
      <c r="J419" s="10">
        <v>454</v>
      </c>
      <c r="K419" s="13">
        <v>4</v>
      </c>
      <c r="L419" s="13">
        <v>0.73013797848542428</v>
      </c>
    </row>
    <row r="420" spans="1:12" x14ac:dyDescent="0.2">
      <c r="A420">
        <v>197</v>
      </c>
      <c r="B420" s="13" t="s">
        <v>794</v>
      </c>
      <c r="C420" s="1">
        <v>45569</v>
      </c>
      <c r="D420" s="13" t="s">
        <v>794</v>
      </c>
      <c r="E420">
        <v>6.5802401300809998E-2</v>
      </c>
      <c r="F420">
        <v>6.5802401300809998E-2</v>
      </c>
      <c r="J420" s="10">
        <v>455</v>
      </c>
      <c r="K420" s="13">
        <v>3</v>
      </c>
      <c r="L420" s="13">
        <v>0.62775618261766719</v>
      </c>
    </row>
    <row r="421" spans="1:12" x14ac:dyDescent="0.2">
      <c r="A421">
        <v>198</v>
      </c>
      <c r="B421" s="13" t="s">
        <v>795</v>
      </c>
      <c r="C421" s="1">
        <v>45507</v>
      </c>
      <c r="D421" s="13" t="s">
        <v>795</v>
      </c>
      <c r="E421">
        <v>0.19156548029887499</v>
      </c>
      <c r="F421">
        <v>0.19156548029887499</v>
      </c>
      <c r="J421" s="10">
        <v>456</v>
      </c>
      <c r="K421" s="13">
        <v>1</v>
      </c>
      <c r="L421" s="13">
        <v>0.181771148153336</v>
      </c>
    </row>
    <row r="422" spans="1:12" x14ac:dyDescent="0.2">
      <c r="A422">
        <v>198</v>
      </c>
      <c r="B422" s="13" t="s">
        <v>445</v>
      </c>
      <c r="C422" s="1">
        <v>45413</v>
      </c>
      <c r="D422" s="13" t="s">
        <v>445</v>
      </c>
      <c r="E422">
        <v>0.23869531388694701</v>
      </c>
      <c r="F422">
        <v>0.23869531388694701</v>
      </c>
      <c r="J422" s="10">
        <v>457</v>
      </c>
      <c r="K422" s="13">
        <v>1</v>
      </c>
      <c r="L422" s="13">
        <v>9.05281241428601E-2</v>
      </c>
    </row>
    <row r="423" spans="1:12" x14ac:dyDescent="0.2">
      <c r="A423">
        <v>199</v>
      </c>
      <c r="B423" s="13" t="s">
        <v>796</v>
      </c>
      <c r="C423" s="1">
        <v>45316</v>
      </c>
      <c r="D423" s="13" t="s">
        <v>796</v>
      </c>
      <c r="E423">
        <v>0.26309378134703698</v>
      </c>
      <c r="F423">
        <v>0.26309378134703698</v>
      </c>
      <c r="J423" s="10">
        <v>458</v>
      </c>
      <c r="K423" s="13">
        <v>1</v>
      </c>
      <c r="L423" s="13">
        <v>0.27651989720507297</v>
      </c>
    </row>
    <row r="424" spans="1:12" x14ac:dyDescent="0.2">
      <c r="A424">
        <v>199</v>
      </c>
      <c r="B424" s="13" t="s">
        <v>797</v>
      </c>
      <c r="C424" s="1">
        <v>45296</v>
      </c>
      <c r="D424" s="13" t="s">
        <v>797</v>
      </c>
      <c r="E424">
        <v>0.104989132653783</v>
      </c>
      <c r="F424">
        <v>0.104989132653783</v>
      </c>
      <c r="J424" s="10">
        <v>459</v>
      </c>
      <c r="K424" s="13">
        <v>3</v>
      </c>
      <c r="L424" s="13">
        <v>0.32330565614555773</v>
      </c>
    </row>
    <row r="425" spans="1:12" x14ac:dyDescent="0.2">
      <c r="A425">
        <v>199</v>
      </c>
      <c r="B425" s="13" t="s">
        <v>548</v>
      </c>
      <c r="C425" s="1">
        <v>45372</v>
      </c>
      <c r="D425" s="13" t="s">
        <v>548</v>
      </c>
      <c r="E425">
        <v>3.3775100004126202E-2</v>
      </c>
      <c r="F425">
        <v>3.3775100004126202E-2</v>
      </c>
      <c r="J425" s="10">
        <v>460</v>
      </c>
      <c r="K425" s="13">
        <v>3</v>
      </c>
      <c r="L425" s="13">
        <v>0.46528724283731099</v>
      </c>
    </row>
    <row r="426" spans="1:12" x14ac:dyDescent="0.2">
      <c r="A426">
        <v>200</v>
      </c>
      <c r="B426" s="13" t="s">
        <v>137</v>
      </c>
      <c r="C426" s="1">
        <v>45527</v>
      </c>
      <c r="D426" s="13" t="s">
        <v>137</v>
      </c>
      <c r="E426">
        <v>0.30325138366186</v>
      </c>
      <c r="F426">
        <v>0.30325138366186</v>
      </c>
      <c r="J426" s="10">
        <v>462</v>
      </c>
      <c r="K426" s="13">
        <v>2</v>
      </c>
      <c r="L426" s="13">
        <v>0.12562801789594361</v>
      </c>
    </row>
    <row r="427" spans="1:12" x14ac:dyDescent="0.2">
      <c r="A427">
        <v>200</v>
      </c>
      <c r="B427" s="13" t="s">
        <v>138</v>
      </c>
      <c r="C427" s="1">
        <v>45555</v>
      </c>
      <c r="D427" s="13" t="s">
        <v>138</v>
      </c>
      <c r="E427">
        <v>4.1159311507128801E-2</v>
      </c>
      <c r="F427">
        <v>4.1159311507128801E-2</v>
      </c>
      <c r="J427" s="10">
        <v>463</v>
      </c>
      <c r="K427" s="13">
        <v>2</v>
      </c>
      <c r="L427" s="13">
        <v>0.64174425832641502</v>
      </c>
    </row>
    <row r="428" spans="1:12" x14ac:dyDescent="0.2">
      <c r="A428">
        <v>201</v>
      </c>
      <c r="B428" s="13" t="s">
        <v>798</v>
      </c>
      <c r="C428" s="1">
        <v>45472</v>
      </c>
      <c r="D428" s="13" t="s">
        <v>798</v>
      </c>
      <c r="E428">
        <v>0.179692156203418</v>
      </c>
      <c r="F428">
        <v>0.179692156203418</v>
      </c>
      <c r="J428" s="10">
        <v>464</v>
      </c>
      <c r="K428" s="13">
        <v>3</v>
      </c>
      <c r="L428" s="13">
        <v>0.93295229806351498</v>
      </c>
    </row>
    <row r="429" spans="1:12" x14ac:dyDescent="0.2">
      <c r="A429">
        <v>201</v>
      </c>
      <c r="B429" s="13" t="s">
        <v>139</v>
      </c>
      <c r="C429" s="1">
        <v>45649</v>
      </c>
      <c r="D429" s="13" t="s">
        <v>139</v>
      </c>
      <c r="E429">
        <v>5.7961232926266801E-2</v>
      </c>
      <c r="F429">
        <v>5.7961232926266801E-2</v>
      </c>
      <c r="J429" s="10">
        <v>465</v>
      </c>
      <c r="K429" s="13">
        <v>2</v>
      </c>
      <c r="L429" s="13">
        <v>0.15330837555804461</v>
      </c>
    </row>
    <row r="430" spans="1:12" x14ac:dyDescent="0.2">
      <c r="A430">
        <v>201</v>
      </c>
      <c r="B430" s="13" t="s">
        <v>140</v>
      </c>
      <c r="C430" s="1">
        <v>45630</v>
      </c>
      <c r="D430" s="13" t="s">
        <v>140</v>
      </c>
      <c r="E430">
        <v>5.8539879133386902E-2</v>
      </c>
      <c r="F430">
        <v>5.8539879133386902E-2</v>
      </c>
      <c r="J430" s="10">
        <v>466</v>
      </c>
      <c r="K430" s="13">
        <v>3</v>
      </c>
      <c r="L430" s="13">
        <v>0.2751512446817988</v>
      </c>
    </row>
    <row r="431" spans="1:12" x14ac:dyDescent="0.2">
      <c r="A431">
        <v>203</v>
      </c>
      <c r="B431" s="13" t="s">
        <v>549</v>
      </c>
      <c r="C431" s="1">
        <v>45639</v>
      </c>
      <c r="D431" s="13" t="s">
        <v>549</v>
      </c>
      <c r="E431">
        <v>0.22141158281244</v>
      </c>
      <c r="F431">
        <v>0.22141158281244</v>
      </c>
      <c r="J431" s="10">
        <v>467</v>
      </c>
      <c r="K431" s="13">
        <v>3</v>
      </c>
      <c r="L431" s="13">
        <v>0.55265890086901104</v>
      </c>
    </row>
    <row r="432" spans="1:12" x14ac:dyDescent="0.2">
      <c r="A432">
        <v>203</v>
      </c>
      <c r="B432" s="13" t="s">
        <v>799</v>
      </c>
      <c r="C432" s="1">
        <v>45347</v>
      </c>
      <c r="D432" s="13" t="s">
        <v>799</v>
      </c>
      <c r="E432">
        <v>0.222844577105727</v>
      </c>
      <c r="F432">
        <v>0.222844577105727</v>
      </c>
      <c r="J432" s="10">
        <v>468</v>
      </c>
      <c r="K432" s="13">
        <v>2</v>
      </c>
      <c r="L432" s="13">
        <v>0.14103843894730569</v>
      </c>
    </row>
    <row r="433" spans="1:12" x14ac:dyDescent="0.2">
      <c r="A433">
        <v>204</v>
      </c>
      <c r="B433" s="13" t="s">
        <v>141</v>
      </c>
      <c r="C433" s="1">
        <v>45557</v>
      </c>
      <c r="D433" s="13" t="s">
        <v>141</v>
      </c>
      <c r="E433">
        <v>7.2748734645795704E-2</v>
      </c>
      <c r="F433">
        <v>7.2748734645795704E-2</v>
      </c>
      <c r="J433" s="10">
        <v>469</v>
      </c>
      <c r="K433" s="13">
        <v>3</v>
      </c>
      <c r="L433" s="13">
        <v>0.41034123987113225</v>
      </c>
    </row>
    <row r="434" spans="1:12" x14ac:dyDescent="0.2">
      <c r="A434">
        <v>204</v>
      </c>
      <c r="B434" s="13" t="s">
        <v>142</v>
      </c>
      <c r="C434" s="1">
        <v>45306</v>
      </c>
      <c r="D434" s="13" t="s">
        <v>142</v>
      </c>
      <c r="E434">
        <v>6.3031282429015803E-2</v>
      </c>
      <c r="F434">
        <v>6.3031282429015803E-2</v>
      </c>
      <c r="J434" s="10">
        <v>470</v>
      </c>
      <c r="K434" s="13">
        <v>1</v>
      </c>
      <c r="L434" s="13">
        <v>0.19731497933098299</v>
      </c>
    </row>
    <row r="435" spans="1:12" x14ac:dyDescent="0.2">
      <c r="A435">
        <v>205</v>
      </c>
      <c r="B435" s="13" t="s">
        <v>143</v>
      </c>
      <c r="C435" s="1">
        <v>45657</v>
      </c>
      <c r="D435" s="13" t="s">
        <v>143</v>
      </c>
      <c r="E435">
        <v>7.4736158624186505E-2</v>
      </c>
      <c r="F435">
        <v>7.4736158624186505E-2</v>
      </c>
      <c r="J435" s="10">
        <v>471</v>
      </c>
      <c r="K435" s="13">
        <v>3</v>
      </c>
      <c r="L435" s="13">
        <v>0.29591889414171169</v>
      </c>
    </row>
    <row r="436" spans="1:12" x14ac:dyDescent="0.2">
      <c r="A436">
        <v>205</v>
      </c>
      <c r="B436" s="13" t="s">
        <v>144</v>
      </c>
      <c r="C436" s="1">
        <v>45437</v>
      </c>
      <c r="D436" s="13" t="s">
        <v>144</v>
      </c>
      <c r="E436">
        <v>0.20430889160499199</v>
      </c>
      <c r="F436">
        <v>0.20430889160499199</v>
      </c>
      <c r="J436" s="10">
        <v>472</v>
      </c>
      <c r="K436" s="13">
        <v>1</v>
      </c>
      <c r="L436" s="13">
        <v>4.2920748760388303E-2</v>
      </c>
    </row>
    <row r="437" spans="1:12" x14ac:dyDescent="0.2">
      <c r="A437">
        <v>206</v>
      </c>
      <c r="B437" s="13" t="s">
        <v>446</v>
      </c>
      <c r="C437" s="1">
        <v>45438</v>
      </c>
      <c r="D437" s="13" t="s">
        <v>446</v>
      </c>
      <c r="E437">
        <v>4.3098338748726199E-2</v>
      </c>
      <c r="F437">
        <v>4.3098338748726199E-2</v>
      </c>
      <c r="J437" s="10">
        <v>473</v>
      </c>
      <c r="K437" s="13">
        <v>2</v>
      </c>
      <c r="L437" s="13">
        <v>0.53429420558527108</v>
      </c>
    </row>
    <row r="438" spans="1:12" x14ac:dyDescent="0.2">
      <c r="A438">
        <v>207</v>
      </c>
      <c r="B438" s="13" t="s">
        <v>145</v>
      </c>
      <c r="C438" s="1">
        <v>45413</v>
      </c>
      <c r="D438" s="13" t="s">
        <v>145</v>
      </c>
      <c r="E438">
        <v>0.188916455378519</v>
      </c>
      <c r="F438">
        <v>0.188916455378519</v>
      </c>
      <c r="J438" s="10">
        <v>474</v>
      </c>
      <c r="K438" s="13">
        <v>1</v>
      </c>
      <c r="L438" s="13">
        <v>0.16654641409135401</v>
      </c>
    </row>
    <row r="439" spans="1:12" x14ac:dyDescent="0.2">
      <c r="A439">
        <v>207</v>
      </c>
      <c r="B439" s="13" t="s">
        <v>146</v>
      </c>
      <c r="C439" s="1">
        <v>45553</v>
      </c>
      <c r="D439" s="13" t="s">
        <v>146</v>
      </c>
      <c r="E439">
        <v>0.182738203085682</v>
      </c>
      <c r="F439">
        <v>0.182738203085682</v>
      </c>
      <c r="J439" s="10">
        <v>475</v>
      </c>
      <c r="K439" s="13">
        <v>2</v>
      </c>
      <c r="L439" s="13">
        <v>0.37089926921350802</v>
      </c>
    </row>
    <row r="440" spans="1:12" x14ac:dyDescent="0.2">
      <c r="A440">
        <v>207</v>
      </c>
      <c r="B440" s="13" t="s">
        <v>147</v>
      </c>
      <c r="C440" s="1">
        <v>45405</v>
      </c>
      <c r="D440" s="13" t="s">
        <v>147</v>
      </c>
      <c r="E440">
        <v>0.31803823305478202</v>
      </c>
      <c r="F440">
        <v>0.31803823305478202</v>
      </c>
      <c r="J440" s="10">
        <v>476</v>
      </c>
      <c r="K440" s="13">
        <v>2</v>
      </c>
      <c r="L440" s="13">
        <v>0.42329250629259901</v>
      </c>
    </row>
    <row r="441" spans="1:12" x14ac:dyDescent="0.2">
      <c r="A441">
        <v>208</v>
      </c>
      <c r="B441" s="13" t="s">
        <v>148</v>
      </c>
      <c r="C441" s="1">
        <v>45352</v>
      </c>
      <c r="D441" s="13" t="s">
        <v>148</v>
      </c>
      <c r="E441">
        <v>6.8438536435944095E-2</v>
      </c>
      <c r="F441">
        <v>6.8438536435944095E-2</v>
      </c>
      <c r="J441" s="10">
        <v>477</v>
      </c>
      <c r="K441" s="13">
        <v>2</v>
      </c>
      <c r="L441" s="13">
        <v>0.498378390005773</v>
      </c>
    </row>
    <row r="442" spans="1:12" x14ac:dyDescent="0.2">
      <c r="A442">
        <v>208</v>
      </c>
      <c r="B442" s="13" t="s">
        <v>149</v>
      </c>
      <c r="C442" s="1">
        <v>45408</v>
      </c>
      <c r="D442" s="13" t="s">
        <v>149</v>
      </c>
      <c r="E442">
        <v>0.123362918329042</v>
      </c>
      <c r="F442">
        <v>0.123362918329042</v>
      </c>
      <c r="J442" s="10">
        <v>478</v>
      </c>
      <c r="K442" s="13">
        <v>4</v>
      </c>
      <c r="L442" s="13">
        <v>0.2162579926869066</v>
      </c>
    </row>
    <row r="443" spans="1:12" x14ac:dyDescent="0.2">
      <c r="A443">
        <v>208</v>
      </c>
      <c r="B443" s="13" t="s">
        <v>150</v>
      </c>
      <c r="C443" s="1">
        <v>45443</v>
      </c>
      <c r="D443" s="13" t="s">
        <v>150</v>
      </c>
      <c r="E443">
        <v>9.1808608231104302E-2</v>
      </c>
      <c r="F443">
        <v>9.1808608231104302E-2</v>
      </c>
      <c r="J443" s="10">
        <v>479</v>
      </c>
      <c r="K443" s="13">
        <v>3</v>
      </c>
      <c r="L443" s="13">
        <v>0.48339160622664545</v>
      </c>
    </row>
    <row r="444" spans="1:12" x14ac:dyDescent="0.2">
      <c r="A444">
        <v>209</v>
      </c>
      <c r="B444" s="13" t="s">
        <v>151</v>
      </c>
      <c r="C444" s="1">
        <v>45435</v>
      </c>
      <c r="D444" s="13" t="s">
        <v>151</v>
      </c>
      <c r="E444">
        <v>2.4007438671223E-2</v>
      </c>
      <c r="F444">
        <v>2.4007438671223E-2</v>
      </c>
      <c r="J444" s="10">
        <v>480</v>
      </c>
      <c r="K444" s="13">
        <v>2</v>
      </c>
      <c r="L444" s="13">
        <v>0.31595401666878531</v>
      </c>
    </row>
    <row r="445" spans="1:12" x14ac:dyDescent="0.2">
      <c r="A445">
        <v>209</v>
      </c>
      <c r="B445" s="13" t="s">
        <v>152</v>
      </c>
      <c r="C445" s="1">
        <v>45604</v>
      </c>
      <c r="D445" s="13" t="s">
        <v>152</v>
      </c>
      <c r="E445">
        <v>0.28040248097509402</v>
      </c>
      <c r="F445">
        <v>0.28040248097509402</v>
      </c>
      <c r="J445" s="10">
        <v>481</v>
      </c>
      <c r="K445" s="13">
        <v>3</v>
      </c>
      <c r="L445" s="13">
        <v>0.69335929514594707</v>
      </c>
    </row>
    <row r="446" spans="1:12" x14ac:dyDescent="0.2">
      <c r="A446">
        <v>209</v>
      </c>
      <c r="B446" s="13" t="s">
        <v>153</v>
      </c>
      <c r="C446" s="1">
        <v>45355</v>
      </c>
      <c r="D446" s="13" t="s">
        <v>153</v>
      </c>
      <c r="E446">
        <v>0.18792179726685601</v>
      </c>
      <c r="F446">
        <v>0.18792179726685601</v>
      </c>
      <c r="J446" s="10">
        <v>482</v>
      </c>
      <c r="K446" s="13">
        <v>1</v>
      </c>
      <c r="L446" s="13">
        <v>8.09019991137023E-2</v>
      </c>
    </row>
    <row r="447" spans="1:12" x14ac:dyDescent="0.2">
      <c r="A447">
        <v>210</v>
      </c>
      <c r="B447" s="13" t="s">
        <v>800</v>
      </c>
      <c r="C447" s="1">
        <v>45591</v>
      </c>
      <c r="D447" s="13" t="s">
        <v>800</v>
      </c>
      <c r="E447">
        <v>0.29049431961333</v>
      </c>
      <c r="F447">
        <v>0.29049431961333</v>
      </c>
      <c r="J447" s="10">
        <v>483</v>
      </c>
      <c r="K447" s="13">
        <v>3</v>
      </c>
      <c r="L447" s="13">
        <v>0.32596753162297082</v>
      </c>
    </row>
    <row r="448" spans="1:12" x14ac:dyDescent="0.2">
      <c r="A448">
        <v>210</v>
      </c>
      <c r="B448" s="13" t="s">
        <v>550</v>
      </c>
      <c r="C448" s="1">
        <v>45408</v>
      </c>
      <c r="D448" s="13" t="s">
        <v>550</v>
      </c>
      <c r="E448">
        <v>0.25239780201461298</v>
      </c>
      <c r="F448">
        <v>0.25239780201461298</v>
      </c>
      <c r="J448" s="10">
        <v>484</v>
      </c>
      <c r="K448" s="13">
        <v>2</v>
      </c>
      <c r="L448" s="13">
        <v>0.61908507066397445</v>
      </c>
    </row>
    <row r="449" spans="1:12" x14ac:dyDescent="0.2">
      <c r="A449">
        <v>210</v>
      </c>
      <c r="B449" s="13" t="s">
        <v>447</v>
      </c>
      <c r="C449" s="1">
        <v>45544</v>
      </c>
      <c r="D449" s="13" t="s">
        <v>447</v>
      </c>
      <c r="E449">
        <v>0.213027965488893</v>
      </c>
      <c r="F449">
        <v>0.213027965488893</v>
      </c>
      <c r="J449" s="10">
        <v>486</v>
      </c>
      <c r="K449" s="13">
        <v>3</v>
      </c>
      <c r="L449" s="13">
        <v>0.75281382841767108</v>
      </c>
    </row>
    <row r="450" spans="1:12" x14ac:dyDescent="0.2">
      <c r="A450">
        <v>211</v>
      </c>
      <c r="B450" s="13" t="s">
        <v>448</v>
      </c>
      <c r="C450" s="1">
        <v>45331</v>
      </c>
      <c r="D450" s="13" t="s">
        <v>448</v>
      </c>
      <c r="E450">
        <v>0.12449356040519299</v>
      </c>
      <c r="F450">
        <v>0.12449356040519299</v>
      </c>
      <c r="J450" s="10">
        <v>487</v>
      </c>
      <c r="K450" s="13">
        <v>3</v>
      </c>
      <c r="L450" s="13">
        <v>0.32831364230348681</v>
      </c>
    </row>
    <row r="451" spans="1:12" x14ac:dyDescent="0.2">
      <c r="A451">
        <v>211</v>
      </c>
      <c r="B451" s="13" t="s">
        <v>551</v>
      </c>
      <c r="C451" s="1">
        <v>45511</v>
      </c>
      <c r="D451" s="13" t="s">
        <v>551</v>
      </c>
      <c r="E451">
        <v>4.6861865950837203E-2</v>
      </c>
      <c r="F451">
        <v>4.6861865950837203E-2</v>
      </c>
      <c r="J451" s="10">
        <v>488</v>
      </c>
      <c r="K451" s="13">
        <v>2</v>
      </c>
      <c r="L451" s="13">
        <v>0.20445295441208611</v>
      </c>
    </row>
    <row r="452" spans="1:12" x14ac:dyDescent="0.2">
      <c r="A452">
        <v>212</v>
      </c>
      <c r="B452" s="13" t="s">
        <v>801</v>
      </c>
      <c r="C452" s="1">
        <v>45457</v>
      </c>
      <c r="D452" s="13" t="s">
        <v>801</v>
      </c>
      <c r="E452">
        <v>5.6751855033461203E-2</v>
      </c>
      <c r="F452">
        <v>5.6751855033461203E-2</v>
      </c>
      <c r="J452" s="10">
        <v>489</v>
      </c>
      <c r="K452" s="13">
        <v>2</v>
      </c>
      <c r="L452" s="13">
        <v>0.25970877065471198</v>
      </c>
    </row>
    <row r="453" spans="1:12" x14ac:dyDescent="0.2">
      <c r="A453">
        <v>212</v>
      </c>
      <c r="B453" s="13" t="s">
        <v>802</v>
      </c>
      <c r="C453" s="1">
        <v>45583</v>
      </c>
      <c r="D453" s="13" t="s">
        <v>802</v>
      </c>
      <c r="E453">
        <v>8.7770356912000705E-2</v>
      </c>
      <c r="F453">
        <v>8.7770356912000705E-2</v>
      </c>
      <c r="J453" s="10">
        <v>490</v>
      </c>
      <c r="K453" s="13">
        <v>1</v>
      </c>
      <c r="L453" s="13">
        <v>0.144683694710279</v>
      </c>
    </row>
    <row r="454" spans="1:12" x14ac:dyDescent="0.2">
      <c r="A454">
        <v>212</v>
      </c>
      <c r="B454" s="13" t="s">
        <v>803</v>
      </c>
      <c r="C454" s="1">
        <v>45306</v>
      </c>
      <c r="D454" s="13" t="s">
        <v>803</v>
      </c>
      <c r="E454">
        <v>0.118467815011217</v>
      </c>
      <c r="F454">
        <v>0.118467815011217</v>
      </c>
      <c r="J454" s="10">
        <v>492</v>
      </c>
      <c r="K454" s="13">
        <v>4</v>
      </c>
      <c r="L454" s="13">
        <v>1.2164715933014301</v>
      </c>
    </row>
    <row r="455" spans="1:12" x14ac:dyDescent="0.2">
      <c r="A455">
        <v>213</v>
      </c>
      <c r="B455" s="13" t="s">
        <v>804</v>
      </c>
      <c r="C455" s="1">
        <v>45433</v>
      </c>
      <c r="D455" s="13" t="s">
        <v>804</v>
      </c>
      <c r="E455">
        <v>0.259088911019204</v>
      </c>
      <c r="F455">
        <v>0.259088911019204</v>
      </c>
      <c r="J455" s="10">
        <v>493</v>
      </c>
      <c r="K455" s="13">
        <v>2</v>
      </c>
      <c r="L455" s="13">
        <v>0.18466940825334122</v>
      </c>
    </row>
    <row r="456" spans="1:12" x14ac:dyDescent="0.2">
      <c r="A456">
        <v>213</v>
      </c>
      <c r="B456" s="13" t="s">
        <v>449</v>
      </c>
      <c r="C456" s="1">
        <v>45527</v>
      </c>
      <c r="D456" s="13" t="s">
        <v>449</v>
      </c>
      <c r="E456">
        <v>0.14554778601721199</v>
      </c>
      <c r="F456">
        <v>0.14554778601721199</v>
      </c>
      <c r="J456" s="10">
        <v>494</v>
      </c>
      <c r="K456" s="13">
        <v>2</v>
      </c>
      <c r="L456" s="13">
        <v>0.26248392747730498</v>
      </c>
    </row>
    <row r="457" spans="1:12" x14ac:dyDescent="0.2">
      <c r="A457">
        <v>213</v>
      </c>
      <c r="B457" s="13" t="s">
        <v>805</v>
      </c>
      <c r="C457" s="1">
        <v>45363</v>
      </c>
      <c r="D457" s="13" t="s">
        <v>805</v>
      </c>
      <c r="E457">
        <v>0.123917519528671</v>
      </c>
      <c r="F457">
        <v>0.123917519528671</v>
      </c>
      <c r="J457" s="10">
        <v>495</v>
      </c>
      <c r="K457" s="13">
        <v>3</v>
      </c>
      <c r="L457" s="13">
        <v>0.54732280347437101</v>
      </c>
    </row>
    <row r="458" spans="1:12" x14ac:dyDescent="0.2">
      <c r="A458">
        <v>214</v>
      </c>
      <c r="B458" s="13" t="s">
        <v>806</v>
      </c>
      <c r="C458" s="1">
        <v>45445</v>
      </c>
      <c r="D458" s="13" t="s">
        <v>806</v>
      </c>
      <c r="E458">
        <v>0.74981548395261599</v>
      </c>
      <c r="F458">
        <v>0.74981548395261599</v>
      </c>
      <c r="J458" s="10">
        <v>497</v>
      </c>
      <c r="K458" s="13">
        <v>3</v>
      </c>
      <c r="L458" s="13">
        <v>0.65504086916920201</v>
      </c>
    </row>
    <row r="459" spans="1:12" x14ac:dyDescent="0.2">
      <c r="A459">
        <v>214</v>
      </c>
      <c r="B459" s="13" t="s">
        <v>552</v>
      </c>
      <c r="C459" s="1">
        <v>45448</v>
      </c>
      <c r="D459" s="13" t="s">
        <v>552</v>
      </c>
      <c r="E459">
        <v>0.105617088939874</v>
      </c>
      <c r="F459">
        <v>0.105617088939874</v>
      </c>
      <c r="J459" s="10">
        <v>498</v>
      </c>
      <c r="K459" s="13">
        <v>4</v>
      </c>
      <c r="L459" s="13">
        <v>0.53076677939603367</v>
      </c>
    </row>
    <row r="460" spans="1:12" x14ac:dyDescent="0.2">
      <c r="A460">
        <v>215</v>
      </c>
      <c r="B460" s="13" t="s">
        <v>553</v>
      </c>
      <c r="C460" s="1">
        <v>45406</v>
      </c>
      <c r="D460" s="13" t="s">
        <v>553</v>
      </c>
      <c r="E460">
        <v>5.6658288064363099E-2</v>
      </c>
      <c r="F460">
        <v>5.6658288064363099E-2</v>
      </c>
      <c r="J460" s="10">
        <v>499</v>
      </c>
      <c r="K460" s="13">
        <v>2</v>
      </c>
      <c r="L460" s="13">
        <v>0.45901063042559698</v>
      </c>
    </row>
    <row r="461" spans="1:12" x14ac:dyDescent="0.2">
      <c r="A461">
        <v>215</v>
      </c>
      <c r="B461" s="13" t="s">
        <v>450</v>
      </c>
      <c r="C461" s="1">
        <v>45321</v>
      </c>
      <c r="D461" s="13" t="s">
        <v>450</v>
      </c>
      <c r="E461">
        <v>0.23454373271985901</v>
      </c>
      <c r="F461">
        <v>0.23454373271985901</v>
      </c>
      <c r="J461" s="10">
        <v>500</v>
      </c>
      <c r="K461" s="13">
        <v>1</v>
      </c>
      <c r="L461" s="13">
        <v>6.7333068979327199E-2</v>
      </c>
    </row>
    <row r="462" spans="1:12" x14ac:dyDescent="0.2">
      <c r="A462">
        <v>215</v>
      </c>
      <c r="B462" s="13" t="s">
        <v>451</v>
      </c>
      <c r="C462" s="1">
        <v>45568</v>
      </c>
      <c r="D462" s="13" t="s">
        <v>451</v>
      </c>
      <c r="E462">
        <v>8.3454895006607799E-2</v>
      </c>
      <c r="F462">
        <v>8.3454895006607799E-2</v>
      </c>
      <c r="J462" s="10">
        <v>5</v>
      </c>
      <c r="K462" s="13">
        <v>1</v>
      </c>
      <c r="L462" s="13">
        <v>0.51118086435928101</v>
      </c>
    </row>
    <row r="463" spans="1:12" x14ac:dyDescent="0.2">
      <c r="A463">
        <v>215</v>
      </c>
      <c r="B463" s="13" t="s">
        <v>807</v>
      </c>
      <c r="C463" s="1">
        <v>45329</v>
      </c>
      <c r="D463" s="13" t="s">
        <v>807</v>
      </c>
      <c r="E463">
        <v>0.102906566485774</v>
      </c>
      <c r="F463">
        <v>0.102906566485774</v>
      </c>
      <c r="J463" s="10">
        <v>20</v>
      </c>
      <c r="K463" s="13">
        <v>1</v>
      </c>
      <c r="L463" s="13">
        <v>0.26043978602927498</v>
      </c>
    </row>
    <row r="464" spans="1:12" x14ac:dyDescent="0.2">
      <c r="A464">
        <v>216</v>
      </c>
      <c r="B464" s="13" t="s">
        <v>452</v>
      </c>
      <c r="C464" s="1">
        <v>45327</v>
      </c>
      <c r="D464" s="13" t="s">
        <v>452</v>
      </c>
      <c r="E464">
        <v>3.43661861886344E-2</v>
      </c>
      <c r="F464">
        <v>3.43661861886344E-2</v>
      </c>
      <c r="J464" s="10">
        <v>104</v>
      </c>
      <c r="K464" s="13">
        <v>1</v>
      </c>
      <c r="L464" s="13">
        <v>0.37864642824570799</v>
      </c>
    </row>
    <row r="465" spans="1:12" x14ac:dyDescent="0.2">
      <c r="A465">
        <v>216</v>
      </c>
      <c r="B465" s="13" t="s">
        <v>554</v>
      </c>
      <c r="C465" s="1">
        <v>45557</v>
      </c>
      <c r="D465" s="13" t="s">
        <v>554</v>
      </c>
      <c r="E465">
        <v>0.217513953950006</v>
      </c>
      <c r="F465">
        <v>0.217513953950006</v>
      </c>
      <c r="J465" s="10">
        <v>107</v>
      </c>
      <c r="K465" s="13">
        <v>1</v>
      </c>
      <c r="L465" s="13">
        <v>0.25765924153868602</v>
      </c>
    </row>
    <row r="466" spans="1:12" x14ac:dyDescent="0.2">
      <c r="A466">
        <v>217</v>
      </c>
      <c r="B466" s="13" t="s">
        <v>453</v>
      </c>
      <c r="C466" s="1">
        <v>45652</v>
      </c>
      <c r="D466" s="13" t="s">
        <v>453</v>
      </c>
      <c r="E466">
        <v>4.6179269064626799E-2</v>
      </c>
      <c r="F466">
        <v>4.6179269064626799E-2</v>
      </c>
      <c r="J466" s="10">
        <v>111</v>
      </c>
      <c r="K466" s="13">
        <v>1</v>
      </c>
      <c r="L466" s="13">
        <v>0.18417063270655001</v>
      </c>
    </row>
    <row r="467" spans="1:12" x14ac:dyDescent="0.2">
      <c r="A467">
        <v>217</v>
      </c>
      <c r="B467" s="13" t="s">
        <v>808</v>
      </c>
      <c r="C467" s="1">
        <v>45560</v>
      </c>
      <c r="D467" s="13" t="s">
        <v>808</v>
      </c>
      <c r="E467">
        <v>0.22783299703269899</v>
      </c>
      <c r="F467">
        <v>0.22783299703269899</v>
      </c>
      <c r="J467" s="10">
        <v>114</v>
      </c>
      <c r="K467" s="13">
        <v>1</v>
      </c>
      <c r="L467" s="13">
        <v>0.23842714733329101</v>
      </c>
    </row>
    <row r="468" spans="1:12" x14ac:dyDescent="0.2">
      <c r="A468">
        <v>217</v>
      </c>
      <c r="B468" s="13" t="s">
        <v>809</v>
      </c>
      <c r="C468" s="1">
        <v>45634</v>
      </c>
      <c r="D468" s="13" t="s">
        <v>809</v>
      </c>
      <c r="E468">
        <v>6.5667999353692094E-2</v>
      </c>
      <c r="F468">
        <v>6.5667999353692094E-2</v>
      </c>
      <c r="J468" s="10">
        <v>118</v>
      </c>
      <c r="K468" s="13">
        <v>1</v>
      </c>
      <c r="L468" s="13">
        <v>5.5543089184637302E-2</v>
      </c>
    </row>
    <row r="469" spans="1:12" x14ac:dyDescent="0.2">
      <c r="A469">
        <v>218</v>
      </c>
      <c r="B469" s="13" t="s">
        <v>454</v>
      </c>
      <c r="C469" s="1">
        <v>45648</v>
      </c>
      <c r="D469" s="13" t="s">
        <v>454</v>
      </c>
      <c r="E469">
        <v>3.0476134247787601E-2</v>
      </c>
      <c r="F469">
        <v>3.0476134247787601E-2</v>
      </c>
      <c r="J469" s="10">
        <v>189</v>
      </c>
      <c r="K469" s="13">
        <v>1</v>
      </c>
      <c r="L469" s="13">
        <v>0.25947922774422</v>
      </c>
    </row>
    <row r="470" spans="1:12" x14ac:dyDescent="0.2">
      <c r="A470">
        <v>218</v>
      </c>
      <c r="B470" s="13" t="s">
        <v>810</v>
      </c>
      <c r="C470" s="1">
        <v>45467</v>
      </c>
      <c r="D470" s="13" t="s">
        <v>810</v>
      </c>
      <c r="E470">
        <v>0.17943727397138901</v>
      </c>
      <c r="F470">
        <v>0.17943727397138901</v>
      </c>
      <c r="J470" s="10">
        <v>195</v>
      </c>
      <c r="K470" s="13">
        <v>1</v>
      </c>
      <c r="L470" s="13">
        <v>7.3367864489922205E-2</v>
      </c>
    </row>
    <row r="471" spans="1:12" x14ac:dyDescent="0.2">
      <c r="A471">
        <v>219</v>
      </c>
      <c r="B471" s="13" t="s">
        <v>811</v>
      </c>
      <c r="C471" s="1">
        <v>45484</v>
      </c>
      <c r="D471" s="13" t="s">
        <v>811</v>
      </c>
      <c r="E471">
        <v>0.24602839042987201</v>
      </c>
      <c r="F471">
        <v>0.24602839042987201</v>
      </c>
      <c r="J471" s="10">
        <v>220</v>
      </c>
      <c r="K471" s="13">
        <v>1</v>
      </c>
      <c r="L471" s="13">
        <v>0.16044296315290299</v>
      </c>
    </row>
    <row r="472" spans="1:12" x14ac:dyDescent="0.2">
      <c r="A472">
        <v>220</v>
      </c>
      <c r="B472" s="13" t="s">
        <v>455</v>
      </c>
      <c r="C472" s="1">
        <v>45646</v>
      </c>
      <c r="D472" s="13" t="s">
        <v>455</v>
      </c>
      <c r="E472">
        <v>0.16044296315290299</v>
      </c>
      <c r="F472">
        <v>0.16044296315290299</v>
      </c>
      <c r="J472" s="10">
        <v>230</v>
      </c>
      <c r="K472" s="13">
        <v>1</v>
      </c>
      <c r="L472" s="13">
        <v>0.106258326960359</v>
      </c>
    </row>
    <row r="473" spans="1:12" x14ac:dyDescent="0.2">
      <c r="A473">
        <v>221</v>
      </c>
      <c r="B473" s="13" t="s">
        <v>812</v>
      </c>
      <c r="C473" s="1">
        <v>45316</v>
      </c>
      <c r="D473" s="13" t="s">
        <v>812</v>
      </c>
      <c r="E473">
        <v>0.29903090288886303</v>
      </c>
      <c r="F473">
        <v>0.29903090288886303</v>
      </c>
      <c r="J473" s="10">
        <v>261</v>
      </c>
      <c r="K473" s="13">
        <v>1</v>
      </c>
      <c r="L473" s="13">
        <v>0.242889357163901</v>
      </c>
    </row>
    <row r="474" spans="1:12" x14ac:dyDescent="0.2">
      <c r="A474">
        <v>221</v>
      </c>
      <c r="B474" s="13" t="s">
        <v>813</v>
      </c>
      <c r="C474" s="1">
        <v>45472</v>
      </c>
      <c r="D474" s="13" t="s">
        <v>813</v>
      </c>
      <c r="E474">
        <v>0.22559477193160801</v>
      </c>
      <c r="F474">
        <v>0.22559477193160801</v>
      </c>
      <c r="J474" s="10">
        <v>264</v>
      </c>
      <c r="K474" s="13">
        <v>1</v>
      </c>
      <c r="L474" s="13">
        <v>1.0633364820653199E-2</v>
      </c>
    </row>
    <row r="475" spans="1:12" x14ac:dyDescent="0.2">
      <c r="A475">
        <v>221</v>
      </c>
      <c r="B475" s="13" t="s">
        <v>814</v>
      </c>
      <c r="C475" s="1">
        <v>45472</v>
      </c>
      <c r="D475" s="13" t="s">
        <v>814</v>
      </c>
      <c r="E475">
        <v>0.113111287098127</v>
      </c>
      <c r="F475">
        <v>0.113111287098127</v>
      </c>
      <c r="J475" s="10">
        <v>330</v>
      </c>
      <c r="K475" s="13">
        <v>1</v>
      </c>
      <c r="L475" s="13">
        <v>0.30639943366655098</v>
      </c>
    </row>
    <row r="476" spans="1:12" x14ac:dyDescent="0.2">
      <c r="A476">
        <v>223</v>
      </c>
      <c r="B476" s="13" t="s">
        <v>456</v>
      </c>
      <c r="C476" s="1">
        <v>45642</v>
      </c>
      <c r="D476" s="13" t="s">
        <v>456</v>
      </c>
      <c r="E476">
        <v>0.40821680518264503</v>
      </c>
      <c r="F476">
        <v>0.40821680518264503</v>
      </c>
      <c r="J476" s="10">
        <v>386</v>
      </c>
      <c r="K476" s="13">
        <v>1</v>
      </c>
      <c r="L476" s="13">
        <v>0.57670574679278097</v>
      </c>
    </row>
    <row r="477" spans="1:12" x14ac:dyDescent="0.2">
      <c r="A477">
        <v>223</v>
      </c>
      <c r="B477" s="13" t="s">
        <v>457</v>
      </c>
      <c r="C477" s="1">
        <v>45531</v>
      </c>
      <c r="D477" s="13" t="s">
        <v>457</v>
      </c>
      <c r="E477">
        <v>0.210701515123602</v>
      </c>
      <c r="F477">
        <v>0.210701515123602</v>
      </c>
      <c r="J477" s="10">
        <v>403</v>
      </c>
      <c r="K477" s="13">
        <v>1</v>
      </c>
      <c r="L477" s="13">
        <v>0.28116816656924698</v>
      </c>
    </row>
    <row r="478" spans="1:12" x14ac:dyDescent="0.2">
      <c r="A478">
        <v>224</v>
      </c>
      <c r="B478" s="13" t="s">
        <v>458</v>
      </c>
      <c r="C478" s="1">
        <v>45491</v>
      </c>
      <c r="D478" s="13" t="s">
        <v>458</v>
      </c>
      <c r="E478">
        <v>0.33665048317262503</v>
      </c>
      <c r="F478">
        <v>0.33665048317262503</v>
      </c>
      <c r="J478" s="10">
        <v>417</v>
      </c>
      <c r="K478" s="13">
        <v>1</v>
      </c>
      <c r="L478" s="13">
        <v>9.0366198692047497E-2</v>
      </c>
    </row>
    <row r="479" spans="1:12" x14ac:dyDescent="0.2">
      <c r="A479">
        <v>224</v>
      </c>
      <c r="B479" s="13" t="s">
        <v>815</v>
      </c>
      <c r="C479" s="1">
        <v>45356</v>
      </c>
      <c r="D479" s="13" t="s">
        <v>815</v>
      </c>
      <c r="E479">
        <v>0.280404502217382</v>
      </c>
      <c r="F479">
        <v>0.280404502217382</v>
      </c>
      <c r="J479" s="10">
        <v>431</v>
      </c>
      <c r="K479" s="13">
        <v>1</v>
      </c>
      <c r="L479" s="13">
        <v>0.22030373867517</v>
      </c>
    </row>
    <row r="480" spans="1:12" x14ac:dyDescent="0.2">
      <c r="A480">
        <v>225</v>
      </c>
      <c r="B480" s="13" t="s">
        <v>459</v>
      </c>
      <c r="C480" s="1">
        <v>45313</v>
      </c>
      <c r="D480" s="13" t="s">
        <v>459</v>
      </c>
      <c r="E480">
        <v>0.136186097737371</v>
      </c>
      <c r="F480">
        <v>0.136186097737371</v>
      </c>
      <c r="J480" s="10">
        <v>485</v>
      </c>
      <c r="K480" s="13">
        <v>1</v>
      </c>
      <c r="L480" s="13">
        <v>0.37283804185935199</v>
      </c>
    </row>
    <row r="481" spans="1:12" x14ac:dyDescent="0.2">
      <c r="A481">
        <v>225</v>
      </c>
      <c r="B481" s="13" t="s">
        <v>460</v>
      </c>
      <c r="C481" s="1">
        <v>45626</v>
      </c>
      <c r="D481" s="13" t="s">
        <v>460</v>
      </c>
      <c r="E481">
        <v>0.203386088622377</v>
      </c>
      <c r="F481">
        <v>0.203386088622377</v>
      </c>
      <c r="J481" s="10" t="s">
        <v>33</v>
      </c>
      <c r="K481" s="13">
        <v>1079</v>
      </c>
      <c r="L481" s="13">
        <v>188.83077165141842</v>
      </c>
    </row>
    <row r="482" spans="1:12" x14ac:dyDescent="0.2">
      <c r="A482">
        <v>225</v>
      </c>
      <c r="B482" s="13" t="s">
        <v>816</v>
      </c>
      <c r="C482" s="1">
        <v>45553</v>
      </c>
      <c r="D482" s="13" t="s">
        <v>816</v>
      </c>
      <c r="E482">
        <v>0.11049440231645399</v>
      </c>
      <c r="F482">
        <v>0.11049440231645399</v>
      </c>
    </row>
    <row r="483" spans="1:12" x14ac:dyDescent="0.2">
      <c r="A483">
        <v>225</v>
      </c>
      <c r="B483" s="13" t="s">
        <v>461</v>
      </c>
      <c r="C483" s="1">
        <v>45348</v>
      </c>
      <c r="D483" s="13" t="s">
        <v>461</v>
      </c>
      <c r="E483">
        <v>0.22898476020757899</v>
      </c>
      <c r="F483">
        <v>0.22898476020757899</v>
      </c>
    </row>
    <row r="484" spans="1:12" x14ac:dyDescent="0.2">
      <c r="A484">
        <v>226</v>
      </c>
      <c r="B484" s="13" t="s">
        <v>462</v>
      </c>
      <c r="C484" s="1">
        <v>45392</v>
      </c>
      <c r="D484" s="13" t="s">
        <v>462</v>
      </c>
      <c r="E484">
        <v>0.45117309627436097</v>
      </c>
      <c r="F484">
        <v>0.45117309627436097</v>
      </c>
    </row>
    <row r="485" spans="1:12" x14ac:dyDescent="0.2">
      <c r="A485">
        <v>226</v>
      </c>
      <c r="B485" s="13" t="s">
        <v>463</v>
      </c>
      <c r="C485" s="1">
        <v>45508</v>
      </c>
      <c r="D485" s="13" t="s">
        <v>463</v>
      </c>
      <c r="E485">
        <v>0.160982209684571</v>
      </c>
      <c r="F485">
        <v>0.160982209684571</v>
      </c>
    </row>
    <row r="486" spans="1:12" x14ac:dyDescent="0.2">
      <c r="A486">
        <v>227</v>
      </c>
      <c r="B486" s="13" t="s">
        <v>464</v>
      </c>
      <c r="C486" s="1">
        <v>45293</v>
      </c>
      <c r="D486" s="13" t="s">
        <v>464</v>
      </c>
      <c r="E486">
        <v>0.32419145983855802</v>
      </c>
      <c r="F486">
        <v>0.32419145983855802</v>
      </c>
    </row>
    <row r="487" spans="1:12" x14ac:dyDescent="0.2">
      <c r="A487">
        <v>227</v>
      </c>
      <c r="B487" s="13" t="s">
        <v>817</v>
      </c>
      <c r="C487" s="1">
        <v>45465</v>
      </c>
      <c r="D487" s="13" t="s">
        <v>817</v>
      </c>
      <c r="E487">
        <v>0.12698017984666499</v>
      </c>
      <c r="F487">
        <v>0.12698017984666499</v>
      </c>
    </row>
    <row r="488" spans="1:12" x14ac:dyDescent="0.2">
      <c r="A488">
        <v>228</v>
      </c>
      <c r="B488" s="13" t="s">
        <v>818</v>
      </c>
      <c r="C488" s="1">
        <v>45456</v>
      </c>
      <c r="D488" s="13" t="s">
        <v>818</v>
      </c>
      <c r="E488">
        <v>0.155703263464194</v>
      </c>
      <c r="F488">
        <v>0.155703263464194</v>
      </c>
    </row>
    <row r="489" spans="1:12" x14ac:dyDescent="0.2">
      <c r="A489">
        <v>228</v>
      </c>
      <c r="B489" s="13" t="s">
        <v>819</v>
      </c>
      <c r="C489" s="1">
        <v>45483</v>
      </c>
      <c r="D489" s="13" t="s">
        <v>819</v>
      </c>
      <c r="E489">
        <v>8.0616403826066094E-2</v>
      </c>
      <c r="F489">
        <v>8.0616403826066094E-2</v>
      </c>
    </row>
    <row r="490" spans="1:12" x14ac:dyDescent="0.2">
      <c r="A490">
        <v>229</v>
      </c>
      <c r="B490" s="13" t="s">
        <v>820</v>
      </c>
      <c r="C490" s="1">
        <v>45364</v>
      </c>
      <c r="D490" s="13" t="s">
        <v>820</v>
      </c>
      <c r="E490">
        <v>2.2729144206037302E-2</v>
      </c>
      <c r="F490">
        <v>2.2729144206037302E-2</v>
      </c>
    </row>
    <row r="491" spans="1:12" x14ac:dyDescent="0.2">
      <c r="A491">
        <v>229</v>
      </c>
      <c r="B491" s="13" t="s">
        <v>821</v>
      </c>
      <c r="C491" s="1">
        <v>45547</v>
      </c>
      <c r="D491" s="13" t="s">
        <v>821</v>
      </c>
      <c r="E491">
        <v>9.2537100683974402E-2</v>
      </c>
      <c r="F491">
        <v>9.2537100683974402E-2</v>
      </c>
    </row>
    <row r="492" spans="1:12" x14ac:dyDescent="0.2">
      <c r="A492">
        <v>230</v>
      </c>
      <c r="B492" s="13" t="s">
        <v>465</v>
      </c>
      <c r="C492" s="1">
        <v>45642</v>
      </c>
      <c r="D492" s="13" t="s">
        <v>465</v>
      </c>
      <c r="E492">
        <v>0.106258326960359</v>
      </c>
      <c r="F492">
        <v>0.106258326960359</v>
      </c>
    </row>
    <row r="493" spans="1:12" x14ac:dyDescent="0.2">
      <c r="A493">
        <v>231</v>
      </c>
      <c r="B493" s="13" t="s">
        <v>822</v>
      </c>
      <c r="C493" s="1">
        <v>45559</v>
      </c>
      <c r="D493" s="13" t="s">
        <v>822</v>
      </c>
      <c r="E493">
        <v>0.50507739275839103</v>
      </c>
      <c r="F493">
        <v>0.50507739275839103</v>
      </c>
    </row>
    <row r="494" spans="1:12" x14ac:dyDescent="0.2">
      <c r="A494">
        <v>231</v>
      </c>
      <c r="B494" s="13" t="s">
        <v>823</v>
      </c>
      <c r="C494" s="1">
        <v>45631</v>
      </c>
      <c r="D494" s="13" t="s">
        <v>823</v>
      </c>
      <c r="E494">
        <v>0.20535823877728901</v>
      </c>
      <c r="F494">
        <v>0.20535823877728901</v>
      </c>
    </row>
    <row r="495" spans="1:12" x14ac:dyDescent="0.2">
      <c r="A495">
        <v>232</v>
      </c>
      <c r="B495" s="13" t="s">
        <v>154</v>
      </c>
      <c r="C495" s="1">
        <v>45454</v>
      </c>
      <c r="D495" s="13" t="s">
        <v>154</v>
      </c>
      <c r="E495">
        <v>3.7252837967464002E-2</v>
      </c>
      <c r="F495">
        <v>3.7252837967464002E-2</v>
      </c>
    </row>
    <row r="496" spans="1:12" x14ac:dyDescent="0.2">
      <c r="A496">
        <v>232</v>
      </c>
      <c r="B496" s="13" t="s">
        <v>155</v>
      </c>
      <c r="C496" s="1">
        <v>45424</v>
      </c>
      <c r="D496" s="13" t="s">
        <v>155</v>
      </c>
      <c r="E496">
        <v>6.2804768355944299E-2</v>
      </c>
      <c r="F496">
        <v>6.2804768355944299E-2</v>
      </c>
    </row>
    <row r="497" spans="1:6" x14ac:dyDescent="0.2">
      <c r="A497">
        <v>233</v>
      </c>
      <c r="B497" s="13" t="s">
        <v>156</v>
      </c>
      <c r="C497" s="1">
        <v>45607</v>
      </c>
      <c r="D497" s="13" t="s">
        <v>156</v>
      </c>
      <c r="E497">
        <v>0.19885484877475501</v>
      </c>
      <c r="F497">
        <v>0.19885484877475501</v>
      </c>
    </row>
    <row r="498" spans="1:6" x14ac:dyDescent="0.2">
      <c r="A498">
        <v>233</v>
      </c>
      <c r="B498" s="13" t="s">
        <v>157</v>
      </c>
      <c r="C498" s="1">
        <v>45475</v>
      </c>
      <c r="D498" s="13" t="s">
        <v>157</v>
      </c>
      <c r="E498">
        <v>0.12371594719547099</v>
      </c>
      <c r="F498">
        <v>0.12371594719547099</v>
      </c>
    </row>
    <row r="499" spans="1:6" x14ac:dyDescent="0.2">
      <c r="A499">
        <v>234</v>
      </c>
      <c r="B499" s="13" t="s">
        <v>158</v>
      </c>
      <c r="C499" s="1">
        <v>45653</v>
      </c>
      <c r="D499" s="13" t="s">
        <v>158</v>
      </c>
      <c r="E499">
        <v>0.111143617919181</v>
      </c>
      <c r="F499">
        <v>0.111143617919181</v>
      </c>
    </row>
    <row r="500" spans="1:6" x14ac:dyDescent="0.2">
      <c r="A500">
        <v>234</v>
      </c>
      <c r="B500" s="13" t="s">
        <v>159</v>
      </c>
      <c r="C500" s="1">
        <v>45648</v>
      </c>
      <c r="D500" s="13" t="s">
        <v>159</v>
      </c>
      <c r="E500">
        <v>0.170882490454842</v>
      </c>
      <c r="F500">
        <v>0.170882490454842</v>
      </c>
    </row>
    <row r="501" spans="1:6" x14ac:dyDescent="0.2">
      <c r="A501">
        <v>234</v>
      </c>
      <c r="B501" s="13" t="s">
        <v>160</v>
      </c>
      <c r="C501" s="1">
        <v>45610</v>
      </c>
      <c r="D501" s="13" t="s">
        <v>160</v>
      </c>
      <c r="E501">
        <v>0.22098699593295401</v>
      </c>
      <c r="F501">
        <v>0.22098699593295401</v>
      </c>
    </row>
    <row r="502" spans="1:6" x14ac:dyDescent="0.2">
      <c r="A502">
        <v>234</v>
      </c>
      <c r="B502" s="13" t="s">
        <v>161</v>
      </c>
      <c r="C502" s="1">
        <v>45387</v>
      </c>
      <c r="D502" s="13" t="s">
        <v>161</v>
      </c>
      <c r="E502">
        <v>7.8231431652428698E-2</v>
      </c>
      <c r="F502">
        <v>7.8231431652428698E-2</v>
      </c>
    </row>
    <row r="503" spans="1:6" x14ac:dyDescent="0.2">
      <c r="A503">
        <v>235</v>
      </c>
      <c r="B503" s="13" t="s">
        <v>555</v>
      </c>
      <c r="C503" s="1">
        <v>45594</v>
      </c>
      <c r="D503" s="13" t="s">
        <v>555</v>
      </c>
      <c r="E503">
        <v>0.10700662970520899</v>
      </c>
      <c r="F503">
        <v>0.10700662970520899</v>
      </c>
    </row>
    <row r="504" spans="1:6" x14ac:dyDescent="0.2">
      <c r="A504">
        <v>235</v>
      </c>
      <c r="B504" s="13" t="s">
        <v>162</v>
      </c>
      <c r="C504" s="1">
        <v>45561</v>
      </c>
      <c r="D504" s="13" t="s">
        <v>162</v>
      </c>
      <c r="E504">
        <v>6.0696454287813097E-2</v>
      </c>
      <c r="F504">
        <v>6.0696454287813097E-2</v>
      </c>
    </row>
    <row r="505" spans="1:6" x14ac:dyDescent="0.2">
      <c r="A505">
        <v>235</v>
      </c>
      <c r="B505" s="13" t="s">
        <v>163</v>
      </c>
      <c r="C505" s="1">
        <v>45522</v>
      </c>
      <c r="D505" s="13" t="s">
        <v>163</v>
      </c>
      <c r="E505">
        <v>0.19482591172699201</v>
      </c>
      <c r="F505">
        <v>0.19482591172699201</v>
      </c>
    </row>
    <row r="506" spans="1:6" x14ac:dyDescent="0.2">
      <c r="A506">
        <v>236</v>
      </c>
      <c r="B506" s="13" t="s">
        <v>824</v>
      </c>
      <c r="C506" s="1">
        <v>45462</v>
      </c>
      <c r="D506" s="13" t="s">
        <v>824</v>
      </c>
      <c r="E506">
        <v>0.104059971287397</v>
      </c>
      <c r="F506">
        <v>0.104059971287397</v>
      </c>
    </row>
    <row r="507" spans="1:6" x14ac:dyDescent="0.2">
      <c r="A507">
        <v>236</v>
      </c>
      <c r="B507" s="13" t="s">
        <v>164</v>
      </c>
      <c r="C507" s="1">
        <v>45434</v>
      </c>
      <c r="D507" s="13" t="s">
        <v>164</v>
      </c>
      <c r="E507">
        <v>0.36719382497089798</v>
      </c>
      <c r="F507">
        <v>0.36719382497089798</v>
      </c>
    </row>
    <row r="508" spans="1:6" x14ac:dyDescent="0.2">
      <c r="A508">
        <v>237</v>
      </c>
      <c r="B508" s="13" t="s">
        <v>165</v>
      </c>
      <c r="C508" s="1">
        <v>45477</v>
      </c>
      <c r="D508" s="13" t="s">
        <v>165</v>
      </c>
      <c r="E508">
        <v>0.247377860152418</v>
      </c>
      <c r="F508">
        <v>0.247377860152418</v>
      </c>
    </row>
    <row r="509" spans="1:6" x14ac:dyDescent="0.2">
      <c r="A509">
        <v>237</v>
      </c>
      <c r="B509" s="13" t="s">
        <v>166</v>
      </c>
      <c r="C509" s="1">
        <v>45352</v>
      </c>
      <c r="D509" s="13" t="s">
        <v>166</v>
      </c>
      <c r="E509">
        <v>0.32540221280099502</v>
      </c>
      <c r="F509">
        <v>0.32540221280099502</v>
      </c>
    </row>
    <row r="510" spans="1:6" x14ac:dyDescent="0.2">
      <c r="A510">
        <v>237</v>
      </c>
      <c r="B510" s="13" t="s">
        <v>167</v>
      </c>
      <c r="C510" s="1">
        <v>45324</v>
      </c>
      <c r="D510" s="13" t="s">
        <v>167</v>
      </c>
      <c r="E510">
        <v>8.6311523320571806E-2</v>
      </c>
      <c r="F510">
        <v>8.6311523320571806E-2</v>
      </c>
    </row>
    <row r="511" spans="1:6" x14ac:dyDescent="0.2">
      <c r="A511">
        <v>238</v>
      </c>
      <c r="B511" s="13" t="s">
        <v>825</v>
      </c>
      <c r="C511" s="1">
        <v>45628</v>
      </c>
      <c r="D511" s="13" t="s">
        <v>825</v>
      </c>
      <c r="E511">
        <v>0.17575809534738401</v>
      </c>
      <c r="F511">
        <v>0.17575809534738401</v>
      </c>
    </row>
    <row r="512" spans="1:6" x14ac:dyDescent="0.2">
      <c r="A512">
        <v>239</v>
      </c>
      <c r="B512" s="13" t="s">
        <v>826</v>
      </c>
      <c r="C512" s="1">
        <v>45293</v>
      </c>
      <c r="D512" s="13" t="s">
        <v>826</v>
      </c>
      <c r="E512">
        <v>0.16541998059650401</v>
      </c>
      <c r="F512">
        <v>0.16541998059650401</v>
      </c>
    </row>
    <row r="513" spans="1:6" x14ac:dyDescent="0.2">
      <c r="A513">
        <v>239</v>
      </c>
      <c r="B513" s="13" t="s">
        <v>168</v>
      </c>
      <c r="C513" s="1">
        <v>45511</v>
      </c>
      <c r="D513" s="13" t="s">
        <v>168</v>
      </c>
      <c r="E513">
        <v>6.8136961022619499E-2</v>
      </c>
      <c r="F513">
        <v>6.8136961022619499E-2</v>
      </c>
    </row>
    <row r="514" spans="1:6" x14ac:dyDescent="0.2">
      <c r="A514">
        <v>239</v>
      </c>
      <c r="B514" s="13" t="s">
        <v>169</v>
      </c>
      <c r="C514" s="1">
        <v>45629</v>
      </c>
      <c r="D514" s="13" t="s">
        <v>169</v>
      </c>
      <c r="E514">
        <v>0.21612391740801601</v>
      </c>
      <c r="F514">
        <v>0.21612391740801601</v>
      </c>
    </row>
    <row r="515" spans="1:6" x14ac:dyDescent="0.2">
      <c r="A515">
        <v>240</v>
      </c>
      <c r="B515" s="13" t="s">
        <v>466</v>
      </c>
      <c r="C515" s="1">
        <v>45305</v>
      </c>
      <c r="D515" s="13" t="s">
        <v>466</v>
      </c>
      <c r="E515">
        <v>0.12793963424486801</v>
      </c>
      <c r="F515">
        <v>0.12793963424486801</v>
      </c>
    </row>
    <row r="516" spans="1:6" x14ac:dyDescent="0.2">
      <c r="A516">
        <v>241</v>
      </c>
      <c r="B516" s="13" t="s">
        <v>170</v>
      </c>
      <c r="C516" s="1">
        <v>45354</v>
      </c>
      <c r="D516" s="13" t="s">
        <v>170</v>
      </c>
      <c r="E516">
        <v>5.9599894744330299E-2</v>
      </c>
      <c r="F516">
        <v>5.9599894744330299E-2</v>
      </c>
    </row>
    <row r="517" spans="1:6" x14ac:dyDescent="0.2">
      <c r="A517">
        <v>241</v>
      </c>
      <c r="B517" s="13" t="s">
        <v>171</v>
      </c>
      <c r="C517" s="1">
        <v>45469</v>
      </c>
      <c r="D517" s="13" t="s">
        <v>171</v>
      </c>
      <c r="E517">
        <v>0.28483070990485698</v>
      </c>
      <c r="F517">
        <v>0.28483070990485698</v>
      </c>
    </row>
    <row r="518" spans="1:6" x14ac:dyDescent="0.2">
      <c r="A518">
        <v>242</v>
      </c>
      <c r="B518" s="13" t="s">
        <v>827</v>
      </c>
      <c r="C518" s="1">
        <v>45478</v>
      </c>
      <c r="D518" s="13" t="s">
        <v>827</v>
      </c>
      <c r="E518">
        <v>0.35798209120359897</v>
      </c>
      <c r="F518">
        <v>0.35798209120359897</v>
      </c>
    </row>
    <row r="519" spans="1:6" x14ac:dyDescent="0.2">
      <c r="A519">
        <v>242</v>
      </c>
      <c r="B519" s="13" t="s">
        <v>828</v>
      </c>
      <c r="C519" s="1">
        <v>45653</v>
      </c>
      <c r="D519" s="13" t="s">
        <v>828</v>
      </c>
      <c r="E519">
        <v>0.19134405516015901</v>
      </c>
      <c r="F519">
        <v>0.19134405516015901</v>
      </c>
    </row>
    <row r="520" spans="1:6" x14ac:dyDescent="0.2">
      <c r="A520">
        <v>243</v>
      </c>
      <c r="B520" s="13" t="s">
        <v>829</v>
      </c>
      <c r="C520" s="1">
        <v>45640</v>
      </c>
      <c r="D520" s="13" t="s">
        <v>829</v>
      </c>
      <c r="E520">
        <v>5.7675330031449097E-2</v>
      </c>
      <c r="F520">
        <v>5.7675330031449097E-2</v>
      </c>
    </row>
    <row r="521" spans="1:6" x14ac:dyDescent="0.2">
      <c r="A521">
        <v>243</v>
      </c>
      <c r="B521" s="13" t="s">
        <v>830</v>
      </c>
      <c r="C521" s="1">
        <v>45430</v>
      </c>
      <c r="D521" s="13" t="s">
        <v>830</v>
      </c>
      <c r="E521">
        <v>1.20154181782631</v>
      </c>
      <c r="F521">
        <v>1.20154181782631</v>
      </c>
    </row>
    <row r="522" spans="1:6" x14ac:dyDescent="0.2">
      <c r="A522">
        <v>243</v>
      </c>
      <c r="B522" s="13" t="s">
        <v>831</v>
      </c>
      <c r="C522" s="1">
        <v>45360</v>
      </c>
      <c r="D522" s="13" t="s">
        <v>831</v>
      </c>
      <c r="E522">
        <v>0.123118893733121</v>
      </c>
      <c r="F522">
        <v>0.123118893733121</v>
      </c>
    </row>
    <row r="523" spans="1:6" x14ac:dyDescent="0.2">
      <c r="A523">
        <v>244</v>
      </c>
      <c r="B523" s="13" t="s">
        <v>832</v>
      </c>
      <c r="C523" s="1">
        <v>45575</v>
      </c>
      <c r="D523" s="13" t="s">
        <v>832</v>
      </c>
      <c r="E523">
        <v>5.6295006828493498E-2</v>
      </c>
      <c r="F523">
        <v>5.6295006828493498E-2</v>
      </c>
    </row>
    <row r="524" spans="1:6" x14ac:dyDescent="0.2">
      <c r="A524">
        <v>244</v>
      </c>
      <c r="B524" s="13" t="s">
        <v>467</v>
      </c>
      <c r="C524" s="1">
        <v>45602</v>
      </c>
      <c r="D524" s="13" t="s">
        <v>467</v>
      </c>
      <c r="E524">
        <v>0.50925063351927902</v>
      </c>
      <c r="F524">
        <v>0.50925063351927902</v>
      </c>
    </row>
    <row r="525" spans="1:6" x14ac:dyDescent="0.2">
      <c r="A525">
        <v>245</v>
      </c>
      <c r="B525" s="13" t="s">
        <v>172</v>
      </c>
      <c r="C525" s="1">
        <v>45460</v>
      </c>
      <c r="D525" s="13" t="s">
        <v>172</v>
      </c>
      <c r="E525">
        <v>0.16128935140957601</v>
      </c>
      <c r="F525">
        <v>0.16128935140957601</v>
      </c>
    </row>
    <row r="526" spans="1:6" x14ac:dyDescent="0.2">
      <c r="A526">
        <v>245</v>
      </c>
      <c r="B526" s="13" t="s">
        <v>173</v>
      </c>
      <c r="C526" s="1">
        <v>45594</v>
      </c>
      <c r="D526" s="13" t="s">
        <v>173</v>
      </c>
      <c r="E526">
        <v>0.25384932743349697</v>
      </c>
      <c r="F526">
        <v>0.25384932743349697</v>
      </c>
    </row>
    <row r="527" spans="1:6" x14ac:dyDescent="0.2">
      <c r="A527">
        <v>245</v>
      </c>
      <c r="B527" s="13" t="s">
        <v>174</v>
      </c>
      <c r="C527" s="1">
        <v>45653</v>
      </c>
      <c r="D527" s="13" t="s">
        <v>174</v>
      </c>
      <c r="E527">
        <v>0.27338050485165499</v>
      </c>
      <c r="F527">
        <v>0.27338050485165499</v>
      </c>
    </row>
    <row r="528" spans="1:6" x14ac:dyDescent="0.2">
      <c r="A528">
        <v>246</v>
      </c>
      <c r="B528" s="13" t="s">
        <v>833</v>
      </c>
      <c r="C528" s="1">
        <v>45373</v>
      </c>
      <c r="D528" s="13" t="s">
        <v>833</v>
      </c>
      <c r="E528">
        <v>0.19345889086836901</v>
      </c>
      <c r="F528">
        <v>0.19345889086836901</v>
      </c>
    </row>
    <row r="529" spans="1:6" x14ac:dyDescent="0.2">
      <c r="A529">
        <v>246</v>
      </c>
      <c r="B529" s="13" t="s">
        <v>175</v>
      </c>
      <c r="C529" s="1">
        <v>45542</v>
      </c>
      <c r="D529" s="13" t="s">
        <v>175</v>
      </c>
      <c r="E529">
        <v>0.36836815277550899</v>
      </c>
      <c r="F529">
        <v>0.36836815277550899</v>
      </c>
    </row>
    <row r="530" spans="1:6" x14ac:dyDescent="0.2">
      <c r="A530">
        <v>247</v>
      </c>
      <c r="B530" s="13" t="s">
        <v>176</v>
      </c>
      <c r="C530" s="1">
        <v>45474</v>
      </c>
      <c r="D530" s="13" t="s">
        <v>176</v>
      </c>
      <c r="E530">
        <v>0.18587286740379499</v>
      </c>
      <c r="F530">
        <v>0.18587286740379499</v>
      </c>
    </row>
    <row r="531" spans="1:6" x14ac:dyDescent="0.2">
      <c r="A531">
        <v>247</v>
      </c>
      <c r="B531" s="13" t="s">
        <v>177</v>
      </c>
      <c r="C531" s="1">
        <v>45438</v>
      </c>
      <c r="D531" s="13" t="s">
        <v>177</v>
      </c>
      <c r="E531">
        <v>0.13516045656353801</v>
      </c>
      <c r="F531">
        <v>0.13516045656353801</v>
      </c>
    </row>
    <row r="532" spans="1:6" x14ac:dyDescent="0.2">
      <c r="A532">
        <v>250</v>
      </c>
      <c r="B532" s="13" t="s">
        <v>834</v>
      </c>
      <c r="C532" s="1">
        <v>45304</v>
      </c>
      <c r="D532" s="13" t="s">
        <v>834</v>
      </c>
      <c r="E532">
        <v>0.345698870059581</v>
      </c>
      <c r="F532">
        <v>0.345698870059581</v>
      </c>
    </row>
    <row r="533" spans="1:6" x14ac:dyDescent="0.2">
      <c r="A533">
        <v>250</v>
      </c>
      <c r="B533" s="13" t="s">
        <v>468</v>
      </c>
      <c r="C533" s="1">
        <v>45627</v>
      </c>
      <c r="D533" s="13" t="s">
        <v>468</v>
      </c>
      <c r="E533">
        <v>0.10737576768164001</v>
      </c>
      <c r="F533">
        <v>0.10737576768164001</v>
      </c>
    </row>
    <row r="534" spans="1:6" x14ac:dyDescent="0.2">
      <c r="A534">
        <v>251</v>
      </c>
      <c r="B534" s="13" t="s">
        <v>469</v>
      </c>
      <c r="C534" s="1">
        <v>45586</v>
      </c>
      <c r="D534" s="13" t="s">
        <v>469</v>
      </c>
      <c r="E534">
        <v>0.100687306014882</v>
      </c>
      <c r="F534">
        <v>0.100687306014882</v>
      </c>
    </row>
    <row r="535" spans="1:6" x14ac:dyDescent="0.2">
      <c r="A535">
        <v>251</v>
      </c>
      <c r="B535" s="13" t="s">
        <v>178</v>
      </c>
      <c r="C535" s="1">
        <v>45387</v>
      </c>
      <c r="D535" s="13" t="s">
        <v>178</v>
      </c>
      <c r="E535">
        <v>0.18581500950524499</v>
      </c>
      <c r="F535">
        <v>0.18581500950524499</v>
      </c>
    </row>
    <row r="536" spans="1:6" x14ac:dyDescent="0.2">
      <c r="A536">
        <v>251</v>
      </c>
      <c r="B536" s="13" t="s">
        <v>179</v>
      </c>
      <c r="C536" s="1">
        <v>45643</v>
      </c>
      <c r="D536" s="13" t="s">
        <v>179</v>
      </c>
      <c r="E536">
        <v>9.1628048969593603E-2</v>
      </c>
      <c r="F536">
        <v>9.1628048969593603E-2</v>
      </c>
    </row>
    <row r="537" spans="1:6" x14ac:dyDescent="0.2">
      <c r="A537">
        <v>252</v>
      </c>
      <c r="B537" s="13" t="s">
        <v>180</v>
      </c>
      <c r="C537" s="1">
        <v>45377</v>
      </c>
      <c r="D537" s="13" t="s">
        <v>180</v>
      </c>
      <c r="E537">
        <v>0.28817718690437899</v>
      </c>
      <c r="F537">
        <v>0.28817718690437899</v>
      </c>
    </row>
    <row r="538" spans="1:6" x14ac:dyDescent="0.2">
      <c r="A538">
        <v>252</v>
      </c>
      <c r="B538" s="13" t="s">
        <v>181</v>
      </c>
      <c r="C538" s="1">
        <v>45478</v>
      </c>
      <c r="D538" s="13" t="s">
        <v>181</v>
      </c>
      <c r="E538">
        <v>0.16921667902444501</v>
      </c>
      <c r="F538">
        <v>0.16921667902444501</v>
      </c>
    </row>
    <row r="539" spans="1:6" x14ac:dyDescent="0.2">
      <c r="A539">
        <v>252</v>
      </c>
      <c r="B539" s="13" t="s">
        <v>182</v>
      </c>
      <c r="C539" s="1">
        <v>45472</v>
      </c>
      <c r="D539" s="13" t="s">
        <v>182</v>
      </c>
      <c r="E539">
        <v>0.12801462304301101</v>
      </c>
      <c r="F539">
        <v>0.12801462304301101</v>
      </c>
    </row>
    <row r="540" spans="1:6" x14ac:dyDescent="0.2">
      <c r="A540">
        <v>253</v>
      </c>
      <c r="B540" s="13" t="s">
        <v>183</v>
      </c>
      <c r="C540" s="1">
        <v>45636</v>
      </c>
      <c r="D540" s="13" t="s">
        <v>183</v>
      </c>
      <c r="E540">
        <v>0.368624575962546</v>
      </c>
      <c r="F540">
        <v>0.368624575962546</v>
      </c>
    </row>
    <row r="541" spans="1:6" x14ac:dyDescent="0.2">
      <c r="A541">
        <v>253</v>
      </c>
      <c r="B541" s="13" t="s">
        <v>184</v>
      </c>
      <c r="C541" s="1">
        <v>45431</v>
      </c>
      <c r="D541" s="13" t="s">
        <v>184</v>
      </c>
      <c r="E541">
        <v>0.12955628604901701</v>
      </c>
      <c r="F541">
        <v>0.12955628604901701</v>
      </c>
    </row>
    <row r="542" spans="1:6" x14ac:dyDescent="0.2">
      <c r="A542">
        <v>254</v>
      </c>
      <c r="B542" s="13" t="s">
        <v>835</v>
      </c>
      <c r="C542" s="1">
        <v>45413</v>
      </c>
      <c r="D542" s="13" t="s">
        <v>835</v>
      </c>
      <c r="E542">
        <v>5.3745074984747399E-2</v>
      </c>
      <c r="F542">
        <v>5.3745074984747399E-2</v>
      </c>
    </row>
    <row r="543" spans="1:6" x14ac:dyDescent="0.2">
      <c r="A543">
        <v>254</v>
      </c>
      <c r="B543" s="13" t="s">
        <v>556</v>
      </c>
      <c r="C543" s="1">
        <v>45542</v>
      </c>
      <c r="D543" s="13" t="s">
        <v>556</v>
      </c>
      <c r="E543">
        <v>6.4999298391358207E-2</v>
      </c>
      <c r="F543">
        <v>6.4999298391358207E-2</v>
      </c>
    </row>
    <row r="544" spans="1:6" x14ac:dyDescent="0.2">
      <c r="A544">
        <v>254</v>
      </c>
      <c r="B544" s="13" t="s">
        <v>836</v>
      </c>
      <c r="C544" s="1">
        <v>45506</v>
      </c>
      <c r="D544" s="13" t="s">
        <v>836</v>
      </c>
      <c r="E544">
        <v>0.14364306001916299</v>
      </c>
      <c r="F544">
        <v>0.14364306001916299</v>
      </c>
    </row>
    <row r="545" spans="1:6" x14ac:dyDescent="0.2">
      <c r="A545">
        <v>255</v>
      </c>
      <c r="B545" s="13" t="s">
        <v>837</v>
      </c>
      <c r="C545" s="1">
        <v>45574</v>
      </c>
      <c r="D545" s="13" t="s">
        <v>837</v>
      </c>
      <c r="E545">
        <v>4.9120138811448E-2</v>
      </c>
      <c r="F545">
        <v>4.9120138811448E-2</v>
      </c>
    </row>
    <row r="546" spans="1:6" x14ac:dyDescent="0.2">
      <c r="A546">
        <v>255</v>
      </c>
      <c r="B546" s="13" t="s">
        <v>838</v>
      </c>
      <c r="C546" s="1">
        <v>45622</v>
      </c>
      <c r="D546" s="13" t="s">
        <v>838</v>
      </c>
      <c r="E546">
        <v>4.0623190675707702E-2</v>
      </c>
      <c r="F546">
        <v>4.0623190675707702E-2</v>
      </c>
    </row>
    <row r="547" spans="1:6" x14ac:dyDescent="0.2">
      <c r="A547">
        <v>256</v>
      </c>
      <c r="B547" s="13" t="s">
        <v>557</v>
      </c>
      <c r="C547" s="1">
        <v>45615</v>
      </c>
      <c r="D547" s="13" t="s">
        <v>557</v>
      </c>
      <c r="E547">
        <v>0.156090078889354</v>
      </c>
      <c r="F547">
        <v>0.156090078889354</v>
      </c>
    </row>
    <row r="548" spans="1:6" x14ac:dyDescent="0.2">
      <c r="A548">
        <v>257</v>
      </c>
      <c r="B548" s="13" t="s">
        <v>839</v>
      </c>
      <c r="C548" s="1">
        <v>45514</v>
      </c>
      <c r="D548" s="13" t="s">
        <v>839</v>
      </c>
      <c r="E548">
        <v>0.26941001196852499</v>
      </c>
      <c r="F548">
        <v>0.26941001196852499</v>
      </c>
    </row>
    <row r="549" spans="1:6" x14ac:dyDescent="0.2">
      <c r="A549">
        <v>257</v>
      </c>
      <c r="B549" s="13" t="s">
        <v>840</v>
      </c>
      <c r="C549" s="1">
        <v>45452</v>
      </c>
      <c r="D549" s="13" t="s">
        <v>840</v>
      </c>
      <c r="E549">
        <v>0.140686599756046</v>
      </c>
      <c r="F549">
        <v>0.140686599756046</v>
      </c>
    </row>
    <row r="550" spans="1:6" x14ac:dyDescent="0.2">
      <c r="A550">
        <v>257</v>
      </c>
      <c r="B550" s="13" t="s">
        <v>841</v>
      </c>
      <c r="C550" s="1">
        <v>45334</v>
      </c>
      <c r="D550" s="13" t="s">
        <v>841</v>
      </c>
      <c r="E550">
        <v>0.20259178540494899</v>
      </c>
      <c r="F550">
        <v>0.20259178540494899</v>
      </c>
    </row>
    <row r="551" spans="1:6" x14ac:dyDescent="0.2">
      <c r="A551">
        <v>258</v>
      </c>
      <c r="B551" s="13" t="s">
        <v>842</v>
      </c>
      <c r="C551" s="1">
        <v>45587</v>
      </c>
      <c r="D551" s="13" t="s">
        <v>842</v>
      </c>
      <c r="E551">
        <v>0.25723009376063399</v>
      </c>
      <c r="F551">
        <v>0.25723009376063399</v>
      </c>
    </row>
    <row r="552" spans="1:6" x14ac:dyDescent="0.2">
      <c r="A552">
        <v>258</v>
      </c>
      <c r="B552" s="13" t="s">
        <v>843</v>
      </c>
      <c r="C552" s="1">
        <v>45564</v>
      </c>
      <c r="D552" s="13" t="s">
        <v>843</v>
      </c>
      <c r="E552">
        <v>0.16415875882633699</v>
      </c>
      <c r="F552">
        <v>0.16415875882633699</v>
      </c>
    </row>
    <row r="553" spans="1:6" x14ac:dyDescent="0.2">
      <c r="A553">
        <v>259</v>
      </c>
      <c r="B553" s="13" t="s">
        <v>185</v>
      </c>
      <c r="C553" s="1">
        <v>45307</v>
      </c>
      <c r="D553" s="13" t="s">
        <v>185</v>
      </c>
      <c r="E553">
        <v>0.19008865575244599</v>
      </c>
      <c r="F553">
        <v>0.19008865575244599</v>
      </c>
    </row>
    <row r="554" spans="1:6" x14ac:dyDescent="0.2">
      <c r="A554">
        <v>259</v>
      </c>
      <c r="B554" s="13" t="s">
        <v>186</v>
      </c>
      <c r="C554" s="1">
        <v>45431</v>
      </c>
      <c r="D554" s="13" t="s">
        <v>186</v>
      </c>
      <c r="E554">
        <v>9.2487465008505701E-2</v>
      </c>
      <c r="F554">
        <v>9.2487465008505701E-2</v>
      </c>
    </row>
    <row r="555" spans="1:6" x14ac:dyDescent="0.2">
      <c r="A555">
        <v>260</v>
      </c>
      <c r="B555" s="13" t="s">
        <v>187</v>
      </c>
      <c r="C555" s="1">
        <v>45387</v>
      </c>
      <c r="D555" s="13" t="s">
        <v>187</v>
      </c>
      <c r="E555">
        <v>0.342070391415565</v>
      </c>
      <c r="F555">
        <v>0.342070391415565</v>
      </c>
    </row>
    <row r="556" spans="1:6" x14ac:dyDescent="0.2">
      <c r="A556">
        <v>261</v>
      </c>
      <c r="B556" s="13" t="s">
        <v>844</v>
      </c>
      <c r="C556" s="1">
        <v>45550</v>
      </c>
      <c r="D556" s="13" t="s">
        <v>844</v>
      </c>
      <c r="E556">
        <v>0.242889357163901</v>
      </c>
      <c r="F556">
        <v>0.242889357163901</v>
      </c>
    </row>
    <row r="557" spans="1:6" x14ac:dyDescent="0.2">
      <c r="A557">
        <v>262</v>
      </c>
      <c r="B557" s="13" t="s">
        <v>845</v>
      </c>
      <c r="C557" s="1">
        <v>45407</v>
      </c>
      <c r="D557" s="13" t="s">
        <v>845</v>
      </c>
      <c r="E557">
        <v>8.20823699813579E-2</v>
      </c>
      <c r="F557">
        <v>8.20823699813579E-2</v>
      </c>
    </row>
    <row r="558" spans="1:6" x14ac:dyDescent="0.2">
      <c r="A558">
        <v>263</v>
      </c>
      <c r="B558" s="13" t="s">
        <v>558</v>
      </c>
      <c r="C558" s="1">
        <v>45304</v>
      </c>
      <c r="D558" s="13" t="s">
        <v>558</v>
      </c>
      <c r="E558">
        <v>2.3798937863803899E-2</v>
      </c>
      <c r="F558">
        <v>2.3798937863803899E-2</v>
      </c>
    </row>
    <row r="559" spans="1:6" x14ac:dyDescent="0.2">
      <c r="A559">
        <v>263</v>
      </c>
      <c r="B559" s="13" t="s">
        <v>846</v>
      </c>
      <c r="C559" s="1">
        <v>45408</v>
      </c>
      <c r="D559" s="13" t="s">
        <v>846</v>
      </c>
      <c r="E559">
        <v>0.13948225577506199</v>
      </c>
      <c r="F559">
        <v>0.13948225577506199</v>
      </c>
    </row>
    <row r="560" spans="1:6" x14ac:dyDescent="0.2">
      <c r="A560">
        <v>264</v>
      </c>
      <c r="B560" s="13" t="s">
        <v>559</v>
      </c>
      <c r="C560" s="1">
        <v>45520</v>
      </c>
      <c r="D560" s="13" t="s">
        <v>559</v>
      </c>
      <c r="E560">
        <v>1.0633364820653199E-2</v>
      </c>
      <c r="F560">
        <v>1.0633364820653199E-2</v>
      </c>
    </row>
    <row r="561" spans="1:6" x14ac:dyDescent="0.2">
      <c r="A561">
        <v>265</v>
      </c>
      <c r="B561" s="13" t="s">
        <v>847</v>
      </c>
      <c r="C561" s="1">
        <v>45608</v>
      </c>
      <c r="D561" s="13" t="s">
        <v>847</v>
      </c>
      <c r="E561">
        <v>0.161296697897508</v>
      </c>
      <c r="F561">
        <v>0.161296697897508</v>
      </c>
    </row>
    <row r="562" spans="1:6" x14ac:dyDescent="0.2">
      <c r="A562">
        <v>265</v>
      </c>
      <c r="B562" s="13" t="s">
        <v>848</v>
      </c>
      <c r="C562" s="1">
        <v>45310</v>
      </c>
      <c r="D562" s="13" t="s">
        <v>848</v>
      </c>
      <c r="E562">
        <v>0.16072152030472001</v>
      </c>
      <c r="F562">
        <v>0.16072152030472001</v>
      </c>
    </row>
    <row r="563" spans="1:6" x14ac:dyDescent="0.2">
      <c r="A563">
        <v>266</v>
      </c>
      <c r="B563" s="13" t="s">
        <v>560</v>
      </c>
      <c r="C563" s="1">
        <v>45434</v>
      </c>
      <c r="D563" s="13" t="s">
        <v>560</v>
      </c>
      <c r="E563">
        <v>0.102240218371265</v>
      </c>
      <c r="F563">
        <v>0.102240218371265</v>
      </c>
    </row>
    <row r="564" spans="1:6" x14ac:dyDescent="0.2">
      <c r="A564">
        <v>266</v>
      </c>
      <c r="B564" s="13" t="s">
        <v>561</v>
      </c>
      <c r="C564" s="1">
        <v>45575</v>
      </c>
      <c r="D564" s="13" t="s">
        <v>561</v>
      </c>
      <c r="E564">
        <v>0.229182185029249</v>
      </c>
      <c r="F564">
        <v>0.229182185029249</v>
      </c>
    </row>
    <row r="565" spans="1:6" x14ac:dyDescent="0.2">
      <c r="A565">
        <v>267</v>
      </c>
      <c r="B565" s="13" t="s">
        <v>562</v>
      </c>
      <c r="C565" s="1">
        <v>45617</v>
      </c>
      <c r="D565" s="13" t="s">
        <v>562</v>
      </c>
      <c r="E565">
        <v>0.106082167682305</v>
      </c>
      <c r="F565">
        <v>0.106082167682305</v>
      </c>
    </row>
    <row r="566" spans="1:6" x14ac:dyDescent="0.2">
      <c r="A566">
        <v>267</v>
      </c>
      <c r="B566" s="13" t="s">
        <v>563</v>
      </c>
      <c r="C566" s="1">
        <v>45487</v>
      </c>
      <c r="D566" s="13" t="s">
        <v>563</v>
      </c>
      <c r="E566">
        <v>9.26225400954995E-2</v>
      </c>
      <c r="F566">
        <v>9.26225400954995E-2</v>
      </c>
    </row>
    <row r="567" spans="1:6" x14ac:dyDescent="0.2">
      <c r="A567">
        <v>267</v>
      </c>
      <c r="B567" s="13" t="s">
        <v>564</v>
      </c>
      <c r="C567" s="1">
        <v>45590</v>
      </c>
      <c r="D567" s="13" t="s">
        <v>564</v>
      </c>
      <c r="E567">
        <v>7.8257836588743898E-2</v>
      </c>
      <c r="F567">
        <v>7.8257836588743898E-2</v>
      </c>
    </row>
    <row r="568" spans="1:6" x14ac:dyDescent="0.2">
      <c r="A568">
        <v>268</v>
      </c>
      <c r="B568" s="13" t="s">
        <v>565</v>
      </c>
      <c r="C568" s="1">
        <v>45529</v>
      </c>
      <c r="D568" s="13" t="s">
        <v>565</v>
      </c>
      <c r="E568">
        <v>0.55198876314835299</v>
      </c>
      <c r="F568">
        <v>0.55198876314835299</v>
      </c>
    </row>
    <row r="569" spans="1:6" x14ac:dyDescent="0.2">
      <c r="A569">
        <v>268</v>
      </c>
      <c r="B569" s="13" t="s">
        <v>566</v>
      </c>
      <c r="C569" s="1">
        <v>45567</v>
      </c>
      <c r="D569" s="13" t="s">
        <v>566</v>
      </c>
      <c r="E569">
        <v>0.268819119891401</v>
      </c>
      <c r="F569">
        <v>0.268819119891401</v>
      </c>
    </row>
    <row r="570" spans="1:6" x14ac:dyDescent="0.2">
      <c r="A570">
        <v>268</v>
      </c>
      <c r="B570" s="13" t="s">
        <v>849</v>
      </c>
      <c r="C570" s="1">
        <v>45298</v>
      </c>
      <c r="D570" s="13" t="s">
        <v>849</v>
      </c>
      <c r="E570">
        <v>0.38673035607645401</v>
      </c>
      <c r="F570">
        <v>0.38673035607645401</v>
      </c>
    </row>
    <row r="571" spans="1:6" x14ac:dyDescent="0.2">
      <c r="A571">
        <v>269</v>
      </c>
      <c r="B571" s="13" t="s">
        <v>567</v>
      </c>
      <c r="C571" s="1">
        <v>45506</v>
      </c>
      <c r="D571" s="13" t="s">
        <v>567</v>
      </c>
      <c r="E571">
        <v>0.19443035761341501</v>
      </c>
      <c r="F571">
        <v>0.19443035761341501</v>
      </c>
    </row>
    <row r="572" spans="1:6" x14ac:dyDescent="0.2">
      <c r="A572">
        <v>269</v>
      </c>
      <c r="B572" s="13" t="s">
        <v>850</v>
      </c>
      <c r="C572" s="1">
        <v>45456</v>
      </c>
      <c r="D572" s="13" t="s">
        <v>850</v>
      </c>
      <c r="E572">
        <v>7.9216892249340795E-2</v>
      </c>
      <c r="F572">
        <v>7.9216892249340795E-2</v>
      </c>
    </row>
    <row r="573" spans="1:6" x14ac:dyDescent="0.2">
      <c r="A573">
        <v>269</v>
      </c>
      <c r="B573" s="13" t="s">
        <v>568</v>
      </c>
      <c r="C573" s="1">
        <v>45632</v>
      </c>
      <c r="D573" s="13" t="s">
        <v>568</v>
      </c>
      <c r="E573">
        <v>0.157026230150874</v>
      </c>
      <c r="F573">
        <v>0.157026230150874</v>
      </c>
    </row>
    <row r="574" spans="1:6" x14ac:dyDescent="0.2">
      <c r="A574">
        <v>269</v>
      </c>
      <c r="B574" s="13" t="s">
        <v>569</v>
      </c>
      <c r="C574" s="1">
        <v>45321</v>
      </c>
      <c r="D574" s="13" t="s">
        <v>569</v>
      </c>
      <c r="E574">
        <v>9.6230622832796903E-2</v>
      </c>
      <c r="F574">
        <v>9.6230622832796903E-2</v>
      </c>
    </row>
    <row r="575" spans="1:6" x14ac:dyDescent="0.2">
      <c r="A575">
        <v>270</v>
      </c>
      <c r="B575" s="13" t="s">
        <v>570</v>
      </c>
      <c r="C575" s="1">
        <v>45535</v>
      </c>
      <c r="D575" s="13" t="s">
        <v>570</v>
      </c>
      <c r="E575">
        <v>0.14716144088614899</v>
      </c>
      <c r="F575">
        <v>0.14716144088614899</v>
      </c>
    </row>
    <row r="576" spans="1:6" x14ac:dyDescent="0.2">
      <c r="A576">
        <v>270</v>
      </c>
      <c r="B576" s="13" t="s">
        <v>851</v>
      </c>
      <c r="C576" s="1">
        <v>45318</v>
      </c>
      <c r="D576" s="13" t="s">
        <v>851</v>
      </c>
      <c r="E576">
        <v>8.2206353287373204E-2</v>
      </c>
      <c r="F576">
        <v>8.2206353287373204E-2</v>
      </c>
    </row>
    <row r="577" spans="1:6" x14ac:dyDescent="0.2">
      <c r="A577">
        <v>271</v>
      </c>
      <c r="B577" s="13" t="s">
        <v>852</v>
      </c>
      <c r="C577" s="1">
        <v>45607</v>
      </c>
      <c r="D577" s="13" t="s">
        <v>852</v>
      </c>
      <c r="E577">
        <v>0.16628158238846599</v>
      </c>
      <c r="F577">
        <v>0.16628158238846599</v>
      </c>
    </row>
    <row r="578" spans="1:6" x14ac:dyDescent="0.2">
      <c r="A578">
        <v>272</v>
      </c>
      <c r="B578" s="13" t="s">
        <v>853</v>
      </c>
      <c r="C578" s="1">
        <v>45309</v>
      </c>
      <c r="D578" s="13" t="s">
        <v>853</v>
      </c>
      <c r="E578">
        <v>0.13217016239068999</v>
      </c>
      <c r="F578">
        <v>0.13217016239068999</v>
      </c>
    </row>
    <row r="579" spans="1:6" x14ac:dyDescent="0.2">
      <c r="A579">
        <v>272</v>
      </c>
      <c r="B579" s="13" t="s">
        <v>854</v>
      </c>
      <c r="C579" s="1">
        <v>45377</v>
      </c>
      <c r="D579" s="13" t="s">
        <v>854</v>
      </c>
      <c r="E579">
        <v>0.110557987221212</v>
      </c>
      <c r="F579">
        <v>0.110557987221212</v>
      </c>
    </row>
    <row r="580" spans="1:6" x14ac:dyDescent="0.2">
      <c r="A580">
        <v>272</v>
      </c>
      <c r="B580" s="13" t="s">
        <v>855</v>
      </c>
      <c r="C580" s="1">
        <v>45650</v>
      </c>
      <c r="D580" s="13" t="s">
        <v>855</v>
      </c>
      <c r="E580">
        <v>0.103888840545487</v>
      </c>
      <c r="F580">
        <v>0.103888840545487</v>
      </c>
    </row>
    <row r="581" spans="1:6" x14ac:dyDescent="0.2">
      <c r="A581">
        <v>272</v>
      </c>
      <c r="B581" s="13" t="s">
        <v>856</v>
      </c>
      <c r="C581" s="1">
        <v>45582</v>
      </c>
      <c r="D581" s="13" t="s">
        <v>856</v>
      </c>
      <c r="E581">
        <v>0.13816341428253401</v>
      </c>
      <c r="F581">
        <v>0.13816341428253401</v>
      </c>
    </row>
    <row r="582" spans="1:6" x14ac:dyDescent="0.2">
      <c r="A582">
        <v>273</v>
      </c>
      <c r="B582" s="13" t="s">
        <v>857</v>
      </c>
      <c r="C582" s="1">
        <v>45613</v>
      </c>
      <c r="D582" s="13" t="s">
        <v>857</v>
      </c>
      <c r="E582">
        <v>0.41344759946438597</v>
      </c>
      <c r="F582">
        <v>0.41344759946438597</v>
      </c>
    </row>
    <row r="583" spans="1:6" x14ac:dyDescent="0.2">
      <c r="A583">
        <v>273</v>
      </c>
      <c r="B583" s="13" t="s">
        <v>858</v>
      </c>
      <c r="C583" s="1">
        <v>45335</v>
      </c>
      <c r="D583" s="13" t="s">
        <v>858</v>
      </c>
      <c r="E583">
        <v>8.0415606430131806E-2</v>
      </c>
      <c r="F583">
        <v>8.0415606430131806E-2</v>
      </c>
    </row>
    <row r="584" spans="1:6" x14ac:dyDescent="0.2">
      <c r="A584">
        <v>273</v>
      </c>
      <c r="B584" s="13" t="s">
        <v>859</v>
      </c>
      <c r="C584" s="1">
        <v>45394</v>
      </c>
      <c r="D584" s="13" t="s">
        <v>859</v>
      </c>
      <c r="E584">
        <v>9.6362666010335898E-2</v>
      </c>
      <c r="F584">
        <v>9.6362666010335898E-2</v>
      </c>
    </row>
    <row r="585" spans="1:6" x14ac:dyDescent="0.2">
      <c r="A585">
        <v>273</v>
      </c>
      <c r="B585" s="13" t="s">
        <v>860</v>
      </c>
      <c r="C585" s="1">
        <v>45309</v>
      </c>
      <c r="D585" s="13" t="s">
        <v>860</v>
      </c>
      <c r="E585">
        <v>8.0092211233760605E-2</v>
      </c>
      <c r="F585">
        <v>8.0092211233760605E-2</v>
      </c>
    </row>
    <row r="586" spans="1:6" x14ac:dyDescent="0.2">
      <c r="A586">
        <v>274</v>
      </c>
      <c r="B586" s="13" t="s">
        <v>861</v>
      </c>
      <c r="C586" s="1">
        <v>45467</v>
      </c>
      <c r="D586" s="13" t="s">
        <v>861</v>
      </c>
      <c r="E586">
        <v>4.41776493867286E-2</v>
      </c>
      <c r="F586">
        <v>4.41776493867286E-2</v>
      </c>
    </row>
    <row r="587" spans="1:6" x14ac:dyDescent="0.2">
      <c r="A587">
        <v>274</v>
      </c>
      <c r="B587" s="13" t="s">
        <v>862</v>
      </c>
      <c r="C587" s="1">
        <v>45474</v>
      </c>
      <c r="D587" s="13" t="s">
        <v>862</v>
      </c>
      <c r="E587">
        <v>0.375747816775724</v>
      </c>
      <c r="F587">
        <v>0.375747816775724</v>
      </c>
    </row>
    <row r="588" spans="1:6" x14ac:dyDescent="0.2">
      <c r="A588">
        <v>274</v>
      </c>
      <c r="B588" s="13" t="s">
        <v>571</v>
      </c>
      <c r="C588" s="1">
        <v>45409</v>
      </c>
      <c r="D588" s="13" t="s">
        <v>571</v>
      </c>
      <c r="E588">
        <v>0.34561404909645499</v>
      </c>
      <c r="F588">
        <v>0.34561404909645499</v>
      </c>
    </row>
    <row r="589" spans="1:6" x14ac:dyDescent="0.2">
      <c r="A589">
        <v>275</v>
      </c>
      <c r="B589" s="13" t="s">
        <v>572</v>
      </c>
      <c r="C589" s="1">
        <v>45335</v>
      </c>
      <c r="D589" s="13" t="s">
        <v>572</v>
      </c>
      <c r="E589">
        <v>0.74919430560186095</v>
      </c>
      <c r="F589">
        <v>0.74919430560186095</v>
      </c>
    </row>
    <row r="590" spans="1:6" x14ac:dyDescent="0.2">
      <c r="A590">
        <v>276</v>
      </c>
      <c r="B590" s="13" t="s">
        <v>573</v>
      </c>
      <c r="C590" s="1">
        <v>45653</v>
      </c>
      <c r="D590" s="13" t="s">
        <v>573</v>
      </c>
      <c r="E590">
        <v>6.0253109959621E-2</v>
      </c>
      <c r="F590">
        <v>6.0253109959621E-2</v>
      </c>
    </row>
    <row r="591" spans="1:6" x14ac:dyDescent="0.2">
      <c r="A591">
        <v>276</v>
      </c>
      <c r="B591" s="13" t="s">
        <v>863</v>
      </c>
      <c r="C591" s="1">
        <v>45398</v>
      </c>
      <c r="D591" s="13" t="s">
        <v>863</v>
      </c>
      <c r="E591">
        <v>0.23319961868865799</v>
      </c>
      <c r="F591">
        <v>0.23319961868865799</v>
      </c>
    </row>
    <row r="592" spans="1:6" x14ac:dyDescent="0.2">
      <c r="A592">
        <v>278</v>
      </c>
      <c r="B592" s="13" t="s">
        <v>188</v>
      </c>
      <c r="C592" s="1">
        <v>45434</v>
      </c>
      <c r="D592" s="13" t="s">
        <v>188</v>
      </c>
      <c r="E592">
        <v>0.2531665850157</v>
      </c>
      <c r="F592">
        <v>0.2531665850157</v>
      </c>
    </row>
    <row r="593" spans="1:6" x14ac:dyDescent="0.2">
      <c r="A593">
        <v>278</v>
      </c>
      <c r="B593" s="13" t="s">
        <v>189</v>
      </c>
      <c r="C593" s="1">
        <v>45596</v>
      </c>
      <c r="D593" s="13" t="s">
        <v>189</v>
      </c>
      <c r="E593">
        <v>5.9009268778126497E-3</v>
      </c>
      <c r="F593">
        <v>5.9009268778126497E-3</v>
      </c>
    </row>
    <row r="594" spans="1:6" x14ac:dyDescent="0.2">
      <c r="A594">
        <v>279</v>
      </c>
      <c r="B594" s="13" t="s">
        <v>864</v>
      </c>
      <c r="C594" s="1">
        <v>45574</v>
      </c>
      <c r="D594" s="13" t="s">
        <v>864</v>
      </c>
      <c r="E594">
        <v>0.14672054828254999</v>
      </c>
      <c r="F594">
        <v>0.14672054828254999</v>
      </c>
    </row>
    <row r="595" spans="1:6" x14ac:dyDescent="0.2">
      <c r="A595">
        <v>279</v>
      </c>
      <c r="B595" s="13" t="s">
        <v>865</v>
      </c>
      <c r="C595" s="1">
        <v>45358</v>
      </c>
      <c r="D595" s="13" t="s">
        <v>865</v>
      </c>
      <c r="E595">
        <v>0.258916297660442</v>
      </c>
      <c r="F595">
        <v>0.258916297660442</v>
      </c>
    </row>
    <row r="596" spans="1:6" x14ac:dyDescent="0.2">
      <c r="A596">
        <v>279</v>
      </c>
      <c r="B596" s="13" t="s">
        <v>866</v>
      </c>
      <c r="C596" s="1">
        <v>45566</v>
      </c>
      <c r="D596" s="13" t="s">
        <v>866</v>
      </c>
      <c r="E596">
        <v>0.14241844659938099</v>
      </c>
      <c r="F596">
        <v>0.14241844659938099</v>
      </c>
    </row>
    <row r="597" spans="1:6" x14ac:dyDescent="0.2">
      <c r="A597">
        <v>279</v>
      </c>
      <c r="B597" s="13" t="s">
        <v>867</v>
      </c>
      <c r="C597" s="1">
        <v>45315</v>
      </c>
      <c r="D597" s="13" t="s">
        <v>867</v>
      </c>
      <c r="E597">
        <v>3.4100706435675497E-2</v>
      </c>
      <c r="F597">
        <v>3.4100706435675497E-2</v>
      </c>
    </row>
    <row r="598" spans="1:6" x14ac:dyDescent="0.2">
      <c r="A598">
        <v>280</v>
      </c>
      <c r="B598" s="13" t="s">
        <v>868</v>
      </c>
      <c r="C598" s="1">
        <v>45468</v>
      </c>
      <c r="D598" s="13" t="s">
        <v>868</v>
      </c>
      <c r="E598">
        <v>0.15996153901601301</v>
      </c>
      <c r="F598">
        <v>0.15996153901601301</v>
      </c>
    </row>
    <row r="599" spans="1:6" x14ac:dyDescent="0.2">
      <c r="A599">
        <v>280</v>
      </c>
      <c r="B599" s="13" t="s">
        <v>869</v>
      </c>
      <c r="C599" s="1">
        <v>45376</v>
      </c>
      <c r="D599" s="13" t="s">
        <v>869</v>
      </c>
      <c r="E599">
        <v>0.35673345093835301</v>
      </c>
      <c r="F599">
        <v>0.35673345093835301</v>
      </c>
    </row>
    <row r="600" spans="1:6" x14ac:dyDescent="0.2">
      <c r="A600">
        <v>281</v>
      </c>
      <c r="B600" s="13" t="s">
        <v>190</v>
      </c>
      <c r="C600" s="1">
        <v>45408</v>
      </c>
      <c r="D600" s="13" t="s">
        <v>190</v>
      </c>
      <c r="E600">
        <v>0.23032937261544001</v>
      </c>
      <c r="F600">
        <v>0.23032937261544001</v>
      </c>
    </row>
    <row r="601" spans="1:6" x14ac:dyDescent="0.2">
      <c r="A601">
        <v>282</v>
      </c>
      <c r="B601" s="13" t="s">
        <v>191</v>
      </c>
      <c r="C601" s="1">
        <v>45547</v>
      </c>
      <c r="D601" s="13" t="s">
        <v>191</v>
      </c>
      <c r="E601">
        <v>0.11411569843655001</v>
      </c>
      <c r="F601">
        <v>0.11411569843655001</v>
      </c>
    </row>
    <row r="602" spans="1:6" x14ac:dyDescent="0.2">
      <c r="A602">
        <v>282</v>
      </c>
      <c r="B602" s="13" t="s">
        <v>192</v>
      </c>
      <c r="C602" s="1">
        <v>45409</v>
      </c>
      <c r="D602" s="13" t="s">
        <v>192</v>
      </c>
      <c r="E602">
        <v>0.25167851285474002</v>
      </c>
      <c r="F602">
        <v>0.25167851285474002</v>
      </c>
    </row>
    <row r="603" spans="1:6" x14ac:dyDescent="0.2">
      <c r="A603">
        <v>282</v>
      </c>
      <c r="B603" s="13" t="s">
        <v>193</v>
      </c>
      <c r="C603" s="1">
        <v>45624</v>
      </c>
      <c r="D603" s="13" t="s">
        <v>193</v>
      </c>
      <c r="E603">
        <v>8.5543972781951305E-2</v>
      </c>
      <c r="F603">
        <v>8.5543972781951305E-2</v>
      </c>
    </row>
    <row r="604" spans="1:6" x14ac:dyDescent="0.2">
      <c r="A604">
        <v>283</v>
      </c>
      <c r="B604" s="13" t="s">
        <v>194</v>
      </c>
      <c r="C604" s="1">
        <v>45481</v>
      </c>
      <c r="D604" s="13" t="s">
        <v>194</v>
      </c>
      <c r="E604">
        <v>0.113785210130881</v>
      </c>
      <c r="F604">
        <v>0.113785210130881</v>
      </c>
    </row>
    <row r="605" spans="1:6" x14ac:dyDescent="0.2">
      <c r="A605">
        <v>283</v>
      </c>
      <c r="B605" s="13" t="s">
        <v>195</v>
      </c>
      <c r="C605" s="1">
        <v>45579</v>
      </c>
      <c r="D605" s="13" t="s">
        <v>195</v>
      </c>
      <c r="E605">
        <v>0.10125965827377401</v>
      </c>
      <c r="F605">
        <v>0.10125965827377401</v>
      </c>
    </row>
    <row r="606" spans="1:6" x14ac:dyDescent="0.2">
      <c r="A606">
        <v>284</v>
      </c>
      <c r="B606" s="13" t="s">
        <v>196</v>
      </c>
      <c r="C606" s="1">
        <v>45630</v>
      </c>
      <c r="D606" s="13" t="s">
        <v>196</v>
      </c>
      <c r="E606">
        <v>0.21487838174189899</v>
      </c>
      <c r="F606">
        <v>0.21487838174189899</v>
      </c>
    </row>
    <row r="607" spans="1:6" x14ac:dyDescent="0.2">
      <c r="A607">
        <v>284</v>
      </c>
      <c r="B607" s="13" t="s">
        <v>197</v>
      </c>
      <c r="C607" s="1">
        <v>45349</v>
      </c>
      <c r="D607" s="13" t="s">
        <v>197</v>
      </c>
      <c r="E607">
        <v>0.45634345099753398</v>
      </c>
      <c r="F607">
        <v>0.45634345099753398</v>
      </c>
    </row>
    <row r="608" spans="1:6" x14ac:dyDescent="0.2">
      <c r="A608">
        <v>284</v>
      </c>
      <c r="B608" s="13" t="s">
        <v>198</v>
      </c>
      <c r="C608" s="1">
        <v>45650</v>
      </c>
      <c r="D608" s="13" t="s">
        <v>198</v>
      </c>
      <c r="E608">
        <v>0.167119753154755</v>
      </c>
      <c r="F608">
        <v>0.167119753154755</v>
      </c>
    </row>
    <row r="609" spans="1:6" x14ac:dyDescent="0.2">
      <c r="A609">
        <v>285</v>
      </c>
      <c r="B609" s="13" t="s">
        <v>199</v>
      </c>
      <c r="C609" s="1">
        <v>45329</v>
      </c>
      <c r="D609" s="13" t="s">
        <v>199</v>
      </c>
      <c r="E609">
        <v>3.2621827282681502E-2</v>
      </c>
      <c r="F609">
        <v>3.2621827282681502E-2</v>
      </c>
    </row>
    <row r="610" spans="1:6" x14ac:dyDescent="0.2">
      <c r="A610">
        <v>285</v>
      </c>
      <c r="B610" s="13" t="s">
        <v>200</v>
      </c>
      <c r="C610" s="1">
        <v>45522</v>
      </c>
      <c r="D610" s="13" t="s">
        <v>200</v>
      </c>
      <c r="E610">
        <v>5.7192885125042697E-2</v>
      </c>
      <c r="F610">
        <v>5.7192885125042697E-2</v>
      </c>
    </row>
    <row r="611" spans="1:6" x14ac:dyDescent="0.2">
      <c r="A611">
        <v>285</v>
      </c>
      <c r="B611" s="13" t="s">
        <v>201</v>
      </c>
      <c r="C611" s="1">
        <v>45578</v>
      </c>
      <c r="D611" s="13" t="s">
        <v>201</v>
      </c>
      <c r="E611">
        <v>0.19848061808206499</v>
      </c>
      <c r="F611">
        <v>0.19848061808206499</v>
      </c>
    </row>
    <row r="612" spans="1:6" x14ac:dyDescent="0.2">
      <c r="A612">
        <v>285</v>
      </c>
      <c r="B612" s="13" t="s">
        <v>202</v>
      </c>
      <c r="C612" s="1">
        <v>45581</v>
      </c>
      <c r="D612" s="13" t="s">
        <v>202</v>
      </c>
      <c r="E612">
        <v>8.4004897801527506E-2</v>
      </c>
      <c r="F612">
        <v>8.4004897801527506E-2</v>
      </c>
    </row>
    <row r="613" spans="1:6" x14ac:dyDescent="0.2">
      <c r="A613">
        <v>286</v>
      </c>
      <c r="B613" s="13" t="s">
        <v>870</v>
      </c>
      <c r="C613" s="1">
        <v>45319</v>
      </c>
      <c r="D613" s="13" t="s">
        <v>870</v>
      </c>
      <c r="E613">
        <v>0.115766611619208</v>
      </c>
      <c r="F613">
        <v>0.115766611619208</v>
      </c>
    </row>
    <row r="614" spans="1:6" x14ac:dyDescent="0.2">
      <c r="A614">
        <v>286</v>
      </c>
      <c r="B614" s="13" t="s">
        <v>871</v>
      </c>
      <c r="C614" s="1">
        <v>45469</v>
      </c>
      <c r="D614" s="13" t="s">
        <v>871</v>
      </c>
      <c r="E614">
        <v>6.9474196715379494E-2</v>
      </c>
      <c r="F614">
        <v>6.9474196715379494E-2</v>
      </c>
    </row>
    <row r="615" spans="1:6" x14ac:dyDescent="0.2">
      <c r="A615">
        <v>287</v>
      </c>
      <c r="B615" s="13" t="s">
        <v>574</v>
      </c>
      <c r="C615" s="1">
        <v>45337</v>
      </c>
      <c r="D615" s="13" t="s">
        <v>574</v>
      </c>
      <c r="E615">
        <v>0.40856523436606201</v>
      </c>
      <c r="F615">
        <v>0.40856523436606201</v>
      </c>
    </row>
    <row r="616" spans="1:6" x14ac:dyDescent="0.2">
      <c r="A616">
        <v>287</v>
      </c>
      <c r="B616" s="13" t="s">
        <v>575</v>
      </c>
      <c r="C616" s="1">
        <v>45323</v>
      </c>
      <c r="D616" s="13" t="s">
        <v>575</v>
      </c>
      <c r="E616">
        <v>4.1322821303028799E-2</v>
      </c>
      <c r="F616">
        <v>4.1322821303028799E-2</v>
      </c>
    </row>
    <row r="617" spans="1:6" x14ac:dyDescent="0.2">
      <c r="A617">
        <v>287</v>
      </c>
      <c r="B617" s="13" t="s">
        <v>203</v>
      </c>
      <c r="C617" s="1">
        <v>45376</v>
      </c>
      <c r="D617" s="13" t="s">
        <v>203</v>
      </c>
      <c r="E617">
        <v>0.28527664357712501</v>
      </c>
      <c r="F617">
        <v>0.28527664357712501</v>
      </c>
    </row>
    <row r="618" spans="1:6" x14ac:dyDescent="0.2">
      <c r="A618">
        <v>287</v>
      </c>
      <c r="B618" s="13" t="s">
        <v>204</v>
      </c>
      <c r="C618" s="1">
        <v>45386</v>
      </c>
      <c r="D618" s="13" t="s">
        <v>204</v>
      </c>
      <c r="E618">
        <v>0.17194152814786701</v>
      </c>
      <c r="F618">
        <v>0.17194152814786701</v>
      </c>
    </row>
    <row r="619" spans="1:6" x14ac:dyDescent="0.2">
      <c r="A619">
        <v>288</v>
      </c>
      <c r="B619" s="13" t="s">
        <v>576</v>
      </c>
      <c r="C619" s="1">
        <v>45509</v>
      </c>
      <c r="D619" s="13" t="s">
        <v>576</v>
      </c>
      <c r="E619">
        <v>0.57427941753996403</v>
      </c>
      <c r="F619">
        <v>0.57427941753996403</v>
      </c>
    </row>
    <row r="620" spans="1:6" x14ac:dyDescent="0.2">
      <c r="A620">
        <v>288</v>
      </c>
      <c r="B620" s="13" t="s">
        <v>577</v>
      </c>
      <c r="C620" s="1">
        <v>45332</v>
      </c>
      <c r="D620" s="13" t="s">
        <v>577</v>
      </c>
      <c r="E620">
        <v>3.9362145222201099E-2</v>
      </c>
      <c r="F620">
        <v>3.9362145222201099E-2</v>
      </c>
    </row>
    <row r="621" spans="1:6" x14ac:dyDescent="0.2">
      <c r="A621">
        <v>288</v>
      </c>
      <c r="B621" s="13" t="s">
        <v>872</v>
      </c>
      <c r="C621" s="1">
        <v>45333</v>
      </c>
      <c r="D621" s="13" t="s">
        <v>872</v>
      </c>
      <c r="E621">
        <v>0.182817642921211</v>
      </c>
      <c r="F621">
        <v>0.182817642921211</v>
      </c>
    </row>
    <row r="622" spans="1:6" x14ac:dyDescent="0.2">
      <c r="A622">
        <v>289</v>
      </c>
      <c r="B622" s="13" t="s">
        <v>205</v>
      </c>
      <c r="C622" s="1">
        <v>45612</v>
      </c>
      <c r="D622" s="13" t="s">
        <v>205</v>
      </c>
      <c r="E622">
        <v>0.17341743054946901</v>
      </c>
      <c r="F622">
        <v>0.17341743054946901</v>
      </c>
    </row>
    <row r="623" spans="1:6" x14ac:dyDescent="0.2">
      <c r="A623">
        <v>289</v>
      </c>
      <c r="B623" s="13" t="s">
        <v>206</v>
      </c>
      <c r="C623" s="1">
        <v>45490</v>
      </c>
      <c r="D623" s="13" t="s">
        <v>206</v>
      </c>
      <c r="E623">
        <v>7.06995359316622E-2</v>
      </c>
      <c r="F623">
        <v>7.06995359316622E-2</v>
      </c>
    </row>
    <row r="624" spans="1:6" x14ac:dyDescent="0.2">
      <c r="A624">
        <v>289</v>
      </c>
      <c r="B624" s="13" t="s">
        <v>207</v>
      </c>
      <c r="C624" s="1">
        <v>45436</v>
      </c>
      <c r="D624" s="13" t="s">
        <v>207</v>
      </c>
      <c r="E624">
        <v>0.14651218373729699</v>
      </c>
      <c r="F624">
        <v>0.14651218373729699</v>
      </c>
    </row>
    <row r="625" spans="1:6" x14ac:dyDescent="0.2">
      <c r="A625">
        <v>289</v>
      </c>
      <c r="B625" s="13" t="s">
        <v>208</v>
      </c>
      <c r="C625" s="1">
        <v>45418</v>
      </c>
      <c r="D625" s="13" t="s">
        <v>208</v>
      </c>
      <c r="E625">
        <v>0.16675221274287999</v>
      </c>
      <c r="F625">
        <v>0.16675221274287999</v>
      </c>
    </row>
    <row r="626" spans="1:6" x14ac:dyDescent="0.2">
      <c r="A626">
        <v>290</v>
      </c>
      <c r="B626" s="13" t="s">
        <v>873</v>
      </c>
      <c r="C626" s="1">
        <v>45351</v>
      </c>
      <c r="D626" s="13" t="s">
        <v>873</v>
      </c>
      <c r="E626">
        <v>3.9328576575099701E-2</v>
      </c>
      <c r="F626">
        <v>3.9328576575099701E-2</v>
      </c>
    </row>
    <row r="627" spans="1:6" x14ac:dyDescent="0.2">
      <c r="A627">
        <v>290</v>
      </c>
      <c r="B627" s="13" t="s">
        <v>874</v>
      </c>
      <c r="C627" s="1">
        <v>45308</v>
      </c>
      <c r="D627" s="13" t="s">
        <v>874</v>
      </c>
      <c r="E627">
        <v>6.85114562187914E-2</v>
      </c>
      <c r="F627">
        <v>6.85114562187914E-2</v>
      </c>
    </row>
    <row r="628" spans="1:6" x14ac:dyDescent="0.2">
      <c r="A628">
        <v>291</v>
      </c>
      <c r="B628" s="13" t="s">
        <v>875</v>
      </c>
      <c r="C628" s="1">
        <v>45445</v>
      </c>
      <c r="D628" s="13" t="s">
        <v>875</v>
      </c>
      <c r="E628">
        <v>0.101947069343574</v>
      </c>
      <c r="F628">
        <v>0.101947069343574</v>
      </c>
    </row>
    <row r="629" spans="1:6" x14ac:dyDescent="0.2">
      <c r="A629">
        <v>291</v>
      </c>
      <c r="B629" s="13" t="s">
        <v>876</v>
      </c>
      <c r="C629" s="1">
        <v>45372</v>
      </c>
      <c r="D629" s="13" t="s">
        <v>876</v>
      </c>
      <c r="E629">
        <v>0.14855921036003</v>
      </c>
      <c r="F629">
        <v>0.14855921036003</v>
      </c>
    </row>
    <row r="630" spans="1:6" x14ac:dyDescent="0.2">
      <c r="A630">
        <v>291</v>
      </c>
      <c r="B630" s="13" t="s">
        <v>877</v>
      </c>
      <c r="C630" s="1">
        <v>45532</v>
      </c>
      <c r="D630" s="13" t="s">
        <v>877</v>
      </c>
      <c r="E630">
        <v>0.37241182157557801</v>
      </c>
      <c r="F630">
        <v>0.37241182157557801</v>
      </c>
    </row>
    <row r="631" spans="1:6" x14ac:dyDescent="0.2">
      <c r="A631">
        <v>292</v>
      </c>
      <c r="B631" s="13" t="s">
        <v>209</v>
      </c>
      <c r="C631" s="1">
        <v>45568</v>
      </c>
      <c r="D631" s="13" t="s">
        <v>209</v>
      </c>
      <c r="E631">
        <v>0.32308132076854401</v>
      </c>
      <c r="F631">
        <v>0.32308132076854401</v>
      </c>
    </row>
    <row r="632" spans="1:6" x14ac:dyDescent="0.2">
      <c r="A632">
        <v>292</v>
      </c>
      <c r="B632" s="13" t="s">
        <v>210</v>
      </c>
      <c r="C632" s="1">
        <v>45339</v>
      </c>
      <c r="D632" s="13" t="s">
        <v>210</v>
      </c>
      <c r="E632">
        <v>0.120728691584569</v>
      </c>
      <c r="F632">
        <v>0.120728691584569</v>
      </c>
    </row>
    <row r="633" spans="1:6" x14ac:dyDescent="0.2">
      <c r="A633">
        <v>292</v>
      </c>
      <c r="B633" s="13" t="s">
        <v>211</v>
      </c>
      <c r="C633" s="1">
        <v>45632</v>
      </c>
      <c r="D633" s="13" t="s">
        <v>211</v>
      </c>
      <c r="E633">
        <v>0.130548286179371</v>
      </c>
      <c r="F633">
        <v>0.130548286179371</v>
      </c>
    </row>
    <row r="634" spans="1:6" x14ac:dyDescent="0.2">
      <c r="A634">
        <v>293</v>
      </c>
      <c r="B634" s="13" t="s">
        <v>878</v>
      </c>
      <c r="C634" s="1">
        <v>45383</v>
      </c>
      <c r="D634" s="13" t="s">
        <v>878</v>
      </c>
      <c r="E634">
        <v>0.11289939752619101</v>
      </c>
      <c r="F634">
        <v>0.11289939752619101</v>
      </c>
    </row>
    <row r="635" spans="1:6" x14ac:dyDescent="0.2">
      <c r="A635">
        <v>293</v>
      </c>
      <c r="B635" s="13" t="s">
        <v>879</v>
      </c>
      <c r="C635" s="1">
        <v>45564</v>
      </c>
      <c r="D635" s="13" t="s">
        <v>879</v>
      </c>
      <c r="E635">
        <v>0.39237978407601798</v>
      </c>
      <c r="F635">
        <v>0.39237978407601798</v>
      </c>
    </row>
    <row r="636" spans="1:6" x14ac:dyDescent="0.2">
      <c r="A636">
        <v>293</v>
      </c>
      <c r="B636" s="13" t="s">
        <v>880</v>
      </c>
      <c r="C636" s="1">
        <v>45626</v>
      </c>
      <c r="D636" s="13" t="s">
        <v>880</v>
      </c>
      <c r="E636">
        <v>0.17264946786278901</v>
      </c>
      <c r="F636">
        <v>0.17264946786278901</v>
      </c>
    </row>
    <row r="637" spans="1:6" x14ac:dyDescent="0.2">
      <c r="A637">
        <v>293</v>
      </c>
      <c r="B637" s="13" t="s">
        <v>212</v>
      </c>
      <c r="C637" s="1">
        <v>45325</v>
      </c>
      <c r="D637" s="13" t="s">
        <v>212</v>
      </c>
      <c r="E637">
        <v>0.11157394521225</v>
      </c>
      <c r="F637">
        <v>0.11157394521225</v>
      </c>
    </row>
    <row r="638" spans="1:6" x14ac:dyDescent="0.2">
      <c r="A638">
        <v>294</v>
      </c>
      <c r="B638" s="13" t="s">
        <v>881</v>
      </c>
      <c r="C638" s="1">
        <v>45295</v>
      </c>
      <c r="D638" s="13" t="s">
        <v>881</v>
      </c>
      <c r="E638">
        <v>1.95411430148472E-2</v>
      </c>
      <c r="F638">
        <v>1.95411430148472E-2</v>
      </c>
    </row>
    <row r="639" spans="1:6" x14ac:dyDescent="0.2">
      <c r="A639">
        <v>295</v>
      </c>
      <c r="B639" s="13" t="s">
        <v>213</v>
      </c>
      <c r="C639" s="1">
        <v>45332</v>
      </c>
      <c r="D639" s="13" t="s">
        <v>213</v>
      </c>
      <c r="E639">
        <v>0.23838796511891899</v>
      </c>
      <c r="F639">
        <v>0.23838796511891899</v>
      </c>
    </row>
    <row r="640" spans="1:6" x14ac:dyDescent="0.2">
      <c r="A640">
        <v>296</v>
      </c>
      <c r="B640" s="13" t="s">
        <v>882</v>
      </c>
      <c r="C640" s="1">
        <v>45588</v>
      </c>
      <c r="D640" s="13" t="s">
        <v>882</v>
      </c>
      <c r="E640">
        <v>0.17089750143944599</v>
      </c>
      <c r="F640">
        <v>0.17089750143944599</v>
      </c>
    </row>
    <row r="641" spans="1:6" x14ac:dyDescent="0.2">
      <c r="A641">
        <v>298</v>
      </c>
      <c r="B641" s="13" t="s">
        <v>214</v>
      </c>
      <c r="C641" s="1">
        <v>45328</v>
      </c>
      <c r="D641" s="13" t="s">
        <v>214</v>
      </c>
      <c r="E641">
        <v>0.252281520042069</v>
      </c>
      <c r="F641">
        <v>0.252281520042069</v>
      </c>
    </row>
    <row r="642" spans="1:6" x14ac:dyDescent="0.2">
      <c r="A642">
        <v>298</v>
      </c>
      <c r="B642" s="13" t="s">
        <v>215</v>
      </c>
      <c r="C642" s="1">
        <v>45565</v>
      </c>
      <c r="D642" s="13" t="s">
        <v>215</v>
      </c>
      <c r="E642">
        <v>0.121918383233014</v>
      </c>
      <c r="F642">
        <v>0.121918383233014</v>
      </c>
    </row>
    <row r="643" spans="1:6" x14ac:dyDescent="0.2">
      <c r="A643">
        <v>298</v>
      </c>
      <c r="B643" s="13" t="s">
        <v>216</v>
      </c>
      <c r="C643" s="1">
        <v>45369</v>
      </c>
      <c r="D643" s="13" t="s">
        <v>216</v>
      </c>
      <c r="E643">
        <v>0.43088742417852699</v>
      </c>
      <c r="F643">
        <v>0.43088742417852699</v>
      </c>
    </row>
    <row r="644" spans="1:6" x14ac:dyDescent="0.2">
      <c r="A644">
        <v>299</v>
      </c>
      <c r="B644" s="13" t="s">
        <v>883</v>
      </c>
      <c r="C644" s="1">
        <v>45426</v>
      </c>
      <c r="D644" s="13" t="s">
        <v>883</v>
      </c>
      <c r="E644">
        <v>0.22555396063885499</v>
      </c>
      <c r="F644">
        <v>0.22555396063885499</v>
      </c>
    </row>
    <row r="645" spans="1:6" x14ac:dyDescent="0.2">
      <c r="A645">
        <v>299</v>
      </c>
      <c r="B645" s="13" t="s">
        <v>578</v>
      </c>
      <c r="C645" s="1">
        <v>45642</v>
      </c>
      <c r="D645" s="13" t="s">
        <v>578</v>
      </c>
      <c r="E645">
        <v>0.21635767279465301</v>
      </c>
      <c r="F645">
        <v>0.21635767279465301</v>
      </c>
    </row>
    <row r="646" spans="1:6" x14ac:dyDescent="0.2">
      <c r="A646">
        <v>299</v>
      </c>
      <c r="B646" s="13" t="s">
        <v>579</v>
      </c>
      <c r="C646" s="1">
        <v>45527</v>
      </c>
      <c r="D646" s="13" t="s">
        <v>579</v>
      </c>
      <c r="E646">
        <v>0.269826087552475</v>
      </c>
      <c r="F646">
        <v>0.269826087552475</v>
      </c>
    </row>
    <row r="647" spans="1:6" x14ac:dyDescent="0.2">
      <c r="A647">
        <v>300</v>
      </c>
      <c r="B647" s="13" t="s">
        <v>884</v>
      </c>
      <c r="C647" s="1">
        <v>45404</v>
      </c>
      <c r="D647" s="13" t="s">
        <v>884</v>
      </c>
      <c r="E647">
        <v>0.24072838804539801</v>
      </c>
      <c r="F647">
        <v>0.24072838804539801</v>
      </c>
    </row>
    <row r="648" spans="1:6" x14ac:dyDescent="0.2">
      <c r="A648">
        <v>301</v>
      </c>
      <c r="B648" s="13" t="s">
        <v>885</v>
      </c>
      <c r="C648" s="1">
        <v>45429</v>
      </c>
      <c r="D648" s="13" t="s">
        <v>885</v>
      </c>
      <c r="E648">
        <v>5.6030365291685799E-2</v>
      </c>
      <c r="F648">
        <v>5.6030365291685799E-2</v>
      </c>
    </row>
    <row r="649" spans="1:6" x14ac:dyDescent="0.2">
      <c r="A649">
        <v>302</v>
      </c>
      <c r="B649" s="13" t="s">
        <v>217</v>
      </c>
      <c r="C649" s="1">
        <v>45416</v>
      </c>
      <c r="D649" s="13" t="s">
        <v>217</v>
      </c>
      <c r="E649">
        <v>0.32182550796482401</v>
      </c>
      <c r="F649">
        <v>0.32182550796482401</v>
      </c>
    </row>
    <row r="650" spans="1:6" x14ac:dyDescent="0.2">
      <c r="A650">
        <v>302</v>
      </c>
      <c r="B650" s="13" t="s">
        <v>218</v>
      </c>
      <c r="C650" s="1">
        <v>45345</v>
      </c>
      <c r="D650" s="13" t="s">
        <v>218</v>
      </c>
      <c r="E650">
        <v>0.14791448247990599</v>
      </c>
      <c r="F650">
        <v>0.14791448247990599</v>
      </c>
    </row>
    <row r="651" spans="1:6" x14ac:dyDescent="0.2">
      <c r="A651">
        <v>302</v>
      </c>
      <c r="B651" s="13" t="s">
        <v>219</v>
      </c>
      <c r="C651" s="1">
        <v>45485</v>
      </c>
      <c r="D651" s="13" t="s">
        <v>219</v>
      </c>
      <c r="E651">
        <v>0.43347352662693101</v>
      </c>
      <c r="F651">
        <v>0.43347352662693101</v>
      </c>
    </row>
    <row r="652" spans="1:6" x14ac:dyDescent="0.2">
      <c r="A652">
        <v>302</v>
      </c>
      <c r="B652" s="13" t="s">
        <v>220</v>
      </c>
      <c r="C652" s="1">
        <v>45452</v>
      </c>
      <c r="D652" s="13" t="s">
        <v>220</v>
      </c>
      <c r="E652">
        <v>0.235871640693813</v>
      </c>
      <c r="F652">
        <v>0.235871640693813</v>
      </c>
    </row>
    <row r="653" spans="1:6" x14ac:dyDescent="0.2">
      <c r="A653">
        <v>303</v>
      </c>
      <c r="B653" s="13" t="s">
        <v>580</v>
      </c>
      <c r="C653" s="1">
        <v>45336</v>
      </c>
      <c r="D653" s="13" t="s">
        <v>580</v>
      </c>
      <c r="E653">
        <v>0.25542903648708698</v>
      </c>
      <c r="F653">
        <v>0.25542903648708698</v>
      </c>
    </row>
    <row r="654" spans="1:6" x14ac:dyDescent="0.2">
      <c r="A654">
        <v>304</v>
      </c>
      <c r="B654" s="13" t="s">
        <v>221</v>
      </c>
      <c r="C654" s="1">
        <v>45614</v>
      </c>
      <c r="D654" s="13" t="s">
        <v>221</v>
      </c>
      <c r="E654">
        <v>0.39220753827260202</v>
      </c>
      <c r="F654">
        <v>0.39220753827260202</v>
      </c>
    </row>
    <row r="655" spans="1:6" x14ac:dyDescent="0.2">
      <c r="A655">
        <v>304</v>
      </c>
      <c r="B655" s="13" t="s">
        <v>222</v>
      </c>
      <c r="C655" s="1">
        <v>45551</v>
      </c>
      <c r="D655" s="13" t="s">
        <v>222</v>
      </c>
      <c r="E655">
        <v>8.6032911768285203E-2</v>
      </c>
      <c r="F655">
        <v>8.6032911768285203E-2</v>
      </c>
    </row>
    <row r="656" spans="1:6" x14ac:dyDescent="0.2">
      <c r="A656">
        <v>305</v>
      </c>
      <c r="B656" s="13" t="s">
        <v>223</v>
      </c>
      <c r="C656" s="1">
        <v>45535</v>
      </c>
      <c r="D656" s="13" t="s">
        <v>223</v>
      </c>
      <c r="E656">
        <v>0.43600362196833697</v>
      </c>
      <c r="F656">
        <v>0.43600362196833697</v>
      </c>
    </row>
    <row r="657" spans="1:6" x14ac:dyDescent="0.2">
      <c r="A657">
        <v>305</v>
      </c>
      <c r="B657" s="13" t="s">
        <v>224</v>
      </c>
      <c r="C657" s="1">
        <v>45304</v>
      </c>
      <c r="D657" s="13" t="s">
        <v>224</v>
      </c>
      <c r="E657">
        <v>0.21659039252141599</v>
      </c>
      <c r="F657">
        <v>0.21659039252141599</v>
      </c>
    </row>
    <row r="658" spans="1:6" x14ac:dyDescent="0.2">
      <c r="A658">
        <v>306</v>
      </c>
      <c r="B658" s="13" t="s">
        <v>886</v>
      </c>
      <c r="C658" s="1">
        <v>45431</v>
      </c>
      <c r="D658" s="13" t="s">
        <v>886</v>
      </c>
      <c r="E658">
        <v>4.1951158408195001E-2</v>
      </c>
      <c r="F658">
        <v>4.1951158408195001E-2</v>
      </c>
    </row>
    <row r="659" spans="1:6" x14ac:dyDescent="0.2">
      <c r="A659">
        <v>306</v>
      </c>
      <c r="B659" s="13" t="s">
        <v>887</v>
      </c>
      <c r="C659" s="1">
        <v>45637</v>
      </c>
      <c r="D659" s="13" t="s">
        <v>887</v>
      </c>
      <c r="E659">
        <v>5.6781368297281802E-2</v>
      </c>
      <c r="F659">
        <v>5.6781368297281802E-2</v>
      </c>
    </row>
    <row r="660" spans="1:6" x14ac:dyDescent="0.2">
      <c r="A660">
        <v>307</v>
      </c>
      <c r="B660" s="13" t="s">
        <v>888</v>
      </c>
      <c r="C660" s="1">
        <v>45393</v>
      </c>
      <c r="D660" s="13" t="s">
        <v>888</v>
      </c>
      <c r="E660">
        <v>0.36642424667256601</v>
      </c>
      <c r="F660">
        <v>0.36642424667256601</v>
      </c>
    </row>
    <row r="661" spans="1:6" x14ac:dyDescent="0.2">
      <c r="A661">
        <v>307</v>
      </c>
      <c r="B661" s="13" t="s">
        <v>889</v>
      </c>
      <c r="C661" s="1">
        <v>45479</v>
      </c>
      <c r="D661" s="13" t="s">
        <v>889</v>
      </c>
      <c r="E661">
        <v>4.5484645506426197E-2</v>
      </c>
      <c r="F661">
        <v>4.5484645506426197E-2</v>
      </c>
    </row>
    <row r="662" spans="1:6" x14ac:dyDescent="0.2">
      <c r="A662">
        <v>307</v>
      </c>
      <c r="B662" s="13" t="s">
        <v>581</v>
      </c>
      <c r="C662" s="1">
        <v>45462</v>
      </c>
      <c r="D662" s="13" t="s">
        <v>581</v>
      </c>
      <c r="E662">
        <v>2.8094294873862499E-2</v>
      </c>
      <c r="F662">
        <v>2.8094294873862499E-2</v>
      </c>
    </row>
    <row r="663" spans="1:6" x14ac:dyDescent="0.2">
      <c r="A663">
        <v>308</v>
      </c>
      <c r="B663" s="13" t="s">
        <v>890</v>
      </c>
      <c r="C663" s="1">
        <v>45469</v>
      </c>
      <c r="D663" s="13" t="s">
        <v>890</v>
      </c>
      <c r="E663">
        <v>0.32123081787567298</v>
      </c>
      <c r="F663">
        <v>0.32123081787567298</v>
      </c>
    </row>
    <row r="664" spans="1:6" x14ac:dyDescent="0.2">
      <c r="A664">
        <v>308</v>
      </c>
      <c r="B664" s="13" t="s">
        <v>891</v>
      </c>
      <c r="C664" s="1">
        <v>45330</v>
      </c>
      <c r="D664" s="13" t="s">
        <v>891</v>
      </c>
      <c r="E664">
        <v>0.39004057208215598</v>
      </c>
      <c r="F664">
        <v>0.39004057208215598</v>
      </c>
    </row>
    <row r="665" spans="1:6" x14ac:dyDescent="0.2">
      <c r="A665">
        <v>308</v>
      </c>
      <c r="B665" s="13" t="s">
        <v>892</v>
      </c>
      <c r="C665" s="1">
        <v>45447</v>
      </c>
      <c r="D665" s="13" t="s">
        <v>892</v>
      </c>
      <c r="E665">
        <v>0.153613193222424</v>
      </c>
      <c r="F665">
        <v>0.153613193222424</v>
      </c>
    </row>
    <row r="666" spans="1:6" x14ac:dyDescent="0.2">
      <c r="A666">
        <v>308</v>
      </c>
      <c r="B666" s="13" t="s">
        <v>582</v>
      </c>
      <c r="C666" s="1">
        <v>45616</v>
      </c>
      <c r="D666" s="13" t="s">
        <v>582</v>
      </c>
      <c r="E666">
        <v>0.17363499105122801</v>
      </c>
      <c r="F666">
        <v>0.17363499105122801</v>
      </c>
    </row>
    <row r="667" spans="1:6" x14ac:dyDescent="0.2">
      <c r="A667">
        <v>309</v>
      </c>
      <c r="B667" s="13" t="s">
        <v>893</v>
      </c>
      <c r="C667" s="1">
        <v>45303</v>
      </c>
      <c r="D667" s="13" t="s">
        <v>893</v>
      </c>
      <c r="E667">
        <v>0.15880789429609299</v>
      </c>
      <c r="F667">
        <v>0.15880789429609299</v>
      </c>
    </row>
    <row r="668" spans="1:6" x14ac:dyDescent="0.2">
      <c r="A668">
        <v>309</v>
      </c>
      <c r="B668" s="13" t="s">
        <v>894</v>
      </c>
      <c r="C668" s="1">
        <v>45327</v>
      </c>
      <c r="D668" s="13" t="s">
        <v>894</v>
      </c>
      <c r="E668">
        <v>8.2171484411695001E-2</v>
      </c>
      <c r="F668">
        <v>8.2171484411695001E-2</v>
      </c>
    </row>
    <row r="669" spans="1:6" x14ac:dyDescent="0.2">
      <c r="A669">
        <v>310</v>
      </c>
      <c r="B669" s="13" t="s">
        <v>895</v>
      </c>
      <c r="C669" s="1">
        <v>45445</v>
      </c>
      <c r="D669" s="13" t="s">
        <v>895</v>
      </c>
      <c r="E669">
        <v>0.110585262332064</v>
      </c>
      <c r="F669">
        <v>0.110585262332064</v>
      </c>
    </row>
    <row r="670" spans="1:6" x14ac:dyDescent="0.2">
      <c r="A670">
        <v>310</v>
      </c>
      <c r="B670" s="13" t="s">
        <v>896</v>
      </c>
      <c r="C670" s="1">
        <v>45599</v>
      </c>
      <c r="D670" s="13" t="s">
        <v>896</v>
      </c>
      <c r="E670">
        <v>0.16111797783452</v>
      </c>
      <c r="F670">
        <v>0.16111797783452</v>
      </c>
    </row>
    <row r="671" spans="1:6" x14ac:dyDescent="0.2">
      <c r="A671">
        <v>311</v>
      </c>
      <c r="B671" s="13" t="s">
        <v>583</v>
      </c>
      <c r="C671" s="1">
        <v>45639</v>
      </c>
      <c r="D671" s="13" t="s">
        <v>583</v>
      </c>
      <c r="E671">
        <v>0.190067197454519</v>
      </c>
      <c r="F671">
        <v>0.190067197454519</v>
      </c>
    </row>
    <row r="672" spans="1:6" x14ac:dyDescent="0.2">
      <c r="A672">
        <v>311</v>
      </c>
      <c r="B672" s="13" t="s">
        <v>897</v>
      </c>
      <c r="C672" s="1">
        <v>45467</v>
      </c>
      <c r="D672" s="13" t="s">
        <v>897</v>
      </c>
      <c r="E672">
        <v>9.9517409876739196E-2</v>
      </c>
      <c r="F672">
        <v>9.9517409876739196E-2</v>
      </c>
    </row>
    <row r="673" spans="1:6" x14ac:dyDescent="0.2">
      <c r="A673">
        <v>312</v>
      </c>
      <c r="B673" s="13" t="s">
        <v>898</v>
      </c>
      <c r="C673" s="1">
        <v>45539</v>
      </c>
      <c r="D673" s="13" t="s">
        <v>898</v>
      </c>
      <c r="E673">
        <v>7.2647578824807005E-2</v>
      </c>
      <c r="F673">
        <v>7.2647578824807005E-2</v>
      </c>
    </row>
    <row r="674" spans="1:6" x14ac:dyDescent="0.2">
      <c r="A674">
        <v>312</v>
      </c>
      <c r="B674" s="13" t="s">
        <v>899</v>
      </c>
      <c r="C674" s="1">
        <v>45306</v>
      </c>
      <c r="D674" s="13" t="s">
        <v>899</v>
      </c>
      <c r="E674">
        <v>9.1339255084129906E-2</v>
      </c>
      <c r="F674">
        <v>9.1339255084129906E-2</v>
      </c>
    </row>
    <row r="675" spans="1:6" x14ac:dyDescent="0.2">
      <c r="A675">
        <v>313</v>
      </c>
      <c r="B675" s="13" t="s">
        <v>900</v>
      </c>
      <c r="C675" s="1">
        <v>45477</v>
      </c>
      <c r="D675" s="13" t="s">
        <v>900</v>
      </c>
      <c r="E675">
        <v>0.16065168467798099</v>
      </c>
      <c r="F675">
        <v>0.16065168467798099</v>
      </c>
    </row>
    <row r="676" spans="1:6" x14ac:dyDescent="0.2">
      <c r="A676">
        <v>313</v>
      </c>
      <c r="B676" s="13" t="s">
        <v>901</v>
      </c>
      <c r="C676" s="1">
        <v>45494</v>
      </c>
      <c r="D676" s="13" t="s">
        <v>901</v>
      </c>
      <c r="E676">
        <v>0.18876853313872699</v>
      </c>
      <c r="F676">
        <v>0.18876853313872699</v>
      </c>
    </row>
    <row r="677" spans="1:6" x14ac:dyDescent="0.2">
      <c r="A677">
        <v>314</v>
      </c>
      <c r="B677" s="13" t="s">
        <v>902</v>
      </c>
      <c r="C677" s="1">
        <v>45381</v>
      </c>
      <c r="D677" s="13" t="s">
        <v>902</v>
      </c>
      <c r="E677">
        <v>0.11530167643436599</v>
      </c>
      <c r="F677">
        <v>0.11530167643436599</v>
      </c>
    </row>
    <row r="678" spans="1:6" x14ac:dyDescent="0.2">
      <c r="A678">
        <v>314</v>
      </c>
      <c r="B678" s="13" t="s">
        <v>584</v>
      </c>
      <c r="C678" s="1">
        <v>45371</v>
      </c>
      <c r="D678" s="13" t="s">
        <v>584</v>
      </c>
      <c r="E678">
        <v>5.7688927560675798E-2</v>
      </c>
      <c r="F678">
        <v>5.7688927560675798E-2</v>
      </c>
    </row>
    <row r="679" spans="1:6" x14ac:dyDescent="0.2">
      <c r="A679">
        <v>314</v>
      </c>
      <c r="B679" s="13" t="s">
        <v>585</v>
      </c>
      <c r="C679" s="1">
        <v>45315</v>
      </c>
      <c r="D679" s="13" t="s">
        <v>585</v>
      </c>
      <c r="E679">
        <v>0.26611638921236802</v>
      </c>
      <c r="F679">
        <v>0.26611638921236802</v>
      </c>
    </row>
    <row r="680" spans="1:6" x14ac:dyDescent="0.2">
      <c r="A680">
        <v>314</v>
      </c>
      <c r="B680" s="13" t="s">
        <v>903</v>
      </c>
      <c r="C680" s="1">
        <v>45403</v>
      </c>
      <c r="D680" s="13" t="s">
        <v>903</v>
      </c>
      <c r="E680">
        <v>4.5675675169668001E-2</v>
      </c>
      <c r="F680">
        <v>4.5675675169668001E-2</v>
      </c>
    </row>
    <row r="681" spans="1:6" x14ac:dyDescent="0.2">
      <c r="A681">
        <v>315</v>
      </c>
      <c r="B681" s="13" t="s">
        <v>904</v>
      </c>
      <c r="C681" s="1">
        <v>45445</v>
      </c>
      <c r="D681" s="13" t="s">
        <v>904</v>
      </c>
      <c r="E681">
        <v>0.13709624206007201</v>
      </c>
      <c r="F681">
        <v>0.13709624206007201</v>
      </c>
    </row>
    <row r="682" spans="1:6" x14ac:dyDescent="0.2">
      <c r="A682">
        <v>315</v>
      </c>
      <c r="B682" s="13" t="s">
        <v>586</v>
      </c>
      <c r="C682" s="1">
        <v>45476</v>
      </c>
      <c r="D682" s="13" t="s">
        <v>586</v>
      </c>
      <c r="E682">
        <v>0.23138920033193799</v>
      </c>
      <c r="F682">
        <v>0.23138920033193799</v>
      </c>
    </row>
    <row r="683" spans="1:6" x14ac:dyDescent="0.2">
      <c r="A683">
        <v>315</v>
      </c>
      <c r="B683" s="13" t="s">
        <v>905</v>
      </c>
      <c r="C683" s="1">
        <v>45369</v>
      </c>
      <c r="D683" s="13" t="s">
        <v>905</v>
      </c>
      <c r="E683">
        <v>0.365182955556272</v>
      </c>
      <c r="F683">
        <v>0.365182955556272</v>
      </c>
    </row>
    <row r="684" spans="1:6" x14ac:dyDescent="0.2">
      <c r="A684">
        <v>316</v>
      </c>
      <c r="B684" s="13" t="s">
        <v>906</v>
      </c>
      <c r="C684" s="1">
        <v>45449</v>
      </c>
      <c r="D684" s="13" t="s">
        <v>906</v>
      </c>
      <c r="E684">
        <v>0.13179963043578699</v>
      </c>
      <c r="F684">
        <v>0.13179963043578699</v>
      </c>
    </row>
    <row r="685" spans="1:6" x14ac:dyDescent="0.2">
      <c r="A685">
        <v>317</v>
      </c>
      <c r="B685" s="13" t="s">
        <v>907</v>
      </c>
      <c r="C685" s="1">
        <v>45471</v>
      </c>
      <c r="D685" s="13" t="s">
        <v>907</v>
      </c>
      <c r="E685">
        <v>7.32748709930915E-3</v>
      </c>
      <c r="F685">
        <v>7.32748709930915E-3</v>
      </c>
    </row>
    <row r="686" spans="1:6" x14ac:dyDescent="0.2">
      <c r="A686">
        <v>318</v>
      </c>
      <c r="B686" s="13" t="s">
        <v>908</v>
      </c>
      <c r="C686" s="1">
        <v>45425</v>
      </c>
      <c r="D686" s="13" t="s">
        <v>908</v>
      </c>
      <c r="E686">
        <v>0.33660908873486101</v>
      </c>
      <c r="F686">
        <v>0.33660908873486101</v>
      </c>
    </row>
    <row r="687" spans="1:6" x14ac:dyDescent="0.2">
      <c r="A687">
        <v>318</v>
      </c>
      <c r="B687" s="13" t="s">
        <v>909</v>
      </c>
      <c r="C687" s="1">
        <v>45611</v>
      </c>
      <c r="D687" s="13" t="s">
        <v>909</v>
      </c>
      <c r="E687">
        <v>3.8774754041090403E-2</v>
      </c>
      <c r="F687">
        <v>3.8774754041090403E-2</v>
      </c>
    </row>
    <row r="688" spans="1:6" x14ac:dyDescent="0.2">
      <c r="A688">
        <v>318</v>
      </c>
      <c r="B688" s="13" t="s">
        <v>910</v>
      </c>
      <c r="C688" s="1">
        <v>45498</v>
      </c>
      <c r="D688" s="13" t="s">
        <v>910</v>
      </c>
      <c r="E688">
        <v>0.34130041996028598</v>
      </c>
      <c r="F688">
        <v>0.34130041996028598</v>
      </c>
    </row>
    <row r="689" spans="1:6" x14ac:dyDescent="0.2">
      <c r="A689">
        <v>319</v>
      </c>
      <c r="B689" s="13" t="s">
        <v>587</v>
      </c>
      <c r="C689" s="1">
        <v>45297</v>
      </c>
      <c r="D689" s="13" t="s">
        <v>587</v>
      </c>
      <c r="E689">
        <v>0.41599581502399002</v>
      </c>
      <c r="F689">
        <v>0.41599581502399002</v>
      </c>
    </row>
    <row r="690" spans="1:6" x14ac:dyDescent="0.2">
      <c r="A690">
        <v>319</v>
      </c>
      <c r="B690" s="13" t="s">
        <v>911</v>
      </c>
      <c r="C690" s="1">
        <v>45523</v>
      </c>
      <c r="D690" s="13" t="s">
        <v>911</v>
      </c>
      <c r="E690">
        <v>8.3283438935866899E-2</v>
      </c>
      <c r="F690">
        <v>8.3283438935866899E-2</v>
      </c>
    </row>
    <row r="691" spans="1:6" x14ac:dyDescent="0.2">
      <c r="A691">
        <v>319</v>
      </c>
      <c r="B691" s="13" t="s">
        <v>912</v>
      </c>
      <c r="C691" s="1">
        <v>45606</v>
      </c>
      <c r="D691" s="13" t="s">
        <v>912</v>
      </c>
      <c r="E691">
        <v>9.6712811115489294E-2</v>
      </c>
      <c r="F691">
        <v>9.6712811115489294E-2</v>
      </c>
    </row>
    <row r="692" spans="1:6" x14ac:dyDescent="0.2">
      <c r="A692">
        <v>320</v>
      </c>
      <c r="B692" s="13" t="s">
        <v>913</v>
      </c>
      <c r="C692" s="1">
        <v>45505</v>
      </c>
      <c r="D692" s="13" t="s">
        <v>913</v>
      </c>
      <c r="E692">
        <v>0.22982114772693099</v>
      </c>
      <c r="F692">
        <v>0.22982114772693099</v>
      </c>
    </row>
    <row r="693" spans="1:6" x14ac:dyDescent="0.2">
      <c r="A693">
        <v>321</v>
      </c>
      <c r="B693" s="13" t="s">
        <v>588</v>
      </c>
      <c r="C693" s="1">
        <v>45299</v>
      </c>
      <c r="D693" s="13" t="s">
        <v>588</v>
      </c>
      <c r="E693">
        <v>0.13597406345712101</v>
      </c>
      <c r="F693">
        <v>0.13597406345712101</v>
      </c>
    </row>
    <row r="694" spans="1:6" x14ac:dyDescent="0.2">
      <c r="A694">
        <v>322</v>
      </c>
      <c r="B694" s="13" t="s">
        <v>225</v>
      </c>
      <c r="C694" s="1">
        <v>45557</v>
      </c>
      <c r="D694" s="13" t="s">
        <v>225</v>
      </c>
      <c r="E694">
        <v>0.19250135275037999</v>
      </c>
      <c r="F694">
        <v>0.19250135275037999</v>
      </c>
    </row>
    <row r="695" spans="1:6" x14ac:dyDescent="0.2">
      <c r="A695">
        <v>322</v>
      </c>
      <c r="B695" s="13" t="s">
        <v>226</v>
      </c>
      <c r="C695" s="1">
        <v>45519</v>
      </c>
      <c r="D695" s="13" t="s">
        <v>226</v>
      </c>
      <c r="E695">
        <v>7.9642506118817194E-2</v>
      </c>
      <c r="F695">
        <v>7.9642506118817194E-2</v>
      </c>
    </row>
    <row r="696" spans="1:6" x14ac:dyDescent="0.2">
      <c r="A696">
        <v>322</v>
      </c>
      <c r="B696" s="13" t="s">
        <v>227</v>
      </c>
      <c r="C696" s="1">
        <v>45452</v>
      </c>
      <c r="D696" s="13" t="s">
        <v>227</v>
      </c>
      <c r="E696">
        <v>9.6127137076600193E-3</v>
      </c>
      <c r="F696">
        <v>9.6127137076600193E-3</v>
      </c>
    </row>
    <row r="697" spans="1:6" x14ac:dyDescent="0.2">
      <c r="A697">
        <v>323</v>
      </c>
      <c r="B697" s="13" t="s">
        <v>228</v>
      </c>
      <c r="C697" s="1">
        <v>45576</v>
      </c>
      <c r="D697" s="13" t="s">
        <v>228</v>
      </c>
      <c r="E697">
        <v>2.4866256469970201E-2</v>
      </c>
      <c r="F697">
        <v>2.4866256469970201E-2</v>
      </c>
    </row>
    <row r="698" spans="1:6" x14ac:dyDescent="0.2">
      <c r="A698">
        <v>323</v>
      </c>
      <c r="B698" s="13" t="s">
        <v>229</v>
      </c>
      <c r="C698" s="1">
        <v>45418</v>
      </c>
      <c r="D698" s="13" t="s">
        <v>229</v>
      </c>
      <c r="E698">
        <v>4.7585453259113002E-2</v>
      </c>
      <c r="F698">
        <v>4.7585453259113002E-2</v>
      </c>
    </row>
    <row r="699" spans="1:6" x14ac:dyDescent="0.2">
      <c r="A699">
        <v>323</v>
      </c>
      <c r="B699" s="13" t="s">
        <v>230</v>
      </c>
      <c r="C699" s="1">
        <v>45471</v>
      </c>
      <c r="D699" s="13" t="s">
        <v>230</v>
      </c>
      <c r="E699">
        <v>0.27979436225603599</v>
      </c>
      <c r="F699">
        <v>0.27979436225603599</v>
      </c>
    </row>
    <row r="700" spans="1:6" x14ac:dyDescent="0.2">
      <c r="A700">
        <v>324</v>
      </c>
      <c r="B700" s="13" t="s">
        <v>589</v>
      </c>
      <c r="C700" s="1">
        <v>45464</v>
      </c>
      <c r="D700" s="13" t="s">
        <v>589</v>
      </c>
      <c r="E700">
        <v>0.35238113460142401</v>
      </c>
      <c r="F700">
        <v>0.35238113460142401</v>
      </c>
    </row>
    <row r="701" spans="1:6" x14ac:dyDescent="0.2">
      <c r="A701">
        <v>324</v>
      </c>
      <c r="B701" s="13" t="s">
        <v>914</v>
      </c>
      <c r="C701" s="1">
        <v>45562</v>
      </c>
      <c r="D701" s="13" t="s">
        <v>914</v>
      </c>
      <c r="E701">
        <v>0.32959200909484299</v>
      </c>
      <c r="F701">
        <v>0.32959200909484299</v>
      </c>
    </row>
    <row r="702" spans="1:6" x14ac:dyDescent="0.2">
      <c r="A702">
        <v>325</v>
      </c>
      <c r="B702" s="13" t="s">
        <v>231</v>
      </c>
      <c r="C702" s="1">
        <v>45308</v>
      </c>
      <c r="D702" s="13" t="s">
        <v>231</v>
      </c>
      <c r="E702">
        <v>0.38410076236365698</v>
      </c>
      <c r="F702">
        <v>0.38410076236365698</v>
      </c>
    </row>
    <row r="703" spans="1:6" x14ac:dyDescent="0.2">
      <c r="A703">
        <v>325</v>
      </c>
      <c r="B703" s="13" t="s">
        <v>232</v>
      </c>
      <c r="C703" s="1">
        <v>45526</v>
      </c>
      <c r="D703" s="13" t="s">
        <v>232</v>
      </c>
      <c r="E703">
        <v>0.16002664148493201</v>
      </c>
      <c r="F703">
        <v>0.16002664148493201</v>
      </c>
    </row>
    <row r="704" spans="1:6" x14ac:dyDescent="0.2">
      <c r="A704">
        <v>325</v>
      </c>
      <c r="B704" s="13" t="s">
        <v>233</v>
      </c>
      <c r="C704" s="1">
        <v>45493</v>
      </c>
      <c r="D704" s="13" t="s">
        <v>233</v>
      </c>
      <c r="E704">
        <v>7.9271645001918606E-2</v>
      </c>
      <c r="F704">
        <v>7.9271645001918606E-2</v>
      </c>
    </row>
    <row r="705" spans="1:6" x14ac:dyDescent="0.2">
      <c r="A705">
        <v>326</v>
      </c>
      <c r="B705" s="13" t="s">
        <v>234</v>
      </c>
      <c r="C705" s="1">
        <v>45617</v>
      </c>
      <c r="D705" s="13" t="s">
        <v>234</v>
      </c>
      <c r="E705">
        <v>0.53749921481293494</v>
      </c>
      <c r="F705">
        <v>0.53749921481293494</v>
      </c>
    </row>
    <row r="706" spans="1:6" x14ac:dyDescent="0.2">
      <c r="A706">
        <v>326</v>
      </c>
      <c r="B706" s="13" t="s">
        <v>235</v>
      </c>
      <c r="C706" s="1">
        <v>45317</v>
      </c>
      <c r="D706" s="13" t="s">
        <v>235</v>
      </c>
      <c r="E706">
        <v>0.228609321622606</v>
      </c>
      <c r="F706">
        <v>0.228609321622606</v>
      </c>
    </row>
    <row r="707" spans="1:6" x14ac:dyDescent="0.2">
      <c r="A707">
        <v>326</v>
      </c>
      <c r="B707" s="13" t="s">
        <v>236</v>
      </c>
      <c r="C707" s="1">
        <v>45543</v>
      </c>
      <c r="D707" s="13" t="s">
        <v>236</v>
      </c>
      <c r="E707">
        <v>0.35232342700517999</v>
      </c>
      <c r="F707">
        <v>0.35232342700517999</v>
      </c>
    </row>
    <row r="708" spans="1:6" x14ac:dyDescent="0.2">
      <c r="A708">
        <v>326</v>
      </c>
      <c r="B708" s="13" t="s">
        <v>237</v>
      </c>
      <c r="C708" s="1">
        <v>45551</v>
      </c>
      <c r="D708" s="13" t="s">
        <v>237</v>
      </c>
      <c r="E708">
        <v>0.24901175722096899</v>
      </c>
      <c r="F708">
        <v>0.24901175722096899</v>
      </c>
    </row>
    <row r="709" spans="1:6" x14ac:dyDescent="0.2">
      <c r="A709">
        <v>328</v>
      </c>
      <c r="B709" s="13" t="s">
        <v>915</v>
      </c>
      <c r="C709" s="1">
        <v>45303</v>
      </c>
      <c r="D709" s="13" t="s">
        <v>915</v>
      </c>
      <c r="E709">
        <v>0.120774072212465</v>
      </c>
      <c r="F709">
        <v>0.120774072212465</v>
      </c>
    </row>
    <row r="710" spans="1:6" x14ac:dyDescent="0.2">
      <c r="A710">
        <v>328</v>
      </c>
      <c r="B710" s="13" t="s">
        <v>916</v>
      </c>
      <c r="C710" s="1">
        <v>45472</v>
      </c>
      <c r="D710" s="13" t="s">
        <v>916</v>
      </c>
      <c r="E710">
        <v>0.37948671128315897</v>
      </c>
      <c r="F710">
        <v>0.37948671128315897</v>
      </c>
    </row>
    <row r="711" spans="1:6" x14ac:dyDescent="0.2">
      <c r="A711">
        <v>328</v>
      </c>
      <c r="B711" s="13" t="s">
        <v>590</v>
      </c>
      <c r="C711" s="1">
        <v>45542</v>
      </c>
      <c r="D711" s="13" t="s">
        <v>590</v>
      </c>
      <c r="E711">
        <v>0.102188608065185</v>
      </c>
      <c r="F711">
        <v>0.102188608065185</v>
      </c>
    </row>
    <row r="712" spans="1:6" x14ac:dyDescent="0.2">
      <c r="A712">
        <v>328</v>
      </c>
      <c r="B712" s="13" t="s">
        <v>591</v>
      </c>
      <c r="C712" s="1">
        <v>45320</v>
      </c>
      <c r="D712" s="13" t="s">
        <v>591</v>
      </c>
      <c r="E712">
        <v>0.20471342431981601</v>
      </c>
      <c r="F712">
        <v>0.20471342431981601</v>
      </c>
    </row>
    <row r="713" spans="1:6" x14ac:dyDescent="0.2">
      <c r="A713">
        <v>329</v>
      </c>
      <c r="B713" s="13" t="s">
        <v>917</v>
      </c>
      <c r="C713" s="1">
        <v>45506</v>
      </c>
      <c r="D713" s="13" t="s">
        <v>917</v>
      </c>
      <c r="E713">
        <v>0.100162108438515</v>
      </c>
      <c r="F713">
        <v>0.100162108438515</v>
      </c>
    </row>
    <row r="714" spans="1:6" x14ac:dyDescent="0.2">
      <c r="A714">
        <v>329</v>
      </c>
      <c r="B714" s="13" t="s">
        <v>918</v>
      </c>
      <c r="C714" s="1">
        <v>45403</v>
      </c>
      <c r="D714" s="13" t="s">
        <v>918</v>
      </c>
      <c r="E714">
        <v>4.5165327127763701E-2</v>
      </c>
      <c r="F714">
        <v>4.5165327127763701E-2</v>
      </c>
    </row>
    <row r="715" spans="1:6" x14ac:dyDescent="0.2">
      <c r="A715">
        <v>329</v>
      </c>
      <c r="B715" s="13" t="s">
        <v>592</v>
      </c>
      <c r="C715" s="1">
        <v>45651</v>
      </c>
      <c r="D715" s="13" t="s">
        <v>592</v>
      </c>
      <c r="E715">
        <v>0.214820731480656</v>
      </c>
      <c r="F715">
        <v>0.214820731480656</v>
      </c>
    </row>
    <row r="716" spans="1:6" x14ac:dyDescent="0.2">
      <c r="A716">
        <v>330</v>
      </c>
      <c r="B716" s="13" t="s">
        <v>238</v>
      </c>
      <c r="C716" s="1">
        <v>45578</v>
      </c>
      <c r="D716" s="13" t="s">
        <v>238</v>
      </c>
      <c r="E716">
        <v>0.30639943366655098</v>
      </c>
      <c r="F716">
        <v>0.30639943366655098</v>
      </c>
    </row>
    <row r="717" spans="1:6" x14ac:dyDescent="0.2">
      <c r="A717">
        <v>331</v>
      </c>
      <c r="B717" s="13" t="s">
        <v>239</v>
      </c>
      <c r="C717" s="1">
        <v>45418</v>
      </c>
      <c r="D717" s="13" t="s">
        <v>239</v>
      </c>
      <c r="E717">
        <v>5.8045490056105903E-2</v>
      </c>
      <c r="F717">
        <v>5.8045490056105903E-2</v>
      </c>
    </row>
    <row r="718" spans="1:6" x14ac:dyDescent="0.2">
      <c r="A718">
        <v>331</v>
      </c>
      <c r="B718" s="13" t="s">
        <v>240</v>
      </c>
      <c r="C718" s="1">
        <v>45546</v>
      </c>
      <c r="D718" s="13" t="s">
        <v>240</v>
      </c>
      <c r="E718">
        <v>1.2847531110131E-2</v>
      </c>
      <c r="F718">
        <v>1.2847531110131E-2</v>
      </c>
    </row>
    <row r="719" spans="1:6" x14ac:dyDescent="0.2">
      <c r="A719">
        <v>332</v>
      </c>
      <c r="B719" s="13" t="s">
        <v>593</v>
      </c>
      <c r="C719" s="1">
        <v>45525</v>
      </c>
      <c r="D719" s="13" t="s">
        <v>593</v>
      </c>
      <c r="E719">
        <v>0.285571363962003</v>
      </c>
      <c r="F719">
        <v>0.285571363962003</v>
      </c>
    </row>
    <row r="720" spans="1:6" x14ac:dyDescent="0.2">
      <c r="A720">
        <v>332</v>
      </c>
      <c r="B720" s="13" t="s">
        <v>919</v>
      </c>
      <c r="C720" s="1">
        <v>45592</v>
      </c>
      <c r="D720" s="13" t="s">
        <v>919</v>
      </c>
      <c r="E720">
        <v>1.76937101656243E-2</v>
      </c>
      <c r="F720">
        <v>1.76937101656243E-2</v>
      </c>
    </row>
    <row r="721" spans="1:6" x14ac:dyDescent="0.2">
      <c r="A721">
        <v>332</v>
      </c>
      <c r="B721" s="13" t="s">
        <v>241</v>
      </c>
      <c r="C721" s="1">
        <v>45396</v>
      </c>
      <c r="D721" s="13" t="s">
        <v>241</v>
      </c>
      <c r="E721">
        <v>0.110894517277282</v>
      </c>
      <c r="F721">
        <v>0.110894517277282</v>
      </c>
    </row>
    <row r="722" spans="1:6" x14ac:dyDescent="0.2">
      <c r="A722">
        <v>333</v>
      </c>
      <c r="B722" s="13" t="s">
        <v>242</v>
      </c>
      <c r="C722" s="1">
        <v>45356</v>
      </c>
      <c r="D722" s="13" t="s">
        <v>242</v>
      </c>
      <c r="E722">
        <v>0.14794975722505099</v>
      </c>
      <c r="F722">
        <v>0.14794975722505099</v>
      </c>
    </row>
    <row r="723" spans="1:6" x14ac:dyDescent="0.2">
      <c r="A723">
        <v>333</v>
      </c>
      <c r="B723" s="13" t="s">
        <v>243</v>
      </c>
      <c r="C723" s="1">
        <v>45428</v>
      </c>
      <c r="D723" s="13" t="s">
        <v>243</v>
      </c>
      <c r="E723">
        <v>0.225171513939732</v>
      </c>
      <c r="F723">
        <v>0.225171513939732</v>
      </c>
    </row>
    <row r="724" spans="1:6" x14ac:dyDescent="0.2">
      <c r="A724">
        <v>334</v>
      </c>
      <c r="B724" s="13" t="s">
        <v>920</v>
      </c>
      <c r="C724" s="1">
        <v>45361</v>
      </c>
      <c r="D724" s="13" t="s">
        <v>920</v>
      </c>
      <c r="E724">
        <v>0.115424361015751</v>
      </c>
      <c r="F724">
        <v>0.115424361015751</v>
      </c>
    </row>
    <row r="725" spans="1:6" x14ac:dyDescent="0.2">
      <c r="A725">
        <v>335</v>
      </c>
      <c r="B725" s="13" t="s">
        <v>921</v>
      </c>
      <c r="C725" s="1">
        <v>45380</v>
      </c>
      <c r="D725" s="13" t="s">
        <v>921</v>
      </c>
      <c r="E725">
        <v>0.22307862360639399</v>
      </c>
      <c r="F725">
        <v>0.22307862360639399</v>
      </c>
    </row>
    <row r="726" spans="1:6" x14ac:dyDescent="0.2">
      <c r="A726">
        <v>335</v>
      </c>
      <c r="B726" s="13" t="s">
        <v>594</v>
      </c>
      <c r="C726" s="1">
        <v>45382</v>
      </c>
      <c r="D726" s="13" t="s">
        <v>594</v>
      </c>
      <c r="E726">
        <v>3.1324082923828697E-2</v>
      </c>
      <c r="F726">
        <v>3.1324082923828697E-2</v>
      </c>
    </row>
    <row r="727" spans="1:6" x14ac:dyDescent="0.2">
      <c r="A727">
        <v>335</v>
      </c>
      <c r="B727" s="13" t="s">
        <v>244</v>
      </c>
      <c r="C727" s="1">
        <v>45568</v>
      </c>
      <c r="D727" s="13" t="s">
        <v>244</v>
      </c>
      <c r="E727">
        <v>0.30104188574943902</v>
      </c>
      <c r="F727">
        <v>0.30104188574943902</v>
      </c>
    </row>
    <row r="728" spans="1:6" x14ac:dyDescent="0.2">
      <c r="A728">
        <v>336</v>
      </c>
      <c r="B728" s="13" t="s">
        <v>595</v>
      </c>
      <c r="C728" s="1">
        <v>45448</v>
      </c>
      <c r="D728" s="13" t="s">
        <v>595</v>
      </c>
      <c r="E728">
        <v>5.6483104612568003E-2</v>
      </c>
      <c r="F728">
        <v>5.6483104612568003E-2</v>
      </c>
    </row>
    <row r="729" spans="1:6" x14ac:dyDescent="0.2">
      <c r="A729">
        <v>336</v>
      </c>
      <c r="B729" s="13" t="s">
        <v>596</v>
      </c>
      <c r="C729" s="1">
        <v>45584</v>
      </c>
      <c r="D729" s="13" t="s">
        <v>596</v>
      </c>
      <c r="E729">
        <v>1.0216760584062699E-2</v>
      </c>
      <c r="F729">
        <v>1.0216760584062699E-2</v>
      </c>
    </row>
    <row r="730" spans="1:6" x14ac:dyDescent="0.2">
      <c r="A730">
        <v>337</v>
      </c>
      <c r="B730" s="13" t="s">
        <v>922</v>
      </c>
      <c r="C730" s="1">
        <v>45392</v>
      </c>
      <c r="D730" s="13" t="s">
        <v>922</v>
      </c>
      <c r="E730">
        <v>0.243985343529207</v>
      </c>
      <c r="F730">
        <v>0.243985343529207</v>
      </c>
    </row>
    <row r="731" spans="1:6" x14ac:dyDescent="0.2">
      <c r="A731">
        <v>337</v>
      </c>
      <c r="B731" s="13" t="s">
        <v>597</v>
      </c>
      <c r="C731" s="1">
        <v>45325</v>
      </c>
      <c r="D731" s="13" t="s">
        <v>597</v>
      </c>
      <c r="E731">
        <v>6.9999394550102206E-2</v>
      </c>
      <c r="F731">
        <v>6.9999394550102206E-2</v>
      </c>
    </row>
    <row r="732" spans="1:6" x14ac:dyDescent="0.2">
      <c r="A732">
        <v>338</v>
      </c>
      <c r="B732" s="13" t="s">
        <v>245</v>
      </c>
      <c r="C732" s="1">
        <v>45495</v>
      </c>
      <c r="D732" s="13" t="s">
        <v>245</v>
      </c>
      <c r="E732">
        <v>0.24194679883305401</v>
      </c>
      <c r="F732">
        <v>0.24194679883305401</v>
      </c>
    </row>
    <row r="733" spans="1:6" x14ac:dyDescent="0.2">
      <c r="A733">
        <v>338</v>
      </c>
      <c r="B733" s="13" t="s">
        <v>246</v>
      </c>
      <c r="C733" s="1">
        <v>45548</v>
      </c>
      <c r="D733" s="13" t="s">
        <v>246</v>
      </c>
      <c r="E733">
        <v>7.3495529773709697E-2</v>
      </c>
      <c r="F733">
        <v>7.3495529773709697E-2</v>
      </c>
    </row>
    <row r="734" spans="1:6" x14ac:dyDescent="0.2">
      <c r="A734">
        <v>339</v>
      </c>
      <c r="B734" s="13" t="s">
        <v>923</v>
      </c>
      <c r="C734" s="1">
        <v>45431</v>
      </c>
      <c r="D734" s="13" t="s">
        <v>923</v>
      </c>
      <c r="E734">
        <v>0.63014249426182001</v>
      </c>
      <c r="F734">
        <v>0.63014249426182001</v>
      </c>
    </row>
    <row r="735" spans="1:6" x14ac:dyDescent="0.2">
      <c r="A735">
        <v>339</v>
      </c>
      <c r="B735" s="13" t="s">
        <v>247</v>
      </c>
      <c r="C735" s="1">
        <v>45622</v>
      </c>
      <c r="D735" s="13" t="s">
        <v>247</v>
      </c>
      <c r="E735">
        <v>0.15077056787989301</v>
      </c>
      <c r="F735">
        <v>0.15077056787989301</v>
      </c>
    </row>
    <row r="736" spans="1:6" x14ac:dyDescent="0.2">
      <c r="A736">
        <v>341</v>
      </c>
      <c r="B736" s="13" t="s">
        <v>248</v>
      </c>
      <c r="C736" s="1">
        <v>45514</v>
      </c>
      <c r="D736" s="13" t="s">
        <v>248</v>
      </c>
      <c r="E736">
        <v>0.10106291747636301</v>
      </c>
      <c r="F736">
        <v>0.10106291747636301</v>
      </c>
    </row>
    <row r="737" spans="1:6" x14ac:dyDescent="0.2">
      <c r="A737">
        <v>341</v>
      </c>
      <c r="B737" s="13" t="s">
        <v>249</v>
      </c>
      <c r="C737" s="1">
        <v>45302</v>
      </c>
      <c r="D737" s="13" t="s">
        <v>249</v>
      </c>
      <c r="E737">
        <v>0.26181241984967102</v>
      </c>
      <c r="F737">
        <v>0.26181241984967102</v>
      </c>
    </row>
    <row r="738" spans="1:6" x14ac:dyDescent="0.2">
      <c r="A738">
        <v>342</v>
      </c>
      <c r="B738" s="13" t="s">
        <v>250</v>
      </c>
      <c r="C738" s="1">
        <v>45417</v>
      </c>
      <c r="D738" s="13" t="s">
        <v>250</v>
      </c>
      <c r="E738">
        <v>0.197687360197463</v>
      </c>
      <c r="F738">
        <v>0.197687360197463</v>
      </c>
    </row>
    <row r="739" spans="1:6" x14ac:dyDescent="0.2">
      <c r="A739">
        <v>342</v>
      </c>
      <c r="B739" s="13" t="s">
        <v>251</v>
      </c>
      <c r="C739" s="1">
        <v>45590</v>
      </c>
      <c r="D739" s="13" t="s">
        <v>251</v>
      </c>
      <c r="E739">
        <v>0.15354838184384101</v>
      </c>
      <c r="F739">
        <v>0.15354838184384101</v>
      </c>
    </row>
    <row r="740" spans="1:6" x14ac:dyDescent="0.2">
      <c r="A740">
        <v>342</v>
      </c>
      <c r="B740" s="13" t="s">
        <v>252</v>
      </c>
      <c r="C740" s="1">
        <v>45559</v>
      </c>
      <c r="D740" s="13" t="s">
        <v>252</v>
      </c>
      <c r="E740">
        <v>7.2140377198432706E-2</v>
      </c>
      <c r="F740">
        <v>7.2140377198432706E-2</v>
      </c>
    </row>
    <row r="741" spans="1:6" x14ac:dyDescent="0.2">
      <c r="A741">
        <v>343</v>
      </c>
      <c r="B741" s="13" t="s">
        <v>253</v>
      </c>
      <c r="C741" s="1">
        <v>45543</v>
      </c>
      <c r="D741" s="13" t="s">
        <v>253</v>
      </c>
      <c r="E741">
        <v>0.34119164378795203</v>
      </c>
      <c r="F741">
        <v>0.34119164378795203</v>
      </c>
    </row>
    <row r="742" spans="1:6" x14ac:dyDescent="0.2">
      <c r="A742">
        <v>343</v>
      </c>
      <c r="B742" s="13" t="s">
        <v>254</v>
      </c>
      <c r="C742" s="1">
        <v>45362</v>
      </c>
      <c r="D742" s="13" t="s">
        <v>254</v>
      </c>
      <c r="E742">
        <v>7.75912875454801E-2</v>
      </c>
      <c r="F742">
        <v>7.75912875454801E-2</v>
      </c>
    </row>
    <row r="743" spans="1:6" x14ac:dyDescent="0.2">
      <c r="A743">
        <v>344</v>
      </c>
      <c r="B743" s="13" t="s">
        <v>598</v>
      </c>
      <c r="C743" s="1">
        <v>45468</v>
      </c>
      <c r="D743" s="13" t="s">
        <v>598</v>
      </c>
      <c r="E743">
        <v>1.3253671040202E-2</v>
      </c>
      <c r="F743">
        <v>1.3253671040202E-2</v>
      </c>
    </row>
    <row r="744" spans="1:6" x14ac:dyDescent="0.2">
      <c r="A744">
        <v>344</v>
      </c>
      <c r="B744" s="13" t="s">
        <v>924</v>
      </c>
      <c r="C744" s="1">
        <v>45442</v>
      </c>
      <c r="D744" s="13" t="s">
        <v>924</v>
      </c>
      <c r="E744">
        <v>0.15009153669504299</v>
      </c>
      <c r="F744">
        <v>0.15009153669504299</v>
      </c>
    </row>
    <row r="745" spans="1:6" x14ac:dyDescent="0.2">
      <c r="A745">
        <v>344</v>
      </c>
      <c r="B745" s="13" t="s">
        <v>599</v>
      </c>
      <c r="C745" s="1">
        <v>45414</v>
      </c>
      <c r="D745" s="13" t="s">
        <v>599</v>
      </c>
      <c r="E745">
        <v>0.39492398496958298</v>
      </c>
      <c r="F745">
        <v>0.39492398496958298</v>
      </c>
    </row>
    <row r="746" spans="1:6" x14ac:dyDescent="0.2">
      <c r="A746">
        <v>345</v>
      </c>
      <c r="B746" s="13" t="s">
        <v>925</v>
      </c>
      <c r="C746" s="1">
        <v>45518</v>
      </c>
      <c r="D746" s="13" t="s">
        <v>925</v>
      </c>
      <c r="E746">
        <v>0.14151556127317499</v>
      </c>
      <c r="F746">
        <v>0.14151556127317499</v>
      </c>
    </row>
    <row r="747" spans="1:6" x14ac:dyDescent="0.2">
      <c r="A747">
        <v>345</v>
      </c>
      <c r="B747" s="13" t="s">
        <v>600</v>
      </c>
      <c r="C747" s="1">
        <v>45535</v>
      </c>
      <c r="D747" s="13" t="s">
        <v>600</v>
      </c>
      <c r="E747">
        <v>0.17472554439612401</v>
      </c>
      <c r="F747">
        <v>0.17472554439612401</v>
      </c>
    </row>
    <row r="748" spans="1:6" x14ac:dyDescent="0.2">
      <c r="A748">
        <v>346</v>
      </c>
      <c r="B748" s="13" t="s">
        <v>926</v>
      </c>
      <c r="C748" s="1">
        <v>45470</v>
      </c>
      <c r="D748" s="13" t="s">
        <v>926</v>
      </c>
      <c r="E748">
        <v>0.47438884588432301</v>
      </c>
      <c r="F748">
        <v>0.47438884588432301</v>
      </c>
    </row>
    <row r="749" spans="1:6" x14ac:dyDescent="0.2">
      <c r="A749">
        <v>346</v>
      </c>
      <c r="B749" s="13" t="s">
        <v>927</v>
      </c>
      <c r="C749" s="1">
        <v>45627</v>
      </c>
      <c r="D749" s="13" t="s">
        <v>927</v>
      </c>
      <c r="E749">
        <v>0.11412439866518</v>
      </c>
      <c r="F749">
        <v>0.11412439866518</v>
      </c>
    </row>
    <row r="750" spans="1:6" x14ac:dyDescent="0.2">
      <c r="A750">
        <v>346</v>
      </c>
      <c r="B750" s="13" t="s">
        <v>928</v>
      </c>
      <c r="C750" s="1">
        <v>45370</v>
      </c>
      <c r="D750" s="13" t="s">
        <v>928</v>
      </c>
      <c r="E750">
        <v>0.14503068151857601</v>
      </c>
      <c r="F750">
        <v>0.14503068151857601</v>
      </c>
    </row>
    <row r="751" spans="1:6" x14ac:dyDescent="0.2">
      <c r="A751">
        <v>348</v>
      </c>
      <c r="B751" s="13" t="s">
        <v>929</v>
      </c>
      <c r="C751" s="1">
        <v>45456</v>
      </c>
      <c r="D751" s="13" t="s">
        <v>929</v>
      </c>
      <c r="E751">
        <v>0.19310518534204199</v>
      </c>
      <c r="F751">
        <v>0.19310518534204199</v>
      </c>
    </row>
    <row r="752" spans="1:6" x14ac:dyDescent="0.2">
      <c r="A752">
        <v>348</v>
      </c>
      <c r="B752" s="13" t="s">
        <v>930</v>
      </c>
      <c r="C752" s="1">
        <v>45618</v>
      </c>
      <c r="D752" s="13" t="s">
        <v>930</v>
      </c>
      <c r="E752">
        <v>0.115678585024191</v>
      </c>
      <c r="F752">
        <v>0.115678585024191</v>
      </c>
    </row>
    <row r="753" spans="1:6" x14ac:dyDescent="0.2">
      <c r="A753">
        <v>349</v>
      </c>
      <c r="B753" s="13" t="s">
        <v>255</v>
      </c>
      <c r="C753" s="1">
        <v>45550</v>
      </c>
      <c r="D753" s="13" t="s">
        <v>255</v>
      </c>
      <c r="E753">
        <v>0.20867757063527001</v>
      </c>
      <c r="F753">
        <v>0.20867757063527001</v>
      </c>
    </row>
    <row r="754" spans="1:6" x14ac:dyDescent="0.2">
      <c r="A754">
        <v>349</v>
      </c>
      <c r="B754" s="13" t="s">
        <v>256</v>
      </c>
      <c r="C754" s="1">
        <v>45424</v>
      </c>
      <c r="D754" s="13" t="s">
        <v>256</v>
      </c>
      <c r="E754">
        <v>0.19012600626842299</v>
      </c>
      <c r="F754">
        <v>0.19012600626842299</v>
      </c>
    </row>
    <row r="755" spans="1:6" x14ac:dyDescent="0.2">
      <c r="A755">
        <v>349</v>
      </c>
      <c r="B755" s="13" t="s">
        <v>257</v>
      </c>
      <c r="C755" s="1">
        <v>45491</v>
      </c>
      <c r="D755" s="13" t="s">
        <v>257</v>
      </c>
      <c r="E755">
        <v>0.119121032254313</v>
      </c>
      <c r="F755">
        <v>0.119121032254313</v>
      </c>
    </row>
    <row r="756" spans="1:6" x14ac:dyDescent="0.2">
      <c r="A756">
        <v>350</v>
      </c>
      <c r="B756" s="13" t="s">
        <v>931</v>
      </c>
      <c r="C756" s="1">
        <v>45498</v>
      </c>
      <c r="D756" s="13" t="s">
        <v>931</v>
      </c>
      <c r="E756">
        <v>0.22269215739780199</v>
      </c>
      <c r="F756">
        <v>0.22269215739780199</v>
      </c>
    </row>
    <row r="757" spans="1:6" x14ac:dyDescent="0.2">
      <c r="A757">
        <v>350</v>
      </c>
      <c r="B757" s="13" t="s">
        <v>932</v>
      </c>
      <c r="C757" s="1">
        <v>45532</v>
      </c>
      <c r="D757" s="13" t="s">
        <v>932</v>
      </c>
      <c r="E757">
        <v>0.151222777616006</v>
      </c>
      <c r="F757">
        <v>0.151222777616006</v>
      </c>
    </row>
    <row r="758" spans="1:6" x14ac:dyDescent="0.2">
      <c r="A758">
        <v>351</v>
      </c>
      <c r="B758" s="13" t="s">
        <v>933</v>
      </c>
      <c r="C758" s="1">
        <v>45461</v>
      </c>
      <c r="D758" s="13" t="s">
        <v>933</v>
      </c>
      <c r="E758">
        <v>0.103056399713559</v>
      </c>
      <c r="F758">
        <v>0.103056399713559</v>
      </c>
    </row>
    <row r="759" spans="1:6" x14ac:dyDescent="0.2">
      <c r="A759">
        <v>351</v>
      </c>
      <c r="B759" s="13" t="s">
        <v>934</v>
      </c>
      <c r="C759" s="1">
        <v>45337</v>
      </c>
      <c r="D759" s="13" t="s">
        <v>934</v>
      </c>
      <c r="E759">
        <v>0.15087496213374599</v>
      </c>
      <c r="F759">
        <v>0.15087496213374599</v>
      </c>
    </row>
    <row r="760" spans="1:6" x14ac:dyDescent="0.2">
      <c r="A760">
        <v>351</v>
      </c>
      <c r="B760" s="13" t="s">
        <v>935</v>
      </c>
      <c r="C760" s="1">
        <v>45450</v>
      </c>
      <c r="D760" s="13" t="s">
        <v>935</v>
      </c>
      <c r="E760">
        <v>0.131629727017224</v>
      </c>
      <c r="F760">
        <v>0.131629727017224</v>
      </c>
    </row>
    <row r="761" spans="1:6" x14ac:dyDescent="0.2">
      <c r="A761">
        <v>353</v>
      </c>
      <c r="B761" s="13" t="s">
        <v>601</v>
      </c>
      <c r="C761" s="1">
        <v>45438</v>
      </c>
      <c r="D761" s="13" t="s">
        <v>601</v>
      </c>
      <c r="E761">
        <v>0.171537826145571</v>
      </c>
      <c r="F761">
        <v>0.171537826145571</v>
      </c>
    </row>
    <row r="762" spans="1:6" x14ac:dyDescent="0.2">
      <c r="A762">
        <v>353</v>
      </c>
      <c r="B762" s="13" t="s">
        <v>258</v>
      </c>
      <c r="C762" s="1">
        <v>45466</v>
      </c>
      <c r="D762" s="13" t="s">
        <v>258</v>
      </c>
      <c r="E762">
        <v>9.9601007322026001E-3</v>
      </c>
      <c r="F762">
        <v>9.9601007322026001E-3</v>
      </c>
    </row>
    <row r="763" spans="1:6" x14ac:dyDescent="0.2">
      <c r="A763">
        <v>354</v>
      </c>
      <c r="B763" s="13" t="s">
        <v>936</v>
      </c>
      <c r="C763" s="1">
        <v>45468</v>
      </c>
      <c r="D763" s="13" t="s">
        <v>936</v>
      </c>
      <c r="E763">
        <v>0.104005840390143</v>
      </c>
      <c r="F763">
        <v>0.104005840390143</v>
      </c>
    </row>
    <row r="764" spans="1:6" x14ac:dyDescent="0.2">
      <c r="A764">
        <v>354</v>
      </c>
      <c r="B764" s="13" t="s">
        <v>937</v>
      </c>
      <c r="C764" s="1">
        <v>45309</v>
      </c>
      <c r="D764" s="13" t="s">
        <v>937</v>
      </c>
      <c r="E764">
        <v>0.194347764972646</v>
      </c>
      <c r="F764">
        <v>0.194347764972646</v>
      </c>
    </row>
    <row r="765" spans="1:6" x14ac:dyDescent="0.2">
      <c r="A765">
        <v>354</v>
      </c>
      <c r="B765" s="13" t="s">
        <v>938</v>
      </c>
      <c r="C765" s="1">
        <v>45534</v>
      </c>
      <c r="D765" s="13" t="s">
        <v>938</v>
      </c>
      <c r="E765">
        <v>8.4886729249396498E-2</v>
      </c>
      <c r="F765">
        <v>8.4886729249396498E-2</v>
      </c>
    </row>
    <row r="766" spans="1:6" x14ac:dyDescent="0.2">
      <c r="A766">
        <v>355</v>
      </c>
      <c r="B766" s="13" t="s">
        <v>939</v>
      </c>
      <c r="C766" s="1">
        <v>45358</v>
      </c>
      <c r="D766" s="13" t="s">
        <v>939</v>
      </c>
      <c r="E766">
        <v>4.8114859734501601E-2</v>
      </c>
      <c r="F766">
        <v>4.8114859734501601E-2</v>
      </c>
    </row>
    <row r="767" spans="1:6" x14ac:dyDescent="0.2">
      <c r="A767">
        <v>355</v>
      </c>
      <c r="B767" s="13" t="s">
        <v>259</v>
      </c>
      <c r="C767" s="1">
        <v>45440</v>
      </c>
      <c r="D767" s="13" t="s">
        <v>259</v>
      </c>
      <c r="E767">
        <v>3.7619217462232298E-2</v>
      </c>
      <c r="F767">
        <v>3.7619217462232298E-2</v>
      </c>
    </row>
    <row r="768" spans="1:6" x14ac:dyDescent="0.2">
      <c r="A768">
        <v>357</v>
      </c>
      <c r="B768" s="13" t="s">
        <v>260</v>
      </c>
      <c r="C768" s="1">
        <v>45582</v>
      </c>
      <c r="D768" s="13" t="s">
        <v>260</v>
      </c>
      <c r="E768">
        <v>0.13503942389075901</v>
      </c>
      <c r="F768">
        <v>0.13503942389075901</v>
      </c>
    </row>
    <row r="769" spans="1:6" x14ac:dyDescent="0.2">
      <c r="A769">
        <v>357</v>
      </c>
      <c r="B769" s="13" t="s">
        <v>261</v>
      </c>
      <c r="C769" s="1">
        <v>45327</v>
      </c>
      <c r="D769" s="13" t="s">
        <v>261</v>
      </c>
      <c r="E769">
        <v>9.9562482548658404E-2</v>
      </c>
      <c r="F769">
        <v>9.9562482548658404E-2</v>
      </c>
    </row>
    <row r="770" spans="1:6" x14ac:dyDescent="0.2">
      <c r="A770">
        <v>358</v>
      </c>
      <c r="B770" s="13" t="s">
        <v>940</v>
      </c>
      <c r="C770" s="1">
        <v>45493</v>
      </c>
      <c r="D770" s="13" t="s">
        <v>940</v>
      </c>
      <c r="E770">
        <v>0.14103824447557201</v>
      </c>
      <c r="F770">
        <v>0.14103824447557201</v>
      </c>
    </row>
    <row r="771" spans="1:6" x14ac:dyDescent="0.2">
      <c r="A771">
        <v>358</v>
      </c>
      <c r="B771" s="13" t="s">
        <v>941</v>
      </c>
      <c r="C771" s="1">
        <v>45650</v>
      </c>
      <c r="D771" s="13" t="s">
        <v>941</v>
      </c>
      <c r="E771">
        <v>0.30558889571795</v>
      </c>
      <c r="F771">
        <v>0.30558889571795</v>
      </c>
    </row>
    <row r="772" spans="1:6" x14ac:dyDescent="0.2">
      <c r="A772">
        <v>359</v>
      </c>
      <c r="B772" s="13" t="s">
        <v>942</v>
      </c>
      <c r="C772" s="1">
        <v>45572</v>
      </c>
      <c r="D772" s="13" t="s">
        <v>942</v>
      </c>
      <c r="E772">
        <v>9.2134365805832494E-2</v>
      </c>
      <c r="F772">
        <v>9.2134365805832494E-2</v>
      </c>
    </row>
    <row r="773" spans="1:6" x14ac:dyDescent="0.2">
      <c r="A773">
        <v>359</v>
      </c>
      <c r="B773" s="13" t="s">
        <v>943</v>
      </c>
      <c r="C773" s="1">
        <v>45634</v>
      </c>
      <c r="D773" s="13" t="s">
        <v>943</v>
      </c>
      <c r="E773">
        <v>0.17800395504008201</v>
      </c>
      <c r="F773">
        <v>0.17800395504008201</v>
      </c>
    </row>
    <row r="774" spans="1:6" x14ac:dyDescent="0.2">
      <c r="A774">
        <v>359</v>
      </c>
      <c r="B774" s="13" t="s">
        <v>944</v>
      </c>
      <c r="C774" s="1">
        <v>45474</v>
      </c>
      <c r="D774" s="13" t="s">
        <v>944</v>
      </c>
      <c r="E774">
        <v>0.157239543649452</v>
      </c>
      <c r="F774">
        <v>0.157239543649452</v>
      </c>
    </row>
    <row r="775" spans="1:6" x14ac:dyDescent="0.2">
      <c r="A775">
        <v>360</v>
      </c>
      <c r="B775" s="13" t="s">
        <v>945</v>
      </c>
      <c r="C775" s="1">
        <v>45547</v>
      </c>
      <c r="D775" s="13" t="s">
        <v>945</v>
      </c>
      <c r="E775">
        <v>0.18114351190988301</v>
      </c>
      <c r="F775">
        <v>0.18114351190988301</v>
      </c>
    </row>
    <row r="776" spans="1:6" x14ac:dyDescent="0.2">
      <c r="A776">
        <v>361</v>
      </c>
      <c r="B776" s="13" t="s">
        <v>946</v>
      </c>
      <c r="C776" s="1">
        <v>45329</v>
      </c>
      <c r="D776" s="13" t="s">
        <v>946</v>
      </c>
      <c r="E776">
        <v>8.3465120708819701E-2</v>
      </c>
      <c r="F776">
        <v>8.3465120708819701E-2</v>
      </c>
    </row>
    <row r="777" spans="1:6" x14ac:dyDescent="0.2">
      <c r="A777">
        <v>361</v>
      </c>
      <c r="B777" s="13" t="s">
        <v>947</v>
      </c>
      <c r="C777" s="1">
        <v>45598</v>
      </c>
      <c r="D777" s="13" t="s">
        <v>947</v>
      </c>
      <c r="E777">
        <v>0.209412433115747</v>
      </c>
      <c r="F777">
        <v>0.209412433115747</v>
      </c>
    </row>
    <row r="778" spans="1:6" x14ac:dyDescent="0.2">
      <c r="A778">
        <v>361</v>
      </c>
      <c r="B778" s="13" t="s">
        <v>948</v>
      </c>
      <c r="C778" s="1">
        <v>45565</v>
      </c>
      <c r="D778" s="13" t="s">
        <v>948</v>
      </c>
      <c r="E778">
        <v>0.105546802097333</v>
      </c>
      <c r="F778">
        <v>0.105546802097333</v>
      </c>
    </row>
    <row r="779" spans="1:6" x14ac:dyDescent="0.2">
      <c r="A779">
        <v>362</v>
      </c>
      <c r="B779" s="13" t="s">
        <v>262</v>
      </c>
      <c r="C779" s="1">
        <v>45501</v>
      </c>
      <c r="D779" s="13" t="s">
        <v>262</v>
      </c>
      <c r="E779">
        <v>0.14647144910694301</v>
      </c>
      <c r="F779">
        <v>0.14647144910694301</v>
      </c>
    </row>
    <row r="780" spans="1:6" x14ac:dyDescent="0.2">
      <c r="A780">
        <v>362</v>
      </c>
      <c r="B780" s="13" t="s">
        <v>263</v>
      </c>
      <c r="C780" s="1">
        <v>45445</v>
      </c>
      <c r="D780" s="13" t="s">
        <v>263</v>
      </c>
      <c r="E780">
        <v>0.16562869336147601</v>
      </c>
      <c r="F780">
        <v>0.16562869336147601</v>
      </c>
    </row>
    <row r="781" spans="1:6" x14ac:dyDescent="0.2">
      <c r="A781">
        <v>362</v>
      </c>
      <c r="B781" s="13" t="s">
        <v>264</v>
      </c>
      <c r="C781" s="1">
        <v>45449</v>
      </c>
      <c r="D781" s="13" t="s">
        <v>264</v>
      </c>
      <c r="E781">
        <v>0.123353984016444</v>
      </c>
      <c r="F781">
        <v>0.123353984016444</v>
      </c>
    </row>
    <row r="782" spans="1:6" x14ac:dyDescent="0.2">
      <c r="A782">
        <v>363</v>
      </c>
      <c r="B782" s="13" t="s">
        <v>949</v>
      </c>
      <c r="C782" s="1">
        <v>45413</v>
      </c>
      <c r="D782" s="13" t="s">
        <v>949</v>
      </c>
      <c r="E782">
        <v>0.122135697898172</v>
      </c>
      <c r="F782">
        <v>0.122135697898172</v>
      </c>
    </row>
    <row r="783" spans="1:6" x14ac:dyDescent="0.2">
      <c r="A783">
        <v>364</v>
      </c>
      <c r="B783" s="13" t="s">
        <v>265</v>
      </c>
      <c r="C783" s="1">
        <v>45622</v>
      </c>
      <c r="D783" s="13" t="s">
        <v>265</v>
      </c>
      <c r="E783">
        <v>5.0476236741281898E-2</v>
      </c>
      <c r="F783">
        <v>5.0476236741281898E-2</v>
      </c>
    </row>
    <row r="784" spans="1:6" x14ac:dyDescent="0.2">
      <c r="A784">
        <v>364</v>
      </c>
      <c r="B784" s="13" t="s">
        <v>266</v>
      </c>
      <c r="C784" s="1">
        <v>45517</v>
      </c>
      <c r="D784" s="13" t="s">
        <v>266</v>
      </c>
      <c r="E784">
        <v>0.156614431486954</v>
      </c>
      <c r="F784">
        <v>0.156614431486954</v>
      </c>
    </row>
    <row r="785" spans="1:6" x14ac:dyDescent="0.2">
      <c r="A785">
        <v>364</v>
      </c>
      <c r="B785" s="13" t="s">
        <v>267</v>
      </c>
      <c r="C785" s="1">
        <v>45474</v>
      </c>
      <c r="D785" s="13" t="s">
        <v>267</v>
      </c>
      <c r="E785">
        <v>4.4905413786297199E-2</v>
      </c>
      <c r="F785">
        <v>4.4905413786297199E-2</v>
      </c>
    </row>
    <row r="786" spans="1:6" x14ac:dyDescent="0.2">
      <c r="A786">
        <v>365</v>
      </c>
      <c r="B786" s="13" t="s">
        <v>268</v>
      </c>
      <c r="C786" s="1">
        <v>45416</v>
      </c>
      <c r="D786" s="13" t="s">
        <v>268</v>
      </c>
      <c r="E786">
        <v>1.83198889962293E-2</v>
      </c>
      <c r="F786">
        <v>1.83198889962293E-2</v>
      </c>
    </row>
    <row r="787" spans="1:6" x14ac:dyDescent="0.2">
      <c r="A787">
        <v>365</v>
      </c>
      <c r="B787" s="13" t="s">
        <v>950</v>
      </c>
      <c r="C787" s="1">
        <v>45628</v>
      </c>
      <c r="D787" s="13" t="s">
        <v>950</v>
      </c>
      <c r="E787">
        <v>0.16279102598314299</v>
      </c>
      <c r="F787">
        <v>0.16279102598314299</v>
      </c>
    </row>
    <row r="788" spans="1:6" x14ac:dyDescent="0.2">
      <c r="A788">
        <v>365</v>
      </c>
      <c r="B788" s="13" t="s">
        <v>951</v>
      </c>
      <c r="C788" s="1">
        <v>45301</v>
      </c>
      <c r="D788" s="13" t="s">
        <v>951</v>
      </c>
      <c r="E788">
        <v>0.114989607211526</v>
      </c>
      <c r="F788">
        <v>0.114989607211526</v>
      </c>
    </row>
    <row r="789" spans="1:6" x14ac:dyDescent="0.2">
      <c r="A789">
        <v>366</v>
      </c>
      <c r="B789" s="13" t="s">
        <v>602</v>
      </c>
      <c r="C789" s="1">
        <v>45605</v>
      </c>
      <c r="D789" s="13" t="s">
        <v>602</v>
      </c>
      <c r="E789">
        <v>0.121167481217458</v>
      </c>
      <c r="F789">
        <v>0.121167481217458</v>
      </c>
    </row>
    <row r="790" spans="1:6" x14ac:dyDescent="0.2">
      <c r="A790">
        <v>367</v>
      </c>
      <c r="B790" s="13" t="s">
        <v>603</v>
      </c>
      <c r="C790" s="1">
        <v>45521</v>
      </c>
      <c r="D790" s="13" t="s">
        <v>603</v>
      </c>
      <c r="E790">
        <v>3.8640888963969E-2</v>
      </c>
      <c r="F790">
        <v>3.8640888963969E-2</v>
      </c>
    </row>
    <row r="791" spans="1:6" x14ac:dyDescent="0.2">
      <c r="A791">
        <v>367</v>
      </c>
      <c r="B791" s="13" t="s">
        <v>604</v>
      </c>
      <c r="C791" s="1">
        <v>45631</v>
      </c>
      <c r="D791" s="13" t="s">
        <v>604</v>
      </c>
      <c r="E791">
        <v>0.137784568851432</v>
      </c>
      <c r="F791">
        <v>0.137784568851432</v>
      </c>
    </row>
    <row r="792" spans="1:6" x14ac:dyDescent="0.2">
      <c r="A792">
        <v>367</v>
      </c>
      <c r="B792" s="13" t="s">
        <v>605</v>
      </c>
      <c r="C792" s="1">
        <v>45652</v>
      </c>
      <c r="D792" s="13" t="s">
        <v>605</v>
      </c>
      <c r="E792">
        <v>0.17376412274208899</v>
      </c>
      <c r="F792">
        <v>0.17376412274208899</v>
      </c>
    </row>
    <row r="793" spans="1:6" x14ac:dyDescent="0.2">
      <c r="A793">
        <v>368</v>
      </c>
      <c r="B793" s="13" t="s">
        <v>606</v>
      </c>
      <c r="C793" s="1">
        <v>45327</v>
      </c>
      <c r="D793" s="13" t="s">
        <v>606</v>
      </c>
      <c r="E793">
        <v>0.109793388700102</v>
      </c>
      <c r="F793">
        <v>0.109793388700102</v>
      </c>
    </row>
    <row r="794" spans="1:6" x14ac:dyDescent="0.2">
      <c r="A794">
        <v>368</v>
      </c>
      <c r="B794" s="13" t="s">
        <v>607</v>
      </c>
      <c r="C794" s="1">
        <v>45590</v>
      </c>
      <c r="D794" s="13" t="s">
        <v>607</v>
      </c>
      <c r="E794">
        <v>5.2493582941452101E-2</v>
      </c>
      <c r="F794">
        <v>5.2493582941452101E-2</v>
      </c>
    </row>
    <row r="795" spans="1:6" x14ac:dyDescent="0.2">
      <c r="A795">
        <v>368</v>
      </c>
      <c r="B795" s="13" t="s">
        <v>608</v>
      </c>
      <c r="C795" s="1">
        <v>45325</v>
      </c>
      <c r="D795" s="13" t="s">
        <v>608</v>
      </c>
      <c r="E795">
        <v>0.111959902869027</v>
      </c>
      <c r="F795">
        <v>0.111959902869027</v>
      </c>
    </row>
    <row r="796" spans="1:6" x14ac:dyDescent="0.2">
      <c r="A796">
        <v>368</v>
      </c>
      <c r="B796" s="13" t="s">
        <v>952</v>
      </c>
      <c r="C796" s="1">
        <v>45646</v>
      </c>
      <c r="D796" s="13" t="s">
        <v>952</v>
      </c>
      <c r="E796">
        <v>6.2805029838310905E-2</v>
      </c>
      <c r="F796">
        <v>6.2805029838310905E-2</v>
      </c>
    </row>
    <row r="797" spans="1:6" x14ac:dyDescent="0.2">
      <c r="A797">
        <v>369</v>
      </c>
      <c r="B797" s="13" t="s">
        <v>953</v>
      </c>
      <c r="C797" s="1">
        <v>45517</v>
      </c>
      <c r="D797" s="13" t="s">
        <v>953</v>
      </c>
      <c r="E797">
        <v>0.15023545691020501</v>
      </c>
      <c r="F797">
        <v>0.15023545691020501</v>
      </c>
    </row>
    <row r="798" spans="1:6" x14ac:dyDescent="0.2">
      <c r="A798">
        <v>369</v>
      </c>
      <c r="B798" s="13" t="s">
        <v>954</v>
      </c>
      <c r="C798" s="1">
        <v>45309</v>
      </c>
      <c r="D798" s="13" t="s">
        <v>954</v>
      </c>
      <c r="E798">
        <v>0.131115749765496</v>
      </c>
      <c r="F798">
        <v>0.131115749765496</v>
      </c>
    </row>
    <row r="799" spans="1:6" x14ac:dyDescent="0.2">
      <c r="A799">
        <v>370</v>
      </c>
      <c r="B799" s="13" t="s">
        <v>609</v>
      </c>
      <c r="C799" s="1">
        <v>45517</v>
      </c>
      <c r="D799" s="13" t="s">
        <v>609</v>
      </c>
      <c r="E799">
        <v>0.31128458979873902</v>
      </c>
      <c r="F799">
        <v>0.31128458979873902</v>
      </c>
    </row>
    <row r="800" spans="1:6" x14ac:dyDescent="0.2">
      <c r="A800">
        <v>370</v>
      </c>
      <c r="B800" s="13" t="s">
        <v>610</v>
      </c>
      <c r="C800" s="1">
        <v>45388</v>
      </c>
      <c r="D800" s="13" t="s">
        <v>610</v>
      </c>
      <c r="E800">
        <v>8.5812414749107904E-2</v>
      </c>
      <c r="F800">
        <v>8.5812414749107904E-2</v>
      </c>
    </row>
    <row r="801" spans="1:6" x14ac:dyDescent="0.2">
      <c r="A801">
        <v>371</v>
      </c>
      <c r="B801" s="13" t="s">
        <v>611</v>
      </c>
      <c r="C801" s="1">
        <v>45297</v>
      </c>
      <c r="D801" s="13" t="s">
        <v>611</v>
      </c>
      <c r="E801">
        <v>0.160128278445408</v>
      </c>
      <c r="F801">
        <v>0.160128278445408</v>
      </c>
    </row>
    <row r="802" spans="1:6" x14ac:dyDescent="0.2">
      <c r="A802">
        <v>371</v>
      </c>
      <c r="B802" s="13" t="s">
        <v>955</v>
      </c>
      <c r="C802" s="1">
        <v>45473</v>
      </c>
      <c r="D802" s="13" t="s">
        <v>955</v>
      </c>
      <c r="E802">
        <v>0.109531589065559</v>
      </c>
      <c r="F802">
        <v>0.109531589065559</v>
      </c>
    </row>
    <row r="803" spans="1:6" x14ac:dyDescent="0.2">
      <c r="A803">
        <v>372</v>
      </c>
      <c r="B803" s="13" t="s">
        <v>956</v>
      </c>
      <c r="C803" s="1">
        <v>45519</v>
      </c>
      <c r="D803" s="13" t="s">
        <v>956</v>
      </c>
      <c r="E803">
        <v>7.6212730722380606E-2</v>
      </c>
      <c r="F803">
        <v>7.6212730722380606E-2</v>
      </c>
    </row>
    <row r="804" spans="1:6" x14ac:dyDescent="0.2">
      <c r="A804">
        <v>372</v>
      </c>
      <c r="B804" s="13" t="s">
        <v>957</v>
      </c>
      <c r="C804" s="1">
        <v>45556</v>
      </c>
      <c r="D804" s="13" t="s">
        <v>957</v>
      </c>
      <c r="E804">
        <v>0.12667515394750201</v>
      </c>
      <c r="F804">
        <v>0.12667515394750201</v>
      </c>
    </row>
    <row r="805" spans="1:6" x14ac:dyDescent="0.2">
      <c r="A805">
        <v>372</v>
      </c>
      <c r="B805" s="13" t="s">
        <v>958</v>
      </c>
      <c r="C805" s="1">
        <v>45505</v>
      </c>
      <c r="D805" s="13" t="s">
        <v>958</v>
      </c>
      <c r="E805">
        <v>0.118343660174275</v>
      </c>
      <c r="F805">
        <v>0.118343660174275</v>
      </c>
    </row>
    <row r="806" spans="1:6" x14ac:dyDescent="0.2">
      <c r="A806">
        <v>373</v>
      </c>
      <c r="B806" s="13" t="s">
        <v>959</v>
      </c>
      <c r="C806" s="1">
        <v>45367</v>
      </c>
      <c r="D806" s="13" t="s">
        <v>959</v>
      </c>
      <c r="E806">
        <v>0.18265333346206</v>
      </c>
      <c r="F806">
        <v>0.18265333346206</v>
      </c>
    </row>
    <row r="807" spans="1:6" x14ac:dyDescent="0.2">
      <c r="A807">
        <v>374</v>
      </c>
      <c r="B807" s="13" t="s">
        <v>612</v>
      </c>
      <c r="C807" s="1">
        <v>45456</v>
      </c>
      <c r="D807" s="13" t="s">
        <v>612</v>
      </c>
      <c r="E807">
        <v>2.3128153186103201E-2</v>
      </c>
      <c r="F807">
        <v>2.3128153186103201E-2</v>
      </c>
    </row>
    <row r="808" spans="1:6" x14ac:dyDescent="0.2">
      <c r="A808">
        <v>374</v>
      </c>
      <c r="B808" s="13" t="s">
        <v>960</v>
      </c>
      <c r="C808" s="1">
        <v>45653</v>
      </c>
      <c r="D808" s="13" t="s">
        <v>960</v>
      </c>
      <c r="E808">
        <v>0.50244036395894798</v>
      </c>
      <c r="F808">
        <v>0.50244036395894798</v>
      </c>
    </row>
    <row r="809" spans="1:6" x14ac:dyDescent="0.2">
      <c r="A809">
        <v>375</v>
      </c>
      <c r="B809" s="13" t="s">
        <v>961</v>
      </c>
      <c r="C809" s="1">
        <v>45493</v>
      </c>
      <c r="D809" s="13" t="s">
        <v>961</v>
      </c>
      <c r="E809">
        <v>0.19617167487957801</v>
      </c>
      <c r="F809">
        <v>0.19617167487957801</v>
      </c>
    </row>
    <row r="810" spans="1:6" x14ac:dyDescent="0.2">
      <c r="A810">
        <v>375</v>
      </c>
      <c r="B810" s="13" t="s">
        <v>962</v>
      </c>
      <c r="C810" s="1">
        <v>45381</v>
      </c>
      <c r="D810" s="13" t="s">
        <v>962</v>
      </c>
      <c r="E810">
        <v>0.20361084696082199</v>
      </c>
      <c r="F810">
        <v>0.20361084696082199</v>
      </c>
    </row>
    <row r="811" spans="1:6" x14ac:dyDescent="0.2">
      <c r="A811">
        <v>377</v>
      </c>
      <c r="B811" s="13" t="s">
        <v>963</v>
      </c>
      <c r="C811" s="1">
        <v>45579</v>
      </c>
      <c r="D811" s="13" t="s">
        <v>963</v>
      </c>
      <c r="E811">
        <v>0.14263391983530799</v>
      </c>
      <c r="F811">
        <v>0.14263391983530799</v>
      </c>
    </row>
    <row r="812" spans="1:6" x14ac:dyDescent="0.2">
      <c r="A812">
        <v>378</v>
      </c>
      <c r="B812" s="13" t="s">
        <v>964</v>
      </c>
      <c r="C812" s="1">
        <v>45629</v>
      </c>
      <c r="D812" s="13" t="s">
        <v>964</v>
      </c>
      <c r="E812">
        <v>9.9284882584603495E-2</v>
      </c>
      <c r="F812">
        <v>9.9284882584603495E-2</v>
      </c>
    </row>
    <row r="813" spans="1:6" x14ac:dyDescent="0.2">
      <c r="A813">
        <v>378</v>
      </c>
      <c r="B813" s="13" t="s">
        <v>965</v>
      </c>
      <c r="C813" s="1">
        <v>45598</v>
      </c>
      <c r="D813" s="13" t="s">
        <v>965</v>
      </c>
      <c r="E813">
        <v>0.16257054192407</v>
      </c>
      <c r="F813">
        <v>0.16257054192407</v>
      </c>
    </row>
    <row r="814" spans="1:6" x14ac:dyDescent="0.2">
      <c r="A814">
        <v>378</v>
      </c>
      <c r="B814" s="13" t="s">
        <v>966</v>
      </c>
      <c r="C814" s="1">
        <v>45416</v>
      </c>
      <c r="D814" s="13" t="s">
        <v>966</v>
      </c>
      <c r="E814">
        <v>0.106720430583579</v>
      </c>
      <c r="F814">
        <v>0.106720430583579</v>
      </c>
    </row>
    <row r="815" spans="1:6" x14ac:dyDescent="0.2">
      <c r="A815">
        <v>379</v>
      </c>
      <c r="B815" s="13" t="s">
        <v>967</v>
      </c>
      <c r="C815" s="1">
        <v>45491</v>
      </c>
      <c r="D815" s="13" t="s">
        <v>967</v>
      </c>
      <c r="E815">
        <v>0.25434818429851802</v>
      </c>
      <c r="F815">
        <v>0.25434818429851802</v>
      </c>
    </row>
    <row r="816" spans="1:6" x14ac:dyDescent="0.2">
      <c r="A816">
        <v>379</v>
      </c>
      <c r="B816" s="13" t="s">
        <v>968</v>
      </c>
      <c r="C816" s="1">
        <v>45407</v>
      </c>
      <c r="D816" s="13" t="s">
        <v>968</v>
      </c>
      <c r="E816">
        <v>0.12052133647395501</v>
      </c>
      <c r="F816">
        <v>0.12052133647395501</v>
      </c>
    </row>
    <row r="817" spans="1:6" x14ac:dyDescent="0.2">
      <c r="A817">
        <v>379</v>
      </c>
      <c r="B817" s="13" t="s">
        <v>969</v>
      </c>
      <c r="C817" s="1">
        <v>45362</v>
      </c>
      <c r="D817" s="13" t="s">
        <v>969</v>
      </c>
      <c r="E817">
        <v>0.16976774491757701</v>
      </c>
      <c r="F817">
        <v>0.16976774491757701</v>
      </c>
    </row>
    <row r="818" spans="1:6" x14ac:dyDescent="0.2">
      <c r="A818">
        <v>381</v>
      </c>
      <c r="B818" s="13" t="s">
        <v>970</v>
      </c>
      <c r="C818" s="1">
        <v>45390</v>
      </c>
      <c r="D818" s="13" t="s">
        <v>970</v>
      </c>
      <c r="E818">
        <v>0.27232723209020199</v>
      </c>
      <c r="F818">
        <v>0.27232723209020199</v>
      </c>
    </row>
    <row r="819" spans="1:6" x14ac:dyDescent="0.2">
      <c r="A819">
        <v>381</v>
      </c>
      <c r="B819" s="13" t="s">
        <v>971</v>
      </c>
      <c r="C819" s="1">
        <v>45403</v>
      </c>
      <c r="D819" s="13" t="s">
        <v>971</v>
      </c>
      <c r="E819">
        <v>8.4059527652405402E-2</v>
      </c>
      <c r="F819">
        <v>8.4059527652405402E-2</v>
      </c>
    </row>
    <row r="820" spans="1:6" x14ac:dyDescent="0.2">
      <c r="A820">
        <v>382</v>
      </c>
      <c r="B820" s="13" t="s">
        <v>269</v>
      </c>
      <c r="C820" s="1">
        <v>45559</v>
      </c>
      <c r="D820" s="13" t="s">
        <v>269</v>
      </c>
      <c r="E820">
        <v>0.193905821251804</v>
      </c>
      <c r="F820">
        <v>0.193905821251804</v>
      </c>
    </row>
    <row r="821" spans="1:6" x14ac:dyDescent="0.2">
      <c r="A821">
        <v>383</v>
      </c>
      <c r="B821" s="13" t="s">
        <v>972</v>
      </c>
      <c r="C821" s="1">
        <v>45618</v>
      </c>
      <c r="D821" s="13" t="s">
        <v>972</v>
      </c>
      <c r="E821">
        <v>0.57203800723345399</v>
      </c>
      <c r="F821">
        <v>0.57203800723345399</v>
      </c>
    </row>
    <row r="822" spans="1:6" x14ac:dyDescent="0.2">
      <c r="A822">
        <v>383</v>
      </c>
      <c r="B822" s="13" t="s">
        <v>270</v>
      </c>
      <c r="C822" s="1">
        <v>45611</v>
      </c>
      <c r="D822" s="13" t="s">
        <v>270</v>
      </c>
      <c r="E822">
        <v>0.100550052954302</v>
      </c>
      <c r="F822">
        <v>0.100550052954302</v>
      </c>
    </row>
    <row r="823" spans="1:6" x14ac:dyDescent="0.2">
      <c r="A823">
        <v>383</v>
      </c>
      <c r="B823" s="13" t="s">
        <v>271</v>
      </c>
      <c r="C823" s="1">
        <v>45322</v>
      </c>
      <c r="D823" s="13" t="s">
        <v>271</v>
      </c>
      <c r="E823">
        <v>0.10010353983824501</v>
      </c>
      <c r="F823">
        <v>0.10010353983824501</v>
      </c>
    </row>
    <row r="824" spans="1:6" x14ac:dyDescent="0.2">
      <c r="A824">
        <v>384</v>
      </c>
      <c r="B824" s="13" t="s">
        <v>272</v>
      </c>
      <c r="C824" s="1">
        <v>45540</v>
      </c>
      <c r="D824" s="13" t="s">
        <v>272</v>
      </c>
      <c r="E824">
        <v>0.30847804639013598</v>
      </c>
      <c r="F824">
        <v>0.30847804639013598</v>
      </c>
    </row>
    <row r="825" spans="1:6" x14ac:dyDescent="0.2">
      <c r="A825">
        <v>385</v>
      </c>
      <c r="B825" s="13" t="s">
        <v>973</v>
      </c>
      <c r="C825" s="1">
        <v>45391</v>
      </c>
      <c r="D825" s="13" t="s">
        <v>973</v>
      </c>
      <c r="E825">
        <v>5.29439961378214E-2</v>
      </c>
      <c r="F825">
        <v>5.29439961378214E-2</v>
      </c>
    </row>
    <row r="826" spans="1:6" x14ac:dyDescent="0.2">
      <c r="A826">
        <v>385</v>
      </c>
      <c r="B826" s="13" t="s">
        <v>974</v>
      </c>
      <c r="C826" s="1">
        <v>45579</v>
      </c>
      <c r="D826" s="13" t="s">
        <v>974</v>
      </c>
      <c r="E826">
        <v>0.25558104880073301</v>
      </c>
      <c r="F826">
        <v>0.25558104880073301</v>
      </c>
    </row>
    <row r="827" spans="1:6" x14ac:dyDescent="0.2">
      <c r="A827">
        <v>386</v>
      </c>
      <c r="B827" s="13" t="s">
        <v>975</v>
      </c>
      <c r="C827" s="1">
        <v>45301</v>
      </c>
      <c r="D827" s="13" t="s">
        <v>975</v>
      </c>
      <c r="E827">
        <v>0.57670574679278097</v>
      </c>
      <c r="F827">
        <v>0.57670574679278097</v>
      </c>
    </row>
    <row r="828" spans="1:6" x14ac:dyDescent="0.2">
      <c r="A828">
        <v>387</v>
      </c>
      <c r="B828" s="13" t="s">
        <v>976</v>
      </c>
      <c r="C828" s="1">
        <v>45553</v>
      </c>
      <c r="D828" s="13" t="s">
        <v>976</v>
      </c>
      <c r="E828">
        <v>0.10244789091085001</v>
      </c>
      <c r="F828">
        <v>0.10244789091085001</v>
      </c>
    </row>
    <row r="829" spans="1:6" x14ac:dyDescent="0.2">
      <c r="A829">
        <v>387</v>
      </c>
      <c r="B829" s="13" t="s">
        <v>273</v>
      </c>
      <c r="C829" s="1">
        <v>45596</v>
      </c>
      <c r="D829" s="13" t="s">
        <v>273</v>
      </c>
      <c r="E829">
        <v>0.2004899663195</v>
      </c>
      <c r="F829">
        <v>0.2004899663195</v>
      </c>
    </row>
    <row r="830" spans="1:6" x14ac:dyDescent="0.2">
      <c r="A830">
        <v>387</v>
      </c>
      <c r="B830" s="13" t="s">
        <v>274</v>
      </c>
      <c r="C830" s="1">
        <v>45431</v>
      </c>
      <c r="D830" s="13" t="s">
        <v>274</v>
      </c>
      <c r="E830">
        <v>0.210318254985283</v>
      </c>
      <c r="F830">
        <v>0.210318254985283</v>
      </c>
    </row>
    <row r="831" spans="1:6" x14ac:dyDescent="0.2">
      <c r="A831">
        <v>388</v>
      </c>
      <c r="B831" s="13" t="s">
        <v>275</v>
      </c>
      <c r="C831" s="1">
        <v>45491</v>
      </c>
      <c r="D831" s="13" t="s">
        <v>275</v>
      </c>
      <c r="E831">
        <v>8.0697907915259506E-2</v>
      </c>
      <c r="F831">
        <v>8.0697907915259506E-2</v>
      </c>
    </row>
    <row r="832" spans="1:6" x14ac:dyDescent="0.2">
      <c r="A832">
        <v>388</v>
      </c>
      <c r="B832" s="13" t="s">
        <v>276</v>
      </c>
      <c r="C832" s="1">
        <v>45514</v>
      </c>
      <c r="D832" s="13" t="s">
        <v>276</v>
      </c>
      <c r="E832">
        <v>4.3608022516556801E-2</v>
      </c>
      <c r="F832">
        <v>4.3608022516556801E-2</v>
      </c>
    </row>
    <row r="833" spans="1:6" x14ac:dyDescent="0.2">
      <c r="A833">
        <v>388</v>
      </c>
      <c r="B833" s="13" t="s">
        <v>277</v>
      </c>
      <c r="C833" s="1">
        <v>45471</v>
      </c>
      <c r="D833" s="13" t="s">
        <v>277</v>
      </c>
      <c r="E833">
        <v>0.14847891310807601</v>
      </c>
      <c r="F833">
        <v>0.14847891310807601</v>
      </c>
    </row>
    <row r="834" spans="1:6" x14ac:dyDescent="0.2">
      <c r="A834">
        <v>389</v>
      </c>
      <c r="B834" s="13" t="s">
        <v>278</v>
      </c>
      <c r="C834" s="1">
        <v>45641</v>
      </c>
      <c r="D834" s="13" t="s">
        <v>278</v>
      </c>
      <c r="E834">
        <v>0.38872786360828498</v>
      </c>
      <c r="F834">
        <v>0.38872786360828498</v>
      </c>
    </row>
    <row r="835" spans="1:6" x14ac:dyDescent="0.2">
      <c r="A835">
        <v>389</v>
      </c>
      <c r="B835" s="13" t="s">
        <v>279</v>
      </c>
      <c r="C835" s="1">
        <v>45321</v>
      </c>
      <c r="D835" s="13" t="s">
        <v>279</v>
      </c>
      <c r="E835">
        <v>5.0096508066198898E-2</v>
      </c>
      <c r="F835">
        <v>5.0096508066198898E-2</v>
      </c>
    </row>
    <row r="836" spans="1:6" x14ac:dyDescent="0.2">
      <c r="A836">
        <v>389</v>
      </c>
      <c r="B836" s="13" t="s">
        <v>280</v>
      </c>
      <c r="C836" s="1">
        <v>45485</v>
      </c>
      <c r="D836" s="13" t="s">
        <v>280</v>
      </c>
      <c r="E836">
        <v>0.16180838847372001</v>
      </c>
      <c r="F836">
        <v>0.16180838847372001</v>
      </c>
    </row>
    <row r="837" spans="1:6" x14ac:dyDescent="0.2">
      <c r="A837">
        <v>390</v>
      </c>
      <c r="B837" s="13" t="s">
        <v>281</v>
      </c>
      <c r="C837" s="1">
        <v>45649</v>
      </c>
      <c r="D837" s="13" t="s">
        <v>281</v>
      </c>
      <c r="E837">
        <v>0.261153247857564</v>
      </c>
      <c r="F837">
        <v>0.261153247857564</v>
      </c>
    </row>
    <row r="838" spans="1:6" x14ac:dyDescent="0.2">
      <c r="A838">
        <v>390</v>
      </c>
      <c r="B838" s="13" t="s">
        <v>282</v>
      </c>
      <c r="C838" s="1">
        <v>45476</v>
      </c>
      <c r="D838" s="13" t="s">
        <v>282</v>
      </c>
      <c r="E838">
        <v>0.210472539682</v>
      </c>
      <c r="F838">
        <v>0.210472539682</v>
      </c>
    </row>
    <row r="839" spans="1:6" x14ac:dyDescent="0.2">
      <c r="A839">
        <v>390</v>
      </c>
      <c r="B839" s="13" t="s">
        <v>283</v>
      </c>
      <c r="C839" s="1">
        <v>45625</v>
      </c>
      <c r="D839" s="13" t="s">
        <v>283</v>
      </c>
      <c r="E839">
        <v>0.28883829259822202</v>
      </c>
      <c r="F839">
        <v>0.28883829259822202</v>
      </c>
    </row>
    <row r="840" spans="1:6" x14ac:dyDescent="0.2">
      <c r="A840">
        <v>392</v>
      </c>
      <c r="B840" s="13" t="s">
        <v>977</v>
      </c>
      <c r="C840" s="1">
        <v>45510</v>
      </c>
      <c r="D840" s="13" t="s">
        <v>977</v>
      </c>
      <c r="E840">
        <v>0.16070259013654001</v>
      </c>
      <c r="F840">
        <v>0.16070259013654001</v>
      </c>
    </row>
    <row r="841" spans="1:6" x14ac:dyDescent="0.2">
      <c r="A841">
        <v>392</v>
      </c>
      <c r="B841" s="13" t="s">
        <v>284</v>
      </c>
      <c r="C841" s="1">
        <v>45533</v>
      </c>
      <c r="D841" s="13" t="s">
        <v>284</v>
      </c>
      <c r="E841">
        <v>4.4570200943100498E-2</v>
      </c>
      <c r="F841">
        <v>4.4570200943100498E-2</v>
      </c>
    </row>
    <row r="842" spans="1:6" x14ac:dyDescent="0.2">
      <c r="A842">
        <v>392</v>
      </c>
      <c r="B842" s="13" t="s">
        <v>285</v>
      </c>
      <c r="C842" s="1">
        <v>45360</v>
      </c>
      <c r="D842" s="13" t="s">
        <v>285</v>
      </c>
      <c r="E842">
        <v>6.5274919293476494E-2</v>
      </c>
      <c r="F842">
        <v>6.5274919293476494E-2</v>
      </c>
    </row>
    <row r="843" spans="1:6" x14ac:dyDescent="0.2">
      <c r="A843">
        <v>393</v>
      </c>
      <c r="B843" s="13" t="s">
        <v>978</v>
      </c>
      <c r="C843" s="1">
        <v>45292</v>
      </c>
      <c r="D843" s="13" t="s">
        <v>978</v>
      </c>
      <c r="E843">
        <v>8.1716866371617E-2</v>
      </c>
      <c r="F843">
        <v>8.1716866371617E-2</v>
      </c>
    </row>
    <row r="844" spans="1:6" x14ac:dyDescent="0.2">
      <c r="A844">
        <v>393</v>
      </c>
      <c r="B844" s="13" t="s">
        <v>979</v>
      </c>
      <c r="C844" s="1">
        <v>45520</v>
      </c>
      <c r="D844" s="13" t="s">
        <v>979</v>
      </c>
      <c r="E844">
        <v>4.7981346113425999E-2</v>
      </c>
      <c r="F844">
        <v>4.7981346113425999E-2</v>
      </c>
    </row>
    <row r="845" spans="1:6" x14ac:dyDescent="0.2">
      <c r="A845">
        <v>394</v>
      </c>
      <c r="B845" s="13" t="s">
        <v>980</v>
      </c>
      <c r="C845" s="1">
        <v>45339</v>
      </c>
      <c r="D845" s="13" t="s">
        <v>980</v>
      </c>
      <c r="E845">
        <v>0.110262436891627</v>
      </c>
      <c r="F845">
        <v>0.110262436891627</v>
      </c>
    </row>
    <row r="846" spans="1:6" x14ac:dyDescent="0.2">
      <c r="A846">
        <v>395</v>
      </c>
      <c r="B846" s="13" t="s">
        <v>981</v>
      </c>
      <c r="C846" s="1">
        <v>45493</v>
      </c>
      <c r="D846" s="13" t="s">
        <v>981</v>
      </c>
      <c r="E846">
        <v>9.4807448413564796E-2</v>
      </c>
      <c r="F846">
        <v>9.4807448413564796E-2</v>
      </c>
    </row>
    <row r="847" spans="1:6" x14ac:dyDescent="0.2">
      <c r="A847">
        <v>395</v>
      </c>
      <c r="B847" s="13" t="s">
        <v>982</v>
      </c>
      <c r="C847" s="1">
        <v>45597</v>
      </c>
      <c r="D847" s="13" t="s">
        <v>982</v>
      </c>
      <c r="E847">
        <v>0.23756453616223799</v>
      </c>
      <c r="F847">
        <v>0.23756453616223799</v>
      </c>
    </row>
    <row r="848" spans="1:6" x14ac:dyDescent="0.2">
      <c r="A848">
        <v>395</v>
      </c>
      <c r="B848" s="13" t="s">
        <v>983</v>
      </c>
      <c r="C848" s="1">
        <v>45433</v>
      </c>
      <c r="D848" s="13" t="s">
        <v>983</v>
      </c>
      <c r="E848">
        <v>0.25511149958885099</v>
      </c>
      <c r="F848">
        <v>0.25511149958885099</v>
      </c>
    </row>
    <row r="849" spans="1:6" x14ac:dyDescent="0.2">
      <c r="A849">
        <v>396</v>
      </c>
      <c r="B849" s="13" t="s">
        <v>984</v>
      </c>
      <c r="C849" s="1">
        <v>45415</v>
      </c>
      <c r="D849" s="13" t="s">
        <v>984</v>
      </c>
      <c r="E849">
        <v>5.4490510230625899E-2</v>
      </c>
      <c r="F849">
        <v>5.4490510230625899E-2</v>
      </c>
    </row>
    <row r="850" spans="1:6" x14ac:dyDescent="0.2">
      <c r="A850">
        <v>396</v>
      </c>
      <c r="B850" s="13" t="s">
        <v>985</v>
      </c>
      <c r="C850" s="1">
        <v>45334</v>
      </c>
      <c r="D850" s="13" t="s">
        <v>985</v>
      </c>
      <c r="E850">
        <v>0.173870340170447</v>
      </c>
      <c r="F850">
        <v>0.173870340170447</v>
      </c>
    </row>
    <row r="851" spans="1:6" x14ac:dyDescent="0.2">
      <c r="A851">
        <v>396</v>
      </c>
      <c r="B851" s="13" t="s">
        <v>986</v>
      </c>
      <c r="C851" s="1">
        <v>45318</v>
      </c>
      <c r="D851" s="13" t="s">
        <v>986</v>
      </c>
      <c r="E851">
        <v>0.13307925940398099</v>
      </c>
      <c r="F851">
        <v>0.13307925940398099</v>
      </c>
    </row>
    <row r="852" spans="1:6" x14ac:dyDescent="0.2">
      <c r="A852">
        <v>397</v>
      </c>
      <c r="B852" s="13" t="s">
        <v>987</v>
      </c>
      <c r="C852" s="1">
        <v>45575</v>
      </c>
      <c r="D852" s="13" t="s">
        <v>987</v>
      </c>
      <c r="E852">
        <v>4.3747783700529397E-2</v>
      </c>
      <c r="F852">
        <v>4.3747783700529397E-2</v>
      </c>
    </row>
    <row r="853" spans="1:6" x14ac:dyDescent="0.2">
      <c r="A853">
        <v>397</v>
      </c>
      <c r="B853" s="13" t="s">
        <v>988</v>
      </c>
      <c r="C853" s="1">
        <v>45639</v>
      </c>
      <c r="D853" s="13" t="s">
        <v>988</v>
      </c>
      <c r="E853">
        <v>0.12455093190165201</v>
      </c>
      <c r="F853">
        <v>0.12455093190165201</v>
      </c>
    </row>
    <row r="854" spans="1:6" x14ac:dyDescent="0.2">
      <c r="A854">
        <v>397</v>
      </c>
      <c r="B854" s="13" t="s">
        <v>286</v>
      </c>
      <c r="C854" s="1">
        <v>45368</v>
      </c>
      <c r="D854" s="13" t="s">
        <v>286</v>
      </c>
      <c r="E854">
        <v>0.18150173024317401</v>
      </c>
      <c r="F854">
        <v>0.18150173024317401</v>
      </c>
    </row>
    <row r="855" spans="1:6" x14ac:dyDescent="0.2">
      <c r="A855">
        <v>398</v>
      </c>
      <c r="B855" s="13" t="s">
        <v>989</v>
      </c>
      <c r="C855" s="1">
        <v>45460</v>
      </c>
      <c r="D855" s="13" t="s">
        <v>989</v>
      </c>
      <c r="E855">
        <v>0.20187677165704301</v>
      </c>
      <c r="F855">
        <v>0.20187677165704301</v>
      </c>
    </row>
    <row r="856" spans="1:6" x14ac:dyDescent="0.2">
      <c r="A856">
        <v>398</v>
      </c>
      <c r="B856" s="13" t="s">
        <v>287</v>
      </c>
      <c r="C856" s="1">
        <v>45653</v>
      </c>
      <c r="D856" s="13" t="s">
        <v>287</v>
      </c>
      <c r="E856">
        <v>0.117362311814356</v>
      </c>
      <c r="F856">
        <v>0.117362311814356</v>
      </c>
    </row>
    <row r="857" spans="1:6" x14ac:dyDescent="0.2">
      <c r="A857">
        <v>398</v>
      </c>
      <c r="B857" s="13" t="s">
        <v>288</v>
      </c>
      <c r="C857" s="1">
        <v>45304</v>
      </c>
      <c r="D857" s="13" t="s">
        <v>288</v>
      </c>
      <c r="E857">
        <v>0.101182189577553</v>
      </c>
      <c r="F857">
        <v>0.101182189577553</v>
      </c>
    </row>
    <row r="858" spans="1:6" x14ac:dyDescent="0.2">
      <c r="A858">
        <v>399</v>
      </c>
      <c r="B858" s="13" t="s">
        <v>990</v>
      </c>
      <c r="C858" s="1">
        <v>45528</v>
      </c>
      <c r="D858" s="13" t="s">
        <v>990</v>
      </c>
      <c r="E858">
        <v>8.5622632566745197E-2</v>
      </c>
      <c r="F858">
        <v>8.5622632566745197E-2</v>
      </c>
    </row>
    <row r="859" spans="1:6" x14ac:dyDescent="0.2">
      <c r="A859">
        <v>399</v>
      </c>
      <c r="B859" s="13" t="s">
        <v>289</v>
      </c>
      <c r="C859" s="1">
        <v>45333</v>
      </c>
      <c r="D859" s="13" t="s">
        <v>289</v>
      </c>
      <c r="E859">
        <v>0.27913093646883502</v>
      </c>
      <c r="F859">
        <v>0.27913093646883502</v>
      </c>
    </row>
    <row r="860" spans="1:6" x14ac:dyDescent="0.2">
      <c r="A860">
        <v>399</v>
      </c>
      <c r="B860" s="13" t="s">
        <v>290</v>
      </c>
      <c r="C860" s="1">
        <v>45417</v>
      </c>
      <c r="D860" s="13" t="s">
        <v>290</v>
      </c>
      <c r="E860">
        <v>0.34448607429570399</v>
      </c>
      <c r="F860">
        <v>0.34448607429570399</v>
      </c>
    </row>
    <row r="861" spans="1:6" x14ac:dyDescent="0.2">
      <c r="A861">
        <v>402</v>
      </c>
      <c r="B861" s="13" t="s">
        <v>991</v>
      </c>
      <c r="C861" s="1">
        <v>45484</v>
      </c>
      <c r="D861" s="13" t="s">
        <v>991</v>
      </c>
      <c r="E861">
        <v>3.4980289320620202E-2</v>
      </c>
      <c r="F861">
        <v>3.4980289320620202E-2</v>
      </c>
    </row>
    <row r="862" spans="1:6" x14ac:dyDescent="0.2">
      <c r="A862">
        <v>402</v>
      </c>
      <c r="B862" s="13" t="s">
        <v>992</v>
      </c>
      <c r="C862" s="1">
        <v>45365</v>
      </c>
      <c r="D862" s="13" t="s">
        <v>992</v>
      </c>
      <c r="E862">
        <v>0.13682717022760699</v>
      </c>
      <c r="F862">
        <v>0.13682717022760699</v>
      </c>
    </row>
    <row r="863" spans="1:6" x14ac:dyDescent="0.2">
      <c r="A863">
        <v>402</v>
      </c>
      <c r="B863" s="13" t="s">
        <v>993</v>
      </c>
      <c r="C863" s="1">
        <v>45474</v>
      </c>
      <c r="D863" s="13" t="s">
        <v>993</v>
      </c>
      <c r="E863">
        <v>0.378245135174611</v>
      </c>
      <c r="F863">
        <v>0.378245135174611</v>
      </c>
    </row>
    <row r="864" spans="1:6" x14ac:dyDescent="0.2">
      <c r="A864">
        <v>403</v>
      </c>
      <c r="B864" s="13" t="s">
        <v>994</v>
      </c>
      <c r="C864" s="1">
        <v>45334</v>
      </c>
      <c r="D864" s="13" t="s">
        <v>994</v>
      </c>
      <c r="E864">
        <v>0.28116816656924698</v>
      </c>
      <c r="F864">
        <v>0.28116816656924698</v>
      </c>
    </row>
    <row r="865" spans="1:6" x14ac:dyDescent="0.2">
      <c r="A865">
        <v>404</v>
      </c>
      <c r="B865" s="13" t="s">
        <v>995</v>
      </c>
      <c r="C865" s="1">
        <v>45635</v>
      </c>
      <c r="D865" s="13" t="s">
        <v>995</v>
      </c>
      <c r="E865">
        <v>0.20543304735033399</v>
      </c>
      <c r="F865">
        <v>0.20543304735033399</v>
      </c>
    </row>
    <row r="866" spans="1:6" x14ac:dyDescent="0.2">
      <c r="A866">
        <v>404</v>
      </c>
      <c r="B866" s="13" t="s">
        <v>996</v>
      </c>
      <c r="C866" s="1">
        <v>45608</v>
      </c>
      <c r="D866" s="13" t="s">
        <v>996</v>
      </c>
      <c r="E866">
        <v>0.10775750957211901</v>
      </c>
      <c r="F866">
        <v>0.10775750957211901</v>
      </c>
    </row>
    <row r="867" spans="1:6" x14ac:dyDescent="0.2">
      <c r="A867">
        <v>405</v>
      </c>
      <c r="B867" s="13" t="s">
        <v>291</v>
      </c>
      <c r="C867" s="1">
        <v>45554</v>
      </c>
      <c r="D867" s="13" t="s">
        <v>291</v>
      </c>
      <c r="E867">
        <v>0.16048335446074399</v>
      </c>
      <c r="F867">
        <v>0.16048335446074399</v>
      </c>
    </row>
    <row r="868" spans="1:6" x14ac:dyDescent="0.2">
      <c r="A868">
        <v>405</v>
      </c>
      <c r="B868" s="13" t="s">
        <v>292</v>
      </c>
      <c r="C868" s="1">
        <v>45511</v>
      </c>
      <c r="D868" s="13" t="s">
        <v>292</v>
      </c>
      <c r="E868">
        <v>0.116509294827845</v>
      </c>
      <c r="F868">
        <v>0.116509294827845</v>
      </c>
    </row>
    <row r="869" spans="1:6" x14ac:dyDescent="0.2">
      <c r="A869">
        <v>406</v>
      </c>
      <c r="B869" s="13" t="s">
        <v>997</v>
      </c>
      <c r="C869" s="1">
        <v>45406</v>
      </c>
      <c r="D869" s="13" t="s">
        <v>997</v>
      </c>
      <c r="E869">
        <v>0.21508657948212601</v>
      </c>
      <c r="F869">
        <v>0.21508657948212601</v>
      </c>
    </row>
    <row r="870" spans="1:6" x14ac:dyDescent="0.2">
      <c r="A870">
        <v>406</v>
      </c>
      <c r="B870" s="13" t="s">
        <v>998</v>
      </c>
      <c r="C870" s="1">
        <v>45461</v>
      </c>
      <c r="D870" s="13" t="s">
        <v>998</v>
      </c>
      <c r="E870">
        <v>5.60859216378412E-2</v>
      </c>
      <c r="F870">
        <v>5.60859216378412E-2</v>
      </c>
    </row>
    <row r="871" spans="1:6" x14ac:dyDescent="0.2">
      <c r="A871">
        <v>407</v>
      </c>
      <c r="B871" s="13" t="s">
        <v>293</v>
      </c>
      <c r="C871" s="1">
        <v>45567</v>
      </c>
      <c r="D871" s="13" t="s">
        <v>293</v>
      </c>
      <c r="E871">
        <v>0.35043032237917998</v>
      </c>
      <c r="F871">
        <v>0.35043032237917998</v>
      </c>
    </row>
    <row r="872" spans="1:6" x14ac:dyDescent="0.2">
      <c r="A872">
        <v>407</v>
      </c>
      <c r="B872" s="13" t="s">
        <v>294</v>
      </c>
      <c r="C872" s="1">
        <v>45360</v>
      </c>
      <c r="D872" s="13" t="s">
        <v>294</v>
      </c>
      <c r="E872">
        <v>9.0461633057957999E-2</v>
      </c>
      <c r="F872">
        <v>9.0461633057957999E-2</v>
      </c>
    </row>
    <row r="873" spans="1:6" x14ac:dyDescent="0.2">
      <c r="A873">
        <v>408</v>
      </c>
      <c r="B873" s="13" t="s">
        <v>999</v>
      </c>
      <c r="C873" s="1">
        <v>45551</v>
      </c>
      <c r="D873" s="13" t="s">
        <v>999</v>
      </c>
      <c r="E873">
        <v>0.25198457709875999</v>
      </c>
      <c r="F873">
        <v>0.25198457709875999</v>
      </c>
    </row>
    <row r="874" spans="1:6" x14ac:dyDescent="0.2">
      <c r="A874">
        <v>408</v>
      </c>
      <c r="B874" s="13" t="s">
        <v>295</v>
      </c>
      <c r="C874" s="1">
        <v>45327</v>
      </c>
      <c r="D874" s="13" t="s">
        <v>295</v>
      </c>
      <c r="E874">
        <v>0.23675860873047599</v>
      </c>
      <c r="F874">
        <v>0.23675860873047599</v>
      </c>
    </row>
    <row r="875" spans="1:6" x14ac:dyDescent="0.2">
      <c r="A875">
        <v>408</v>
      </c>
      <c r="B875" s="13" t="s">
        <v>296</v>
      </c>
      <c r="C875" s="1">
        <v>45541</v>
      </c>
      <c r="D875" s="13" t="s">
        <v>296</v>
      </c>
      <c r="E875">
        <v>0.61899187396623001</v>
      </c>
      <c r="F875">
        <v>0.61899187396623001</v>
      </c>
    </row>
    <row r="876" spans="1:6" x14ac:dyDescent="0.2">
      <c r="A876">
        <v>408</v>
      </c>
      <c r="B876" s="13" t="s">
        <v>297</v>
      </c>
      <c r="C876" s="1">
        <v>45483</v>
      </c>
      <c r="D876" s="13" t="s">
        <v>297</v>
      </c>
      <c r="E876">
        <v>0.15287422918246399</v>
      </c>
      <c r="F876">
        <v>0.15287422918246399</v>
      </c>
    </row>
    <row r="877" spans="1:6" x14ac:dyDescent="0.2">
      <c r="A877">
        <v>409</v>
      </c>
      <c r="B877" s="13" t="s">
        <v>298</v>
      </c>
      <c r="C877" s="1">
        <v>45405</v>
      </c>
      <c r="D877" s="13" t="s">
        <v>298</v>
      </c>
      <c r="E877">
        <v>4.9883738076657601E-2</v>
      </c>
      <c r="F877">
        <v>4.9883738076657601E-2</v>
      </c>
    </row>
    <row r="878" spans="1:6" x14ac:dyDescent="0.2">
      <c r="A878">
        <v>409</v>
      </c>
      <c r="B878" s="13" t="s">
        <v>299</v>
      </c>
      <c r="C878" s="1">
        <v>45436</v>
      </c>
      <c r="D878" s="13" t="s">
        <v>299</v>
      </c>
      <c r="E878">
        <v>1.7120161914800099E-2</v>
      </c>
      <c r="F878">
        <v>1.7120161914800099E-2</v>
      </c>
    </row>
    <row r="879" spans="1:6" x14ac:dyDescent="0.2">
      <c r="A879">
        <v>409</v>
      </c>
      <c r="B879" s="13" t="s">
        <v>300</v>
      </c>
      <c r="C879" s="1">
        <v>45563</v>
      </c>
      <c r="D879" s="13" t="s">
        <v>300</v>
      </c>
      <c r="E879">
        <v>0.198377544477158</v>
      </c>
      <c r="F879">
        <v>0.198377544477158</v>
      </c>
    </row>
    <row r="880" spans="1:6" x14ac:dyDescent="0.2">
      <c r="A880">
        <v>410</v>
      </c>
      <c r="B880" s="13" t="s">
        <v>1000</v>
      </c>
      <c r="C880" s="1">
        <v>45530</v>
      </c>
      <c r="D880" s="13" t="s">
        <v>1000</v>
      </c>
      <c r="E880">
        <v>1.8552479837795399E-2</v>
      </c>
      <c r="F880">
        <v>1.8552479837795399E-2</v>
      </c>
    </row>
    <row r="881" spans="1:6" x14ac:dyDescent="0.2">
      <c r="A881">
        <v>410</v>
      </c>
      <c r="B881" s="13" t="s">
        <v>1001</v>
      </c>
      <c r="C881" s="1">
        <v>45306</v>
      </c>
      <c r="D881" s="13" t="s">
        <v>1001</v>
      </c>
      <c r="E881">
        <v>9.8265177366357398E-2</v>
      </c>
      <c r="F881">
        <v>9.8265177366357398E-2</v>
      </c>
    </row>
    <row r="882" spans="1:6" x14ac:dyDescent="0.2">
      <c r="A882">
        <v>411</v>
      </c>
      <c r="B882" s="13" t="s">
        <v>1002</v>
      </c>
      <c r="C882" s="1">
        <v>45493</v>
      </c>
      <c r="D882" s="13" t="s">
        <v>1002</v>
      </c>
      <c r="E882">
        <v>0.214390357591702</v>
      </c>
      <c r="F882">
        <v>0.214390357591702</v>
      </c>
    </row>
    <row r="883" spans="1:6" x14ac:dyDescent="0.2">
      <c r="A883">
        <v>411</v>
      </c>
      <c r="B883" s="13" t="s">
        <v>1003</v>
      </c>
      <c r="C883" s="1">
        <v>45596</v>
      </c>
      <c r="D883" s="13" t="s">
        <v>1003</v>
      </c>
      <c r="E883">
        <v>4.6889775647759403E-2</v>
      </c>
      <c r="F883">
        <v>4.6889775647759403E-2</v>
      </c>
    </row>
    <row r="884" spans="1:6" x14ac:dyDescent="0.2">
      <c r="A884">
        <v>411</v>
      </c>
      <c r="B884" s="13" t="s">
        <v>1004</v>
      </c>
      <c r="C884" s="1">
        <v>45525</v>
      </c>
      <c r="D884" s="13" t="s">
        <v>1004</v>
      </c>
      <c r="E884">
        <v>4.6927303992184297E-2</v>
      </c>
      <c r="F884">
        <v>4.6927303992184297E-2</v>
      </c>
    </row>
    <row r="885" spans="1:6" x14ac:dyDescent="0.2">
      <c r="A885">
        <v>412</v>
      </c>
      <c r="B885" s="13" t="s">
        <v>1005</v>
      </c>
      <c r="C885" s="1">
        <v>45447</v>
      </c>
      <c r="D885" s="13" t="s">
        <v>1005</v>
      </c>
      <c r="E885">
        <v>0.169578201188605</v>
      </c>
      <c r="F885">
        <v>0.169578201188605</v>
      </c>
    </row>
    <row r="886" spans="1:6" x14ac:dyDescent="0.2">
      <c r="A886">
        <v>413</v>
      </c>
      <c r="B886" s="13" t="s">
        <v>1006</v>
      </c>
      <c r="C886" s="1">
        <v>45336</v>
      </c>
      <c r="D886" s="13" t="s">
        <v>1006</v>
      </c>
      <c r="E886">
        <v>4.8756307170269297E-2</v>
      </c>
      <c r="F886">
        <v>4.8756307170269297E-2</v>
      </c>
    </row>
    <row r="887" spans="1:6" x14ac:dyDescent="0.2">
      <c r="A887">
        <v>413</v>
      </c>
      <c r="B887" s="13" t="s">
        <v>1007</v>
      </c>
      <c r="C887" s="1">
        <v>45450</v>
      </c>
      <c r="D887" s="13" t="s">
        <v>1007</v>
      </c>
      <c r="E887">
        <v>0.157558152689209</v>
      </c>
      <c r="F887">
        <v>0.157558152689209</v>
      </c>
    </row>
    <row r="888" spans="1:6" x14ac:dyDescent="0.2">
      <c r="A888">
        <v>413</v>
      </c>
      <c r="B888" s="13" t="s">
        <v>1008</v>
      </c>
      <c r="C888" s="1">
        <v>45581</v>
      </c>
      <c r="D888" s="13" t="s">
        <v>1008</v>
      </c>
      <c r="E888">
        <v>8.4229049081093896E-2</v>
      </c>
      <c r="F888">
        <v>8.4229049081093896E-2</v>
      </c>
    </row>
    <row r="889" spans="1:6" x14ac:dyDescent="0.2">
      <c r="A889">
        <v>414</v>
      </c>
      <c r="B889" s="13" t="s">
        <v>1009</v>
      </c>
      <c r="C889" s="1">
        <v>45476</v>
      </c>
      <c r="D889" s="13" t="s">
        <v>1009</v>
      </c>
      <c r="E889">
        <v>0.30801061708324701</v>
      </c>
      <c r="F889">
        <v>0.30801061708324701</v>
      </c>
    </row>
    <row r="890" spans="1:6" x14ac:dyDescent="0.2">
      <c r="A890">
        <v>414</v>
      </c>
      <c r="B890" s="13" t="s">
        <v>1010</v>
      </c>
      <c r="C890" s="1">
        <v>45535</v>
      </c>
      <c r="D890" s="13" t="s">
        <v>1010</v>
      </c>
      <c r="E890">
        <v>9.5167609609010398E-2</v>
      </c>
      <c r="F890">
        <v>9.5167609609010398E-2</v>
      </c>
    </row>
    <row r="891" spans="1:6" x14ac:dyDescent="0.2">
      <c r="A891">
        <v>415</v>
      </c>
      <c r="B891" s="13" t="s">
        <v>1011</v>
      </c>
      <c r="C891" s="1">
        <v>45504</v>
      </c>
      <c r="D891" s="13" t="s">
        <v>1011</v>
      </c>
      <c r="E891">
        <v>0.18827516812001799</v>
      </c>
      <c r="F891">
        <v>0.18827516812001799</v>
      </c>
    </row>
    <row r="892" spans="1:6" x14ac:dyDescent="0.2">
      <c r="A892">
        <v>415</v>
      </c>
      <c r="B892" s="13" t="s">
        <v>301</v>
      </c>
      <c r="C892" s="1">
        <v>45526</v>
      </c>
      <c r="D892" s="13" t="s">
        <v>301</v>
      </c>
      <c r="E892">
        <v>0.12659532877110199</v>
      </c>
      <c r="F892">
        <v>0.12659532877110199</v>
      </c>
    </row>
    <row r="893" spans="1:6" x14ac:dyDescent="0.2">
      <c r="A893">
        <v>415</v>
      </c>
      <c r="B893" s="13" t="s">
        <v>302</v>
      </c>
      <c r="C893" s="1">
        <v>45422</v>
      </c>
      <c r="D893" s="13" t="s">
        <v>302</v>
      </c>
      <c r="E893">
        <v>6.3970576989558397E-3</v>
      </c>
      <c r="F893">
        <v>6.3970576989558397E-3</v>
      </c>
    </row>
    <row r="894" spans="1:6" x14ac:dyDescent="0.2">
      <c r="A894">
        <v>416</v>
      </c>
      <c r="B894" s="13" t="s">
        <v>1012</v>
      </c>
      <c r="C894" s="1">
        <v>45582</v>
      </c>
      <c r="D894" s="13" t="s">
        <v>1012</v>
      </c>
      <c r="E894">
        <v>0.29672195355424003</v>
      </c>
      <c r="F894">
        <v>0.29672195355424003</v>
      </c>
    </row>
    <row r="895" spans="1:6" x14ac:dyDescent="0.2">
      <c r="A895">
        <v>416</v>
      </c>
      <c r="B895" s="13" t="s">
        <v>1013</v>
      </c>
      <c r="C895" s="1">
        <v>45497</v>
      </c>
      <c r="D895" s="13" t="s">
        <v>1013</v>
      </c>
      <c r="E895">
        <v>0.21477219578669399</v>
      </c>
      <c r="F895">
        <v>0.21477219578669399</v>
      </c>
    </row>
    <row r="896" spans="1:6" x14ac:dyDescent="0.2">
      <c r="A896">
        <v>416</v>
      </c>
      <c r="B896" s="13" t="s">
        <v>1014</v>
      </c>
      <c r="C896" s="1">
        <v>45308</v>
      </c>
      <c r="D896" s="13" t="s">
        <v>1014</v>
      </c>
      <c r="E896">
        <v>0.23154652216490601</v>
      </c>
      <c r="F896">
        <v>0.23154652216490601</v>
      </c>
    </row>
    <row r="897" spans="1:6" x14ac:dyDescent="0.2">
      <c r="A897">
        <v>417</v>
      </c>
      <c r="B897" s="13" t="s">
        <v>1015</v>
      </c>
      <c r="C897" s="1">
        <v>45350</v>
      </c>
      <c r="D897" s="13" t="s">
        <v>1015</v>
      </c>
      <c r="E897">
        <v>9.0366198692047497E-2</v>
      </c>
      <c r="F897">
        <v>9.0366198692047497E-2</v>
      </c>
    </row>
    <row r="898" spans="1:6" x14ac:dyDescent="0.2">
      <c r="A898">
        <v>418</v>
      </c>
      <c r="B898" s="13" t="s">
        <v>303</v>
      </c>
      <c r="C898" s="1">
        <v>45641</v>
      </c>
      <c r="D898" s="13" t="s">
        <v>303</v>
      </c>
      <c r="E898">
        <v>0.101056081075688</v>
      </c>
      <c r="F898">
        <v>0.101056081075688</v>
      </c>
    </row>
    <row r="899" spans="1:6" x14ac:dyDescent="0.2">
      <c r="A899">
        <v>418</v>
      </c>
      <c r="B899" s="13" t="s">
        <v>304</v>
      </c>
      <c r="C899" s="1">
        <v>45364</v>
      </c>
      <c r="D899" s="13" t="s">
        <v>304</v>
      </c>
      <c r="E899">
        <v>0.37075429402828203</v>
      </c>
      <c r="F899">
        <v>0.37075429402828203</v>
      </c>
    </row>
    <row r="900" spans="1:6" x14ac:dyDescent="0.2">
      <c r="A900">
        <v>418</v>
      </c>
      <c r="B900" s="13" t="s">
        <v>305</v>
      </c>
      <c r="C900" s="1">
        <v>45306</v>
      </c>
      <c r="D900" s="13" t="s">
        <v>305</v>
      </c>
      <c r="E900">
        <v>8.5573345677068605E-2</v>
      </c>
      <c r="F900">
        <v>8.5573345677068605E-2</v>
      </c>
    </row>
    <row r="901" spans="1:6" x14ac:dyDescent="0.2">
      <c r="A901">
        <v>419</v>
      </c>
      <c r="B901" s="13" t="s">
        <v>1016</v>
      </c>
      <c r="C901" s="1">
        <v>45381</v>
      </c>
      <c r="D901" s="13" t="s">
        <v>1016</v>
      </c>
      <c r="E901">
        <v>0.68041682076662502</v>
      </c>
      <c r="F901">
        <v>0.68041682076662502</v>
      </c>
    </row>
    <row r="902" spans="1:6" x14ac:dyDescent="0.2">
      <c r="A902">
        <v>419</v>
      </c>
      <c r="B902" s="13" t="s">
        <v>1017</v>
      </c>
      <c r="C902" s="1">
        <v>45654</v>
      </c>
      <c r="D902" s="13" t="s">
        <v>1017</v>
      </c>
      <c r="E902">
        <v>9.2816620690978693E-2</v>
      </c>
      <c r="F902">
        <v>9.2816620690978693E-2</v>
      </c>
    </row>
    <row r="903" spans="1:6" x14ac:dyDescent="0.2">
      <c r="A903">
        <v>420</v>
      </c>
      <c r="B903" s="13" t="s">
        <v>1018</v>
      </c>
      <c r="C903" s="1">
        <v>45443</v>
      </c>
      <c r="D903" s="13" t="s">
        <v>1018</v>
      </c>
      <c r="E903">
        <v>0.21498333587570201</v>
      </c>
      <c r="F903">
        <v>0.21498333587570201</v>
      </c>
    </row>
    <row r="904" spans="1:6" x14ac:dyDescent="0.2">
      <c r="A904">
        <v>420</v>
      </c>
      <c r="B904" s="13" t="s">
        <v>1019</v>
      </c>
      <c r="C904" s="1">
        <v>45573</v>
      </c>
      <c r="D904" s="13" t="s">
        <v>1019</v>
      </c>
      <c r="E904">
        <v>0.12450667195731099</v>
      </c>
      <c r="F904">
        <v>0.12450667195731099</v>
      </c>
    </row>
    <row r="905" spans="1:6" x14ac:dyDescent="0.2">
      <c r="A905">
        <v>420</v>
      </c>
      <c r="B905" s="13" t="s">
        <v>1020</v>
      </c>
      <c r="C905" s="1">
        <v>45404</v>
      </c>
      <c r="D905" s="13" t="s">
        <v>1020</v>
      </c>
      <c r="E905">
        <v>0.11385775443443</v>
      </c>
      <c r="F905">
        <v>0.11385775443443</v>
      </c>
    </row>
    <row r="906" spans="1:6" x14ac:dyDescent="0.2">
      <c r="A906">
        <v>420</v>
      </c>
      <c r="B906" s="13" t="s">
        <v>1021</v>
      </c>
      <c r="C906" s="1">
        <v>45381</v>
      </c>
      <c r="D906" s="13" t="s">
        <v>1021</v>
      </c>
      <c r="E906">
        <v>1.5049652624248899E-2</v>
      </c>
      <c r="F906">
        <v>1.5049652624248899E-2</v>
      </c>
    </row>
    <row r="907" spans="1:6" x14ac:dyDescent="0.2">
      <c r="A907">
        <v>421</v>
      </c>
      <c r="B907" s="13" t="s">
        <v>1022</v>
      </c>
      <c r="C907" s="1">
        <v>45357</v>
      </c>
      <c r="D907" s="13" t="s">
        <v>1022</v>
      </c>
      <c r="E907">
        <v>0.49570958035715701</v>
      </c>
      <c r="F907">
        <v>0.49570958035715701</v>
      </c>
    </row>
    <row r="908" spans="1:6" x14ac:dyDescent="0.2">
      <c r="A908">
        <v>421</v>
      </c>
      <c r="B908" s="13" t="s">
        <v>1023</v>
      </c>
      <c r="C908" s="1">
        <v>45563</v>
      </c>
      <c r="D908" s="13" t="s">
        <v>1023</v>
      </c>
      <c r="E908">
        <v>0.29965778120907799</v>
      </c>
      <c r="F908">
        <v>0.29965778120907799</v>
      </c>
    </row>
    <row r="909" spans="1:6" x14ac:dyDescent="0.2">
      <c r="A909">
        <v>422</v>
      </c>
      <c r="B909" s="13" t="s">
        <v>1024</v>
      </c>
      <c r="C909" s="1">
        <v>45332</v>
      </c>
      <c r="D909" s="13" t="s">
        <v>1024</v>
      </c>
      <c r="E909">
        <v>0.178149482488141</v>
      </c>
      <c r="F909">
        <v>0.178149482488141</v>
      </c>
    </row>
    <row r="910" spans="1:6" x14ac:dyDescent="0.2">
      <c r="A910">
        <v>422</v>
      </c>
      <c r="B910" s="13" t="s">
        <v>1025</v>
      </c>
      <c r="C910" s="1">
        <v>45315</v>
      </c>
      <c r="D910" s="13" t="s">
        <v>1025</v>
      </c>
      <c r="E910">
        <v>0.16267270674429901</v>
      </c>
      <c r="F910">
        <v>0.16267270674429901</v>
      </c>
    </row>
    <row r="911" spans="1:6" x14ac:dyDescent="0.2">
      <c r="A911">
        <v>423</v>
      </c>
      <c r="B911" s="13" t="s">
        <v>1026</v>
      </c>
      <c r="C911" s="1">
        <v>45533</v>
      </c>
      <c r="D911" s="13" t="s">
        <v>1026</v>
      </c>
      <c r="E911">
        <v>0.22987141220416499</v>
      </c>
      <c r="F911">
        <v>0.22987141220416499</v>
      </c>
    </row>
    <row r="912" spans="1:6" x14ac:dyDescent="0.2">
      <c r="A912">
        <v>423</v>
      </c>
      <c r="B912" s="13" t="s">
        <v>1027</v>
      </c>
      <c r="C912" s="1">
        <v>45545</v>
      </c>
      <c r="D912" s="13" t="s">
        <v>1027</v>
      </c>
      <c r="E912">
        <v>0.20388125884401001</v>
      </c>
      <c r="F912">
        <v>0.20388125884401001</v>
      </c>
    </row>
    <row r="913" spans="1:6" x14ac:dyDescent="0.2">
      <c r="A913">
        <v>424</v>
      </c>
      <c r="B913" s="13" t="s">
        <v>1028</v>
      </c>
      <c r="C913" s="1">
        <v>45423</v>
      </c>
      <c r="D913" s="13" t="s">
        <v>1028</v>
      </c>
      <c r="E913">
        <v>3.4222638304234401E-2</v>
      </c>
      <c r="F913">
        <v>3.4222638304234401E-2</v>
      </c>
    </row>
    <row r="914" spans="1:6" x14ac:dyDescent="0.2">
      <c r="A914">
        <v>424</v>
      </c>
      <c r="B914" s="13" t="s">
        <v>1029</v>
      </c>
      <c r="C914" s="1">
        <v>45460</v>
      </c>
      <c r="D914" s="13" t="s">
        <v>1029</v>
      </c>
      <c r="E914">
        <v>0.141356219854297</v>
      </c>
      <c r="F914">
        <v>0.141356219854297</v>
      </c>
    </row>
    <row r="915" spans="1:6" x14ac:dyDescent="0.2">
      <c r="A915">
        <v>424</v>
      </c>
      <c r="B915" s="13" t="s">
        <v>1030</v>
      </c>
      <c r="C915" s="1">
        <v>45338</v>
      </c>
      <c r="D915" s="13" t="s">
        <v>1030</v>
      </c>
      <c r="E915">
        <v>0.30146978618493198</v>
      </c>
      <c r="F915">
        <v>0.30146978618493198</v>
      </c>
    </row>
    <row r="916" spans="1:6" x14ac:dyDescent="0.2">
      <c r="A916">
        <v>425</v>
      </c>
      <c r="B916" s="13" t="s">
        <v>1031</v>
      </c>
      <c r="C916" s="1">
        <v>45576</v>
      </c>
      <c r="D916" s="13" t="s">
        <v>1031</v>
      </c>
      <c r="E916">
        <v>3.6959271610768403E-2</v>
      </c>
      <c r="F916">
        <v>3.6959271610768403E-2</v>
      </c>
    </row>
    <row r="917" spans="1:6" x14ac:dyDescent="0.2">
      <c r="A917">
        <v>426</v>
      </c>
      <c r="B917" s="13" t="s">
        <v>1032</v>
      </c>
      <c r="C917" s="1">
        <v>45497</v>
      </c>
      <c r="D917" s="13" t="s">
        <v>1032</v>
      </c>
      <c r="E917">
        <v>0.67198246307199405</v>
      </c>
      <c r="F917">
        <v>0.67198246307199405</v>
      </c>
    </row>
    <row r="918" spans="1:6" x14ac:dyDescent="0.2">
      <c r="A918">
        <v>426</v>
      </c>
      <c r="B918" s="13" t="s">
        <v>1033</v>
      </c>
      <c r="C918" s="1">
        <v>45494</v>
      </c>
      <c r="D918" s="13" t="s">
        <v>1033</v>
      </c>
      <c r="E918">
        <v>0.14739200263034</v>
      </c>
      <c r="F918">
        <v>0.14739200263034</v>
      </c>
    </row>
    <row r="919" spans="1:6" x14ac:dyDescent="0.2">
      <c r="A919">
        <v>427</v>
      </c>
      <c r="B919" s="13" t="s">
        <v>1034</v>
      </c>
      <c r="C919" s="1">
        <v>45429</v>
      </c>
      <c r="D919" s="13" t="s">
        <v>1034</v>
      </c>
      <c r="E919">
        <v>7.4921072785212497E-2</v>
      </c>
      <c r="F919">
        <v>7.4921072785212497E-2</v>
      </c>
    </row>
    <row r="920" spans="1:6" x14ac:dyDescent="0.2">
      <c r="A920">
        <v>427</v>
      </c>
      <c r="B920" s="13" t="s">
        <v>1035</v>
      </c>
      <c r="C920" s="1">
        <v>45314</v>
      </c>
      <c r="D920" s="13" t="s">
        <v>1035</v>
      </c>
      <c r="E920">
        <v>0.15659149035351999</v>
      </c>
      <c r="F920">
        <v>0.15659149035351999</v>
      </c>
    </row>
    <row r="921" spans="1:6" x14ac:dyDescent="0.2">
      <c r="A921">
        <v>427</v>
      </c>
      <c r="B921" s="13" t="s">
        <v>1036</v>
      </c>
      <c r="C921" s="1">
        <v>45441</v>
      </c>
      <c r="D921" s="13" t="s">
        <v>1036</v>
      </c>
      <c r="E921">
        <v>0.175687026117163</v>
      </c>
      <c r="F921">
        <v>0.175687026117163</v>
      </c>
    </row>
    <row r="922" spans="1:6" x14ac:dyDescent="0.2">
      <c r="A922">
        <v>428</v>
      </c>
      <c r="B922" s="13" t="s">
        <v>1037</v>
      </c>
      <c r="C922" s="1">
        <v>45348</v>
      </c>
      <c r="D922" s="13" t="s">
        <v>1037</v>
      </c>
      <c r="E922">
        <v>0.114740855006304</v>
      </c>
      <c r="F922">
        <v>0.114740855006304</v>
      </c>
    </row>
    <row r="923" spans="1:6" x14ac:dyDescent="0.2">
      <c r="A923">
        <v>428</v>
      </c>
      <c r="B923" s="13" t="s">
        <v>1038</v>
      </c>
      <c r="C923" s="1">
        <v>45522</v>
      </c>
      <c r="D923" s="13" t="s">
        <v>1038</v>
      </c>
      <c r="E923">
        <v>0.14367432714016501</v>
      </c>
      <c r="F923">
        <v>0.14367432714016501</v>
      </c>
    </row>
    <row r="924" spans="1:6" x14ac:dyDescent="0.2">
      <c r="A924">
        <v>429</v>
      </c>
      <c r="B924" s="13" t="s">
        <v>1039</v>
      </c>
      <c r="C924" s="1">
        <v>45599</v>
      </c>
      <c r="D924" s="13" t="s">
        <v>1039</v>
      </c>
      <c r="E924">
        <v>6.9133063990618901E-2</v>
      </c>
      <c r="F924">
        <v>6.9133063990618901E-2</v>
      </c>
    </row>
    <row r="925" spans="1:6" x14ac:dyDescent="0.2">
      <c r="A925">
        <v>429</v>
      </c>
      <c r="B925" s="13" t="s">
        <v>1040</v>
      </c>
      <c r="C925" s="1">
        <v>45542</v>
      </c>
      <c r="D925" s="13" t="s">
        <v>1040</v>
      </c>
      <c r="E925">
        <v>0.182910613245308</v>
      </c>
      <c r="F925">
        <v>0.182910613245308</v>
      </c>
    </row>
    <row r="926" spans="1:6" x14ac:dyDescent="0.2">
      <c r="A926">
        <v>429</v>
      </c>
      <c r="B926" s="13" t="s">
        <v>1041</v>
      </c>
      <c r="C926" s="1">
        <v>45330</v>
      </c>
      <c r="D926" s="13" t="s">
        <v>1041</v>
      </c>
      <c r="E926">
        <v>0.12198491874278899</v>
      </c>
      <c r="F926">
        <v>0.12198491874278899</v>
      </c>
    </row>
    <row r="927" spans="1:6" x14ac:dyDescent="0.2">
      <c r="A927">
        <v>430</v>
      </c>
      <c r="B927" s="13" t="s">
        <v>306</v>
      </c>
      <c r="C927" s="1">
        <v>45539</v>
      </c>
      <c r="D927" s="13" t="s">
        <v>306</v>
      </c>
      <c r="E927">
        <v>7.0741365235641701E-2</v>
      </c>
      <c r="F927">
        <v>7.0741365235641701E-2</v>
      </c>
    </row>
    <row r="928" spans="1:6" x14ac:dyDescent="0.2">
      <c r="A928">
        <v>431</v>
      </c>
      <c r="B928" s="13" t="s">
        <v>307</v>
      </c>
      <c r="C928" s="1">
        <v>45454</v>
      </c>
      <c r="D928" s="13" t="s">
        <v>307</v>
      </c>
      <c r="E928">
        <v>0.22030373867517</v>
      </c>
      <c r="F928">
        <v>0.22030373867517</v>
      </c>
    </row>
    <row r="929" spans="1:6" x14ac:dyDescent="0.2">
      <c r="A929">
        <v>432</v>
      </c>
      <c r="B929" s="13" t="s">
        <v>1042</v>
      </c>
      <c r="C929" s="1">
        <v>45619</v>
      </c>
      <c r="D929" s="13" t="s">
        <v>1042</v>
      </c>
      <c r="E929">
        <v>0.12376484638095001</v>
      </c>
      <c r="F929">
        <v>0.12376484638095001</v>
      </c>
    </row>
    <row r="930" spans="1:6" x14ac:dyDescent="0.2">
      <c r="A930">
        <v>432</v>
      </c>
      <c r="B930" s="13" t="s">
        <v>1043</v>
      </c>
      <c r="C930" s="1">
        <v>45358</v>
      </c>
      <c r="D930" s="13" t="s">
        <v>1043</v>
      </c>
      <c r="E930">
        <v>4.5232940228228102E-2</v>
      </c>
      <c r="F930">
        <v>4.5232940228228102E-2</v>
      </c>
    </row>
    <row r="931" spans="1:6" x14ac:dyDescent="0.2">
      <c r="A931">
        <v>433</v>
      </c>
      <c r="B931" s="13" t="s">
        <v>1044</v>
      </c>
      <c r="C931" s="1">
        <v>45389</v>
      </c>
      <c r="D931" s="13" t="s">
        <v>1044</v>
      </c>
      <c r="E931">
        <v>0.116134026662027</v>
      </c>
      <c r="F931">
        <v>0.116134026662027</v>
      </c>
    </row>
    <row r="932" spans="1:6" x14ac:dyDescent="0.2">
      <c r="A932">
        <v>433</v>
      </c>
      <c r="B932" s="13" t="s">
        <v>1045</v>
      </c>
      <c r="C932" s="1">
        <v>45493</v>
      </c>
      <c r="D932" s="13" t="s">
        <v>1045</v>
      </c>
      <c r="E932">
        <v>1.5834441797236299E-2</v>
      </c>
      <c r="F932">
        <v>1.5834441797236299E-2</v>
      </c>
    </row>
    <row r="933" spans="1:6" x14ac:dyDescent="0.2">
      <c r="A933">
        <v>433</v>
      </c>
      <c r="B933" s="13" t="s">
        <v>308</v>
      </c>
      <c r="C933" s="1">
        <v>45295</v>
      </c>
      <c r="D933" s="13" t="s">
        <v>308</v>
      </c>
      <c r="E933">
        <v>0.32726178638999698</v>
      </c>
      <c r="F933">
        <v>0.32726178638999698</v>
      </c>
    </row>
    <row r="934" spans="1:6" x14ac:dyDescent="0.2">
      <c r="A934">
        <v>435</v>
      </c>
      <c r="B934" s="13" t="s">
        <v>309</v>
      </c>
      <c r="C934" s="1">
        <v>45482</v>
      </c>
      <c r="D934" s="13" t="s">
        <v>309</v>
      </c>
      <c r="E934">
        <v>0.17073368060229399</v>
      </c>
      <c r="F934">
        <v>0.17073368060229399</v>
      </c>
    </row>
    <row r="935" spans="1:6" x14ac:dyDescent="0.2">
      <c r="A935">
        <v>435</v>
      </c>
      <c r="B935" s="13" t="s">
        <v>310</v>
      </c>
      <c r="C935" s="1">
        <v>45538</v>
      </c>
      <c r="D935" s="13" t="s">
        <v>310</v>
      </c>
      <c r="E935">
        <v>0.36305955022241698</v>
      </c>
      <c r="F935">
        <v>0.36305955022241698</v>
      </c>
    </row>
    <row r="936" spans="1:6" x14ac:dyDescent="0.2">
      <c r="A936">
        <v>435</v>
      </c>
      <c r="B936" s="13" t="s">
        <v>311</v>
      </c>
      <c r="C936" s="1">
        <v>45613</v>
      </c>
      <c r="D936" s="13" t="s">
        <v>311</v>
      </c>
      <c r="E936">
        <v>0.106900888927197</v>
      </c>
      <c r="F936">
        <v>0.106900888927197</v>
      </c>
    </row>
    <row r="937" spans="1:6" x14ac:dyDescent="0.2">
      <c r="A937">
        <v>436</v>
      </c>
      <c r="B937" s="13" t="s">
        <v>312</v>
      </c>
      <c r="C937" s="1">
        <v>45504</v>
      </c>
      <c r="D937" s="13" t="s">
        <v>312</v>
      </c>
      <c r="E937">
        <v>0.21521584387921999</v>
      </c>
      <c r="F937">
        <v>0.21521584387921999</v>
      </c>
    </row>
    <row r="938" spans="1:6" x14ac:dyDescent="0.2">
      <c r="A938">
        <v>436</v>
      </c>
      <c r="B938" s="13" t="s">
        <v>313</v>
      </c>
      <c r="C938" s="1">
        <v>45570</v>
      </c>
      <c r="D938" s="13" t="s">
        <v>313</v>
      </c>
      <c r="E938">
        <v>0.112566659102318</v>
      </c>
      <c r="F938">
        <v>0.112566659102318</v>
      </c>
    </row>
    <row r="939" spans="1:6" x14ac:dyDescent="0.2">
      <c r="A939">
        <v>437</v>
      </c>
      <c r="B939" s="13" t="s">
        <v>314</v>
      </c>
      <c r="C939" s="1">
        <v>45582</v>
      </c>
      <c r="D939" s="13" t="s">
        <v>314</v>
      </c>
      <c r="E939">
        <v>0.12546463494757601</v>
      </c>
      <c r="F939">
        <v>0.12546463494757601</v>
      </c>
    </row>
    <row r="940" spans="1:6" x14ac:dyDescent="0.2">
      <c r="A940">
        <v>437</v>
      </c>
      <c r="B940" s="13" t="s">
        <v>315</v>
      </c>
      <c r="C940" s="1">
        <v>45654</v>
      </c>
      <c r="D940" s="13" t="s">
        <v>315</v>
      </c>
      <c r="E940">
        <v>8.4944259402343597E-2</v>
      </c>
      <c r="F940">
        <v>8.4944259402343597E-2</v>
      </c>
    </row>
    <row r="941" spans="1:6" x14ac:dyDescent="0.2">
      <c r="A941">
        <v>437</v>
      </c>
      <c r="B941" s="13" t="s">
        <v>316</v>
      </c>
      <c r="C941" s="1">
        <v>45452</v>
      </c>
      <c r="D941" s="13" t="s">
        <v>316</v>
      </c>
      <c r="E941">
        <v>0.27707023422848798</v>
      </c>
      <c r="F941">
        <v>0.27707023422848798</v>
      </c>
    </row>
    <row r="942" spans="1:6" x14ac:dyDescent="0.2">
      <c r="A942">
        <v>438</v>
      </c>
      <c r="B942" s="13" t="s">
        <v>317</v>
      </c>
      <c r="C942" s="1">
        <v>45644</v>
      </c>
      <c r="D942" s="13" t="s">
        <v>317</v>
      </c>
      <c r="E942">
        <v>0.224506419432837</v>
      </c>
      <c r="F942">
        <v>0.224506419432837</v>
      </c>
    </row>
    <row r="943" spans="1:6" x14ac:dyDescent="0.2">
      <c r="A943">
        <v>438</v>
      </c>
      <c r="B943" s="13" t="s">
        <v>318</v>
      </c>
      <c r="C943" s="1">
        <v>45354</v>
      </c>
      <c r="D943" s="13" t="s">
        <v>318</v>
      </c>
      <c r="E943">
        <v>0.26124403354456899</v>
      </c>
      <c r="F943">
        <v>0.26124403354456899</v>
      </c>
    </row>
    <row r="944" spans="1:6" x14ac:dyDescent="0.2">
      <c r="A944">
        <v>439</v>
      </c>
      <c r="B944" s="13" t="s">
        <v>1046</v>
      </c>
      <c r="C944" s="1">
        <v>45515</v>
      </c>
      <c r="D944" s="13" t="s">
        <v>1046</v>
      </c>
      <c r="E944">
        <v>2.8577020875637502E-2</v>
      </c>
      <c r="F944">
        <v>2.8577020875637502E-2</v>
      </c>
    </row>
    <row r="945" spans="1:6" x14ac:dyDescent="0.2">
      <c r="A945">
        <v>439</v>
      </c>
      <c r="B945" s="13" t="s">
        <v>1047</v>
      </c>
      <c r="C945" s="1">
        <v>45352</v>
      </c>
      <c r="D945" s="13" t="s">
        <v>1047</v>
      </c>
      <c r="E945">
        <v>4.7721439840575697E-2</v>
      </c>
      <c r="F945">
        <v>4.7721439840575697E-2</v>
      </c>
    </row>
    <row r="946" spans="1:6" x14ac:dyDescent="0.2">
      <c r="A946">
        <v>439</v>
      </c>
      <c r="B946" s="13" t="s">
        <v>1048</v>
      </c>
      <c r="C946" s="1">
        <v>45484</v>
      </c>
      <c r="D946" s="13" t="s">
        <v>1048</v>
      </c>
      <c r="E946">
        <v>0.123173779262851</v>
      </c>
      <c r="F946">
        <v>0.123173779262851</v>
      </c>
    </row>
    <row r="947" spans="1:6" x14ac:dyDescent="0.2">
      <c r="A947">
        <v>440</v>
      </c>
      <c r="B947" s="13" t="s">
        <v>1049</v>
      </c>
      <c r="C947" s="1">
        <v>45595</v>
      </c>
      <c r="D947" s="13" t="s">
        <v>1049</v>
      </c>
      <c r="E947">
        <v>0.16954657149097599</v>
      </c>
      <c r="F947">
        <v>0.16954657149097599</v>
      </c>
    </row>
    <row r="948" spans="1:6" x14ac:dyDescent="0.2">
      <c r="A948">
        <v>440</v>
      </c>
      <c r="B948" s="13" t="s">
        <v>319</v>
      </c>
      <c r="C948" s="1">
        <v>45618</v>
      </c>
      <c r="D948" s="13" t="s">
        <v>319</v>
      </c>
      <c r="E948">
        <v>9.5407623392174304E-2</v>
      </c>
      <c r="F948">
        <v>9.5407623392174304E-2</v>
      </c>
    </row>
    <row r="949" spans="1:6" x14ac:dyDescent="0.2">
      <c r="A949">
        <v>440</v>
      </c>
      <c r="B949" s="13" t="s">
        <v>320</v>
      </c>
      <c r="C949" s="1">
        <v>45539</v>
      </c>
      <c r="D949" s="13" t="s">
        <v>320</v>
      </c>
      <c r="E949">
        <v>7.8359920593933596E-2</v>
      </c>
      <c r="F949">
        <v>7.8359920593933596E-2</v>
      </c>
    </row>
    <row r="950" spans="1:6" x14ac:dyDescent="0.2">
      <c r="A950">
        <v>441</v>
      </c>
      <c r="B950" s="13" t="s">
        <v>1050</v>
      </c>
      <c r="C950" s="1">
        <v>45617</v>
      </c>
      <c r="D950" s="13" t="s">
        <v>1050</v>
      </c>
      <c r="E950">
        <v>0.114176145462586</v>
      </c>
      <c r="F950">
        <v>0.114176145462586</v>
      </c>
    </row>
    <row r="951" spans="1:6" x14ac:dyDescent="0.2">
      <c r="A951">
        <v>441</v>
      </c>
      <c r="B951" s="13" t="s">
        <v>1051</v>
      </c>
      <c r="C951" s="1">
        <v>45360</v>
      </c>
      <c r="D951" s="13" t="s">
        <v>1051</v>
      </c>
      <c r="E951">
        <v>0.30084072851959598</v>
      </c>
      <c r="F951">
        <v>0.30084072851959598</v>
      </c>
    </row>
    <row r="952" spans="1:6" x14ac:dyDescent="0.2">
      <c r="A952">
        <v>441</v>
      </c>
      <c r="B952" s="13" t="s">
        <v>1052</v>
      </c>
      <c r="C952" s="1">
        <v>45416</v>
      </c>
      <c r="D952" s="13" t="s">
        <v>1052</v>
      </c>
      <c r="E952">
        <v>0.24486116231246299</v>
      </c>
      <c r="F952">
        <v>0.24486116231246299</v>
      </c>
    </row>
    <row r="953" spans="1:6" x14ac:dyDescent="0.2">
      <c r="A953">
        <v>442</v>
      </c>
      <c r="B953" s="13" t="s">
        <v>321</v>
      </c>
      <c r="C953" s="1">
        <v>45333</v>
      </c>
      <c r="D953" s="13" t="s">
        <v>321</v>
      </c>
      <c r="E953">
        <v>7.8250722374417506E-2</v>
      </c>
      <c r="F953">
        <v>7.8250722374417506E-2</v>
      </c>
    </row>
    <row r="954" spans="1:6" x14ac:dyDescent="0.2">
      <c r="A954">
        <v>442</v>
      </c>
      <c r="B954" s="13" t="s">
        <v>322</v>
      </c>
      <c r="C954" s="1">
        <v>45509</v>
      </c>
      <c r="D954" s="13" t="s">
        <v>322</v>
      </c>
      <c r="E954">
        <v>0.132150168728326</v>
      </c>
      <c r="F954">
        <v>0.132150168728326</v>
      </c>
    </row>
    <row r="955" spans="1:6" x14ac:dyDescent="0.2">
      <c r="A955">
        <v>443</v>
      </c>
      <c r="B955" s="13" t="s">
        <v>1053</v>
      </c>
      <c r="C955" s="1">
        <v>45622</v>
      </c>
      <c r="D955" s="13" t="s">
        <v>1053</v>
      </c>
      <c r="E955">
        <v>0.194494967850528</v>
      </c>
      <c r="F955">
        <v>0.194494967850528</v>
      </c>
    </row>
    <row r="956" spans="1:6" x14ac:dyDescent="0.2">
      <c r="A956">
        <v>443</v>
      </c>
      <c r="B956" s="13" t="s">
        <v>1054</v>
      </c>
      <c r="C956" s="1">
        <v>45311</v>
      </c>
      <c r="D956" s="13" t="s">
        <v>1054</v>
      </c>
      <c r="E956">
        <v>4.12957302990659E-2</v>
      </c>
      <c r="F956">
        <v>4.12957302990659E-2</v>
      </c>
    </row>
    <row r="957" spans="1:6" x14ac:dyDescent="0.2">
      <c r="A957">
        <v>444</v>
      </c>
      <c r="B957" s="13" t="s">
        <v>323</v>
      </c>
      <c r="C957" s="1">
        <v>45598</v>
      </c>
      <c r="D957" s="13" t="s">
        <v>323</v>
      </c>
      <c r="E957">
        <v>7.1257163270691301E-2</v>
      </c>
      <c r="F957">
        <v>7.1257163270691301E-2</v>
      </c>
    </row>
    <row r="958" spans="1:6" x14ac:dyDescent="0.2">
      <c r="A958">
        <v>444</v>
      </c>
      <c r="B958" s="13" t="s">
        <v>324</v>
      </c>
      <c r="C958" s="1">
        <v>45445</v>
      </c>
      <c r="D958" s="13" t="s">
        <v>324</v>
      </c>
      <c r="E958">
        <v>0.183242027303886</v>
      </c>
      <c r="F958">
        <v>0.183242027303886</v>
      </c>
    </row>
    <row r="959" spans="1:6" x14ac:dyDescent="0.2">
      <c r="A959">
        <v>444</v>
      </c>
      <c r="B959" s="13" t="s">
        <v>325</v>
      </c>
      <c r="C959" s="1">
        <v>45567</v>
      </c>
      <c r="D959" s="13" t="s">
        <v>325</v>
      </c>
      <c r="E959">
        <v>2.6938741829312499E-2</v>
      </c>
      <c r="F959">
        <v>2.6938741829312499E-2</v>
      </c>
    </row>
    <row r="960" spans="1:6" x14ac:dyDescent="0.2">
      <c r="A960">
        <v>445</v>
      </c>
      <c r="B960" s="13" t="s">
        <v>1055</v>
      </c>
      <c r="C960" s="1">
        <v>45594</v>
      </c>
      <c r="D960" s="13" t="s">
        <v>1055</v>
      </c>
      <c r="E960">
        <v>0.273419937718551</v>
      </c>
      <c r="F960">
        <v>0.273419937718551</v>
      </c>
    </row>
    <row r="961" spans="1:6" x14ac:dyDescent="0.2">
      <c r="A961">
        <v>446</v>
      </c>
      <c r="B961" s="13" t="s">
        <v>326</v>
      </c>
      <c r="C961" s="1">
        <v>45553</v>
      </c>
      <c r="D961" s="13" t="s">
        <v>326</v>
      </c>
      <c r="E961">
        <v>8.7745633742085799E-2</v>
      </c>
      <c r="F961">
        <v>8.7745633742085799E-2</v>
      </c>
    </row>
    <row r="962" spans="1:6" x14ac:dyDescent="0.2">
      <c r="A962">
        <v>446</v>
      </c>
      <c r="B962" s="13" t="s">
        <v>327</v>
      </c>
      <c r="C962" s="1">
        <v>45371</v>
      </c>
      <c r="D962" s="13" t="s">
        <v>327</v>
      </c>
      <c r="E962">
        <v>0.45847909112593599</v>
      </c>
      <c r="F962">
        <v>0.45847909112593599</v>
      </c>
    </row>
    <row r="963" spans="1:6" x14ac:dyDescent="0.2">
      <c r="A963">
        <v>447</v>
      </c>
      <c r="B963" s="13" t="s">
        <v>328</v>
      </c>
      <c r="C963" s="1">
        <v>45626</v>
      </c>
      <c r="D963" s="13" t="s">
        <v>328</v>
      </c>
      <c r="E963">
        <v>0.18738768368467501</v>
      </c>
      <c r="F963">
        <v>0.18738768368467501</v>
      </c>
    </row>
    <row r="964" spans="1:6" x14ac:dyDescent="0.2">
      <c r="A964">
        <v>448</v>
      </c>
      <c r="B964" s="13" t="s">
        <v>1056</v>
      </c>
      <c r="C964" s="1">
        <v>45552</v>
      </c>
      <c r="D964" s="13" t="s">
        <v>1056</v>
      </c>
      <c r="E964">
        <v>0.26985706054111203</v>
      </c>
      <c r="F964">
        <v>0.26985706054111203</v>
      </c>
    </row>
    <row r="965" spans="1:6" x14ac:dyDescent="0.2">
      <c r="A965">
        <v>448</v>
      </c>
      <c r="B965" s="13" t="s">
        <v>329</v>
      </c>
      <c r="C965" s="1">
        <v>45472</v>
      </c>
      <c r="D965" s="13" t="s">
        <v>329</v>
      </c>
      <c r="E965">
        <v>0.23340827214771401</v>
      </c>
      <c r="F965">
        <v>0.23340827214771401</v>
      </c>
    </row>
    <row r="966" spans="1:6" x14ac:dyDescent="0.2">
      <c r="A966">
        <v>448</v>
      </c>
      <c r="B966" s="13" t="s">
        <v>330</v>
      </c>
      <c r="C966" s="1">
        <v>45522</v>
      </c>
      <c r="D966" s="13" t="s">
        <v>330</v>
      </c>
      <c r="E966">
        <v>0.179728895723683</v>
      </c>
      <c r="F966">
        <v>0.179728895723683</v>
      </c>
    </row>
    <row r="967" spans="1:6" x14ac:dyDescent="0.2">
      <c r="A967">
        <v>449</v>
      </c>
      <c r="B967" s="13" t="s">
        <v>1057</v>
      </c>
      <c r="C967" s="1">
        <v>45369</v>
      </c>
      <c r="D967" s="13" t="s">
        <v>1057</v>
      </c>
      <c r="E967">
        <v>5.6980781098531202E-3</v>
      </c>
      <c r="F967">
        <v>5.6980781098531202E-3</v>
      </c>
    </row>
    <row r="968" spans="1:6" x14ac:dyDescent="0.2">
      <c r="A968">
        <v>449</v>
      </c>
      <c r="B968" s="13" t="s">
        <v>331</v>
      </c>
      <c r="C968" s="1">
        <v>45613</v>
      </c>
      <c r="D968" s="13" t="s">
        <v>331</v>
      </c>
      <c r="E968">
        <v>0.30987439034180397</v>
      </c>
      <c r="F968">
        <v>0.30987439034180397</v>
      </c>
    </row>
    <row r="969" spans="1:6" x14ac:dyDescent="0.2">
      <c r="A969">
        <v>449</v>
      </c>
      <c r="B969" s="13" t="s">
        <v>332</v>
      </c>
      <c r="C969" s="1">
        <v>45408</v>
      </c>
      <c r="D969" s="13" t="s">
        <v>332</v>
      </c>
      <c r="E969">
        <v>0.446362728666577</v>
      </c>
      <c r="F969">
        <v>0.446362728666577</v>
      </c>
    </row>
    <row r="970" spans="1:6" x14ac:dyDescent="0.2">
      <c r="A970">
        <v>450</v>
      </c>
      <c r="B970" s="13" t="s">
        <v>1058</v>
      </c>
      <c r="C970" s="1">
        <v>45526</v>
      </c>
      <c r="D970" s="13" t="s">
        <v>1058</v>
      </c>
      <c r="E970">
        <v>2.3748600495490501E-2</v>
      </c>
      <c r="F970">
        <v>2.3748600495490501E-2</v>
      </c>
    </row>
    <row r="971" spans="1:6" x14ac:dyDescent="0.2">
      <c r="A971">
        <v>450</v>
      </c>
      <c r="B971" s="13" t="s">
        <v>1059</v>
      </c>
      <c r="C971" s="1">
        <v>45480</v>
      </c>
      <c r="D971" s="13" t="s">
        <v>1059</v>
      </c>
      <c r="E971">
        <v>6.7042588055969604E-2</v>
      </c>
      <c r="F971">
        <v>6.7042588055969604E-2</v>
      </c>
    </row>
    <row r="972" spans="1:6" x14ac:dyDescent="0.2">
      <c r="A972">
        <v>451</v>
      </c>
      <c r="B972" s="13" t="s">
        <v>1060</v>
      </c>
      <c r="C972" s="1">
        <v>45566</v>
      </c>
      <c r="D972" s="13" t="s">
        <v>1060</v>
      </c>
      <c r="E972">
        <v>0.17756259526115301</v>
      </c>
      <c r="F972">
        <v>0.17756259526115301</v>
      </c>
    </row>
    <row r="973" spans="1:6" x14ac:dyDescent="0.2">
      <c r="A973">
        <v>451</v>
      </c>
      <c r="B973" s="13" t="s">
        <v>333</v>
      </c>
      <c r="C973" s="1">
        <v>45642</v>
      </c>
      <c r="D973" s="13" t="s">
        <v>333</v>
      </c>
      <c r="E973">
        <v>5.45350128064577E-2</v>
      </c>
      <c r="F973">
        <v>5.45350128064577E-2</v>
      </c>
    </row>
    <row r="974" spans="1:6" x14ac:dyDescent="0.2">
      <c r="A974">
        <v>452</v>
      </c>
      <c r="B974" s="13" t="s">
        <v>1061</v>
      </c>
      <c r="C974" s="1">
        <v>45639</v>
      </c>
      <c r="D974" s="13" t="s">
        <v>1061</v>
      </c>
      <c r="E974">
        <v>7.6709027191875195E-2</v>
      </c>
      <c r="F974">
        <v>7.6709027191875195E-2</v>
      </c>
    </row>
    <row r="975" spans="1:6" x14ac:dyDescent="0.2">
      <c r="A975">
        <v>452</v>
      </c>
      <c r="B975" s="13" t="s">
        <v>1062</v>
      </c>
      <c r="C975" s="1">
        <v>45292</v>
      </c>
      <c r="D975" s="13" t="s">
        <v>1062</v>
      </c>
      <c r="E975">
        <v>0.11114807666493499</v>
      </c>
      <c r="F975">
        <v>0.11114807666493499</v>
      </c>
    </row>
    <row r="976" spans="1:6" x14ac:dyDescent="0.2">
      <c r="A976">
        <v>452</v>
      </c>
      <c r="B976" s="13" t="s">
        <v>1063</v>
      </c>
      <c r="C976" s="1">
        <v>45599</v>
      </c>
      <c r="D976" s="13" t="s">
        <v>1063</v>
      </c>
      <c r="E976">
        <v>0.19436490740217099</v>
      </c>
      <c r="F976">
        <v>0.19436490740217099</v>
      </c>
    </row>
    <row r="977" spans="1:6" x14ac:dyDescent="0.2">
      <c r="A977">
        <v>453</v>
      </c>
      <c r="B977" s="13" t="s">
        <v>1064</v>
      </c>
      <c r="C977" s="1">
        <v>45293</v>
      </c>
      <c r="D977" s="13" t="s">
        <v>1064</v>
      </c>
      <c r="E977">
        <v>0.25501013350672203</v>
      </c>
      <c r="F977">
        <v>0.25501013350672203</v>
      </c>
    </row>
    <row r="978" spans="1:6" x14ac:dyDescent="0.2">
      <c r="A978">
        <v>453</v>
      </c>
      <c r="B978" s="13" t="s">
        <v>334</v>
      </c>
      <c r="C978" s="1">
        <v>45348</v>
      </c>
      <c r="D978" s="13" t="s">
        <v>334</v>
      </c>
      <c r="E978">
        <v>0.28272518618888798</v>
      </c>
      <c r="F978">
        <v>0.28272518618888798</v>
      </c>
    </row>
    <row r="979" spans="1:6" x14ac:dyDescent="0.2">
      <c r="A979">
        <v>453</v>
      </c>
      <c r="B979" s="13" t="s">
        <v>335</v>
      </c>
      <c r="C979" s="1">
        <v>45481</v>
      </c>
      <c r="D979" s="13" t="s">
        <v>335</v>
      </c>
      <c r="E979">
        <v>0.28096551950149001</v>
      </c>
      <c r="F979">
        <v>0.28096551950149001</v>
      </c>
    </row>
    <row r="980" spans="1:6" x14ac:dyDescent="0.2">
      <c r="A980">
        <v>454</v>
      </c>
      <c r="B980" s="13" t="s">
        <v>336</v>
      </c>
      <c r="C980" s="1">
        <v>45406</v>
      </c>
      <c r="D980" s="13" t="s">
        <v>336</v>
      </c>
      <c r="E980">
        <v>7.5230863486276403E-2</v>
      </c>
      <c r="F980">
        <v>7.5230863486276403E-2</v>
      </c>
    </row>
    <row r="981" spans="1:6" x14ac:dyDescent="0.2">
      <c r="A981">
        <v>454</v>
      </c>
      <c r="B981" s="13" t="s">
        <v>337</v>
      </c>
      <c r="C981" s="1">
        <v>45578</v>
      </c>
      <c r="D981" s="13" t="s">
        <v>337</v>
      </c>
      <c r="E981">
        <v>0.136642127490402</v>
      </c>
      <c r="F981">
        <v>0.136642127490402</v>
      </c>
    </row>
    <row r="982" spans="1:6" x14ac:dyDescent="0.2">
      <c r="A982">
        <v>454</v>
      </c>
      <c r="B982" s="13" t="s">
        <v>338</v>
      </c>
      <c r="C982" s="1">
        <v>45577</v>
      </c>
      <c r="D982" s="13" t="s">
        <v>338</v>
      </c>
      <c r="E982">
        <v>1.74772877747859E-2</v>
      </c>
      <c r="F982">
        <v>1.74772877747859E-2</v>
      </c>
    </row>
    <row r="983" spans="1:6" x14ac:dyDescent="0.2">
      <c r="A983">
        <v>454</v>
      </c>
      <c r="B983" s="13" t="s">
        <v>339</v>
      </c>
      <c r="C983" s="1">
        <v>45319</v>
      </c>
      <c r="D983" s="13" t="s">
        <v>339</v>
      </c>
      <c r="E983">
        <v>0.50078769973395998</v>
      </c>
      <c r="F983">
        <v>0.50078769973395998</v>
      </c>
    </row>
    <row r="984" spans="1:6" x14ac:dyDescent="0.2">
      <c r="A984">
        <v>455</v>
      </c>
      <c r="B984" s="13" t="s">
        <v>1065</v>
      </c>
      <c r="C984" s="1">
        <v>45487</v>
      </c>
      <c r="D984" s="13" t="s">
        <v>1065</v>
      </c>
      <c r="E984">
        <v>0.25936899920964301</v>
      </c>
      <c r="F984">
        <v>0.25936899920964301</v>
      </c>
    </row>
    <row r="985" spans="1:6" x14ac:dyDescent="0.2">
      <c r="A985">
        <v>455</v>
      </c>
      <c r="B985" s="13" t="s">
        <v>1066</v>
      </c>
      <c r="C985" s="1">
        <v>45609</v>
      </c>
      <c r="D985" s="13" t="s">
        <v>1066</v>
      </c>
      <c r="E985">
        <v>7.9586792097614198E-2</v>
      </c>
      <c r="F985">
        <v>7.9586792097614198E-2</v>
      </c>
    </row>
    <row r="986" spans="1:6" x14ac:dyDescent="0.2">
      <c r="A986">
        <v>455</v>
      </c>
      <c r="B986" s="13" t="s">
        <v>340</v>
      </c>
      <c r="C986" s="1">
        <v>45495</v>
      </c>
      <c r="D986" s="13" t="s">
        <v>340</v>
      </c>
      <c r="E986">
        <v>0.28880039131041002</v>
      </c>
      <c r="F986">
        <v>0.28880039131041002</v>
      </c>
    </row>
    <row r="987" spans="1:6" x14ac:dyDescent="0.2">
      <c r="A987">
        <v>456</v>
      </c>
      <c r="B987" s="13" t="s">
        <v>1067</v>
      </c>
      <c r="C987" s="1">
        <v>45537</v>
      </c>
      <c r="D987" s="13" t="s">
        <v>1067</v>
      </c>
      <c r="E987">
        <v>0.181771148153336</v>
      </c>
      <c r="F987">
        <v>0.181771148153336</v>
      </c>
    </row>
    <row r="988" spans="1:6" x14ac:dyDescent="0.2">
      <c r="A988">
        <v>457</v>
      </c>
      <c r="B988" s="13" t="s">
        <v>1068</v>
      </c>
      <c r="C988" s="1">
        <v>45305</v>
      </c>
      <c r="D988" s="13" t="s">
        <v>1068</v>
      </c>
      <c r="E988">
        <v>9.05281241428601E-2</v>
      </c>
      <c r="F988">
        <v>9.05281241428601E-2</v>
      </c>
    </row>
    <row r="989" spans="1:6" x14ac:dyDescent="0.2">
      <c r="A989">
        <v>458</v>
      </c>
      <c r="B989" s="13" t="s">
        <v>341</v>
      </c>
      <c r="C989" s="1">
        <v>45636</v>
      </c>
      <c r="D989" s="13" t="s">
        <v>341</v>
      </c>
      <c r="E989">
        <v>0.27651989720507297</v>
      </c>
      <c r="F989">
        <v>0.27651989720507297</v>
      </c>
    </row>
    <row r="990" spans="1:6" x14ac:dyDescent="0.2">
      <c r="A990">
        <v>459</v>
      </c>
      <c r="B990" s="13" t="s">
        <v>1069</v>
      </c>
      <c r="C990" s="1">
        <v>45451</v>
      </c>
      <c r="D990" s="13" t="s">
        <v>1069</v>
      </c>
      <c r="E990">
        <v>8.8663119320992606E-2</v>
      </c>
      <c r="F990">
        <v>8.8663119320992606E-2</v>
      </c>
    </row>
    <row r="991" spans="1:6" x14ac:dyDescent="0.2">
      <c r="A991">
        <v>459</v>
      </c>
      <c r="B991" s="13" t="s">
        <v>342</v>
      </c>
      <c r="C991" s="1">
        <v>45574</v>
      </c>
      <c r="D991" s="13" t="s">
        <v>342</v>
      </c>
      <c r="E991">
        <v>0.134841654579334</v>
      </c>
      <c r="F991">
        <v>0.134841654579334</v>
      </c>
    </row>
    <row r="992" spans="1:6" x14ac:dyDescent="0.2">
      <c r="A992">
        <v>459</v>
      </c>
      <c r="B992" s="13" t="s">
        <v>343</v>
      </c>
      <c r="C992" s="1">
        <v>45416</v>
      </c>
      <c r="D992" s="13" t="s">
        <v>343</v>
      </c>
      <c r="E992">
        <v>9.9800882245231107E-2</v>
      </c>
      <c r="F992">
        <v>9.9800882245231107E-2</v>
      </c>
    </row>
    <row r="993" spans="1:6" x14ac:dyDescent="0.2">
      <c r="A993">
        <v>460</v>
      </c>
      <c r="B993" s="13" t="s">
        <v>1070</v>
      </c>
      <c r="C993" s="1">
        <v>45292</v>
      </c>
      <c r="D993" s="13" t="s">
        <v>1070</v>
      </c>
      <c r="E993">
        <v>0.102731025297677</v>
      </c>
      <c r="F993">
        <v>0.102731025297677</v>
      </c>
    </row>
    <row r="994" spans="1:6" x14ac:dyDescent="0.2">
      <c r="A994">
        <v>460</v>
      </c>
      <c r="B994" s="13" t="s">
        <v>1071</v>
      </c>
      <c r="C994" s="1">
        <v>45611</v>
      </c>
      <c r="D994" s="13" t="s">
        <v>1071</v>
      </c>
      <c r="E994">
        <v>0.13760627268064499</v>
      </c>
      <c r="F994">
        <v>0.13760627268064499</v>
      </c>
    </row>
    <row r="995" spans="1:6" x14ac:dyDescent="0.2">
      <c r="A995">
        <v>460</v>
      </c>
      <c r="B995" s="13" t="s">
        <v>344</v>
      </c>
      <c r="C995" s="1">
        <v>45453</v>
      </c>
      <c r="D995" s="13" t="s">
        <v>344</v>
      </c>
      <c r="E995">
        <v>0.224949944858989</v>
      </c>
      <c r="F995">
        <v>0.224949944858989</v>
      </c>
    </row>
    <row r="996" spans="1:6" x14ac:dyDescent="0.2">
      <c r="A996">
        <v>462</v>
      </c>
      <c r="B996" s="13" t="s">
        <v>1072</v>
      </c>
      <c r="C996" s="1">
        <v>45436</v>
      </c>
      <c r="D996" s="13" t="s">
        <v>1072</v>
      </c>
      <c r="E996">
        <v>9.0270345790164699E-2</v>
      </c>
      <c r="F996">
        <v>9.0270345790164699E-2</v>
      </c>
    </row>
    <row r="997" spans="1:6" x14ac:dyDescent="0.2">
      <c r="A997">
        <v>462</v>
      </c>
      <c r="B997" s="13" t="s">
        <v>1073</v>
      </c>
      <c r="C997" s="1">
        <v>45645</v>
      </c>
      <c r="D997" s="13" t="s">
        <v>1073</v>
      </c>
      <c r="E997">
        <v>3.5357672105778899E-2</v>
      </c>
      <c r="F997">
        <v>3.5357672105778899E-2</v>
      </c>
    </row>
    <row r="998" spans="1:6" x14ac:dyDescent="0.2">
      <c r="A998">
        <v>463</v>
      </c>
      <c r="B998" s="13" t="s">
        <v>1074</v>
      </c>
      <c r="C998" s="1">
        <v>45561</v>
      </c>
      <c r="D998" s="13" t="s">
        <v>1074</v>
      </c>
      <c r="E998">
        <v>0.43423924044738499</v>
      </c>
      <c r="F998">
        <v>0.43423924044738499</v>
      </c>
    </row>
    <row r="999" spans="1:6" x14ac:dyDescent="0.2">
      <c r="A999">
        <v>463</v>
      </c>
      <c r="B999" s="13" t="s">
        <v>1075</v>
      </c>
      <c r="C999" s="1">
        <v>45542</v>
      </c>
      <c r="D999" s="13" t="s">
        <v>1075</v>
      </c>
      <c r="E999">
        <v>0.20750501787903</v>
      </c>
      <c r="F999">
        <v>0.20750501787903</v>
      </c>
    </row>
    <row r="1000" spans="1:6" x14ac:dyDescent="0.2">
      <c r="A1000">
        <v>464</v>
      </c>
      <c r="B1000" s="13" t="s">
        <v>1076</v>
      </c>
      <c r="C1000" s="1">
        <v>45511</v>
      </c>
      <c r="D1000" s="13" t="s">
        <v>1076</v>
      </c>
      <c r="E1000">
        <v>0.17874335935865701</v>
      </c>
      <c r="F1000">
        <v>0.17874335935865701</v>
      </c>
    </row>
    <row r="1001" spans="1:6" x14ac:dyDescent="0.2">
      <c r="A1001">
        <v>464</v>
      </c>
      <c r="B1001" s="13" t="s">
        <v>1077</v>
      </c>
      <c r="C1001" s="1">
        <v>45606</v>
      </c>
      <c r="D1001" s="13" t="s">
        <v>1077</v>
      </c>
      <c r="E1001">
        <v>0.148326068812662</v>
      </c>
      <c r="F1001">
        <v>0.148326068812662</v>
      </c>
    </row>
    <row r="1002" spans="1:6" x14ac:dyDescent="0.2">
      <c r="A1002">
        <v>464</v>
      </c>
      <c r="B1002" s="13" t="s">
        <v>1078</v>
      </c>
      <c r="C1002" s="1">
        <v>45569</v>
      </c>
      <c r="D1002" s="13" t="s">
        <v>1078</v>
      </c>
      <c r="E1002">
        <v>0.60588286989219597</v>
      </c>
      <c r="F1002">
        <v>0.60588286989219597</v>
      </c>
    </row>
    <row r="1003" spans="1:6" x14ac:dyDescent="0.2">
      <c r="A1003">
        <v>465</v>
      </c>
      <c r="B1003" s="13" t="s">
        <v>1079</v>
      </c>
      <c r="C1003" s="1">
        <v>45617</v>
      </c>
      <c r="D1003" s="13" t="s">
        <v>1079</v>
      </c>
      <c r="E1003">
        <v>0.102366919154098</v>
      </c>
      <c r="F1003">
        <v>0.102366919154098</v>
      </c>
    </row>
    <row r="1004" spans="1:6" x14ac:dyDescent="0.2">
      <c r="A1004">
        <v>465</v>
      </c>
      <c r="B1004" s="13" t="s">
        <v>1080</v>
      </c>
      <c r="C1004" s="1">
        <v>45453</v>
      </c>
      <c r="D1004" s="13" t="s">
        <v>1080</v>
      </c>
      <c r="E1004">
        <v>5.0941456403946601E-2</v>
      </c>
      <c r="F1004">
        <v>5.0941456403946601E-2</v>
      </c>
    </row>
    <row r="1005" spans="1:6" x14ac:dyDescent="0.2">
      <c r="A1005">
        <v>466</v>
      </c>
      <c r="B1005" s="13" t="s">
        <v>1081</v>
      </c>
      <c r="C1005" s="1">
        <v>45363</v>
      </c>
      <c r="D1005" s="13" t="s">
        <v>1081</v>
      </c>
      <c r="E1005">
        <v>0.12172872356574201</v>
      </c>
      <c r="F1005">
        <v>0.12172872356574201</v>
      </c>
    </row>
    <row r="1006" spans="1:6" x14ac:dyDescent="0.2">
      <c r="A1006">
        <v>466</v>
      </c>
      <c r="B1006" s="13" t="s">
        <v>1082</v>
      </c>
      <c r="C1006" s="1">
        <v>45425</v>
      </c>
      <c r="D1006" s="13" t="s">
        <v>1082</v>
      </c>
      <c r="E1006">
        <v>2.1240087976266801E-2</v>
      </c>
      <c r="F1006">
        <v>2.1240087976266801E-2</v>
      </c>
    </row>
    <row r="1007" spans="1:6" x14ac:dyDescent="0.2">
      <c r="A1007">
        <v>466</v>
      </c>
      <c r="B1007" s="13" t="s">
        <v>1083</v>
      </c>
      <c r="C1007" s="1">
        <v>45445</v>
      </c>
      <c r="D1007" s="13" t="s">
        <v>1083</v>
      </c>
      <c r="E1007">
        <v>0.13218243313979</v>
      </c>
      <c r="F1007">
        <v>0.13218243313979</v>
      </c>
    </row>
    <row r="1008" spans="1:6" x14ac:dyDescent="0.2">
      <c r="A1008">
        <v>467</v>
      </c>
      <c r="B1008" s="13" t="s">
        <v>1084</v>
      </c>
      <c r="C1008" s="1">
        <v>45439</v>
      </c>
      <c r="D1008" s="13" t="s">
        <v>1084</v>
      </c>
      <c r="E1008">
        <v>0.24596388452385101</v>
      </c>
      <c r="F1008">
        <v>0.24596388452385101</v>
      </c>
    </row>
    <row r="1009" spans="1:6" x14ac:dyDescent="0.2">
      <c r="A1009">
        <v>467</v>
      </c>
      <c r="B1009" s="13" t="s">
        <v>1085</v>
      </c>
      <c r="C1009" s="1">
        <v>45443</v>
      </c>
      <c r="D1009" s="13" t="s">
        <v>1085</v>
      </c>
      <c r="E1009">
        <v>0.147452898149246</v>
      </c>
      <c r="F1009">
        <v>0.147452898149246</v>
      </c>
    </row>
    <row r="1010" spans="1:6" x14ac:dyDescent="0.2">
      <c r="A1010">
        <v>467</v>
      </c>
      <c r="B1010" s="13" t="s">
        <v>1086</v>
      </c>
      <c r="C1010" s="1">
        <v>45634</v>
      </c>
      <c r="D1010" s="13" t="s">
        <v>1086</v>
      </c>
      <c r="E1010">
        <v>0.159242118195914</v>
      </c>
      <c r="F1010">
        <v>0.159242118195914</v>
      </c>
    </row>
    <row r="1011" spans="1:6" x14ac:dyDescent="0.2">
      <c r="A1011">
        <v>468</v>
      </c>
      <c r="B1011" s="13" t="s">
        <v>1087</v>
      </c>
      <c r="C1011" s="1">
        <v>45646</v>
      </c>
      <c r="D1011" s="13" t="s">
        <v>1087</v>
      </c>
      <c r="E1011">
        <v>4.3296721607866601E-2</v>
      </c>
      <c r="F1011">
        <v>4.3296721607866601E-2</v>
      </c>
    </row>
    <row r="1012" spans="1:6" x14ac:dyDescent="0.2">
      <c r="A1012">
        <v>468</v>
      </c>
      <c r="B1012" s="13" t="s">
        <v>1088</v>
      </c>
      <c r="C1012" s="1">
        <v>45306</v>
      </c>
      <c r="D1012" s="13" t="s">
        <v>1088</v>
      </c>
      <c r="E1012">
        <v>9.7741717339439094E-2</v>
      </c>
      <c r="F1012">
        <v>9.7741717339439094E-2</v>
      </c>
    </row>
    <row r="1013" spans="1:6" x14ac:dyDescent="0.2">
      <c r="A1013">
        <v>469</v>
      </c>
      <c r="B1013" s="13" t="s">
        <v>1089</v>
      </c>
      <c r="C1013" s="1">
        <v>45452</v>
      </c>
      <c r="D1013" s="13" t="s">
        <v>1089</v>
      </c>
      <c r="E1013">
        <v>8.8662720689595201E-2</v>
      </c>
      <c r="F1013">
        <v>8.8662720689595201E-2</v>
      </c>
    </row>
    <row r="1014" spans="1:6" x14ac:dyDescent="0.2">
      <c r="A1014">
        <v>469</v>
      </c>
      <c r="B1014" s="13" t="s">
        <v>1090</v>
      </c>
      <c r="C1014" s="1">
        <v>45432</v>
      </c>
      <c r="D1014" s="13" t="s">
        <v>1090</v>
      </c>
      <c r="E1014">
        <v>0.174128542348124</v>
      </c>
      <c r="F1014">
        <v>0.174128542348124</v>
      </c>
    </row>
    <row r="1015" spans="1:6" x14ac:dyDescent="0.2">
      <c r="A1015">
        <v>469</v>
      </c>
      <c r="B1015" s="13" t="s">
        <v>1091</v>
      </c>
      <c r="C1015" s="1">
        <v>45292</v>
      </c>
      <c r="D1015" s="13" t="s">
        <v>1091</v>
      </c>
      <c r="E1015">
        <v>0.147549976833413</v>
      </c>
      <c r="F1015">
        <v>0.147549976833413</v>
      </c>
    </row>
    <row r="1016" spans="1:6" x14ac:dyDescent="0.2">
      <c r="A1016">
        <v>470</v>
      </c>
      <c r="B1016" s="13" t="s">
        <v>1092</v>
      </c>
      <c r="C1016" s="1">
        <v>45355</v>
      </c>
      <c r="D1016" s="13" t="s">
        <v>1092</v>
      </c>
      <c r="E1016">
        <v>0.19731497933098299</v>
      </c>
      <c r="F1016">
        <v>0.19731497933098299</v>
      </c>
    </row>
    <row r="1017" spans="1:6" x14ac:dyDescent="0.2">
      <c r="A1017">
        <v>471</v>
      </c>
      <c r="B1017" s="13" t="s">
        <v>1093</v>
      </c>
      <c r="C1017" s="1">
        <v>45374</v>
      </c>
      <c r="D1017" s="13" t="s">
        <v>1093</v>
      </c>
      <c r="E1017">
        <v>4.3839714620462697E-2</v>
      </c>
      <c r="F1017">
        <v>4.3839714620462697E-2</v>
      </c>
    </row>
    <row r="1018" spans="1:6" x14ac:dyDescent="0.2">
      <c r="A1018">
        <v>471</v>
      </c>
      <c r="B1018" s="13" t="s">
        <v>1094</v>
      </c>
      <c r="C1018" s="1">
        <v>45610</v>
      </c>
      <c r="D1018" s="13" t="s">
        <v>1094</v>
      </c>
      <c r="E1018">
        <v>0.13128240295635599</v>
      </c>
      <c r="F1018">
        <v>0.13128240295635599</v>
      </c>
    </row>
    <row r="1019" spans="1:6" x14ac:dyDescent="0.2">
      <c r="A1019">
        <v>471</v>
      </c>
      <c r="B1019" s="13" t="s">
        <v>1095</v>
      </c>
      <c r="C1019" s="1">
        <v>45582</v>
      </c>
      <c r="D1019" s="13" t="s">
        <v>1095</v>
      </c>
      <c r="E1019">
        <v>0.120796776564893</v>
      </c>
      <c r="F1019">
        <v>0.120796776564893</v>
      </c>
    </row>
    <row r="1020" spans="1:6" x14ac:dyDescent="0.2">
      <c r="A1020">
        <v>472</v>
      </c>
      <c r="B1020" s="13" t="s">
        <v>1096</v>
      </c>
      <c r="C1020" s="1">
        <v>45445</v>
      </c>
      <c r="D1020" s="13" t="s">
        <v>1096</v>
      </c>
      <c r="E1020">
        <v>4.2920748760388303E-2</v>
      </c>
      <c r="F1020">
        <v>4.2920748760388303E-2</v>
      </c>
    </row>
    <row r="1021" spans="1:6" x14ac:dyDescent="0.2">
      <c r="A1021">
        <v>473</v>
      </c>
      <c r="B1021" s="13" t="s">
        <v>1097</v>
      </c>
      <c r="C1021" s="1">
        <v>45296</v>
      </c>
      <c r="D1021" s="13" t="s">
        <v>1097</v>
      </c>
      <c r="E1021">
        <v>0.35325005297013701</v>
      </c>
      <c r="F1021">
        <v>0.35325005297013701</v>
      </c>
    </row>
    <row r="1022" spans="1:6" x14ac:dyDescent="0.2">
      <c r="A1022">
        <v>473</v>
      </c>
      <c r="B1022" s="13" t="s">
        <v>1098</v>
      </c>
      <c r="C1022" s="1">
        <v>45313</v>
      </c>
      <c r="D1022" s="13" t="s">
        <v>1098</v>
      </c>
      <c r="E1022">
        <v>0.18104415261513401</v>
      </c>
      <c r="F1022">
        <v>0.18104415261513401</v>
      </c>
    </row>
    <row r="1023" spans="1:6" x14ac:dyDescent="0.2">
      <c r="A1023">
        <v>474</v>
      </c>
      <c r="B1023" s="13" t="s">
        <v>1099</v>
      </c>
      <c r="C1023" s="1">
        <v>45422</v>
      </c>
      <c r="D1023" s="13" t="s">
        <v>1099</v>
      </c>
      <c r="E1023">
        <v>0.16654641409135401</v>
      </c>
      <c r="F1023">
        <v>0.16654641409135401</v>
      </c>
    </row>
    <row r="1024" spans="1:6" x14ac:dyDescent="0.2">
      <c r="A1024">
        <v>475</v>
      </c>
      <c r="B1024" s="13" t="s">
        <v>1100</v>
      </c>
      <c r="C1024" s="1">
        <v>45379</v>
      </c>
      <c r="D1024" s="13" t="s">
        <v>1100</v>
      </c>
      <c r="E1024">
        <v>0.15202310920613901</v>
      </c>
      <c r="F1024">
        <v>0.15202310920613901</v>
      </c>
    </row>
    <row r="1025" spans="1:6" x14ac:dyDescent="0.2">
      <c r="A1025">
        <v>475</v>
      </c>
      <c r="B1025" s="13" t="s">
        <v>1101</v>
      </c>
      <c r="C1025" s="1">
        <v>45537</v>
      </c>
      <c r="D1025" s="13" t="s">
        <v>1101</v>
      </c>
      <c r="E1025">
        <v>0.21887616000736901</v>
      </c>
      <c r="F1025">
        <v>0.21887616000736901</v>
      </c>
    </row>
    <row r="1026" spans="1:6" x14ac:dyDescent="0.2">
      <c r="A1026">
        <v>476</v>
      </c>
      <c r="B1026" s="13" t="s">
        <v>1102</v>
      </c>
      <c r="C1026" s="1">
        <v>45597</v>
      </c>
      <c r="D1026" s="13" t="s">
        <v>1102</v>
      </c>
      <c r="E1026">
        <v>0.29109221828168502</v>
      </c>
      <c r="F1026">
        <v>0.29109221828168502</v>
      </c>
    </row>
    <row r="1027" spans="1:6" x14ac:dyDescent="0.2">
      <c r="A1027">
        <v>476</v>
      </c>
      <c r="B1027" s="13" t="s">
        <v>1103</v>
      </c>
      <c r="C1027" s="1">
        <v>45438</v>
      </c>
      <c r="D1027" s="13" t="s">
        <v>1103</v>
      </c>
      <c r="E1027">
        <v>0.13220028801091399</v>
      </c>
      <c r="F1027">
        <v>0.13220028801091399</v>
      </c>
    </row>
    <row r="1028" spans="1:6" x14ac:dyDescent="0.2">
      <c r="A1028">
        <v>477</v>
      </c>
      <c r="B1028" s="13" t="s">
        <v>1104</v>
      </c>
      <c r="C1028" s="1">
        <v>45329</v>
      </c>
      <c r="D1028" s="13" t="s">
        <v>1104</v>
      </c>
      <c r="E1028">
        <v>0.190676620733427</v>
      </c>
      <c r="F1028">
        <v>0.190676620733427</v>
      </c>
    </row>
    <row r="1029" spans="1:6" x14ac:dyDescent="0.2">
      <c r="A1029">
        <v>477</v>
      </c>
      <c r="B1029" s="13" t="s">
        <v>1105</v>
      </c>
      <c r="C1029" s="1">
        <v>45472</v>
      </c>
      <c r="D1029" s="13" t="s">
        <v>1105</v>
      </c>
      <c r="E1029">
        <v>0.30770176927234599</v>
      </c>
      <c r="F1029">
        <v>0.30770176927234599</v>
      </c>
    </row>
    <row r="1030" spans="1:6" x14ac:dyDescent="0.2">
      <c r="A1030">
        <v>478</v>
      </c>
      <c r="B1030" s="13" t="s">
        <v>1106</v>
      </c>
      <c r="C1030" s="1">
        <v>45504</v>
      </c>
      <c r="D1030" s="13" t="s">
        <v>1106</v>
      </c>
      <c r="E1030">
        <v>3.9797943001342401E-2</v>
      </c>
      <c r="F1030">
        <v>3.9797943001342401E-2</v>
      </c>
    </row>
    <row r="1031" spans="1:6" x14ac:dyDescent="0.2">
      <c r="A1031">
        <v>478</v>
      </c>
      <c r="B1031" s="13" t="s">
        <v>1107</v>
      </c>
      <c r="C1031" s="1">
        <v>45557</v>
      </c>
      <c r="D1031" s="13" t="s">
        <v>1107</v>
      </c>
      <c r="E1031">
        <v>3.5527150664174202E-2</v>
      </c>
      <c r="F1031">
        <v>3.5527150664174202E-2</v>
      </c>
    </row>
    <row r="1032" spans="1:6" x14ac:dyDescent="0.2">
      <c r="A1032">
        <v>478</v>
      </c>
      <c r="B1032" s="13" t="s">
        <v>1108</v>
      </c>
      <c r="C1032" s="1">
        <v>45435</v>
      </c>
      <c r="D1032" s="13" t="s">
        <v>1108</v>
      </c>
      <c r="E1032">
        <v>7.9038186081242898E-2</v>
      </c>
      <c r="F1032">
        <v>7.9038186081242898E-2</v>
      </c>
    </row>
    <row r="1033" spans="1:6" x14ac:dyDescent="0.2">
      <c r="A1033">
        <v>478</v>
      </c>
      <c r="B1033" s="13" t="s">
        <v>1109</v>
      </c>
      <c r="C1033" s="1">
        <v>45528</v>
      </c>
      <c r="D1033" s="13" t="s">
        <v>1109</v>
      </c>
      <c r="E1033">
        <v>6.1894712940147097E-2</v>
      </c>
      <c r="F1033">
        <v>6.1894712940147097E-2</v>
      </c>
    </row>
    <row r="1034" spans="1:6" x14ac:dyDescent="0.2">
      <c r="A1034">
        <v>479</v>
      </c>
      <c r="B1034" s="13" t="s">
        <v>1110</v>
      </c>
      <c r="C1034" s="1">
        <v>45365</v>
      </c>
      <c r="D1034" s="13" t="s">
        <v>1110</v>
      </c>
      <c r="E1034">
        <v>0.15764049711522099</v>
      </c>
      <c r="F1034">
        <v>0.15764049711522099</v>
      </c>
    </row>
    <row r="1035" spans="1:6" x14ac:dyDescent="0.2">
      <c r="A1035">
        <v>479</v>
      </c>
      <c r="B1035" s="13" t="s">
        <v>1111</v>
      </c>
      <c r="C1035" s="1">
        <v>45628</v>
      </c>
      <c r="D1035" s="13" t="s">
        <v>1111</v>
      </c>
      <c r="E1035">
        <v>0.25351653176648298</v>
      </c>
      <c r="F1035">
        <v>0.25351653176648298</v>
      </c>
    </row>
    <row r="1036" spans="1:6" x14ac:dyDescent="0.2">
      <c r="A1036">
        <v>479</v>
      </c>
      <c r="B1036" s="13" t="s">
        <v>345</v>
      </c>
      <c r="C1036" s="1">
        <v>45356</v>
      </c>
      <c r="D1036" s="13" t="s">
        <v>345</v>
      </c>
      <c r="E1036">
        <v>7.22345773449415E-2</v>
      </c>
      <c r="F1036">
        <v>7.22345773449415E-2</v>
      </c>
    </row>
    <row r="1037" spans="1:6" x14ac:dyDescent="0.2">
      <c r="A1037">
        <v>480</v>
      </c>
      <c r="B1037" s="13" t="s">
        <v>1112</v>
      </c>
      <c r="C1037" s="1">
        <v>45421</v>
      </c>
      <c r="D1037" s="13" t="s">
        <v>1112</v>
      </c>
      <c r="E1037">
        <v>3.7106791812144303E-2</v>
      </c>
      <c r="F1037">
        <v>3.7106791812144303E-2</v>
      </c>
    </row>
    <row r="1038" spans="1:6" x14ac:dyDescent="0.2">
      <c r="A1038">
        <v>480</v>
      </c>
      <c r="B1038" s="13" t="s">
        <v>346</v>
      </c>
      <c r="C1038" s="1">
        <v>45584</v>
      </c>
      <c r="D1038" s="13" t="s">
        <v>346</v>
      </c>
      <c r="E1038">
        <v>0.27884722485664099</v>
      </c>
      <c r="F1038">
        <v>0.27884722485664099</v>
      </c>
    </row>
    <row r="1039" spans="1:6" x14ac:dyDescent="0.2">
      <c r="A1039">
        <v>481</v>
      </c>
      <c r="B1039" s="13" t="s">
        <v>1113</v>
      </c>
      <c r="C1039" s="1">
        <v>45481</v>
      </c>
      <c r="D1039" s="13" t="s">
        <v>1113</v>
      </c>
      <c r="E1039">
        <v>0.20417477566117501</v>
      </c>
      <c r="F1039">
        <v>0.20417477566117501</v>
      </c>
    </row>
    <row r="1040" spans="1:6" x14ac:dyDescent="0.2">
      <c r="A1040">
        <v>481</v>
      </c>
      <c r="B1040" s="13" t="s">
        <v>1114</v>
      </c>
      <c r="C1040" s="1">
        <v>45529</v>
      </c>
      <c r="D1040" s="13" t="s">
        <v>1114</v>
      </c>
      <c r="E1040">
        <v>0.25971312671028801</v>
      </c>
      <c r="F1040">
        <v>0.25971312671028801</v>
      </c>
    </row>
    <row r="1041" spans="1:6" x14ac:dyDescent="0.2">
      <c r="A1041">
        <v>481</v>
      </c>
      <c r="B1041" s="13" t="s">
        <v>1115</v>
      </c>
      <c r="C1041" s="1">
        <v>45583</v>
      </c>
      <c r="D1041" s="13" t="s">
        <v>1115</v>
      </c>
      <c r="E1041">
        <v>0.229471392774484</v>
      </c>
      <c r="F1041">
        <v>0.229471392774484</v>
      </c>
    </row>
    <row r="1042" spans="1:6" x14ac:dyDescent="0.2">
      <c r="A1042">
        <v>482</v>
      </c>
      <c r="B1042" s="13" t="s">
        <v>1116</v>
      </c>
      <c r="C1042" s="1">
        <v>45479</v>
      </c>
      <c r="D1042" s="13" t="s">
        <v>1116</v>
      </c>
      <c r="E1042">
        <v>8.09019991137023E-2</v>
      </c>
      <c r="F1042">
        <v>8.09019991137023E-2</v>
      </c>
    </row>
    <row r="1043" spans="1:6" x14ac:dyDescent="0.2">
      <c r="A1043">
        <v>483</v>
      </c>
      <c r="B1043" s="13" t="s">
        <v>1117</v>
      </c>
      <c r="C1043" s="1">
        <v>45358</v>
      </c>
      <c r="D1043" s="13" t="s">
        <v>1117</v>
      </c>
      <c r="E1043">
        <v>8.3021089419299393E-2</v>
      </c>
      <c r="F1043">
        <v>8.3021089419299393E-2</v>
      </c>
    </row>
    <row r="1044" spans="1:6" x14ac:dyDescent="0.2">
      <c r="A1044">
        <v>483</v>
      </c>
      <c r="B1044" s="13" t="s">
        <v>1118</v>
      </c>
      <c r="C1044" s="1">
        <v>45416</v>
      </c>
      <c r="D1044" s="13" t="s">
        <v>1118</v>
      </c>
      <c r="E1044">
        <v>7.7609281572106406E-2</v>
      </c>
      <c r="F1044">
        <v>7.7609281572106406E-2</v>
      </c>
    </row>
    <row r="1045" spans="1:6" x14ac:dyDescent="0.2">
      <c r="A1045">
        <v>483</v>
      </c>
      <c r="B1045" s="13" t="s">
        <v>1119</v>
      </c>
      <c r="C1045" s="1">
        <v>45315</v>
      </c>
      <c r="D1045" s="13" t="s">
        <v>1119</v>
      </c>
      <c r="E1045">
        <v>0.16533716063156501</v>
      </c>
      <c r="F1045">
        <v>0.16533716063156501</v>
      </c>
    </row>
    <row r="1046" spans="1:6" x14ac:dyDescent="0.2">
      <c r="A1046">
        <v>484</v>
      </c>
      <c r="B1046" s="13" t="s">
        <v>347</v>
      </c>
      <c r="C1046" s="1">
        <v>45607</v>
      </c>
      <c r="D1046" s="13" t="s">
        <v>347</v>
      </c>
      <c r="E1046">
        <v>0.53304082386872698</v>
      </c>
      <c r="F1046">
        <v>0.53304082386872698</v>
      </c>
    </row>
    <row r="1047" spans="1:6" x14ac:dyDescent="0.2">
      <c r="A1047">
        <v>484</v>
      </c>
      <c r="B1047" s="13" t="s">
        <v>348</v>
      </c>
      <c r="C1047" s="1">
        <v>45601</v>
      </c>
      <c r="D1047" s="13" t="s">
        <v>348</v>
      </c>
      <c r="E1047">
        <v>8.6044246795247498E-2</v>
      </c>
      <c r="F1047">
        <v>8.6044246795247498E-2</v>
      </c>
    </row>
    <row r="1048" spans="1:6" x14ac:dyDescent="0.2">
      <c r="A1048">
        <v>485</v>
      </c>
      <c r="B1048" s="13" t="s">
        <v>1120</v>
      </c>
      <c r="C1048" s="1">
        <v>45380</v>
      </c>
      <c r="D1048" s="13" t="s">
        <v>1120</v>
      </c>
      <c r="E1048">
        <v>0.37283804185935199</v>
      </c>
      <c r="F1048">
        <v>0.37283804185935199</v>
      </c>
    </row>
    <row r="1049" spans="1:6" x14ac:dyDescent="0.2">
      <c r="A1049">
        <v>486</v>
      </c>
      <c r="B1049" s="13" t="s">
        <v>1121</v>
      </c>
      <c r="C1049" s="1">
        <v>45312</v>
      </c>
      <c r="D1049" s="13" t="s">
        <v>1121</v>
      </c>
      <c r="E1049">
        <v>0.38754726329033101</v>
      </c>
      <c r="F1049">
        <v>0.38754726329033101</v>
      </c>
    </row>
    <row r="1050" spans="1:6" x14ac:dyDescent="0.2">
      <c r="A1050">
        <v>486</v>
      </c>
      <c r="B1050" s="13" t="s">
        <v>349</v>
      </c>
      <c r="C1050" s="1">
        <v>45295</v>
      </c>
      <c r="D1050" s="13" t="s">
        <v>349</v>
      </c>
      <c r="E1050">
        <v>4.7134393548263098E-2</v>
      </c>
      <c r="F1050">
        <v>4.7134393548263098E-2</v>
      </c>
    </row>
    <row r="1051" spans="1:6" x14ac:dyDescent="0.2">
      <c r="A1051">
        <v>486</v>
      </c>
      <c r="B1051" s="13" t="s">
        <v>350</v>
      </c>
      <c r="C1051" s="1">
        <v>45338</v>
      </c>
      <c r="D1051" s="13" t="s">
        <v>350</v>
      </c>
      <c r="E1051">
        <v>0.31813217157907703</v>
      </c>
      <c r="F1051">
        <v>0.31813217157907703</v>
      </c>
    </row>
    <row r="1052" spans="1:6" x14ac:dyDescent="0.2">
      <c r="A1052">
        <v>487</v>
      </c>
      <c r="B1052" s="13" t="s">
        <v>1122</v>
      </c>
      <c r="C1052" s="1">
        <v>45388</v>
      </c>
      <c r="D1052" s="13" t="s">
        <v>1122</v>
      </c>
      <c r="E1052">
        <v>8.1921713134278595E-2</v>
      </c>
      <c r="F1052">
        <v>8.1921713134278595E-2</v>
      </c>
    </row>
    <row r="1053" spans="1:6" x14ac:dyDescent="0.2">
      <c r="A1053">
        <v>487</v>
      </c>
      <c r="B1053" s="13" t="s">
        <v>1123</v>
      </c>
      <c r="C1053" s="1">
        <v>45638</v>
      </c>
      <c r="D1053" s="13" t="s">
        <v>1123</v>
      </c>
      <c r="E1053">
        <v>0.21043709540518399</v>
      </c>
      <c r="F1053">
        <v>0.21043709540518399</v>
      </c>
    </row>
    <row r="1054" spans="1:6" x14ac:dyDescent="0.2">
      <c r="A1054">
        <v>487</v>
      </c>
      <c r="B1054" s="13" t="s">
        <v>351</v>
      </c>
      <c r="C1054" s="1">
        <v>45299</v>
      </c>
      <c r="D1054" s="13" t="s">
        <v>351</v>
      </c>
      <c r="E1054">
        <v>3.5954833764024197E-2</v>
      </c>
      <c r="F1054">
        <v>3.5954833764024197E-2</v>
      </c>
    </row>
    <row r="1055" spans="1:6" x14ac:dyDescent="0.2">
      <c r="A1055">
        <v>488</v>
      </c>
      <c r="B1055" s="13" t="s">
        <v>1124</v>
      </c>
      <c r="C1055" s="1">
        <v>45387</v>
      </c>
      <c r="D1055" s="13" t="s">
        <v>1124</v>
      </c>
      <c r="E1055">
        <v>9.3110930371249095E-2</v>
      </c>
      <c r="F1055">
        <v>9.3110930371249095E-2</v>
      </c>
    </row>
    <row r="1056" spans="1:6" x14ac:dyDescent="0.2">
      <c r="A1056">
        <v>488</v>
      </c>
      <c r="B1056" s="13" t="s">
        <v>1125</v>
      </c>
      <c r="C1056" s="1">
        <v>45406</v>
      </c>
      <c r="D1056" s="13" t="s">
        <v>1125</v>
      </c>
      <c r="E1056">
        <v>0.111342024040837</v>
      </c>
      <c r="F1056">
        <v>0.111342024040837</v>
      </c>
    </row>
    <row r="1057" spans="1:6" x14ac:dyDescent="0.2">
      <c r="A1057">
        <v>489</v>
      </c>
      <c r="B1057" s="13" t="s">
        <v>1126</v>
      </c>
      <c r="C1057" s="1">
        <v>45307</v>
      </c>
      <c r="D1057" s="13" t="s">
        <v>1126</v>
      </c>
      <c r="E1057">
        <v>0.14490593934421001</v>
      </c>
      <c r="F1057">
        <v>0.14490593934421001</v>
      </c>
    </row>
    <row r="1058" spans="1:6" x14ac:dyDescent="0.2">
      <c r="A1058">
        <v>489</v>
      </c>
      <c r="B1058" s="13" t="s">
        <v>1127</v>
      </c>
      <c r="C1058" s="1">
        <v>45321</v>
      </c>
      <c r="D1058" s="13" t="s">
        <v>1127</v>
      </c>
      <c r="E1058">
        <v>0.11480283131050199</v>
      </c>
      <c r="F1058">
        <v>0.11480283131050199</v>
      </c>
    </row>
    <row r="1059" spans="1:6" x14ac:dyDescent="0.2">
      <c r="A1059">
        <v>490</v>
      </c>
      <c r="B1059" s="13" t="s">
        <v>352</v>
      </c>
      <c r="C1059" s="1">
        <v>45528</v>
      </c>
      <c r="D1059" s="13" t="s">
        <v>352</v>
      </c>
      <c r="E1059">
        <v>0.144683694710279</v>
      </c>
      <c r="F1059">
        <v>0.144683694710279</v>
      </c>
    </row>
    <row r="1060" spans="1:6" x14ac:dyDescent="0.2">
      <c r="A1060">
        <v>492</v>
      </c>
      <c r="B1060" s="13" t="s">
        <v>1128</v>
      </c>
      <c r="C1060" s="1">
        <v>45401</v>
      </c>
      <c r="D1060" s="13" t="s">
        <v>1128</v>
      </c>
      <c r="E1060">
        <v>0.32705994081226403</v>
      </c>
      <c r="F1060">
        <v>0.32705994081226403</v>
      </c>
    </row>
    <row r="1061" spans="1:6" x14ac:dyDescent="0.2">
      <c r="A1061">
        <v>492</v>
      </c>
      <c r="B1061" s="13" t="s">
        <v>1129</v>
      </c>
      <c r="C1061" s="1">
        <v>45542</v>
      </c>
      <c r="D1061" s="13" t="s">
        <v>1129</v>
      </c>
      <c r="E1061">
        <v>0.17505582227858599</v>
      </c>
      <c r="F1061">
        <v>0.17505582227858599</v>
      </c>
    </row>
    <row r="1062" spans="1:6" x14ac:dyDescent="0.2">
      <c r="A1062">
        <v>492</v>
      </c>
      <c r="B1062" s="13" t="s">
        <v>1130</v>
      </c>
      <c r="C1062" s="1">
        <v>45320</v>
      </c>
      <c r="D1062" s="13" t="s">
        <v>1130</v>
      </c>
      <c r="E1062">
        <v>0.30650693257531703</v>
      </c>
      <c r="F1062">
        <v>0.30650693257531703</v>
      </c>
    </row>
    <row r="1063" spans="1:6" x14ac:dyDescent="0.2">
      <c r="A1063">
        <v>492</v>
      </c>
      <c r="B1063" s="13" t="s">
        <v>353</v>
      </c>
      <c r="C1063" s="1">
        <v>45635</v>
      </c>
      <c r="D1063" s="13" t="s">
        <v>353</v>
      </c>
      <c r="E1063">
        <v>0.407848897635263</v>
      </c>
      <c r="F1063">
        <v>0.407848897635263</v>
      </c>
    </row>
    <row r="1064" spans="1:6" x14ac:dyDescent="0.2">
      <c r="A1064">
        <v>493</v>
      </c>
      <c r="B1064" s="13" t="s">
        <v>1131</v>
      </c>
      <c r="C1064" s="1">
        <v>45372</v>
      </c>
      <c r="D1064" s="13" t="s">
        <v>1131</v>
      </c>
      <c r="E1064">
        <v>0.13346793189872</v>
      </c>
      <c r="F1064">
        <v>0.13346793189872</v>
      </c>
    </row>
    <row r="1065" spans="1:6" x14ac:dyDescent="0.2">
      <c r="A1065">
        <v>493</v>
      </c>
      <c r="B1065" s="13" t="s">
        <v>1132</v>
      </c>
      <c r="C1065" s="1">
        <v>45430</v>
      </c>
      <c r="D1065" s="13" t="s">
        <v>1132</v>
      </c>
      <c r="E1065">
        <v>5.1201476354621203E-2</v>
      </c>
      <c r="F1065">
        <v>5.1201476354621203E-2</v>
      </c>
    </row>
    <row r="1066" spans="1:6" x14ac:dyDescent="0.2">
      <c r="A1066">
        <v>494</v>
      </c>
      <c r="B1066" s="13" t="s">
        <v>1133</v>
      </c>
      <c r="C1066" s="1">
        <v>45363</v>
      </c>
      <c r="D1066" s="13" t="s">
        <v>1133</v>
      </c>
      <c r="E1066">
        <v>0.13649800393747799</v>
      </c>
      <c r="F1066">
        <v>0.13649800393747799</v>
      </c>
    </row>
    <row r="1067" spans="1:6" x14ac:dyDescent="0.2">
      <c r="A1067">
        <v>494</v>
      </c>
      <c r="B1067" s="13" t="s">
        <v>1134</v>
      </c>
      <c r="C1067" s="1">
        <v>45445</v>
      </c>
      <c r="D1067" s="13" t="s">
        <v>1134</v>
      </c>
      <c r="E1067">
        <v>0.12598592353982699</v>
      </c>
      <c r="F1067">
        <v>0.12598592353982699</v>
      </c>
    </row>
    <row r="1068" spans="1:6" x14ac:dyDescent="0.2">
      <c r="A1068">
        <v>495</v>
      </c>
      <c r="B1068" s="13" t="s">
        <v>1135</v>
      </c>
      <c r="C1068" s="1">
        <v>45533</v>
      </c>
      <c r="D1068" s="13" t="s">
        <v>1135</v>
      </c>
      <c r="E1068">
        <v>0.107639359520403</v>
      </c>
      <c r="F1068">
        <v>0.107639359520403</v>
      </c>
    </row>
    <row r="1069" spans="1:6" x14ac:dyDescent="0.2">
      <c r="A1069">
        <v>495</v>
      </c>
      <c r="B1069" s="13" t="s">
        <v>1136</v>
      </c>
      <c r="C1069" s="1">
        <v>45439</v>
      </c>
      <c r="D1069" s="13" t="s">
        <v>1136</v>
      </c>
      <c r="E1069">
        <v>0.29995178253434102</v>
      </c>
      <c r="F1069">
        <v>0.29995178253434102</v>
      </c>
    </row>
    <row r="1070" spans="1:6" x14ac:dyDescent="0.2">
      <c r="A1070">
        <v>495</v>
      </c>
      <c r="B1070" s="13" t="s">
        <v>1137</v>
      </c>
      <c r="C1070" s="1">
        <v>45533</v>
      </c>
      <c r="D1070" s="13" t="s">
        <v>1137</v>
      </c>
      <c r="E1070">
        <v>0.13973166141962701</v>
      </c>
      <c r="F1070">
        <v>0.13973166141962701</v>
      </c>
    </row>
    <row r="1071" spans="1:6" x14ac:dyDescent="0.2">
      <c r="A1071">
        <v>497</v>
      </c>
      <c r="B1071" s="13" t="s">
        <v>1138</v>
      </c>
      <c r="C1071" s="1">
        <v>45450</v>
      </c>
      <c r="D1071" s="13" t="s">
        <v>1138</v>
      </c>
      <c r="E1071">
        <v>0.18667376772121599</v>
      </c>
      <c r="F1071">
        <v>0.18667376772121599</v>
      </c>
    </row>
    <row r="1072" spans="1:6" x14ac:dyDescent="0.2">
      <c r="A1072">
        <v>497</v>
      </c>
      <c r="B1072" s="13" t="s">
        <v>1139</v>
      </c>
      <c r="C1072" s="1">
        <v>45655</v>
      </c>
      <c r="D1072" s="13" t="s">
        <v>1139</v>
      </c>
      <c r="E1072">
        <v>0.37160753506521299</v>
      </c>
      <c r="F1072">
        <v>0.37160753506521299</v>
      </c>
    </row>
    <row r="1073" spans="1:6" x14ac:dyDescent="0.2">
      <c r="A1073">
        <v>497</v>
      </c>
      <c r="B1073" s="13" t="s">
        <v>1140</v>
      </c>
      <c r="C1073" s="1">
        <v>45599</v>
      </c>
      <c r="D1073" s="13" t="s">
        <v>1140</v>
      </c>
      <c r="E1073">
        <v>9.6759566382772999E-2</v>
      </c>
      <c r="F1073">
        <v>9.6759566382772999E-2</v>
      </c>
    </row>
    <row r="1074" spans="1:6" x14ac:dyDescent="0.2">
      <c r="A1074">
        <v>498</v>
      </c>
      <c r="B1074" s="13" t="s">
        <v>354</v>
      </c>
      <c r="C1074" s="1">
        <v>45395</v>
      </c>
      <c r="D1074" s="13" t="s">
        <v>354</v>
      </c>
      <c r="E1074">
        <v>9.5348750805096694E-2</v>
      </c>
      <c r="F1074">
        <v>9.5348750805096694E-2</v>
      </c>
    </row>
    <row r="1075" spans="1:6" x14ac:dyDescent="0.2">
      <c r="A1075">
        <v>498</v>
      </c>
      <c r="B1075" s="13" t="s">
        <v>355</v>
      </c>
      <c r="C1075" s="1">
        <v>45353</v>
      </c>
      <c r="D1075" s="13" t="s">
        <v>355</v>
      </c>
      <c r="E1075">
        <v>0.17822296700037599</v>
      </c>
      <c r="F1075">
        <v>0.17822296700037599</v>
      </c>
    </row>
    <row r="1076" spans="1:6" x14ac:dyDescent="0.2">
      <c r="A1076">
        <v>498</v>
      </c>
      <c r="B1076" s="13" t="s">
        <v>356</v>
      </c>
      <c r="C1076" s="1">
        <v>45297</v>
      </c>
      <c r="D1076" s="13" t="s">
        <v>356</v>
      </c>
      <c r="E1076">
        <v>0.112952024686682</v>
      </c>
      <c r="F1076">
        <v>0.112952024686682</v>
      </c>
    </row>
    <row r="1077" spans="1:6" x14ac:dyDescent="0.2">
      <c r="A1077">
        <v>498</v>
      </c>
      <c r="B1077" s="13" t="s">
        <v>357</v>
      </c>
      <c r="C1077" s="1">
        <v>45546</v>
      </c>
      <c r="D1077" s="13" t="s">
        <v>357</v>
      </c>
      <c r="E1077">
        <v>0.14424303690387899</v>
      </c>
      <c r="F1077">
        <v>0.14424303690387899</v>
      </c>
    </row>
    <row r="1078" spans="1:6" x14ac:dyDescent="0.2">
      <c r="A1078">
        <v>499</v>
      </c>
      <c r="B1078" s="13" t="s">
        <v>1141</v>
      </c>
      <c r="C1078" s="1">
        <v>45341</v>
      </c>
      <c r="D1078" s="13" t="s">
        <v>1141</v>
      </c>
      <c r="E1078">
        <v>0.19360501144457501</v>
      </c>
      <c r="F1078">
        <v>0.19360501144457501</v>
      </c>
    </row>
    <row r="1079" spans="1:6" x14ac:dyDescent="0.2">
      <c r="A1079">
        <v>499</v>
      </c>
      <c r="B1079" s="13" t="s">
        <v>1142</v>
      </c>
      <c r="C1079" s="1">
        <v>45493</v>
      </c>
      <c r="D1079" s="13" t="s">
        <v>1142</v>
      </c>
      <c r="E1079">
        <v>0.265405618981022</v>
      </c>
      <c r="F1079">
        <v>0.265405618981022</v>
      </c>
    </row>
    <row r="1080" spans="1:6" x14ac:dyDescent="0.2">
      <c r="A1080">
        <v>500</v>
      </c>
      <c r="B1080" s="13" t="s">
        <v>1143</v>
      </c>
      <c r="C1080" s="1">
        <v>45556</v>
      </c>
      <c r="D1080" s="13" t="s">
        <v>1143</v>
      </c>
      <c r="E1080">
        <v>6.7333068979327199E-2</v>
      </c>
      <c r="F1080">
        <v>6.7333068979327199E-2</v>
      </c>
    </row>
  </sheetData>
  <phoneticPr fontId="4" type="noConversion"/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69E2-991D-2543-9D02-623C79944BCA}">
  <sheetPr codeName="Sheet5"/>
  <dimension ref="B1:G1082"/>
  <sheetViews>
    <sheetView workbookViewId="0">
      <selection activeCell="F8" sqref="F8"/>
    </sheetView>
  </sheetViews>
  <sheetFormatPr baseColWidth="10" defaultRowHeight="16" x14ac:dyDescent="0.2"/>
  <cols>
    <col min="2" max="2" width="20.83203125" customWidth="1"/>
    <col min="3" max="3" width="21" customWidth="1"/>
    <col min="5" max="5" width="15.5" customWidth="1"/>
    <col min="7" max="7" width="13.1640625" customWidth="1"/>
    <col min="10" max="10" width="17.6640625" customWidth="1"/>
  </cols>
  <sheetData>
    <row r="1" spans="2:7" x14ac:dyDescent="0.2">
      <c r="B1" t="s">
        <v>41</v>
      </c>
    </row>
    <row r="3" spans="2:7" x14ac:dyDescent="0.2">
      <c r="B3" t="s">
        <v>39</v>
      </c>
      <c r="C3" t="s">
        <v>40</v>
      </c>
    </row>
    <row r="4" spans="2:7" x14ac:dyDescent="0.2">
      <c r="B4" cm="1">
        <f t="array" ref="B4:B1082">_xlfn._xlws.SORT(_xlfn.UNIQUE(claimSimResults[ValidClaimAmount]), 1, -1)</f>
        <v>1.20154181782631</v>
      </c>
      <c r="C4" cm="1">
        <f t="array" ref="C4:C1082">_xlfn.BYROW(_xlfn.ANCHORARRAY(B4), _xlfn.LAMBDA(_xlpm.x, COUNTIF(claimSimResults[ValidClaimAmount], "&lt;=" &amp; _xlpm.x) / COUNT(claimSimResults[ValidClaimAmount])))</f>
        <v>1</v>
      </c>
    </row>
    <row r="5" spans="2:7" x14ac:dyDescent="0.2">
      <c r="B5">
        <v>0.74981548395261599</v>
      </c>
      <c r="C5">
        <v>0.99907321594068577</v>
      </c>
      <c r="G5" s="8"/>
    </row>
    <row r="6" spans="2:7" x14ac:dyDescent="0.2">
      <c r="B6">
        <v>0.74919430560186095</v>
      </c>
      <c r="C6">
        <v>0.99814643188137164</v>
      </c>
    </row>
    <row r="7" spans="2:7" x14ac:dyDescent="0.2">
      <c r="B7">
        <v>0.72833679507367799</v>
      </c>
      <c r="C7">
        <v>0.99721964782205741</v>
      </c>
    </row>
    <row r="8" spans="2:7" x14ac:dyDescent="0.2">
      <c r="B8">
        <v>0.68041682076662502</v>
      </c>
      <c r="C8">
        <v>0.99629286376274329</v>
      </c>
    </row>
    <row r="9" spans="2:7" x14ac:dyDescent="0.2">
      <c r="B9">
        <v>0.67198246307199405</v>
      </c>
      <c r="C9">
        <v>0.99536607970342905</v>
      </c>
    </row>
    <row r="10" spans="2:7" x14ac:dyDescent="0.2">
      <c r="B10">
        <v>0.634011850913488</v>
      </c>
      <c r="C10">
        <v>0.99443929564411493</v>
      </c>
    </row>
    <row r="11" spans="2:7" x14ac:dyDescent="0.2">
      <c r="B11">
        <v>0.63014249426182001</v>
      </c>
      <c r="C11">
        <v>0.99351251158480069</v>
      </c>
    </row>
    <row r="12" spans="2:7" x14ac:dyDescent="0.2">
      <c r="B12">
        <v>0.62567634252573101</v>
      </c>
      <c r="C12">
        <v>0.99258572752548657</v>
      </c>
    </row>
    <row r="13" spans="2:7" x14ac:dyDescent="0.2">
      <c r="B13">
        <v>0.61899187396623001</v>
      </c>
      <c r="C13">
        <v>0.99165894346617234</v>
      </c>
    </row>
    <row r="14" spans="2:7" x14ac:dyDescent="0.2">
      <c r="B14">
        <v>0.60588286989219597</v>
      </c>
      <c r="C14">
        <v>0.99073215940685821</v>
      </c>
    </row>
    <row r="15" spans="2:7" x14ac:dyDescent="0.2">
      <c r="B15">
        <v>0.60072672632240098</v>
      </c>
      <c r="C15">
        <v>0.98980537534754398</v>
      </c>
    </row>
    <row r="16" spans="2:7" x14ac:dyDescent="0.2">
      <c r="B16">
        <v>0.59912584101316901</v>
      </c>
      <c r="C16">
        <v>0.98887859128822986</v>
      </c>
    </row>
    <row r="17" spans="2:3" x14ac:dyDescent="0.2">
      <c r="B17">
        <v>0.57670574679278097</v>
      </c>
      <c r="C17">
        <v>0.98795180722891562</v>
      </c>
    </row>
    <row r="18" spans="2:3" x14ac:dyDescent="0.2">
      <c r="B18">
        <v>0.57583264204043605</v>
      </c>
      <c r="C18">
        <v>0.9870250231696015</v>
      </c>
    </row>
    <row r="19" spans="2:3" x14ac:dyDescent="0.2">
      <c r="B19">
        <v>0.57427941753996403</v>
      </c>
      <c r="C19">
        <v>0.98609823911028727</v>
      </c>
    </row>
    <row r="20" spans="2:3" x14ac:dyDescent="0.2">
      <c r="B20">
        <v>0.57386402372842005</v>
      </c>
      <c r="C20">
        <v>0.98517145505097314</v>
      </c>
    </row>
    <row r="21" spans="2:3" x14ac:dyDescent="0.2">
      <c r="B21">
        <v>0.57295267501220504</v>
      </c>
      <c r="C21">
        <v>0.98424467099165891</v>
      </c>
    </row>
    <row r="22" spans="2:3" x14ac:dyDescent="0.2">
      <c r="B22">
        <v>0.57203800723345399</v>
      </c>
      <c r="C22">
        <v>0.98331788693234479</v>
      </c>
    </row>
    <row r="23" spans="2:3" x14ac:dyDescent="0.2">
      <c r="B23">
        <v>0.55198876314835299</v>
      </c>
      <c r="C23">
        <v>0.98239110287303055</v>
      </c>
    </row>
    <row r="24" spans="2:3" x14ac:dyDescent="0.2">
      <c r="B24">
        <v>0.53990159457133902</v>
      </c>
      <c r="C24">
        <v>0.98146431881371643</v>
      </c>
    </row>
    <row r="25" spans="2:3" x14ac:dyDescent="0.2">
      <c r="B25">
        <v>0.53819355738755803</v>
      </c>
      <c r="C25">
        <v>0.9805375347544022</v>
      </c>
    </row>
    <row r="26" spans="2:3" x14ac:dyDescent="0.2">
      <c r="B26">
        <v>0.53806837327236801</v>
      </c>
      <c r="C26">
        <v>0.97961075069508807</v>
      </c>
    </row>
    <row r="27" spans="2:3" x14ac:dyDescent="0.2">
      <c r="B27">
        <v>0.53749921481293494</v>
      </c>
      <c r="C27">
        <v>0.97868396663577384</v>
      </c>
    </row>
    <row r="28" spans="2:3" x14ac:dyDescent="0.2">
      <c r="B28">
        <v>0.53304082386872698</v>
      </c>
      <c r="C28">
        <v>0.97775718257645972</v>
      </c>
    </row>
    <row r="29" spans="2:3" x14ac:dyDescent="0.2">
      <c r="B29">
        <v>0.53073292341779799</v>
      </c>
      <c r="C29">
        <v>0.97683039851714548</v>
      </c>
    </row>
    <row r="30" spans="2:3" x14ac:dyDescent="0.2">
      <c r="B30">
        <v>0.521626582615622</v>
      </c>
      <c r="C30">
        <v>0.97590361445783136</v>
      </c>
    </row>
    <row r="31" spans="2:3" x14ac:dyDescent="0.2">
      <c r="B31">
        <v>0.51118086435928101</v>
      </c>
      <c r="C31">
        <v>0.97497683039851712</v>
      </c>
    </row>
    <row r="32" spans="2:3" x14ac:dyDescent="0.2">
      <c r="B32">
        <v>0.50925063351927902</v>
      </c>
      <c r="C32">
        <v>0.974050046339203</v>
      </c>
    </row>
    <row r="33" spans="2:3" x14ac:dyDescent="0.2">
      <c r="B33">
        <v>0.50845740535853301</v>
      </c>
      <c r="C33">
        <v>0.97312326227988877</v>
      </c>
    </row>
    <row r="34" spans="2:3" x14ac:dyDescent="0.2">
      <c r="B34">
        <v>0.50507739275839103</v>
      </c>
      <c r="C34">
        <v>0.97219647822057464</v>
      </c>
    </row>
    <row r="35" spans="2:3" x14ac:dyDescent="0.2">
      <c r="B35">
        <v>0.50244036395894798</v>
      </c>
      <c r="C35">
        <v>0.97126969416126041</v>
      </c>
    </row>
    <row r="36" spans="2:3" x14ac:dyDescent="0.2">
      <c r="B36">
        <v>0.50078769973395998</v>
      </c>
      <c r="C36">
        <v>0.97034291010194629</v>
      </c>
    </row>
    <row r="37" spans="2:3" x14ac:dyDescent="0.2">
      <c r="B37">
        <v>0.49570958035715701</v>
      </c>
      <c r="C37">
        <v>0.96941612604263205</v>
      </c>
    </row>
    <row r="38" spans="2:3" x14ac:dyDescent="0.2">
      <c r="B38">
        <v>0.48319205344236799</v>
      </c>
      <c r="C38">
        <v>0.96848934198331793</v>
      </c>
    </row>
    <row r="39" spans="2:3" x14ac:dyDescent="0.2">
      <c r="B39">
        <v>0.48015870850327003</v>
      </c>
      <c r="C39">
        <v>0.9675625579240037</v>
      </c>
    </row>
    <row r="40" spans="2:3" x14ac:dyDescent="0.2">
      <c r="B40">
        <v>0.47438884588432301</v>
      </c>
      <c r="C40">
        <v>0.96663577386468957</v>
      </c>
    </row>
    <row r="41" spans="2:3" x14ac:dyDescent="0.2">
      <c r="B41">
        <v>0.458855245396317</v>
      </c>
      <c r="C41">
        <v>0.96570898980537534</v>
      </c>
    </row>
    <row r="42" spans="2:3" x14ac:dyDescent="0.2">
      <c r="B42">
        <v>0.45847909112593599</v>
      </c>
      <c r="C42">
        <v>0.96478220574606122</v>
      </c>
    </row>
    <row r="43" spans="2:3" x14ac:dyDescent="0.2">
      <c r="B43">
        <v>0.45634345099753398</v>
      </c>
      <c r="C43">
        <v>0.96385542168674698</v>
      </c>
    </row>
    <row r="44" spans="2:3" x14ac:dyDescent="0.2">
      <c r="B44">
        <v>0.45550765080717698</v>
      </c>
      <c r="C44">
        <v>0.96292863762743286</v>
      </c>
    </row>
    <row r="45" spans="2:3" x14ac:dyDescent="0.2">
      <c r="B45">
        <v>0.45130579394148002</v>
      </c>
      <c r="C45">
        <v>0.96200185356811863</v>
      </c>
    </row>
    <row r="46" spans="2:3" x14ac:dyDescent="0.2">
      <c r="B46">
        <v>0.45117309627436097</v>
      </c>
      <c r="C46">
        <v>0.9610750695088045</v>
      </c>
    </row>
    <row r="47" spans="2:3" x14ac:dyDescent="0.2">
      <c r="B47">
        <v>0.45045588411423898</v>
      </c>
      <c r="C47">
        <v>0.96014828544949027</v>
      </c>
    </row>
    <row r="48" spans="2:3" x14ac:dyDescent="0.2">
      <c r="B48">
        <v>0.446362728666577</v>
      </c>
      <c r="C48">
        <v>0.95922150139017603</v>
      </c>
    </row>
    <row r="49" spans="2:3" x14ac:dyDescent="0.2">
      <c r="B49">
        <v>0.44555221442579301</v>
      </c>
      <c r="C49">
        <v>0.95829471733086191</v>
      </c>
    </row>
    <row r="50" spans="2:3" x14ac:dyDescent="0.2">
      <c r="B50">
        <v>0.44315318067127102</v>
      </c>
      <c r="C50">
        <v>0.95736793327154768</v>
      </c>
    </row>
    <row r="51" spans="2:3" x14ac:dyDescent="0.2">
      <c r="B51">
        <v>0.43600362196833697</v>
      </c>
      <c r="C51">
        <v>0.95644114921223355</v>
      </c>
    </row>
    <row r="52" spans="2:3" x14ac:dyDescent="0.2">
      <c r="B52">
        <v>0.43423924044738499</v>
      </c>
      <c r="C52">
        <v>0.95551436515291932</v>
      </c>
    </row>
    <row r="53" spans="2:3" x14ac:dyDescent="0.2">
      <c r="B53">
        <v>0.43347352662693101</v>
      </c>
      <c r="C53">
        <v>0.9545875810936052</v>
      </c>
    </row>
    <row r="54" spans="2:3" x14ac:dyDescent="0.2">
      <c r="B54">
        <v>0.43088742417852699</v>
      </c>
      <c r="C54">
        <v>0.95366079703429096</v>
      </c>
    </row>
    <row r="55" spans="2:3" x14ac:dyDescent="0.2">
      <c r="B55">
        <v>0.422988751078192</v>
      </c>
      <c r="C55">
        <v>0.95273401297497684</v>
      </c>
    </row>
    <row r="56" spans="2:3" x14ac:dyDescent="0.2">
      <c r="B56">
        <v>0.42206667201291398</v>
      </c>
      <c r="C56">
        <v>0.95180722891566261</v>
      </c>
    </row>
    <row r="57" spans="2:3" x14ac:dyDescent="0.2">
      <c r="B57">
        <v>0.41599581502399002</v>
      </c>
      <c r="C57">
        <v>0.95088044485634848</v>
      </c>
    </row>
    <row r="58" spans="2:3" x14ac:dyDescent="0.2">
      <c r="B58">
        <v>0.41344759946438597</v>
      </c>
      <c r="C58">
        <v>0.94995366079703425</v>
      </c>
    </row>
    <row r="59" spans="2:3" x14ac:dyDescent="0.2">
      <c r="B59">
        <v>0.41317732361679799</v>
      </c>
      <c r="C59">
        <v>0.94902687673772013</v>
      </c>
    </row>
    <row r="60" spans="2:3" x14ac:dyDescent="0.2">
      <c r="B60">
        <v>0.40967948701069101</v>
      </c>
      <c r="C60">
        <v>0.94810009267840589</v>
      </c>
    </row>
    <row r="61" spans="2:3" x14ac:dyDescent="0.2">
      <c r="B61">
        <v>0.40856523436606201</v>
      </c>
      <c r="C61">
        <v>0.94717330861909177</v>
      </c>
    </row>
    <row r="62" spans="2:3" x14ac:dyDescent="0.2">
      <c r="B62">
        <v>0.40821680518264503</v>
      </c>
      <c r="C62">
        <v>0.94624652455977754</v>
      </c>
    </row>
    <row r="63" spans="2:3" x14ac:dyDescent="0.2">
      <c r="B63">
        <v>0.407848897635263</v>
      </c>
      <c r="C63">
        <v>0.94531974050046341</v>
      </c>
    </row>
    <row r="64" spans="2:3" x14ac:dyDescent="0.2">
      <c r="B64">
        <v>0.406919628547396</v>
      </c>
      <c r="C64">
        <v>0.94439295644114918</v>
      </c>
    </row>
    <row r="65" spans="2:3" x14ac:dyDescent="0.2">
      <c r="B65">
        <v>0.404335277171188</v>
      </c>
      <c r="C65">
        <v>0.94346617238183506</v>
      </c>
    </row>
    <row r="66" spans="2:3" x14ac:dyDescent="0.2">
      <c r="B66">
        <v>0.39864496664575599</v>
      </c>
      <c r="C66">
        <v>0.94253938832252082</v>
      </c>
    </row>
    <row r="67" spans="2:3" x14ac:dyDescent="0.2">
      <c r="B67">
        <v>0.39591376378965898</v>
      </c>
      <c r="C67">
        <v>0.9416126042632067</v>
      </c>
    </row>
    <row r="68" spans="2:3" x14ac:dyDescent="0.2">
      <c r="B68">
        <v>0.39492398496958298</v>
      </c>
      <c r="C68">
        <v>0.94068582020389246</v>
      </c>
    </row>
    <row r="69" spans="2:3" x14ac:dyDescent="0.2">
      <c r="B69">
        <v>0.39237978407601798</v>
      </c>
      <c r="C69">
        <v>0.93975903614457834</v>
      </c>
    </row>
    <row r="70" spans="2:3" x14ac:dyDescent="0.2">
      <c r="B70">
        <v>0.39220753827260202</v>
      </c>
      <c r="C70">
        <v>0.93883225208526411</v>
      </c>
    </row>
    <row r="71" spans="2:3" x14ac:dyDescent="0.2">
      <c r="B71">
        <v>0.39004057208215598</v>
      </c>
      <c r="C71">
        <v>0.93790546802594998</v>
      </c>
    </row>
    <row r="72" spans="2:3" x14ac:dyDescent="0.2">
      <c r="B72">
        <v>0.38872786360828498</v>
      </c>
      <c r="C72">
        <v>0.93697868396663575</v>
      </c>
    </row>
    <row r="73" spans="2:3" x14ac:dyDescent="0.2">
      <c r="B73">
        <v>0.388019936906847</v>
      </c>
      <c r="C73">
        <v>0.93605189990732163</v>
      </c>
    </row>
    <row r="74" spans="2:3" x14ac:dyDescent="0.2">
      <c r="B74">
        <v>0.38754726329033101</v>
      </c>
      <c r="C74">
        <v>0.93512511584800739</v>
      </c>
    </row>
    <row r="75" spans="2:3" x14ac:dyDescent="0.2">
      <c r="B75">
        <v>0.38673035607645401</v>
      </c>
      <c r="C75">
        <v>0.93419833178869327</v>
      </c>
    </row>
    <row r="76" spans="2:3" x14ac:dyDescent="0.2">
      <c r="B76">
        <v>0.38410076236365698</v>
      </c>
      <c r="C76">
        <v>0.93327154772937904</v>
      </c>
    </row>
    <row r="77" spans="2:3" x14ac:dyDescent="0.2">
      <c r="B77">
        <v>0.38261164632753603</v>
      </c>
      <c r="C77">
        <v>0.93234476367006491</v>
      </c>
    </row>
    <row r="78" spans="2:3" x14ac:dyDescent="0.2">
      <c r="B78">
        <v>0.37948671128315897</v>
      </c>
      <c r="C78">
        <v>0.93141797961075068</v>
      </c>
    </row>
    <row r="79" spans="2:3" x14ac:dyDescent="0.2">
      <c r="B79">
        <v>0.37864642824570799</v>
      </c>
      <c r="C79">
        <v>0.93049119555143656</v>
      </c>
    </row>
    <row r="80" spans="2:3" x14ac:dyDescent="0.2">
      <c r="B80">
        <v>0.378245135174611</v>
      </c>
      <c r="C80">
        <v>0.92956441149212232</v>
      </c>
    </row>
    <row r="81" spans="2:3" x14ac:dyDescent="0.2">
      <c r="B81">
        <v>0.37765454952028499</v>
      </c>
      <c r="C81">
        <v>0.9286376274328082</v>
      </c>
    </row>
    <row r="82" spans="2:3" x14ac:dyDescent="0.2">
      <c r="B82">
        <v>0.37705074579056602</v>
      </c>
      <c r="C82">
        <v>0.92771084337349397</v>
      </c>
    </row>
    <row r="83" spans="2:3" x14ac:dyDescent="0.2">
      <c r="B83">
        <v>0.375747816775724</v>
      </c>
      <c r="C83">
        <v>0.92678405931417984</v>
      </c>
    </row>
    <row r="84" spans="2:3" x14ac:dyDescent="0.2">
      <c r="B84">
        <v>0.37283804185935199</v>
      </c>
      <c r="C84">
        <v>0.92585727525486561</v>
      </c>
    </row>
    <row r="85" spans="2:3" x14ac:dyDescent="0.2">
      <c r="B85">
        <v>0.37241572656298699</v>
      </c>
      <c r="C85">
        <v>0.92493049119555149</v>
      </c>
    </row>
    <row r="86" spans="2:3" x14ac:dyDescent="0.2">
      <c r="B86">
        <v>0.37241182157557801</v>
      </c>
      <c r="C86">
        <v>0.92400370713623725</v>
      </c>
    </row>
    <row r="87" spans="2:3" x14ac:dyDescent="0.2">
      <c r="B87">
        <v>0.37160753506521299</v>
      </c>
      <c r="C87">
        <v>0.92307692307692313</v>
      </c>
    </row>
    <row r="88" spans="2:3" x14ac:dyDescent="0.2">
      <c r="B88">
        <v>0.37147078424360702</v>
      </c>
      <c r="C88">
        <v>0.92215013901760889</v>
      </c>
    </row>
    <row r="89" spans="2:3" x14ac:dyDescent="0.2">
      <c r="B89">
        <v>0.37075429402828203</v>
      </c>
      <c r="C89">
        <v>0.92122335495829477</v>
      </c>
    </row>
    <row r="90" spans="2:3" x14ac:dyDescent="0.2">
      <c r="B90">
        <v>0.368624575962546</v>
      </c>
      <c r="C90">
        <v>0.92029657089898054</v>
      </c>
    </row>
    <row r="91" spans="2:3" x14ac:dyDescent="0.2">
      <c r="B91">
        <v>0.36836815277550899</v>
      </c>
      <c r="C91">
        <v>0.9193697868396663</v>
      </c>
    </row>
    <row r="92" spans="2:3" x14ac:dyDescent="0.2">
      <c r="B92">
        <v>0.36815896614711302</v>
      </c>
      <c r="C92">
        <v>0.91844300278035218</v>
      </c>
    </row>
    <row r="93" spans="2:3" x14ac:dyDescent="0.2">
      <c r="B93">
        <v>0.36719382497089798</v>
      </c>
      <c r="C93">
        <v>0.91751621872103795</v>
      </c>
    </row>
    <row r="94" spans="2:3" x14ac:dyDescent="0.2">
      <c r="B94">
        <v>0.36642424667256601</v>
      </c>
      <c r="C94">
        <v>0.91658943466172382</v>
      </c>
    </row>
    <row r="95" spans="2:3" x14ac:dyDescent="0.2">
      <c r="B95">
        <v>0.365182955556272</v>
      </c>
      <c r="C95">
        <v>0.91566265060240959</v>
      </c>
    </row>
    <row r="96" spans="2:3" x14ac:dyDescent="0.2">
      <c r="B96">
        <v>0.36305955022241698</v>
      </c>
      <c r="C96">
        <v>0.91473586654309547</v>
      </c>
    </row>
    <row r="97" spans="2:3" x14ac:dyDescent="0.2">
      <c r="B97">
        <v>0.36222935949295398</v>
      </c>
      <c r="C97">
        <v>0.91380908248378123</v>
      </c>
    </row>
    <row r="98" spans="2:3" x14ac:dyDescent="0.2">
      <c r="B98">
        <v>0.36085755206924103</v>
      </c>
      <c r="C98">
        <v>0.91288229842446711</v>
      </c>
    </row>
    <row r="99" spans="2:3" x14ac:dyDescent="0.2">
      <c r="B99">
        <v>0.35834421776682002</v>
      </c>
      <c r="C99">
        <v>0.91195551436515288</v>
      </c>
    </row>
    <row r="100" spans="2:3" x14ac:dyDescent="0.2">
      <c r="B100">
        <v>0.35815985257262001</v>
      </c>
      <c r="C100">
        <v>0.91102873030583875</v>
      </c>
    </row>
    <row r="101" spans="2:3" x14ac:dyDescent="0.2">
      <c r="B101">
        <v>0.35798209120359897</v>
      </c>
      <c r="C101">
        <v>0.91010194624652452</v>
      </c>
    </row>
    <row r="102" spans="2:3" x14ac:dyDescent="0.2">
      <c r="B102">
        <v>0.356739411300461</v>
      </c>
      <c r="C102">
        <v>0.9091751621872104</v>
      </c>
    </row>
    <row r="103" spans="2:3" x14ac:dyDescent="0.2">
      <c r="B103">
        <v>0.35673345093835301</v>
      </c>
      <c r="C103">
        <v>0.90824837812789616</v>
      </c>
    </row>
    <row r="104" spans="2:3" x14ac:dyDescent="0.2">
      <c r="B104">
        <v>0.35448175121283299</v>
      </c>
      <c r="C104">
        <v>0.90732159406858204</v>
      </c>
    </row>
    <row r="105" spans="2:3" x14ac:dyDescent="0.2">
      <c r="B105">
        <v>0.35365485854121398</v>
      </c>
      <c r="C105">
        <v>0.9063948100092678</v>
      </c>
    </row>
    <row r="106" spans="2:3" x14ac:dyDescent="0.2">
      <c r="B106">
        <v>0.35325005297013701</v>
      </c>
      <c r="C106">
        <v>0.90546802594995368</v>
      </c>
    </row>
    <row r="107" spans="2:3" x14ac:dyDescent="0.2">
      <c r="B107">
        <v>0.35238113460142401</v>
      </c>
      <c r="C107">
        <v>0.90454124189063945</v>
      </c>
    </row>
    <row r="108" spans="2:3" x14ac:dyDescent="0.2">
      <c r="B108">
        <v>0.35232342700517999</v>
      </c>
      <c r="C108">
        <v>0.90361445783132532</v>
      </c>
    </row>
    <row r="109" spans="2:3" x14ac:dyDescent="0.2">
      <c r="B109">
        <v>0.351358598335681</v>
      </c>
      <c r="C109">
        <v>0.90268767377201109</v>
      </c>
    </row>
    <row r="110" spans="2:3" x14ac:dyDescent="0.2">
      <c r="B110">
        <v>0.35043032237917998</v>
      </c>
      <c r="C110">
        <v>0.90176088971269697</v>
      </c>
    </row>
    <row r="111" spans="2:3" x14ac:dyDescent="0.2">
      <c r="B111">
        <v>0.345698870059581</v>
      </c>
      <c r="C111">
        <v>0.90083410565338273</v>
      </c>
    </row>
    <row r="112" spans="2:3" x14ac:dyDescent="0.2">
      <c r="B112">
        <v>0.34561404909645499</v>
      </c>
      <c r="C112">
        <v>0.89990732159406861</v>
      </c>
    </row>
    <row r="113" spans="2:3" x14ac:dyDescent="0.2">
      <c r="B113">
        <v>0.34448607429570399</v>
      </c>
      <c r="C113">
        <v>0.89898053753475438</v>
      </c>
    </row>
    <row r="114" spans="2:3" x14ac:dyDescent="0.2">
      <c r="B114">
        <v>0.342070391415565</v>
      </c>
      <c r="C114">
        <v>0.89805375347544025</v>
      </c>
    </row>
    <row r="115" spans="2:3" x14ac:dyDescent="0.2">
      <c r="B115">
        <v>0.34130041996028598</v>
      </c>
      <c r="C115">
        <v>0.89712696941612602</v>
      </c>
    </row>
    <row r="116" spans="2:3" x14ac:dyDescent="0.2">
      <c r="B116">
        <v>0.34119164378795203</v>
      </c>
      <c r="C116">
        <v>0.8962001853568119</v>
      </c>
    </row>
    <row r="117" spans="2:3" x14ac:dyDescent="0.2">
      <c r="B117">
        <v>0.340132217857464</v>
      </c>
      <c r="C117">
        <v>0.89527340129749766</v>
      </c>
    </row>
    <row r="118" spans="2:3" x14ac:dyDescent="0.2">
      <c r="B118">
        <v>0.336747804332997</v>
      </c>
      <c r="C118">
        <v>0.89434661723818354</v>
      </c>
    </row>
    <row r="119" spans="2:3" x14ac:dyDescent="0.2">
      <c r="B119">
        <v>0.336711557261893</v>
      </c>
      <c r="C119">
        <v>0.8934198331788693</v>
      </c>
    </row>
    <row r="120" spans="2:3" x14ac:dyDescent="0.2">
      <c r="B120">
        <v>0.33665048317262503</v>
      </c>
      <c r="C120">
        <v>0.89249304911955518</v>
      </c>
    </row>
    <row r="121" spans="2:3" x14ac:dyDescent="0.2">
      <c r="B121">
        <v>0.33660908873486101</v>
      </c>
      <c r="C121">
        <v>0.89156626506024095</v>
      </c>
    </row>
    <row r="122" spans="2:3" x14ac:dyDescent="0.2">
      <c r="B122">
        <v>0.33651137340571502</v>
      </c>
      <c r="C122">
        <v>0.89063948100092682</v>
      </c>
    </row>
    <row r="123" spans="2:3" x14ac:dyDescent="0.2">
      <c r="B123">
        <v>0.33338483446879003</v>
      </c>
      <c r="C123">
        <v>0.88971269694161259</v>
      </c>
    </row>
    <row r="124" spans="2:3" x14ac:dyDescent="0.2">
      <c r="B124">
        <v>0.33304641915667099</v>
      </c>
      <c r="C124">
        <v>0.88878591288229847</v>
      </c>
    </row>
    <row r="125" spans="2:3" x14ac:dyDescent="0.2">
      <c r="B125">
        <v>0.33224436828765602</v>
      </c>
      <c r="C125">
        <v>0.88785912882298423</v>
      </c>
    </row>
    <row r="126" spans="2:3" x14ac:dyDescent="0.2">
      <c r="B126">
        <v>0.32959200909484299</v>
      </c>
      <c r="C126">
        <v>0.88693234476367011</v>
      </c>
    </row>
    <row r="127" spans="2:3" x14ac:dyDescent="0.2">
      <c r="B127">
        <v>0.32726178638999698</v>
      </c>
      <c r="C127">
        <v>0.88600556070435588</v>
      </c>
    </row>
    <row r="128" spans="2:3" x14ac:dyDescent="0.2">
      <c r="B128">
        <v>0.32705994081226403</v>
      </c>
      <c r="C128">
        <v>0.88507877664504175</v>
      </c>
    </row>
    <row r="129" spans="2:3" x14ac:dyDescent="0.2">
      <c r="B129">
        <v>0.32540221280099502</v>
      </c>
      <c r="C129">
        <v>0.88415199258572752</v>
      </c>
    </row>
    <row r="130" spans="2:3" x14ac:dyDescent="0.2">
      <c r="B130">
        <v>0.32419145983855802</v>
      </c>
      <c r="C130">
        <v>0.8832252085264134</v>
      </c>
    </row>
    <row r="131" spans="2:3" x14ac:dyDescent="0.2">
      <c r="B131">
        <v>0.32308132076854401</v>
      </c>
      <c r="C131">
        <v>0.88229842446709916</v>
      </c>
    </row>
    <row r="132" spans="2:3" x14ac:dyDescent="0.2">
      <c r="B132">
        <v>0.32182550796482401</v>
      </c>
      <c r="C132">
        <v>0.88137164040778504</v>
      </c>
    </row>
    <row r="133" spans="2:3" x14ac:dyDescent="0.2">
      <c r="B133">
        <v>0.32123081787567298</v>
      </c>
      <c r="C133">
        <v>0.88044485634847081</v>
      </c>
    </row>
    <row r="134" spans="2:3" x14ac:dyDescent="0.2">
      <c r="B134">
        <v>0.31850781056713101</v>
      </c>
      <c r="C134">
        <v>0.87951807228915657</v>
      </c>
    </row>
    <row r="135" spans="2:3" x14ac:dyDescent="0.2">
      <c r="B135">
        <v>0.31813217157907703</v>
      </c>
      <c r="C135">
        <v>0.87859128822984245</v>
      </c>
    </row>
    <row r="136" spans="2:3" x14ac:dyDescent="0.2">
      <c r="B136">
        <v>0.31803823305478202</v>
      </c>
      <c r="C136">
        <v>0.87766450417052821</v>
      </c>
    </row>
    <row r="137" spans="2:3" x14ac:dyDescent="0.2">
      <c r="B137">
        <v>0.31784653979517102</v>
      </c>
      <c r="C137">
        <v>0.87673772011121409</v>
      </c>
    </row>
    <row r="138" spans="2:3" x14ac:dyDescent="0.2">
      <c r="B138">
        <v>0.31745481799855202</v>
      </c>
      <c r="C138">
        <v>0.87581093605189986</v>
      </c>
    </row>
    <row r="139" spans="2:3" x14ac:dyDescent="0.2">
      <c r="B139">
        <v>0.31228353318091501</v>
      </c>
      <c r="C139">
        <v>0.87488415199258573</v>
      </c>
    </row>
    <row r="140" spans="2:3" x14ac:dyDescent="0.2">
      <c r="B140">
        <v>0.31128458979873902</v>
      </c>
      <c r="C140">
        <v>0.8739573679332715</v>
      </c>
    </row>
    <row r="141" spans="2:3" x14ac:dyDescent="0.2">
      <c r="B141">
        <v>0.310940799649851</v>
      </c>
      <c r="C141">
        <v>0.87303058387395738</v>
      </c>
    </row>
    <row r="142" spans="2:3" x14ac:dyDescent="0.2">
      <c r="B142">
        <v>0.31019538650107698</v>
      </c>
      <c r="C142">
        <v>0.87210379981464314</v>
      </c>
    </row>
    <row r="143" spans="2:3" x14ac:dyDescent="0.2">
      <c r="B143">
        <v>0.30987439034180397</v>
      </c>
      <c r="C143">
        <v>0.87117701575532902</v>
      </c>
    </row>
    <row r="144" spans="2:3" x14ac:dyDescent="0.2">
      <c r="B144">
        <v>0.30881400930462799</v>
      </c>
      <c r="C144">
        <v>0.87025023169601479</v>
      </c>
    </row>
    <row r="145" spans="2:3" x14ac:dyDescent="0.2">
      <c r="B145">
        <v>0.30847804639013598</v>
      </c>
      <c r="C145">
        <v>0.86932344763670066</v>
      </c>
    </row>
    <row r="146" spans="2:3" x14ac:dyDescent="0.2">
      <c r="B146">
        <v>0.30801061708324701</v>
      </c>
      <c r="C146">
        <v>0.86839666357738643</v>
      </c>
    </row>
    <row r="147" spans="2:3" x14ac:dyDescent="0.2">
      <c r="B147">
        <v>0.30770176927234599</v>
      </c>
      <c r="C147">
        <v>0.86746987951807231</v>
      </c>
    </row>
    <row r="148" spans="2:3" x14ac:dyDescent="0.2">
      <c r="B148">
        <v>0.30650693257531703</v>
      </c>
      <c r="C148">
        <v>0.86654309545875807</v>
      </c>
    </row>
    <row r="149" spans="2:3" x14ac:dyDescent="0.2">
      <c r="B149">
        <v>0.30639943366655098</v>
      </c>
      <c r="C149">
        <v>0.86561631139944395</v>
      </c>
    </row>
    <row r="150" spans="2:3" x14ac:dyDescent="0.2">
      <c r="B150">
        <v>0.30571085635744899</v>
      </c>
      <c r="C150">
        <v>0.86468952734012972</v>
      </c>
    </row>
    <row r="151" spans="2:3" x14ac:dyDescent="0.2">
      <c r="B151">
        <v>0.30558889571795</v>
      </c>
      <c r="C151">
        <v>0.86376274328081559</v>
      </c>
    </row>
    <row r="152" spans="2:3" x14ac:dyDescent="0.2">
      <c r="B152">
        <v>0.303595296925044</v>
      </c>
      <c r="C152">
        <v>0.86283595922150136</v>
      </c>
    </row>
    <row r="153" spans="2:3" x14ac:dyDescent="0.2">
      <c r="B153">
        <v>0.30325138366186</v>
      </c>
      <c r="C153">
        <v>0.86190917516218724</v>
      </c>
    </row>
    <row r="154" spans="2:3" x14ac:dyDescent="0.2">
      <c r="B154">
        <v>0.30291650179358398</v>
      </c>
      <c r="C154">
        <v>0.860982391102873</v>
      </c>
    </row>
    <row r="155" spans="2:3" x14ac:dyDescent="0.2">
      <c r="B155">
        <v>0.30146978618493198</v>
      </c>
      <c r="C155">
        <v>0.86005560704355888</v>
      </c>
    </row>
    <row r="156" spans="2:3" x14ac:dyDescent="0.2">
      <c r="B156">
        <v>0.30130781255732603</v>
      </c>
      <c r="C156">
        <v>0.85912882298424464</v>
      </c>
    </row>
    <row r="157" spans="2:3" x14ac:dyDescent="0.2">
      <c r="B157">
        <v>0.30104188574943902</v>
      </c>
      <c r="C157">
        <v>0.85820203892493052</v>
      </c>
    </row>
    <row r="158" spans="2:3" x14ac:dyDescent="0.2">
      <c r="B158">
        <v>0.30084072851959598</v>
      </c>
      <c r="C158">
        <v>0.85727525486561629</v>
      </c>
    </row>
    <row r="159" spans="2:3" x14ac:dyDescent="0.2">
      <c r="B159">
        <v>0.29995178253434102</v>
      </c>
      <c r="C159">
        <v>0.85634847080630216</v>
      </c>
    </row>
    <row r="160" spans="2:3" x14ac:dyDescent="0.2">
      <c r="B160">
        <v>0.29965778120907799</v>
      </c>
      <c r="C160">
        <v>0.85542168674698793</v>
      </c>
    </row>
    <row r="161" spans="2:3" x14ac:dyDescent="0.2">
      <c r="B161">
        <v>0.29903090288886303</v>
      </c>
      <c r="C161">
        <v>0.85449490268767381</v>
      </c>
    </row>
    <row r="162" spans="2:3" x14ac:dyDescent="0.2">
      <c r="B162">
        <v>0.29696290717306001</v>
      </c>
      <c r="C162">
        <v>0.85356811862835957</v>
      </c>
    </row>
    <row r="163" spans="2:3" x14ac:dyDescent="0.2">
      <c r="B163">
        <v>0.29672195355424003</v>
      </c>
      <c r="C163">
        <v>0.85264133456904545</v>
      </c>
    </row>
    <row r="164" spans="2:3" x14ac:dyDescent="0.2">
      <c r="B164">
        <v>0.29368745625744003</v>
      </c>
      <c r="C164">
        <v>0.85171455050973122</v>
      </c>
    </row>
    <row r="165" spans="2:3" x14ac:dyDescent="0.2">
      <c r="B165">
        <v>0.29215800278999399</v>
      </c>
      <c r="C165">
        <v>0.85078776645041709</v>
      </c>
    </row>
    <row r="166" spans="2:3" x14ac:dyDescent="0.2">
      <c r="B166">
        <v>0.29109221828168502</v>
      </c>
      <c r="C166">
        <v>0.84986098239110286</v>
      </c>
    </row>
    <row r="167" spans="2:3" x14ac:dyDescent="0.2">
      <c r="B167">
        <v>0.29049431961333</v>
      </c>
      <c r="C167">
        <v>0.84893419833178874</v>
      </c>
    </row>
    <row r="168" spans="2:3" x14ac:dyDescent="0.2">
      <c r="B168">
        <v>0.28883829259822202</v>
      </c>
      <c r="C168">
        <v>0.8480074142724745</v>
      </c>
    </row>
    <row r="169" spans="2:3" x14ac:dyDescent="0.2">
      <c r="B169">
        <v>0.28880039131041002</v>
      </c>
      <c r="C169">
        <v>0.84708063021316038</v>
      </c>
    </row>
    <row r="170" spans="2:3" x14ac:dyDescent="0.2">
      <c r="B170">
        <v>0.28817718690437899</v>
      </c>
      <c r="C170">
        <v>0.84615384615384615</v>
      </c>
    </row>
    <row r="171" spans="2:3" x14ac:dyDescent="0.2">
      <c r="B171">
        <v>0.28682289021316298</v>
      </c>
      <c r="C171">
        <v>0.84522706209453202</v>
      </c>
    </row>
    <row r="172" spans="2:3" x14ac:dyDescent="0.2">
      <c r="B172">
        <v>0.285571363962003</v>
      </c>
      <c r="C172">
        <v>0.84430027803521779</v>
      </c>
    </row>
    <row r="173" spans="2:3" x14ac:dyDescent="0.2">
      <c r="B173">
        <v>0.28527664357712501</v>
      </c>
      <c r="C173">
        <v>0.84337349397590367</v>
      </c>
    </row>
    <row r="174" spans="2:3" x14ac:dyDescent="0.2">
      <c r="B174">
        <v>0.28483070990485698</v>
      </c>
      <c r="C174">
        <v>0.84244670991658943</v>
      </c>
    </row>
    <row r="175" spans="2:3" x14ac:dyDescent="0.2">
      <c r="B175">
        <v>0.28437982677860002</v>
      </c>
      <c r="C175">
        <v>0.84151992585727531</v>
      </c>
    </row>
    <row r="176" spans="2:3" x14ac:dyDescent="0.2">
      <c r="B176">
        <v>0.28272518618888798</v>
      </c>
      <c r="C176">
        <v>0.84059314179796107</v>
      </c>
    </row>
    <row r="177" spans="2:3" x14ac:dyDescent="0.2">
      <c r="B177">
        <v>0.281600924730603</v>
      </c>
      <c r="C177">
        <v>0.83966635773864684</v>
      </c>
    </row>
    <row r="178" spans="2:3" x14ac:dyDescent="0.2">
      <c r="B178">
        <v>0.28124033877899002</v>
      </c>
      <c r="C178">
        <v>0.83873957367933272</v>
      </c>
    </row>
    <row r="179" spans="2:3" x14ac:dyDescent="0.2">
      <c r="B179">
        <v>0.28116816656924698</v>
      </c>
      <c r="C179">
        <v>0.83781278962001848</v>
      </c>
    </row>
    <row r="180" spans="2:3" x14ac:dyDescent="0.2">
      <c r="B180">
        <v>0.28096551950149001</v>
      </c>
      <c r="C180">
        <v>0.83688600556070436</v>
      </c>
    </row>
    <row r="181" spans="2:3" x14ac:dyDescent="0.2">
      <c r="B181">
        <v>0.280404502217382</v>
      </c>
      <c r="C181">
        <v>0.83595922150139013</v>
      </c>
    </row>
    <row r="182" spans="2:3" x14ac:dyDescent="0.2">
      <c r="B182">
        <v>0.28040248097509402</v>
      </c>
      <c r="C182">
        <v>0.835032437442076</v>
      </c>
    </row>
    <row r="183" spans="2:3" x14ac:dyDescent="0.2">
      <c r="B183">
        <v>0.27979436225603599</v>
      </c>
      <c r="C183">
        <v>0.83410565338276177</v>
      </c>
    </row>
    <row r="184" spans="2:3" x14ac:dyDescent="0.2">
      <c r="B184">
        <v>0.27913093646883502</v>
      </c>
      <c r="C184">
        <v>0.83317886932344765</v>
      </c>
    </row>
    <row r="185" spans="2:3" x14ac:dyDescent="0.2">
      <c r="B185">
        <v>0.27899338267374701</v>
      </c>
      <c r="C185">
        <v>0.83225208526413341</v>
      </c>
    </row>
    <row r="186" spans="2:3" x14ac:dyDescent="0.2">
      <c r="B186">
        <v>0.27884722485664099</v>
      </c>
      <c r="C186">
        <v>0.83132530120481929</v>
      </c>
    </row>
    <row r="187" spans="2:3" x14ac:dyDescent="0.2">
      <c r="B187">
        <v>0.27757814902231298</v>
      </c>
      <c r="C187">
        <v>0.83039851714550506</v>
      </c>
    </row>
    <row r="188" spans="2:3" x14ac:dyDescent="0.2">
      <c r="B188">
        <v>0.27707023422848798</v>
      </c>
      <c r="C188">
        <v>0.82947173308619093</v>
      </c>
    </row>
    <row r="189" spans="2:3" x14ac:dyDescent="0.2">
      <c r="B189">
        <v>0.27674076354390598</v>
      </c>
      <c r="C189">
        <v>0.8285449490268767</v>
      </c>
    </row>
    <row r="190" spans="2:3" x14ac:dyDescent="0.2">
      <c r="B190">
        <v>0.27651989720507297</v>
      </c>
      <c r="C190">
        <v>0.82761816496756258</v>
      </c>
    </row>
    <row r="191" spans="2:3" x14ac:dyDescent="0.2">
      <c r="B191">
        <v>0.27345400977506001</v>
      </c>
      <c r="C191">
        <v>0.82669138090824834</v>
      </c>
    </row>
    <row r="192" spans="2:3" x14ac:dyDescent="0.2">
      <c r="B192">
        <v>0.273419937718551</v>
      </c>
      <c r="C192">
        <v>0.82576459684893422</v>
      </c>
    </row>
    <row r="193" spans="2:3" x14ac:dyDescent="0.2">
      <c r="B193">
        <v>0.27338050485165499</v>
      </c>
      <c r="C193">
        <v>0.82483781278961998</v>
      </c>
    </row>
    <row r="194" spans="2:3" x14ac:dyDescent="0.2">
      <c r="B194">
        <v>0.27319146516874898</v>
      </c>
      <c r="C194">
        <v>0.82391102873030586</v>
      </c>
    </row>
    <row r="195" spans="2:3" x14ac:dyDescent="0.2">
      <c r="B195">
        <v>0.273142709948556</v>
      </c>
      <c r="C195">
        <v>0.82298424467099163</v>
      </c>
    </row>
    <row r="196" spans="2:3" x14ac:dyDescent="0.2">
      <c r="B196">
        <v>0.27232723209020199</v>
      </c>
      <c r="C196">
        <v>0.8220574606116775</v>
      </c>
    </row>
    <row r="197" spans="2:3" x14ac:dyDescent="0.2">
      <c r="B197">
        <v>0.27144640065078202</v>
      </c>
      <c r="C197">
        <v>0.82113067655236327</v>
      </c>
    </row>
    <row r="198" spans="2:3" x14ac:dyDescent="0.2">
      <c r="B198">
        <v>0.27013548905218498</v>
      </c>
      <c r="C198">
        <v>0.82020389249304915</v>
      </c>
    </row>
    <row r="199" spans="2:3" x14ac:dyDescent="0.2">
      <c r="B199">
        <v>0.26985706054111203</v>
      </c>
      <c r="C199">
        <v>0.81927710843373491</v>
      </c>
    </row>
    <row r="200" spans="2:3" x14ac:dyDescent="0.2">
      <c r="B200">
        <v>0.269826087552475</v>
      </c>
      <c r="C200">
        <v>0.81835032437442079</v>
      </c>
    </row>
    <row r="201" spans="2:3" x14ac:dyDescent="0.2">
      <c r="B201">
        <v>0.26941001196852499</v>
      </c>
      <c r="C201">
        <v>0.81742354031510656</v>
      </c>
    </row>
    <row r="202" spans="2:3" x14ac:dyDescent="0.2">
      <c r="B202">
        <v>0.268819119891401</v>
      </c>
      <c r="C202">
        <v>0.81649675625579243</v>
      </c>
    </row>
    <row r="203" spans="2:3" x14ac:dyDescent="0.2">
      <c r="B203">
        <v>0.26797942722552598</v>
      </c>
      <c r="C203">
        <v>0.8155699721964782</v>
      </c>
    </row>
    <row r="204" spans="2:3" x14ac:dyDescent="0.2">
      <c r="B204">
        <v>0.26743294069496498</v>
      </c>
      <c r="C204">
        <v>0.81464318813716408</v>
      </c>
    </row>
    <row r="205" spans="2:3" x14ac:dyDescent="0.2">
      <c r="B205">
        <v>0.267275878706695</v>
      </c>
      <c r="C205">
        <v>0.81371640407784984</v>
      </c>
    </row>
    <row r="206" spans="2:3" x14ac:dyDescent="0.2">
      <c r="B206">
        <v>0.26611638921236802</v>
      </c>
      <c r="C206">
        <v>0.81278962001853572</v>
      </c>
    </row>
    <row r="207" spans="2:3" x14ac:dyDescent="0.2">
      <c r="B207">
        <v>0.265405618981022</v>
      </c>
      <c r="C207">
        <v>0.81186283595922148</v>
      </c>
    </row>
    <row r="208" spans="2:3" x14ac:dyDescent="0.2">
      <c r="B208">
        <v>0.26463638384661198</v>
      </c>
      <c r="C208">
        <v>0.81093605189990736</v>
      </c>
    </row>
    <row r="209" spans="2:3" x14ac:dyDescent="0.2">
      <c r="B209">
        <v>0.26439186657909802</v>
      </c>
      <c r="C209">
        <v>0.81000926784059313</v>
      </c>
    </row>
    <row r="210" spans="2:3" x14ac:dyDescent="0.2">
      <c r="B210">
        <v>0.264041795158099</v>
      </c>
      <c r="C210">
        <v>0.809082483781279</v>
      </c>
    </row>
    <row r="211" spans="2:3" x14ac:dyDescent="0.2">
      <c r="B211">
        <v>0.26374204235940502</v>
      </c>
      <c r="C211">
        <v>0.80815569972196477</v>
      </c>
    </row>
    <row r="212" spans="2:3" x14ac:dyDescent="0.2">
      <c r="B212">
        <v>0.263478185814358</v>
      </c>
      <c r="C212">
        <v>0.80722891566265065</v>
      </c>
    </row>
    <row r="213" spans="2:3" x14ac:dyDescent="0.2">
      <c r="B213">
        <v>0.26309378134703698</v>
      </c>
      <c r="C213">
        <v>0.80630213160333641</v>
      </c>
    </row>
    <row r="214" spans="2:3" x14ac:dyDescent="0.2">
      <c r="B214">
        <v>0.26306270217896199</v>
      </c>
      <c r="C214">
        <v>0.80537534754402229</v>
      </c>
    </row>
    <row r="215" spans="2:3" x14ac:dyDescent="0.2">
      <c r="B215">
        <v>0.262835252632523</v>
      </c>
      <c r="C215">
        <v>0.80444856348470806</v>
      </c>
    </row>
    <row r="216" spans="2:3" x14ac:dyDescent="0.2">
      <c r="B216">
        <v>0.26272619011071602</v>
      </c>
      <c r="C216">
        <v>0.80352177942539393</v>
      </c>
    </row>
    <row r="217" spans="2:3" x14ac:dyDescent="0.2">
      <c r="B217">
        <v>0.26220123492320901</v>
      </c>
      <c r="C217">
        <v>0.8025949953660797</v>
      </c>
    </row>
    <row r="218" spans="2:3" x14ac:dyDescent="0.2">
      <c r="B218">
        <v>0.26181241984967102</v>
      </c>
      <c r="C218">
        <v>0.80166821130676558</v>
      </c>
    </row>
    <row r="219" spans="2:3" x14ac:dyDescent="0.2">
      <c r="B219">
        <v>0.26124403354456899</v>
      </c>
      <c r="C219">
        <v>0.80074142724745134</v>
      </c>
    </row>
    <row r="220" spans="2:3" x14ac:dyDescent="0.2">
      <c r="B220">
        <v>0.261153247857564</v>
      </c>
      <c r="C220">
        <v>0.79981464318813711</v>
      </c>
    </row>
    <row r="221" spans="2:3" x14ac:dyDescent="0.2">
      <c r="B221">
        <v>0.26106965023080803</v>
      </c>
      <c r="C221">
        <v>0.79888785912882299</v>
      </c>
    </row>
    <row r="222" spans="2:3" x14ac:dyDescent="0.2">
      <c r="B222">
        <v>0.26043978602927498</v>
      </c>
      <c r="C222">
        <v>0.79796107506950875</v>
      </c>
    </row>
    <row r="223" spans="2:3" x14ac:dyDescent="0.2">
      <c r="B223">
        <v>0.25971312671028801</v>
      </c>
      <c r="C223">
        <v>0.79703429101019463</v>
      </c>
    </row>
    <row r="224" spans="2:3" x14ac:dyDescent="0.2">
      <c r="B224">
        <v>0.25947922774422</v>
      </c>
      <c r="C224">
        <v>0.79610750695088039</v>
      </c>
    </row>
    <row r="225" spans="2:3" x14ac:dyDescent="0.2">
      <c r="B225">
        <v>0.25936899920964301</v>
      </c>
      <c r="C225">
        <v>0.79518072289156627</v>
      </c>
    </row>
    <row r="226" spans="2:3" x14ac:dyDescent="0.2">
      <c r="B226">
        <v>0.259088911019204</v>
      </c>
      <c r="C226">
        <v>0.79425393883225204</v>
      </c>
    </row>
    <row r="227" spans="2:3" x14ac:dyDescent="0.2">
      <c r="B227">
        <v>0.258916297660442</v>
      </c>
      <c r="C227">
        <v>0.79332715477293791</v>
      </c>
    </row>
    <row r="228" spans="2:3" x14ac:dyDescent="0.2">
      <c r="B228">
        <v>0.25765924153868602</v>
      </c>
      <c r="C228">
        <v>0.79240037071362368</v>
      </c>
    </row>
    <row r="229" spans="2:3" x14ac:dyDescent="0.2">
      <c r="B229">
        <v>0.25723330965768398</v>
      </c>
      <c r="C229">
        <v>0.79147358665430956</v>
      </c>
    </row>
    <row r="230" spans="2:3" x14ac:dyDescent="0.2">
      <c r="B230">
        <v>0.25723009376063399</v>
      </c>
      <c r="C230">
        <v>0.79054680259499532</v>
      </c>
    </row>
    <row r="231" spans="2:3" x14ac:dyDescent="0.2">
      <c r="B231">
        <v>0.25713890227483199</v>
      </c>
      <c r="C231">
        <v>0.7896200185356812</v>
      </c>
    </row>
    <row r="232" spans="2:3" x14ac:dyDescent="0.2">
      <c r="B232">
        <v>0.2563322577928</v>
      </c>
      <c r="C232">
        <v>0.78869323447636697</v>
      </c>
    </row>
    <row r="233" spans="2:3" x14ac:dyDescent="0.2">
      <c r="B233">
        <v>0.25558104880073301</v>
      </c>
      <c r="C233">
        <v>0.78776645041705284</v>
      </c>
    </row>
    <row r="234" spans="2:3" x14ac:dyDescent="0.2">
      <c r="B234">
        <v>0.25542903648708698</v>
      </c>
      <c r="C234">
        <v>0.78683966635773861</v>
      </c>
    </row>
    <row r="235" spans="2:3" x14ac:dyDescent="0.2">
      <c r="B235">
        <v>0.25528748263458101</v>
      </c>
      <c r="C235">
        <v>0.78591288229842449</v>
      </c>
    </row>
    <row r="236" spans="2:3" x14ac:dyDescent="0.2">
      <c r="B236">
        <v>0.25511149958885099</v>
      </c>
      <c r="C236">
        <v>0.78498609823911025</v>
      </c>
    </row>
    <row r="237" spans="2:3" x14ac:dyDescent="0.2">
      <c r="B237">
        <v>0.25501013350672203</v>
      </c>
      <c r="C237">
        <v>0.78405931417979613</v>
      </c>
    </row>
    <row r="238" spans="2:3" x14ac:dyDescent="0.2">
      <c r="B238">
        <v>0.25448892155688102</v>
      </c>
      <c r="C238">
        <v>0.7831325301204819</v>
      </c>
    </row>
    <row r="239" spans="2:3" x14ac:dyDescent="0.2">
      <c r="B239">
        <v>0.25434818429851802</v>
      </c>
      <c r="C239">
        <v>0.78220574606116777</v>
      </c>
    </row>
    <row r="240" spans="2:3" x14ac:dyDescent="0.2">
      <c r="B240">
        <v>0.25384932743349697</v>
      </c>
      <c r="C240">
        <v>0.78127896200185354</v>
      </c>
    </row>
    <row r="241" spans="2:3" x14ac:dyDescent="0.2">
      <c r="B241">
        <v>0.25351653176648298</v>
      </c>
      <c r="C241">
        <v>0.78035217794253942</v>
      </c>
    </row>
    <row r="242" spans="2:3" x14ac:dyDescent="0.2">
      <c r="B242">
        <v>0.2531665850157</v>
      </c>
      <c r="C242">
        <v>0.77942539388322518</v>
      </c>
    </row>
    <row r="243" spans="2:3" x14ac:dyDescent="0.2">
      <c r="B243">
        <v>0.25239780201461298</v>
      </c>
      <c r="C243">
        <v>0.77849860982391106</v>
      </c>
    </row>
    <row r="244" spans="2:3" x14ac:dyDescent="0.2">
      <c r="B244">
        <v>0.252281520042069</v>
      </c>
      <c r="C244">
        <v>0.77757182576459682</v>
      </c>
    </row>
    <row r="245" spans="2:3" x14ac:dyDescent="0.2">
      <c r="B245">
        <v>0.25212165912138201</v>
      </c>
      <c r="C245">
        <v>0.7766450417052827</v>
      </c>
    </row>
    <row r="246" spans="2:3" x14ac:dyDescent="0.2">
      <c r="B246">
        <v>0.25198457709875999</v>
      </c>
      <c r="C246">
        <v>0.77571825764596847</v>
      </c>
    </row>
    <row r="247" spans="2:3" x14ac:dyDescent="0.2">
      <c r="B247">
        <v>0.25167851285474002</v>
      </c>
      <c r="C247">
        <v>0.77479147358665434</v>
      </c>
    </row>
    <row r="248" spans="2:3" x14ac:dyDescent="0.2">
      <c r="B248">
        <v>0.251261118008413</v>
      </c>
      <c r="C248">
        <v>0.77386468952734011</v>
      </c>
    </row>
    <row r="249" spans="2:3" x14ac:dyDescent="0.2">
      <c r="B249">
        <v>0.25023858627977402</v>
      </c>
      <c r="C249">
        <v>0.77293790546802599</v>
      </c>
    </row>
    <row r="250" spans="2:3" x14ac:dyDescent="0.2">
      <c r="B250">
        <v>0.249795670859779</v>
      </c>
      <c r="C250">
        <v>0.77201112140871175</v>
      </c>
    </row>
    <row r="251" spans="2:3" x14ac:dyDescent="0.2">
      <c r="B251">
        <v>0.24901175722096899</v>
      </c>
      <c r="C251">
        <v>0.77108433734939763</v>
      </c>
    </row>
    <row r="252" spans="2:3" x14ac:dyDescent="0.2">
      <c r="B252">
        <v>0.24765218703105499</v>
      </c>
      <c r="C252">
        <v>0.7701575532900834</v>
      </c>
    </row>
    <row r="253" spans="2:3" x14ac:dyDescent="0.2">
      <c r="B253">
        <v>0.247377860152418</v>
      </c>
      <c r="C253">
        <v>0.76923076923076927</v>
      </c>
    </row>
    <row r="254" spans="2:3" x14ac:dyDescent="0.2">
      <c r="B254">
        <v>0.24602839042987201</v>
      </c>
      <c r="C254">
        <v>0.76830398517145504</v>
      </c>
    </row>
    <row r="255" spans="2:3" x14ac:dyDescent="0.2">
      <c r="B255">
        <v>0.24596388452385101</v>
      </c>
      <c r="C255">
        <v>0.76737720111214092</v>
      </c>
    </row>
    <row r="256" spans="2:3" x14ac:dyDescent="0.2">
      <c r="B256">
        <v>0.24508959407821701</v>
      </c>
      <c r="C256">
        <v>0.76645041705282668</v>
      </c>
    </row>
    <row r="257" spans="2:3" x14ac:dyDescent="0.2">
      <c r="B257">
        <v>0.24486116231246299</v>
      </c>
      <c r="C257">
        <v>0.76552363299351256</v>
      </c>
    </row>
    <row r="258" spans="2:3" x14ac:dyDescent="0.2">
      <c r="B258">
        <v>0.24465908953593099</v>
      </c>
      <c r="C258">
        <v>0.76459684893419833</v>
      </c>
    </row>
    <row r="259" spans="2:3" x14ac:dyDescent="0.2">
      <c r="B259">
        <v>0.243985343529207</v>
      </c>
      <c r="C259">
        <v>0.7636700648748842</v>
      </c>
    </row>
    <row r="260" spans="2:3" x14ac:dyDescent="0.2">
      <c r="B260">
        <v>0.242889357163901</v>
      </c>
      <c r="C260">
        <v>0.76274328081556997</v>
      </c>
    </row>
    <row r="261" spans="2:3" x14ac:dyDescent="0.2">
      <c r="B261">
        <v>0.24194679883305401</v>
      </c>
      <c r="C261">
        <v>0.76181649675625585</v>
      </c>
    </row>
    <row r="262" spans="2:3" x14ac:dyDescent="0.2">
      <c r="B262">
        <v>0.24189612394257401</v>
      </c>
      <c r="C262">
        <v>0.76088971269694161</v>
      </c>
    </row>
    <row r="263" spans="2:3" x14ac:dyDescent="0.2">
      <c r="B263">
        <v>0.24072838804539801</v>
      </c>
      <c r="C263">
        <v>0.75996292863762738</v>
      </c>
    </row>
    <row r="264" spans="2:3" x14ac:dyDescent="0.2">
      <c r="B264">
        <v>0.239627183368012</v>
      </c>
      <c r="C264">
        <v>0.75903614457831325</v>
      </c>
    </row>
    <row r="265" spans="2:3" x14ac:dyDescent="0.2">
      <c r="B265">
        <v>0.23869531388694701</v>
      </c>
      <c r="C265">
        <v>0.75810936051899902</v>
      </c>
    </row>
    <row r="266" spans="2:3" x14ac:dyDescent="0.2">
      <c r="B266">
        <v>0.23842714733329101</v>
      </c>
      <c r="C266">
        <v>0.7571825764596849</v>
      </c>
    </row>
    <row r="267" spans="2:3" x14ac:dyDescent="0.2">
      <c r="B267">
        <v>0.23838796511891899</v>
      </c>
      <c r="C267">
        <v>0.75625579240037066</v>
      </c>
    </row>
    <row r="268" spans="2:3" x14ac:dyDescent="0.2">
      <c r="B268">
        <v>0.238160075380521</v>
      </c>
      <c r="C268">
        <v>0.75532900834105654</v>
      </c>
    </row>
    <row r="269" spans="2:3" x14ac:dyDescent="0.2">
      <c r="B269">
        <v>0.23764911403366501</v>
      </c>
      <c r="C269">
        <v>0.75440222428174231</v>
      </c>
    </row>
    <row r="270" spans="2:3" x14ac:dyDescent="0.2">
      <c r="B270">
        <v>0.23756453616223799</v>
      </c>
      <c r="C270">
        <v>0.75347544022242818</v>
      </c>
    </row>
    <row r="271" spans="2:3" x14ac:dyDescent="0.2">
      <c r="B271">
        <v>0.23696615774765201</v>
      </c>
      <c r="C271">
        <v>0.75254865616311395</v>
      </c>
    </row>
    <row r="272" spans="2:3" x14ac:dyDescent="0.2">
      <c r="B272">
        <v>0.23675860873047599</v>
      </c>
      <c r="C272">
        <v>0.75162187210379983</v>
      </c>
    </row>
    <row r="273" spans="2:3" x14ac:dyDescent="0.2">
      <c r="B273">
        <v>0.235871640693813</v>
      </c>
      <c r="C273">
        <v>0.75069508804448559</v>
      </c>
    </row>
    <row r="274" spans="2:3" x14ac:dyDescent="0.2">
      <c r="B274">
        <v>0.23454373271985901</v>
      </c>
      <c r="C274">
        <v>0.74976830398517147</v>
      </c>
    </row>
    <row r="275" spans="2:3" x14ac:dyDescent="0.2">
      <c r="B275">
        <v>0.23340827214771401</v>
      </c>
      <c r="C275">
        <v>0.74884151992585724</v>
      </c>
    </row>
    <row r="276" spans="2:3" x14ac:dyDescent="0.2">
      <c r="B276">
        <v>0.23319961868865799</v>
      </c>
      <c r="C276">
        <v>0.74791473586654311</v>
      </c>
    </row>
    <row r="277" spans="2:3" x14ac:dyDescent="0.2">
      <c r="B277">
        <v>0.232807431685087</v>
      </c>
      <c r="C277">
        <v>0.74698795180722888</v>
      </c>
    </row>
    <row r="278" spans="2:3" x14ac:dyDescent="0.2">
      <c r="B278">
        <v>0.23154652216490601</v>
      </c>
      <c r="C278">
        <v>0.74606116774791476</v>
      </c>
    </row>
    <row r="279" spans="2:3" x14ac:dyDescent="0.2">
      <c r="B279">
        <v>0.23138920033193799</v>
      </c>
      <c r="C279">
        <v>0.74513438368860052</v>
      </c>
    </row>
    <row r="280" spans="2:3" x14ac:dyDescent="0.2">
      <c r="B280">
        <v>0.23133151779079</v>
      </c>
      <c r="C280">
        <v>0.7442075996292864</v>
      </c>
    </row>
    <row r="281" spans="2:3" x14ac:dyDescent="0.2">
      <c r="B281">
        <v>0.23113162748483701</v>
      </c>
      <c r="C281">
        <v>0.74328081556997216</v>
      </c>
    </row>
    <row r="282" spans="2:3" x14ac:dyDescent="0.2">
      <c r="B282">
        <v>0.23094336037794899</v>
      </c>
      <c r="C282">
        <v>0.74235403151065804</v>
      </c>
    </row>
    <row r="283" spans="2:3" x14ac:dyDescent="0.2">
      <c r="B283">
        <v>0.23032937261544001</v>
      </c>
      <c r="C283">
        <v>0.74142724745134381</v>
      </c>
    </row>
    <row r="284" spans="2:3" x14ac:dyDescent="0.2">
      <c r="B284">
        <v>0.22987141220416499</v>
      </c>
      <c r="C284">
        <v>0.74050046339202968</v>
      </c>
    </row>
    <row r="285" spans="2:3" x14ac:dyDescent="0.2">
      <c r="B285">
        <v>0.22982114772693099</v>
      </c>
      <c r="C285">
        <v>0.73957367933271545</v>
      </c>
    </row>
    <row r="286" spans="2:3" x14ac:dyDescent="0.2">
      <c r="B286">
        <v>0.229471392774484</v>
      </c>
      <c r="C286">
        <v>0.73864689527340133</v>
      </c>
    </row>
    <row r="287" spans="2:3" x14ac:dyDescent="0.2">
      <c r="B287">
        <v>0.229182185029249</v>
      </c>
      <c r="C287">
        <v>0.73772011121408709</v>
      </c>
    </row>
    <row r="288" spans="2:3" x14ac:dyDescent="0.2">
      <c r="B288">
        <v>0.22898476020757899</v>
      </c>
      <c r="C288">
        <v>0.73679332715477297</v>
      </c>
    </row>
    <row r="289" spans="2:3" x14ac:dyDescent="0.2">
      <c r="B289">
        <v>0.228609321622606</v>
      </c>
      <c r="C289">
        <v>0.73586654309545874</v>
      </c>
    </row>
    <row r="290" spans="2:3" x14ac:dyDescent="0.2">
      <c r="B290">
        <v>0.22783299703269899</v>
      </c>
      <c r="C290">
        <v>0.73493975903614461</v>
      </c>
    </row>
    <row r="291" spans="2:3" x14ac:dyDescent="0.2">
      <c r="B291">
        <v>0.22748037298978199</v>
      </c>
      <c r="C291">
        <v>0.73401297497683038</v>
      </c>
    </row>
    <row r="292" spans="2:3" x14ac:dyDescent="0.2">
      <c r="B292">
        <v>0.22559477193160801</v>
      </c>
      <c r="C292">
        <v>0.73308619091751626</v>
      </c>
    </row>
    <row r="293" spans="2:3" x14ac:dyDescent="0.2">
      <c r="B293">
        <v>0.22555396063885499</v>
      </c>
      <c r="C293">
        <v>0.73215940685820202</v>
      </c>
    </row>
    <row r="294" spans="2:3" x14ac:dyDescent="0.2">
      <c r="B294">
        <v>0.225171513939732</v>
      </c>
      <c r="C294">
        <v>0.7312326227988879</v>
      </c>
    </row>
    <row r="295" spans="2:3" x14ac:dyDescent="0.2">
      <c r="B295">
        <v>0.224949944858989</v>
      </c>
      <c r="C295">
        <v>0.73030583873957367</v>
      </c>
    </row>
    <row r="296" spans="2:3" x14ac:dyDescent="0.2">
      <c r="B296">
        <v>0.22460043617196401</v>
      </c>
      <c r="C296">
        <v>0.72937905468025954</v>
      </c>
    </row>
    <row r="297" spans="2:3" x14ac:dyDescent="0.2">
      <c r="B297">
        <v>0.224552436246474</v>
      </c>
      <c r="C297">
        <v>0.72845227062094531</v>
      </c>
    </row>
    <row r="298" spans="2:3" x14ac:dyDescent="0.2">
      <c r="B298">
        <v>0.224506419432837</v>
      </c>
      <c r="C298">
        <v>0.72752548656163119</v>
      </c>
    </row>
    <row r="299" spans="2:3" x14ac:dyDescent="0.2">
      <c r="B299">
        <v>0.22355445846465399</v>
      </c>
      <c r="C299">
        <v>0.72659870250231695</v>
      </c>
    </row>
    <row r="300" spans="2:3" x14ac:dyDescent="0.2">
      <c r="B300">
        <v>0.22319766481089001</v>
      </c>
      <c r="C300">
        <v>0.72567191844300283</v>
      </c>
    </row>
    <row r="301" spans="2:3" x14ac:dyDescent="0.2">
      <c r="B301">
        <v>0.22311734598966801</v>
      </c>
      <c r="C301">
        <v>0.72474513438368859</v>
      </c>
    </row>
    <row r="302" spans="2:3" x14ac:dyDescent="0.2">
      <c r="B302">
        <v>0.22307862360639399</v>
      </c>
      <c r="C302">
        <v>0.72381835032437447</v>
      </c>
    </row>
    <row r="303" spans="2:3" x14ac:dyDescent="0.2">
      <c r="B303">
        <v>0.222844577105727</v>
      </c>
      <c r="C303">
        <v>0.72289156626506024</v>
      </c>
    </row>
    <row r="304" spans="2:3" x14ac:dyDescent="0.2">
      <c r="B304">
        <v>0.22273658356082399</v>
      </c>
      <c r="C304">
        <v>0.72196478220574611</v>
      </c>
    </row>
    <row r="305" spans="2:3" x14ac:dyDescent="0.2">
      <c r="B305">
        <v>0.22269215739780199</v>
      </c>
      <c r="C305">
        <v>0.72103799814643188</v>
      </c>
    </row>
    <row r="306" spans="2:3" x14ac:dyDescent="0.2">
      <c r="B306">
        <v>0.22198184210665201</v>
      </c>
      <c r="C306">
        <v>0.72011121408711776</v>
      </c>
    </row>
    <row r="307" spans="2:3" x14ac:dyDescent="0.2">
      <c r="B307">
        <v>0.22141158281244</v>
      </c>
      <c r="C307">
        <v>0.71918443002780352</v>
      </c>
    </row>
    <row r="308" spans="2:3" x14ac:dyDescent="0.2">
      <c r="B308">
        <v>0.22098699593295401</v>
      </c>
      <c r="C308">
        <v>0.71825764596848929</v>
      </c>
    </row>
    <row r="309" spans="2:3" x14ac:dyDescent="0.2">
      <c r="B309">
        <v>0.22030373867517</v>
      </c>
      <c r="C309">
        <v>0.71733086190917517</v>
      </c>
    </row>
    <row r="310" spans="2:3" x14ac:dyDescent="0.2">
      <c r="B310">
        <v>0.21887616000736901</v>
      </c>
      <c r="C310">
        <v>0.71640407784986093</v>
      </c>
    </row>
    <row r="311" spans="2:3" x14ac:dyDescent="0.2">
      <c r="B311">
        <v>0.217513953950006</v>
      </c>
      <c r="C311">
        <v>0.71547729379054681</v>
      </c>
    </row>
    <row r="312" spans="2:3" x14ac:dyDescent="0.2">
      <c r="B312">
        <v>0.216981589551034</v>
      </c>
      <c r="C312">
        <v>0.71455050973123257</v>
      </c>
    </row>
    <row r="313" spans="2:3" x14ac:dyDescent="0.2">
      <c r="B313">
        <v>0.21659039252141599</v>
      </c>
      <c r="C313">
        <v>0.71362372567191845</v>
      </c>
    </row>
    <row r="314" spans="2:3" x14ac:dyDescent="0.2">
      <c r="B314">
        <v>0.21635767279465301</v>
      </c>
      <c r="C314">
        <v>0.71269694161260422</v>
      </c>
    </row>
    <row r="315" spans="2:3" x14ac:dyDescent="0.2">
      <c r="B315">
        <v>0.21612391740801601</v>
      </c>
      <c r="C315">
        <v>0.71177015755329009</v>
      </c>
    </row>
    <row r="316" spans="2:3" x14ac:dyDescent="0.2">
      <c r="B316">
        <v>0.21521584387921999</v>
      </c>
      <c r="C316">
        <v>0.71084337349397586</v>
      </c>
    </row>
    <row r="317" spans="2:3" x14ac:dyDescent="0.2">
      <c r="B317">
        <v>0.21508657948212601</v>
      </c>
      <c r="C317">
        <v>0.70991658943466174</v>
      </c>
    </row>
    <row r="318" spans="2:3" x14ac:dyDescent="0.2">
      <c r="B318">
        <v>0.21498333587570201</v>
      </c>
      <c r="C318">
        <v>0.7089898053753475</v>
      </c>
    </row>
    <row r="319" spans="2:3" x14ac:dyDescent="0.2">
      <c r="B319">
        <v>0.21487838174189899</v>
      </c>
      <c r="C319">
        <v>0.70806302131603338</v>
      </c>
    </row>
    <row r="320" spans="2:3" x14ac:dyDescent="0.2">
      <c r="B320">
        <v>0.214820731480656</v>
      </c>
      <c r="C320">
        <v>0.70713623725671915</v>
      </c>
    </row>
    <row r="321" spans="2:3" x14ac:dyDescent="0.2">
      <c r="B321">
        <v>0.21477219578669399</v>
      </c>
      <c r="C321">
        <v>0.70620945319740502</v>
      </c>
    </row>
    <row r="322" spans="2:3" x14ac:dyDescent="0.2">
      <c r="B322">
        <v>0.21471571865464201</v>
      </c>
      <c r="C322">
        <v>0.70528266913809079</v>
      </c>
    </row>
    <row r="323" spans="2:3" x14ac:dyDescent="0.2">
      <c r="B323">
        <v>0.214588452736652</v>
      </c>
      <c r="C323">
        <v>0.70435588507877667</v>
      </c>
    </row>
    <row r="324" spans="2:3" x14ac:dyDescent="0.2">
      <c r="B324">
        <v>0.214390357591702</v>
      </c>
      <c r="C324">
        <v>0.70342910101946243</v>
      </c>
    </row>
    <row r="325" spans="2:3" x14ac:dyDescent="0.2">
      <c r="B325">
        <v>0.213027965488893</v>
      </c>
      <c r="C325">
        <v>0.70250231696014831</v>
      </c>
    </row>
    <row r="326" spans="2:3" x14ac:dyDescent="0.2">
      <c r="B326">
        <v>0.21297451889094701</v>
      </c>
      <c r="C326">
        <v>0.70157553290083408</v>
      </c>
    </row>
    <row r="327" spans="2:3" x14ac:dyDescent="0.2">
      <c r="B327">
        <v>0.21221160113902399</v>
      </c>
      <c r="C327">
        <v>0.70064874884151995</v>
      </c>
    </row>
    <row r="328" spans="2:3" x14ac:dyDescent="0.2">
      <c r="B328">
        <v>0.210701515123602</v>
      </c>
      <c r="C328">
        <v>0.69972196478220572</v>
      </c>
    </row>
    <row r="329" spans="2:3" x14ac:dyDescent="0.2">
      <c r="B329">
        <v>0.210472539682</v>
      </c>
      <c r="C329">
        <v>0.6987951807228916</v>
      </c>
    </row>
    <row r="330" spans="2:3" x14ac:dyDescent="0.2">
      <c r="B330">
        <v>0.21043709540518399</v>
      </c>
      <c r="C330">
        <v>0.69786839666357736</v>
      </c>
    </row>
    <row r="331" spans="2:3" x14ac:dyDescent="0.2">
      <c r="B331">
        <v>0.210318254985283</v>
      </c>
      <c r="C331">
        <v>0.69694161260426324</v>
      </c>
    </row>
    <row r="332" spans="2:3" x14ac:dyDescent="0.2">
      <c r="B332">
        <v>0.209412433115747</v>
      </c>
      <c r="C332">
        <v>0.696014828544949</v>
      </c>
    </row>
    <row r="333" spans="2:3" x14ac:dyDescent="0.2">
      <c r="B333">
        <v>0.20867757063527001</v>
      </c>
      <c r="C333">
        <v>0.69508804448563488</v>
      </c>
    </row>
    <row r="334" spans="2:3" x14ac:dyDescent="0.2">
      <c r="B334">
        <v>0.20835034772248701</v>
      </c>
      <c r="C334">
        <v>0.69416126042632065</v>
      </c>
    </row>
    <row r="335" spans="2:3" x14ac:dyDescent="0.2">
      <c r="B335">
        <v>0.20774395002721099</v>
      </c>
      <c r="C335">
        <v>0.69323447636700652</v>
      </c>
    </row>
    <row r="336" spans="2:3" x14ac:dyDescent="0.2">
      <c r="B336">
        <v>0.20750501787903</v>
      </c>
      <c r="C336">
        <v>0.69230769230769229</v>
      </c>
    </row>
    <row r="337" spans="2:3" x14ac:dyDescent="0.2">
      <c r="B337">
        <v>0.20742463159997299</v>
      </c>
      <c r="C337">
        <v>0.69138090824837817</v>
      </c>
    </row>
    <row r="338" spans="2:3" x14ac:dyDescent="0.2">
      <c r="B338">
        <v>0.20643526603707399</v>
      </c>
      <c r="C338">
        <v>0.69045412418906393</v>
      </c>
    </row>
    <row r="339" spans="2:3" x14ac:dyDescent="0.2">
      <c r="B339">
        <v>0.20637093662587999</v>
      </c>
      <c r="C339">
        <v>0.68952734012974981</v>
      </c>
    </row>
    <row r="340" spans="2:3" x14ac:dyDescent="0.2">
      <c r="B340">
        <v>0.20612090373452099</v>
      </c>
      <c r="C340">
        <v>0.68860055607043558</v>
      </c>
    </row>
    <row r="341" spans="2:3" x14ac:dyDescent="0.2">
      <c r="B341">
        <v>0.20543304735033399</v>
      </c>
      <c r="C341">
        <v>0.68767377201112145</v>
      </c>
    </row>
    <row r="342" spans="2:3" x14ac:dyDescent="0.2">
      <c r="B342">
        <v>0.20535823877728901</v>
      </c>
      <c r="C342">
        <v>0.68674698795180722</v>
      </c>
    </row>
    <row r="343" spans="2:3" x14ac:dyDescent="0.2">
      <c r="B343">
        <v>0.20471342431981601</v>
      </c>
      <c r="C343">
        <v>0.6858202038924931</v>
      </c>
    </row>
    <row r="344" spans="2:3" x14ac:dyDescent="0.2">
      <c r="B344">
        <v>0.20448187366854201</v>
      </c>
      <c r="C344">
        <v>0.68489341983317886</v>
      </c>
    </row>
    <row r="345" spans="2:3" x14ac:dyDescent="0.2">
      <c r="B345">
        <v>0.20430889160499199</v>
      </c>
      <c r="C345">
        <v>0.68396663577386474</v>
      </c>
    </row>
    <row r="346" spans="2:3" x14ac:dyDescent="0.2">
      <c r="B346">
        <v>0.20417477566117501</v>
      </c>
      <c r="C346">
        <v>0.68303985171455051</v>
      </c>
    </row>
    <row r="347" spans="2:3" x14ac:dyDescent="0.2">
      <c r="B347">
        <v>0.20388125884401001</v>
      </c>
      <c r="C347">
        <v>0.68211306765523638</v>
      </c>
    </row>
    <row r="348" spans="2:3" x14ac:dyDescent="0.2">
      <c r="B348">
        <v>0.20377114511473299</v>
      </c>
      <c r="C348">
        <v>0.68118628359592215</v>
      </c>
    </row>
    <row r="349" spans="2:3" x14ac:dyDescent="0.2">
      <c r="B349">
        <v>0.20361084696082199</v>
      </c>
      <c r="C349">
        <v>0.68025949953660803</v>
      </c>
    </row>
    <row r="350" spans="2:3" x14ac:dyDescent="0.2">
      <c r="B350">
        <v>0.203386088622377</v>
      </c>
      <c r="C350">
        <v>0.67933271547729379</v>
      </c>
    </row>
    <row r="351" spans="2:3" x14ac:dyDescent="0.2">
      <c r="B351">
        <v>0.20328928269926799</v>
      </c>
      <c r="C351">
        <v>0.67840593141797956</v>
      </c>
    </row>
    <row r="352" spans="2:3" x14ac:dyDescent="0.2">
      <c r="B352">
        <v>0.20259178540494899</v>
      </c>
      <c r="C352">
        <v>0.67747914735866543</v>
      </c>
    </row>
    <row r="353" spans="2:3" x14ac:dyDescent="0.2">
      <c r="B353">
        <v>0.20187677165704301</v>
      </c>
      <c r="C353">
        <v>0.6765523632993512</v>
      </c>
    </row>
    <row r="354" spans="2:3" x14ac:dyDescent="0.2">
      <c r="B354">
        <v>0.2004899663195</v>
      </c>
      <c r="C354">
        <v>0.67562557924003708</v>
      </c>
    </row>
    <row r="355" spans="2:3" x14ac:dyDescent="0.2">
      <c r="B355">
        <v>0.20020421517081199</v>
      </c>
      <c r="C355">
        <v>0.67469879518072284</v>
      </c>
    </row>
    <row r="356" spans="2:3" x14ac:dyDescent="0.2">
      <c r="B356">
        <v>0.19885484877475501</v>
      </c>
      <c r="C356">
        <v>0.67377201112140872</v>
      </c>
    </row>
    <row r="357" spans="2:3" x14ac:dyDescent="0.2">
      <c r="B357">
        <v>0.19848061808206499</v>
      </c>
      <c r="C357">
        <v>0.67284522706209449</v>
      </c>
    </row>
    <row r="358" spans="2:3" x14ac:dyDescent="0.2">
      <c r="B358">
        <v>0.198377544477158</v>
      </c>
      <c r="C358">
        <v>0.67191844300278036</v>
      </c>
    </row>
    <row r="359" spans="2:3" x14ac:dyDescent="0.2">
      <c r="B359">
        <v>0.197810505251761</v>
      </c>
      <c r="C359">
        <v>0.67099165894346613</v>
      </c>
    </row>
    <row r="360" spans="2:3" x14ac:dyDescent="0.2">
      <c r="B360">
        <v>0.197687360197463</v>
      </c>
      <c r="C360">
        <v>0.67006487488415201</v>
      </c>
    </row>
    <row r="361" spans="2:3" x14ac:dyDescent="0.2">
      <c r="B361">
        <v>0.19731497933098299</v>
      </c>
      <c r="C361">
        <v>0.66913809082483777</v>
      </c>
    </row>
    <row r="362" spans="2:3" x14ac:dyDescent="0.2">
      <c r="B362">
        <v>0.196889023823141</v>
      </c>
      <c r="C362">
        <v>0.66821130676552365</v>
      </c>
    </row>
    <row r="363" spans="2:3" x14ac:dyDescent="0.2">
      <c r="B363">
        <v>0.196254409076563</v>
      </c>
      <c r="C363">
        <v>0.66728452270620942</v>
      </c>
    </row>
    <row r="364" spans="2:3" x14ac:dyDescent="0.2">
      <c r="B364">
        <v>0.19617167487957801</v>
      </c>
      <c r="C364">
        <v>0.66635773864689529</v>
      </c>
    </row>
    <row r="365" spans="2:3" x14ac:dyDescent="0.2">
      <c r="B365">
        <v>0.195525415822038</v>
      </c>
      <c r="C365">
        <v>0.66543095458758106</v>
      </c>
    </row>
    <row r="366" spans="2:3" x14ac:dyDescent="0.2">
      <c r="B366">
        <v>0.19482591172699201</v>
      </c>
      <c r="C366">
        <v>0.66450417052826694</v>
      </c>
    </row>
    <row r="367" spans="2:3" x14ac:dyDescent="0.2">
      <c r="B367">
        <v>0.194494967850528</v>
      </c>
      <c r="C367">
        <v>0.6635773864689527</v>
      </c>
    </row>
    <row r="368" spans="2:3" x14ac:dyDescent="0.2">
      <c r="B368">
        <v>0.19443035761341501</v>
      </c>
      <c r="C368">
        <v>0.66265060240963858</v>
      </c>
    </row>
    <row r="369" spans="2:3" x14ac:dyDescent="0.2">
      <c r="B369">
        <v>0.19436490740217099</v>
      </c>
      <c r="C369">
        <v>0.66172381835032434</v>
      </c>
    </row>
    <row r="370" spans="2:3" x14ac:dyDescent="0.2">
      <c r="B370">
        <v>0.194347764972646</v>
      </c>
      <c r="C370">
        <v>0.66079703429101022</v>
      </c>
    </row>
    <row r="371" spans="2:3" x14ac:dyDescent="0.2">
      <c r="B371">
        <v>0.193905821251804</v>
      </c>
      <c r="C371">
        <v>0.65987025023169599</v>
      </c>
    </row>
    <row r="372" spans="2:3" x14ac:dyDescent="0.2">
      <c r="B372">
        <v>0.19360501144457501</v>
      </c>
      <c r="C372">
        <v>0.65894346617238186</v>
      </c>
    </row>
    <row r="373" spans="2:3" x14ac:dyDescent="0.2">
      <c r="B373">
        <v>0.19345889086836901</v>
      </c>
      <c r="C373">
        <v>0.65801668211306763</v>
      </c>
    </row>
    <row r="374" spans="2:3" x14ac:dyDescent="0.2">
      <c r="B374">
        <v>0.19310518534204199</v>
      </c>
      <c r="C374">
        <v>0.65708989805375351</v>
      </c>
    </row>
    <row r="375" spans="2:3" x14ac:dyDescent="0.2">
      <c r="B375">
        <v>0.19304343054670001</v>
      </c>
      <c r="C375">
        <v>0.65616311399443927</v>
      </c>
    </row>
    <row r="376" spans="2:3" x14ac:dyDescent="0.2">
      <c r="B376">
        <v>0.19250135275037999</v>
      </c>
      <c r="C376">
        <v>0.65523632993512515</v>
      </c>
    </row>
    <row r="377" spans="2:3" x14ac:dyDescent="0.2">
      <c r="B377">
        <v>0.192096768513563</v>
      </c>
      <c r="C377">
        <v>0.65430954587581092</v>
      </c>
    </row>
    <row r="378" spans="2:3" x14ac:dyDescent="0.2">
      <c r="B378">
        <v>0.19156548029887499</v>
      </c>
      <c r="C378">
        <v>0.65338276181649679</v>
      </c>
    </row>
    <row r="379" spans="2:3" x14ac:dyDescent="0.2">
      <c r="B379">
        <v>0.19134405516015901</v>
      </c>
      <c r="C379">
        <v>0.65245597775718256</v>
      </c>
    </row>
    <row r="380" spans="2:3" x14ac:dyDescent="0.2">
      <c r="B380">
        <v>0.190676620733427</v>
      </c>
      <c r="C380">
        <v>0.65152919369786844</v>
      </c>
    </row>
    <row r="381" spans="2:3" x14ac:dyDescent="0.2">
      <c r="B381">
        <v>0.19012600626842299</v>
      </c>
      <c r="C381">
        <v>0.6506024096385542</v>
      </c>
    </row>
    <row r="382" spans="2:3" x14ac:dyDescent="0.2">
      <c r="B382">
        <v>0.19008865575244599</v>
      </c>
      <c r="C382">
        <v>0.64967562557924008</v>
      </c>
    </row>
    <row r="383" spans="2:3" x14ac:dyDescent="0.2">
      <c r="B383">
        <v>0.190067197454519</v>
      </c>
      <c r="C383">
        <v>0.64874884151992585</v>
      </c>
    </row>
    <row r="384" spans="2:3" x14ac:dyDescent="0.2">
      <c r="B384">
        <v>0.18969606299959199</v>
      </c>
      <c r="C384">
        <v>0.64782205746061172</v>
      </c>
    </row>
    <row r="385" spans="2:3" x14ac:dyDescent="0.2">
      <c r="B385">
        <v>0.188916455378519</v>
      </c>
      <c r="C385">
        <v>0.64689527340129749</v>
      </c>
    </row>
    <row r="386" spans="2:3" x14ac:dyDescent="0.2">
      <c r="B386">
        <v>0.18876853313872699</v>
      </c>
      <c r="C386">
        <v>0.64596848934198337</v>
      </c>
    </row>
    <row r="387" spans="2:3" x14ac:dyDescent="0.2">
      <c r="B387">
        <v>0.18827516812001799</v>
      </c>
      <c r="C387">
        <v>0.64504170528266913</v>
      </c>
    </row>
    <row r="388" spans="2:3" x14ac:dyDescent="0.2">
      <c r="B388">
        <v>0.18820243128675301</v>
      </c>
      <c r="C388">
        <v>0.64411492122335501</v>
      </c>
    </row>
    <row r="389" spans="2:3" x14ac:dyDescent="0.2">
      <c r="B389">
        <v>0.18792179726685601</v>
      </c>
      <c r="C389">
        <v>0.64318813716404077</v>
      </c>
    </row>
    <row r="390" spans="2:3" x14ac:dyDescent="0.2">
      <c r="B390">
        <v>0.18738768368467501</v>
      </c>
      <c r="C390">
        <v>0.64226135310472665</v>
      </c>
    </row>
    <row r="391" spans="2:3" x14ac:dyDescent="0.2">
      <c r="B391">
        <v>0.18735024376918599</v>
      </c>
      <c r="C391">
        <v>0.64133456904541242</v>
      </c>
    </row>
    <row r="392" spans="2:3" x14ac:dyDescent="0.2">
      <c r="B392">
        <v>0.18689819072136499</v>
      </c>
      <c r="C392">
        <v>0.64040778498609829</v>
      </c>
    </row>
    <row r="393" spans="2:3" x14ac:dyDescent="0.2">
      <c r="B393">
        <v>0.18667376772121599</v>
      </c>
      <c r="C393">
        <v>0.63948100092678406</v>
      </c>
    </row>
    <row r="394" spans="2:3" x14ac:dyDescent="0.2">
      <c r="B394">
        <v>0.18587286740379499</v>
      </c>
      <c r="C394">
        <v>0.63855421686746983</v>
      </c>
    </row>
    <row r="395" spans="2:3" x14ac:dyDescent="0.2">
      <c r="B395">
        <v>0.185869430362399</v>
      </c>
      <c r="C395">
        <v>0.6376274328081557</v>
      </c>
    </row>
    <row r="396" spans="2:3" x14ac:dyDescent="0.2">
      <c r="B396">
        <v>0.18581500950524499</v>
      </c>
      <c r="C396">
        <v>0.63670064874884147</v>
      </c>
    </row>
    <row r="397" spans="2:3" x14ac:dyDescent="0.2">
      <c r="B397">
        <v>0.184696758886608</v>
      </c>
      <c r="C397">
        <v>0.63577386468952735</v>
      </c>
    </row>
    <row r="398" spans="2:3" x14ac:dyDescent="0.2">
      <c r="B398">
        <v>0.1842568009661</v>
      </c>
      <c r="C398">
        <v>0.63484708063021311</v>
      </c>
    </row>
    <row r="399" spans="2:3" x14ac:dyDescent="0.2">
      <c r="B399">
        <v>0.18417063270655001</v>
      </c>
      <c r="C399">
        <v>0.63392029657089899</v>
      </c>
    </row>
    <row r="400" spans="2:3" x14ac:dyDescent="0.2">
      <c r="B400">
        <v>0.183242027303886</v>
      </c>
      <c r="C400">
        <v>0.63299351251158475</v>
      </c>
    </row>
    <row r="401" spans="2:3" x14ac:dyDescent="0.2">
      <c r="B401">
        <v>0.18303228330119201</v>
      </c>
      <c r="C401">
        <v>0.63206672845227063</v>
      </c>
    </row>
    <row r="402" spans="2:3" x14ac:dyDescent="0.2">
      <c r="B402">
        <v>0.182910613245308</v>
      </c>
      <c r="C402">
        <v>0.6311399443929564</v>
      </c>
    </row>
    <row r="403" spans="2:3" x14ac:dyDescent="0.2">
      <c r="B403">
        <v>0.182817642921211</v>
      </c>
      <c r="C403">
        <v>0.63021316033364227</v>
      </c>
    </row>
    <row r="404" spans="2:3" x14ac:dyDescent="0.2">
      <c r="B404">
        <v>0.182738203085682</v>
      </c>
      <c r="C404">
        <v>0.62928637627432804</v>
      </c>
    </row>
    <row r="405" spans="2:3" x14ac:dyDescent="0.2">
      <c r="B405">
        <v>0.18265333346206</v>
      </c>
      <c r="C405">
        <v>0.62835959221501392</v>
      </c>
    </row>
    <row r="406" spans="2:3" x14ac:dyDescent="0.2">
      <c r="B406">
        <v>0.18213824947999899</v>
      </c>
      <c r="C406">
        <v>0.62743280815569968</v>
      </c>
    </row>
    <row r="407" spans="2:3" x14ac:dyDescent="0.2">
      <c r="B407">
        <v>0.18190042067043699</v>
      </c>
      <c r="C407">
        <v>0.62650602409638556</v>
      </c>
    </row>
    <row r="408" spans="2:3" x14ac:dyDescent="0.2">
      <c r="B408">
        <v>0.181771148153336</v>
      </c>
      <c r="C408">
        <v>0.62557924003707133</v>
      </c>
    </row>
    <row r="409" spans="2:3" x14ac:dyDescent="0.2">
      <c r="B409">
        <v>0.18171925050202201</v>
      </c>
      <c r="C409">
        <v>0.6246524559777572</v>
      </c>
    </row>
    <row r="410" spans="2:3" x14ac:dyDescent="0.2">
      <c r="B410">
        <v>0.18150173024317401</v>
      </c>
      <c r="C410">
        <v>0.62372567191844297</v>
      </c>
    </row>
    <row r="411" spans="2:3" x14ac:dyDescent="0.2">
      <c r="B411">
        <v>0.18114351190988301</v>
      </c>
      <c r="C411">
        <v>0.62279888785912885</v>
      </c>
    </row>
    <row r="412" spans="2:3" x14ac:dyDescent="0.2">
      <c r="B412">
        <v>0.18104415261513401</v>
      </c>
      <c r="C412">
        <v>0.62187210379981461</v>
      </c>
    </row>
    <row r="413" spans="2:3" x14ac:dyDescent="0.2">
      <c r="B413">
        <v>0.179728895723683</v>
      </c>
      <c r="C413">
        <v>0.62094531974050049</v>
      </c>
    </row>
    <row r="414" spans="2:3" x14ac:dyDescent="0.2">
      <c r="B414">
        <v>0.179698192352091</v>
      </c>
      <c r="C414">
        <v>0.62001853568118626</v>
      </c>
    </row>
    <row r="415" spans="2:3" x14ac:dyDescent="0.2">
      <c r="B415">
        <v>0.17969458030667201</v>
      </c>
      <c r="C415">
        <v>0.61909175162187213</v>
      </c>
    </row>
    <row r="416" spans="2:3" x14ac:dyDescent="0.2">
      <c r="B416">
        <v>0.179692156203418</v>
      </c>
      <c r="C416">
        <v>0.6181649675625579</v>
      </c>
    </row>
    <row r="417" spans="2:3" x14ac:dyDescent="0.2">
      <c r="B417">
        <v>0.17943727397138901</v>
      </c>
      <c r="C417">
        <v>0.61723818350324378</v>
      </c>
    </row>
    <row r="418" spans="2:3" x14ac:dyDescent="0.2">
      <c r="B418">
        <v>0.17874335935865701</v>
      </c>
      <c r="C418">
        <v>0.61631139944392954</v>
      </c>
    </row>
    <row r="419" spans="2:3" x14ac:dyDescent="0.2">
      <c r="B419">
        <v>0.17822296700037599</v>
      </c>
      <c r="C419">
        <v>0.61538461538461542</v>
      </c>
    </row>
    <row r="420" spans="2:3" x14ac:dyDescent="0.2">
      <c r="B420">
        <v>0.178149482488141</v>
      </c>
      <c r="C420">
        <v>0.61445783132530118</v>
      </c>
    </row>
    <row r="421" spans="2:3" x14ac:dyDescent="0.2">
      <c r="B421">
        <v>0.17800395504008201</v>
      </c>
      <c r="C421">
        <v>0.61353104726598706</v>
      </c>
    </row>
    <row r="422" spans="2:3" x14ac:dyDescent="0.2">
      <c r="B422">
        <v>0.17756259526115301</v>
      </c>
      <c r="C422">
        <v>0.61260426320667283</v>
      </c>
    </row>
    <row r="423" spans="2:3" x14ac:dyDescent="0.2">
      <c r="B423">
        <v>0.17746214178611</v>
      </c>
      <c r="C423">
        <v>0.6116774791473587</v>
      </c>
    </row>
    <row r="424" spans="2:3" x14ac:dyDescent="0.2">
      <c r="B424">
        <v>0.17655947315892101</v>
      </c>
      <c r="C424">
        <v>0.61075069508804447</v>
      </c>
    </row>
    <row r="425" spans="2:3" x14ac:dyDescent="0.2">
      <c r="B425">
        <v>0.17575809534738401</v>
      </c>
      <c r="C425">
        <v>0.60982391102873035</v>
      </c>
    </row>
    <row r="426" spans="2:3" x14ac:dyDescent="0.2">
      <c r="B426">
        <v>0.175687026117163</v>
      </c>
      <c r="C426">
        <v>0.60889712696941611</v>
      </c>
    </row>
    <row r="427" spans="2:3" x14ac:dyDescent="0.2">
      <c r="B427">
        <v>0.17505582227858599</v>
      </c>
      <c r="C427">
        <v>0.60797034291010199</v>
      </c>
    </row>
    <row r="428" spans="2:3" x14ac:dyDescent="0.2">
      <c r="B428">
        <v>0.17472554439612401</v>
      </c>
      <c r="C428">
        <v>0.60704355885078776</v>
      </c>
    </row>
    <row r="429" spans="2:3" x14ac:dyDescent="0.2">
      <c r="B429">
        <v>0.174128542348124</v>
      </c>
      <c r="C429">
        <v>0.60611677479147363</v>
      </c>
    </row>
    <row r="430" spans="2:3" x14ac:dyDescent="0.2">
      <c r="B430">
        <v>0.174117266183312</v>
      </c>
      <c r="C430">
        <v>0.6051899907321594</v>
      </c>
    </row>
    <row r="431" spans="2:3" x14ac:dyDescent="0.2">
      <c r="B431">
        <v>0.173870340170447</v>
      </c>
      <c r="C431">
        <v>0.60426320667284528</v>
      </c>
    </row>
    <row r="432" spans="2:3" x14ac:dyDescent="0.2">
      <c r="B432">
        <v>0.17376412274208899</v>
      </c>
      <c r="C432">
        <v>0.60333642261353104</v>
      </c>
    </row>
    <row r="433" spans="2:3" x14ac:dyDescent="0.2">
      <c r="B433">
        <v>0.17363499105122801</v>
      </c>
      <c r="C433">
        <v>0.60240963855421692</v>
      </c>
    </row>
    <row r="434" spans="2:3" x14ac:dyDescent="0.2">
      <c r="B434">
        <v>0.173468490724874</v>
      </c>
      <c r="C434">
        <v>0.60148285449490269</v>
      </c>
    </row>
    <row r="435" spans="2:3" x14ac:dyDescent="0.2">
      <c r="B435">
        <v>0.17341743054946901</v>
      </c>
      <c r="C435">
        <v>0.60055607043558856</v>
      </c>
    </row>
    <row r="436" spans="2:3" x14ac:dyDescent="0.2">
      <c r="B436">
        <v>0.17264946786278901</v>
      </c>
      <c r="C436">
        <v>0.59962928637627433</v>
      </c>
    </row>
    <row r="437" spans="2:3" x14ac:dyDescent="0.2">
      <c r="B437">
        <v>0.17253272277899601</v>
      </c>
      <c r="C437">
        <v>0.59870250231696009</v>
      </c>
    </row>
    <row r="438" spans="2:3" x14ac:dyDescent="0.2">
      <c r="B438">
        <v>0.17194152814786701</v>
      </c>
      <c r="C438">
        <v>0.59777571825764597</v>
      </c>
    </row>
    <row r="439" spans="2:3" x14ac:dyDescent="0.2">
      <c r="B439">
        <v>0.171537826145571</v>
      </c>
      <c r="C439">
        <v>0.59684893419833174</v>
      </c>
    </row>
    <row r="440" spans="2:3" x14ac:dyDescent="0.2">
      <c r="B440">
        <v>0.17099281629590901</v>
      </c>
      <c r="C440">
        <v>0.59592215013901761</v>
      </c>
    </row>
    <row r="441" spans="2:3" x14ac:dyDescent="0.2">
      <c r="B441">
        <v>0.17089750143944599</v>
      </c>
      <c r="C441">
        <v>0.59499536607970338</v>
      </c>
    </row>
    <row r="442" spans="2:3" x14ac:dyDescent="0.2">
      <c r="B442">
        <v>0.170882490454842</v>
      </c>
      <c r="C442">
        <v>0.59406858202038926</v>
      </c>
    </row>
    <row r="443" spans="2:3" x14ac:dyDescent="0.2">
      <c r="B443">
        <v>0.17073368060229399</v>
      </c>
      <c r="C443">
        <v>0.59314179796107502</v>
      </c>
    </row>
    <row r="444" spans="2:3" x14ac:dyDescent="0.2">
      <c r="B444">
        <v>0.17068039835294799</v>
      </c>
      <c r="C444">
        <v>0.5922150139017609</v>
      </c>
    </row>
    <row r="445" spans="2:3" x14ac:dyDescent="0.2">
      <c r="B445">
        <v>0.16976774491757701</v>
      </c>
      <c r="C445">
        <v>0.59128822984244667</v>
      </c>
    </row>
    <row r="446" spans="2:3" x14ac:dyDescent="0.2">
      <c r="B446">
        <v>0.169578201188605</v>
      </c>
      <c r="C446">
        <v>0.59036144578313254</v>
      </c>
    </row>
    <row r="447" spans="2:3" x14ac:dyDescent="0.2">
      <c r="B447">
        <v>0.16954657149097599</v>
      </c>
      <c r="C447">
        <v>0.58943466172381831</v>
      </c>
    </row>
    <row r="448" spans="2:3" x14ac:dyDescent="0.2">
      <c r="B448">
        <v>0.16921667902444501</v>
      </c>
      <c r="C448">
        <v>0.58850787766450419</v>
      </c>
    </row>
    <row r="449" spans="2:3" x14ac:dyDescent="0.2">
      <c r="B449">
        <v>0.16886396356309299</v>
      </c>
      <c r="C449">
        <v>0.58758109360518995</v>
      </c>
    </row>
    <row r="450" spans="2:3" x14ac:dyDescent="0.2">
      <c r="B450">
        <v>0.167119753154755</v>
      </c>
      <c r="C450">
        <v>0.58665430954587583</v>
      </c>
    </row>
    <row r="451" spans="2:3" x14ac:dyDescent="0.2">
      <c r="B451">
        <v>0.16675221274287999</v>
      </c>
      <c r="C451">
        <v>0.5857275254865616</v>
      </c>
    </row>
    <row r="452" spans="2:3" x14ac:dyDescent="0.2">
      <c r="B452">
        <v>0.16654641409135401</v>
      </c>
      <c r="C452">
        <v>0.58480074142724747</v>
      </c>
    </row>
    <row r="453" spans="2:3" x14ac:dyDescent="0.2">
      <c r="B453">
        <v>0.16628158238846599</v>
      </c>
      <c r="C453">
        <v>0.58387395736793324</v>
      </c>
    </row>
    <row r="454" spans="2:3" x14ac:dyDescent="0.2">
      <c r="B454">
        <v>0.16562869336147601</v>
      </c>
      <c r="C454">
        <v>0.58294717330861912</v>
      </c>
    </row>
    <row r="455" spans="2:3" x14ac:dyDescent="0.2">
      <c r="B455">
        <v>0.16558555001869901</v>
      </c>
      <c r="C455">
        <v>0.58202038924930488</v>
      </c>
    </row>
    <row r="456" spans="2:3" x14ac:dyDescent="0.2">
      <c r="B456">
        <v>0.16541998059650401</v>
      </c>
      <c r="C456">
        <v>0.58109360518999076</v>
      </c>
    </row>
    <row r="457" spans="2:3" x14ac:dyDescent="0.2">
      <c r="B457">
        <v>0.16533716063156501</v>
      </c>
      <c r="C457">
        <v>0.58016682113067652</v>
      </c>
    </row>
    <row r="458" spans="2:3" x14ac:dyDescent="0.2">
      <c r="B458">
        <v>0.165198016412749</v>
      </c>
      <c r="C458">
        <v>0.5792400370713624</v>
      </c>
    </row>
    <row r="459" spans="2:3" x14ac:dyDescent="0.2">
      <c r="B459">
        <v>0.16421729579928901</v>
      </c>
      <c r="C459">
        <v>0.57831325301204817</v>
      </c>
    </row>
    <row r="460" spans="2:3" x14ac:dyDescent="0.2">
      <c r="B460">
        <v>0.16415875882633699</v>
      </c>
      <c r="C460">
        <v>0.57738646895273404</v>
      </c>
    </row>
    <row r="461" spans="2:3" x14ac:dyDescent="0.2">
      <c r="B461">
        <v>0.163251394309507</v>
      </c>
      <c r="C461">
        <v>0.57645968489341981</v>
      </c>
    </row>
    <row r="462" spans="2:3" x14ac:dyDescent="0.2">
      <c r="B462">
        <v>0.16299850484821299</v>
      </c>
      <c r="C462">
        <v>0.57553290083410569</v>
      </c>
    </row>
    <row r="463" spans="2:3" x14ac:dyDescent="0.2">
      <c r="B463">
        <v>0.16279102598314299</v>
      </c>
      <c r="C463">
        <v>0.57460611677479145</v>
      </c>
    </row>
    <row r="464" spans="2:3" x14ac:dyDescent="0.2">
      <c r="B464">
        <v>0.16267270674429901</v>
      </c>
      <c r="C464">
        <v>0.57367933271547733</v>
      </c>
    </row>
    <row r="465" spans="2:3" x14ac:dyDescent="0.2">
      <c r="B465">
        <v>0.16257054192407</v>
      </c>
      <c r="C465">
        <v>0.5727525486561631</v>
      </c>
    </row>
    <row r="466" spans="2:3" x14ac:dyDescent="0.2">
      <c r="B466">
        <v>0.16180838847372001</v>
      </c>
      <c r="C466">
        <v>0.57182576459684897</v>
      </c>
    </row>
    <row r="467" spans="2:3" x14ac:dyDescent="0.2">
      <c r="B467">
        <v>0.161492492223269</v>
      </c>
      <c r="C467">
        <v>0.57089898053753474</v>
      </c>
    </row>
    <row r="468" spans="2:3" x14ac:dyDescent="0.2">
      <c r="B468">
        <v>0.16149201794010001</v>
      </c>
      <c r="C468">
        <v>0.56997219647822062</v>
      </c>
    </row>
    <row r="469" spans="2:3" x14ac:dyDescent="0.2">
      <c r="B469">
        <v>0.161296697897508</v>
      </c>
      <c r="C469">
        <v>0.56904541241890638</v>
      </c>
    </row>
    <row r="470" spans="2:3" x14ac:dyDescent="0.2">
      <c r="B470">
        <v>0.16128935140957601</v>
      </c>
      <c r="C470">
        <v>0.56811862835959226</v>
      </c>
    </row>
    <row r="471" spans="2:3" x14ac:dyDescent="0.2">
      <c r="B471">
        <v>0.161226222047574</v>
      </c>
      <c r="C471">
        <v>0.56719184430027803</v>
      </c>
    </row>
    <row r="472" spans="2:3" x14ac:dyDescent="0.2">
      <c r="B472">
        <v>0.16111797783452</v>
      </c>
      <c r="C472">
        <v>0.5662650602409639</v>
      </c>
    </row>
    <row r="473" spans="2:3" x14ac:dyDescent="0.2">
      <c r="B473">
        <v>0.160982209684571</v>
      </c>
      <c r="C473">
        <v>0.56533827618164967</v>
      </c>
    </row>
    <row r="474" spans="2:3" x14ac:dyDescent="0.2">
      <c r="B474">
        <v>0.16072152030472001</v>
      </c>
      <c r="C474">
        <v>0.56441149212233555</v>
      </c>
    </row>
    <row r="475" spans="2:3" x14ac:dyDescent="0.2">
      <c r="B475">
        <v>0.16070259013654001</v>
      </c>
      <c r="C475">
        <v>0.56348470806302131</v>
      </c>
    </row>
    <row r="476" spans="2:3" x14ac:dyDescent="0.2">
      <c r="B476">
        <v>0.16065168467798099</v>
      </c>
      <c r="C476">
        <v>0.56255792400370719</v>
      </c>
    </row>
    <row r="477" spans="2:3" x14ac:dyDescent="0.2">
      <c r="B477">
        <v>0.16048335446074399</v>
      </c>
      <c r="C477">
        <v>0.56163113994439295</v>
      </c>
    </row>
    <row r="478" spans="2:3" x14ac:dyDescent="0.2">
      <c r="B478">
        <v>0.16044296315290299</v>
      </c>
      <c r="C478">
        <v>0.56070435588507883</v>
      </c>
    </row>
    <row r="479" spans="2:3" x14ac:dyDescent="0.2">
      <c r="B479">
        <v>0.160235418331441</v>
      </c>
      <c r="C479">
        <v>0.5597775718257646</v>
      </c>
    </row>
    <row r="480" spans="2:3" x14ac:dyDescent="0.2">
      <c r="B480">
        <v>0.160128278445408</v>
      </c>
      <c r="C480">
        <v>0.55885078776645036</v>
      </c>
    </row>
    <row r="481" spans="2:3" x14ac:dyDescent="0.2">
      <c r="B481">
        <v>0.16002664148493201</v>
      </c>
      <c r="C481">
        <v>0.55792400370713624</v>
      </c>
    </row>
    <row r="482" spans="2:3" x14ac:dyDescent="0.2">
      <c r="B482">
        <v>0.15996153901601301</v>
      </c>
      <c r="C482">
        <v>0.55699721964782201</v>
      </c>
    </row>
    <row r="483" spans="2:3" x14ac:dyDescent="0.2">
      <c r="B483">
        <v>0.15993193644007</v>
      </c>
      <c r="C483">
        <v>0.55607043558850788</v>
      </c>
    </row>
    <row r="484" spans="2:3" x14ac:dyDescent="0.2">
      <c r="B484">
        <v>0.159242118195914</v>
      </c>
      <c r="C484">
        <v>0.55514365152919365</v>
      </c>
    </row>
    <row r="485" spans="2:3" x14ac:dyDescent="0.2">
      <c r="B485">
        <v>0.15904109080713499</v>
      </c>
      <c r="C485">
        <v>0.55421686746987953</v>
      </c>
    </row>
    <row r="486" spans="2:3" x14ac:dyDescent="0.2">
      <c r="B486">
        <v>0.15880789429609299</v>
      </c>
      <c r="C486">
        <v>0.55329008341056529</v>
      </c>
    </row>
    <row r="487" spans="2:3" x14ac:dyDescent="0.2">
      <c r="B487">
        <v>0.15826994434254801</v>
      </c>
      <c r="C487">
        <v>0.55236329935125117</v>
      </c>
    </row>
    <row r="488" spans="2:3" x14ac:dyDescent="0.2">
      <c r="B488">
        <v>0.15764049711522099</v>
      </c>
      <c r="C488">
        <v>0.55143651529193694</v>
      </c>
    </row>
    <row r="489" spans="2:3" x14ac:dyDescent="0.2">
      <c r="B489">
        <v>0.157558152689209</v>
      </c>
      <c r="C489">
        <v>0.55050973123262281</v>
      </c>
    </row>
    <row r="490" spans="2:3" x14ac:dyDescent="0.2">
      <c r="B490">
        <v>0.157239543649452</v>
      </c>
      <c r="C490">
        <v>0.54958294717330858</v>
      </c>
    </row>
    <row r="491" spans="2:3" x14ac:dyDescent="0.2">
      <c r="B491">
        <v>0.157145007123487</v>
      </c>
      <c r="C491">
        <v>0.54865616311399446</v>
      </c>
    </row>
    <row r="492" spans="2:3" x14ac:dyDescent="0.2">
      <c r="B492">
        <v>0.157026230150874</v>
      </c>
      <c r="C492">
        <v>0.54772937905468022</v>
      </c>
    </row>
    <row r="493" spans="2:3" x14ac:dyDescent="0.2">
      <c r="B493">
        <v>0.156614431486954</v>
      </c>
      <c r="C493">
        <v>0.5468025949953661</v>
      </c>
    </row>
    <row r="494" spans="2:3" x14ac:dyDescent="0.2">
      <c r="B494">
        <v>0.15659149035351999</v>
      </c>
      <c r="C494">
        <v>0.54587581093605186</v>
      </c>
    </row>
    <row r="495" spans="2:3" x14ac:dyDescent="0.2">
      <c r="B495">
        <v>0.15652070059307399</v>
      </c>
      <c r="C495">
        <v>0.54494902687673774</v>
      </c>
    </row>
    <row r="496" spans="2:3" x14ac:dyDescent="0.2">
      <c r="B496">
        <v>0.1565115988228</v>
      </c>
      <c r="C496">
        <v>0.54402224281742351</v>
      </c>
    </row>
    <row r="497" spans="2:3" x14ac:dyDescent="0.2">
      <c r="B497">
        <v>0.15641937081797599</v>
      </c>
      <c r="C497">
        <v>0.54309545875810938</v>
      </c>
    </row>
    <row r="498" spans="2:3" x14ac:dyDescent="0.2">
      <c r="B498">
        <v>0.156090078889354</v>
      </c>
      <c r="C498">
        <v>0.54216867469879515</v>
      </c>
    </row>
    <row r="499" spans="2:3" x14ac:dyDescent="0.2">
      <c r="B499">
        <v>0.155703263464194</v>
      </c>
      <c r="C499">
        <v>0.54124189063948103</v>
      </c>
    </row>
    <row r="500" spans="2:3" x14ac:dyDescent="0.2">
      <c r="B500">
        <v>0.15555126037080799</v>
      </c>
      <c r="C500">
        <v>0.54031510658016679</v>
      </c>
    </row>
    <row r="501" spans="2:3" x14ac:dyDescent="0.2">
      <c r="B501">
        <v>0.154792847051134</v>
      </c>
      <c r="C501">
        <v>0.53938832252085267</v>
      </c>
    </row>
    <row r="502" spans="2:3" x14ac:dyDescent="0.2">
      <c r="B502">
        <v>0.15435634936188999</v>
      </c>
      <c r="C502">
        <v>0.53846153846153844</v>
      </c>
    </row>
    <row r="503" spans="2:3" x14ac:dyDescent="0.2">
      <c r="B503">
        <v>0.15377469671363</v>
      </c>
      <c r="C503">
        <v>0.53753475440222431</v>
      </c>
    </row>
    <row r="504" spans="2:3" x14ac:dyDescent="0.2">
      <c r="B504">
        <v>0.153613193222424</v>
      </c>
      <c r="C504">
        <v>0.53660797034291008</v>
      </c>
    </row>
    <row r="505" spans="2:3" x14ac:dyDescent="0.2">
      <c r="B505">
        <v>0.15355455457603301</v>
      </c>
      <c r="C505">
        <v>0.53568118628359596</v>
      </c>
    </row>
    <row r="506" spans="2:3" x14ac:dyDescent="0.2">
      <c r="B506">
        <v>0.15354838184384101</v>
      </c>
      <c r="C506">
        <v>0.53475440222428172</v>
      </c>
    </row>
    <row r="507" spans="2:3" x14ac:dyDescent="0.2">
      <c r="B507">
        <v>0.153187391670569</v>
      </c>
      <c r="C507">
        <v>0.5338276181649676</v>
      </c>
    </row>
    <row r="508" spans="2:3" x14ac:dyDescent="0.2">
      <c r="B508">
        <v>0.15288027133909199</v>
      </c>
      <c r="C508">
        <v>0.53290083410565336</v>
      </c>
    </row>
    <row r="509" spans="2:3" x14ac:dyDescent="0.2">
      <c r="B509">
        <v>0.15287422918246399</v>
      </c>
      <c r="C509">
        <v>0.53197405004633924</v>
      </c>
    </row>
    <row r="510" spans="2:3" x14ac:dyDescent="0.2">
      <c r="B510">
        <v>0.15229058551338101</v>
      </c>
      <c r="C510">
        <v>0.53104726598702501</v>
      </c>
    </row>
    <row r="511" spans="2:3" x14ac:dyDescent="0.2">
      <c r="B511">
        <v>0.15224997363471901</v>
      </c>
      <c r="C511">
        <v>0.53012048192771088</v>
      </c>
    </row>
    <row r="512" spans="2:3" x14ac:dyDescent="0.2">
      <c r="B512">
        <v>0.152231095363354</v>
      </c>
      <c r="C512">
        <v>0.52919369786839665</v>
      </c>
    </row>
    <row r="513" spans="2:3" x14ac:dyDescent="0.2">
      <c r="B513">
        <v>0.152220466697635</v>
      </c>
      <c r="C513">
        <v>0.52826691380908253</v>
      </c>
    </row>
    <row r="514" spans="2:3" x14ac:dyDescent="0.2">
      <c r="B514">
        <v>0.15202310920613901</v>
      </c>
      <c r="C514">
        <v>0.52734012974976829</v>
      </c>
    </row>
    <row r="515" spans="2:3" x14ac:dyDescent="0.2">
      <c r="B515">
        <v>0.151222777616006</v>
      </c>
      <c r="C515">
        <v>0.52641334569045417</v>
      </c>
    </row>
    <row r="516" spans="2:3" x14ac:dyDescent="0.2">
      <c r="B516">
        <v>0.15098675255563501</v>
      </c>
      <c r="C516">
        <v>0.52548656163113994</v>
      </c>
    </row>
    <row r="517" spans="2:3" x14ac:dyDescent="0.2">
      <c r="B517">
        <v>0.150917783831714</v>
      </c>
      <c r="C517">
        <v>0.52455977757182581</v>
      </c>
    </row>
    <row r="518" spans="2:3" x14ac:dyDescent="0.2">
      <c r="B518">
        <v>0.15087496213374599</v>
      </c>
      <c r="C518">
        <v>0.52363299351251158</v>
      </c>
    </row>
    <row r="519" spans="2:3" x14ac:dyDescent="0.2">
      <c r="B519">
        <v>0.15077056787989301</v>
      </c>
      <c r="C519">
        <v>0.52270620945319746</v>
      </c>
    </row>
    <row r="520" spans="2:3" x14ac:dyDescent="0.2">
      <c r="B520">
        <v>0.15023545691020501</v>
      </c>
      <c r="C520">
        <v>0.52177942539388322</v>
      </c>
    </row>
    <row r="521" spans="2:3" x14ac:dyDescent="0.2">
      <c r="B521">
        <v>0.15013578804891001</v>
      </c>
      <c r="C521">
        <v>0.5208526413345691</v>
      </c>
    </row>
    <row r="522" spans="2:3" x14ac:dyDescent="0.2">
      <c r="B522">
        <v>0.150121320569233</v>
      </c>
      <c r="C522">
        <v>0.51992585727525487</v>
      </c>
    </row>
    <row r="523" spans="2:3" x14ac:dyDescent="0.2">
      <c r="B523">
        <v>0.15009153669504299</v>
      </c>
      <c r="C523">
        <v>0.51899907321594063</v>
      </c>
    </row>
    <row r="524" spans="2:3" x14ac:dyDescent="0.2">
      <c r="B524">
        <v>0.14991741186104601</v>
      </c>
      <c r="C524">
        <v>0.51807228915662651</v>
      </c>
    </row>
    <row r="525" spans="2:3" x14ac:dyDescent="0.2">
      <c r="B525">
        <v>0.149755201124807</v>
      </c>
      <c r="C525">
        <v>0.51714550509731227</v>
      </c>
    </row>
    <row r="526" spans="2:3" x14ac:dyDescent="0.2">
      <c r="B526">
        <v>0.149232872142784</v>
      </c>
      <c r="C526">
        <v>0.51621872103799815</v>
      </c>
    </row>
    <row r="527" spans="2:3" x14ac:dyDescent="0.2">
      <c r="B527">
        <v>0.14872113595533701</v>
      </c>
      <c r="C527">
        <v>0.51529193697868392</v>
      </c>
    </row>
    <row r="528" spans="2:3" x14ac:dyDescent="0.2">
      <c r="B528">
        <v>0.14855921036003</v>
      </c>
      <c r="C528">
        <v>0.51436515291936979</v>
      </c>
    </row>
    <row r="529" spans="2:3" x14ac:dyDescent="0.2">
      <c r="B529">
        <v>0.14851562040525701</v>
      </c>
      <c r="C529">
        <v>0.51343836886005556</v>
      </c>
    </row>
    <row r="530" spans="2:3" x14ac:dyDescent="0.2">
      <c r="B530">
        <v>0.14847891310807601</v>
      </c>
      <c r="C530">
        <v>0.51251158480074144</v>
      </c>
    </row>
    <row r="531" spans="2:3" x14ac:dyDescent="0.2">
      <c r="B531">
        <v>0.14841507451730299</v>
      </c>
      <c r="C531">
        <v>0.5115848007414272</v>
      </c>
    </row>
    <row r="532" spans="2:3" x14ac:dyDescent="0.2">
      <c r="B532">
        <v>0.148326068812662</v>
      </c>
      <c r="C532">
        <v>0.51065801668211308</v>
      </c>
    </row>
    <row r="533" spans="2:3" x14ac:dyDescent="0.2">
      <c r="B533">
        <v>0.14794975722505099</v>
      </c>
      <c r="C533">
        <v>0.50973123262279885</v>
      </c>
    </row>
    <row r="534" spans="2:3" x14ac:dyDescent="0.2">
      <c r="B534">
        <v>0.14791448247990599</v>
      </c>
      <c r="C534">
        <v>0.50880444856348472</v>
      </c>
    </row>
    <row r="535" spans="2:3" x14ac:dyDescent="0.2">
      <c r="B535">
        <v>0.14783157129394101</v>
      </c>
      <c r="C535">
        <v>0.50787766450417049</v>
      </c>
    </row>
    <row r="536" spans="2:3" x14ac:dyDescent="0.2">
      <c r="B536">
        <v>0.147647041289414</v>
      </c>
      <c r="C536">
        <v>0.50695088044485637</v>
      </c>
    </row>
    <row r="537" spans="2:3" x14ac:dyDescent="0.2">
      <c r="B537">
        <v>0.147549976833413</v>
      </c>
      <c r="C537">
        <v>0.50602409638554213</v>
      </c>
    </row>
    <row r="538" spans="2:3" x14ac:dyDescent="0.2">
      <c r="B538">
        <v>0.147452898149246</v>
      </c>
      <c r="C538">
        <v>0.50509731232622801</v>
      </c>
    </row>
    <row r="539" spans="2:3" x14ac:dyDescent="0.2">
      <c r="B539">
        <v>0.14739200263034</v>
      </c>
      <c r="C539">
        <v>0.50417052826691378</v>
      </c>
    </row>
    <row r="540" spans="2:3" x14ac:dyDescent="0.2">
      <c r="B540">
        <v>0.14716144088614899</v>
      </c>
      <c r="C540">
        <v>0.50324374420759965</v>
      </c>
    </row>
    <row r="541" spans="2:3" x14ac:dyDescent="0.2">
      <c r="B541">
        <v>0.14672054828254999</v>
      </c>
      <c r="C541">
        <v>0.50231696014828542</v>
      </c>
    </row>
    <row r="542" spans="2:3" x14ac:dyDescent="0.2">
      <c r="B542">
        <v>0.14651218373729699</v>
      </c>
      <c r="C542">
        <v>0.5013901760889713</v>
      </c>
    </row>
    <row r="543" spans="2:3" x14ac:dyDescent="0.2">
      <c r="B543">
        <v>0.14647144910694301</v>
      </c>
      <c r="C543">
        <v>0.50046339202965706</v>
      </c>
    </row>
    <row r="544" spans="2:3" x14ac:dyDescent="0.2">
      <c r="B544">
        <v>0.14554778601721199</v>
      </c>
      <c r="C544">
        <v>0.49953660797034288</v>
      </c>
    </row>
    <row r="545" spans="2:3" x14ac:dyDescent="0.2">
      <c r="B545">
        <v>0.14503068151857601</v>
      </c>
      <c r="C545">
        <v>0.4986098239110287</v>
      </c>
    </row>
    <row r="546" spans="2:3" x14ac:dyDescent="0.2">
      <c r="B546">
        <v>0.14490593934421001</v>
      </c>
      <c r="C546">
        <v>0.49768303985171453</v>
      </c>
    </row>
    <row r="547" spans="2:3" x14ac:dyDescent="0.2">
      <c r="B547">
        <v>0.144683694710279</v>
      </c>
      <c r="C547">
        <v>0.49675625579240035</v>
      </c>
    </row>
    <row r="548" spans="2:3" x14ac:dyDescent="0.2">
      <c r="B548">
        <v>0.14424303690387899</v>
      </c>
      <c r="C548">
        <v>0.49582947173308617</v>
      </c>
    </row>
    <row r="549" spans="2:3" x14ac:dyDescent="0.2">
      <c r="B549">
        <v>0.14389125464861899</v>
      </c>
      <c r="C549">
        <v>0.49490268767377199</v>
      </c>
    </row>
    <row r="550" spans="2:3" x14ac:dyDescent="0.2">
      <c r="B550">
        <v>0.14371438213728499</v>
      </c>
      <c r="C550">
        <v>0.49397590361445781</v>
      </c>
    </row>
    <row r="551" spans="2:3" x14ac:dyDescent="0.2">
      <c r="B551">
        <v>0.14367432714016501</v>
      </c>
      <c r="C551">
        <v>0.49304911955514363</v>
      </c>
    </row>
    <row r="552" spans="2:3" x14ac:dyDescent="0.2">
      <c r="B552">
        <v>0.14364306001916299</v>
      </c>
      <c r="C552">
        <v>0.49212233549582945</v>
      </c>
    </row>
    <row r="553" spans="2:3" x14ac:dyDescent="0.2">
      <c r="B553">
        <v>0.14263391983530799</v>
      </c>
      <c r="C553">
        <v>0.49119555143651528</v>
      </c>
    </row>
    <row r="554" spans="2:3" x14ac:dyDescent="0.2">
      <c r="B554">
        <v>0.142505256562105</v>
      </c>
      <c r="C554">
        <v>0.4902687673772011</v>
      </c>
    </row>
    <row r="555" spans="2:3" x14ac:dyDescent="0.2">
      <c r="B555">
        <v>0.14241844659938099</v>
      </c>
      <c r="C555">
        <v>0.48934198331788692</v>
      </c>
    </row>
    <row r="556" spans="2:3" x14ac:dyDescent="0.2">
      <c r="B556">
        <v>0.142417403386908</v>
      </c>
      <c r="C556">
        <v>0.48841519925857274</v>
      </c>
    </row>
    <row r="557" spans="2:3" x14ac:dyDescent="0.2">
      <c r="B557">
        <v>0.142245248656407</v>
      </c>
      <c r="C557">
        <v>0.48748841519925856</v>
      </c>
    </row>
    <row r="558" spans="2:3" x14ac:dyDescent="0.2">
      <c r="B558">
        <v>0.14151556127317499</v>
      </c>
      <c r="C558">
        <v>0.48656163113994438</v>
      </c>
    </row>
    <row r="559" spans="2:3" x14ac:dyDescent="0.2">
      <c r="B559">
        <v>0.141356219854297</v>
      </c>
      <c r="C559">
        <v>0.48563484708063021</v>
      </c>
    </row>
    <row r="560" spans="2:3" x14ac:dyDescent="0.2">
      <c r="B560">
        <v>0.14103824447557201</v>
      </c>
      <c r="C560">
        <v>0.48470806302131603</v>
      </c>
    </row>
    <row r="561" spans="2:3" x14ac:dyDescent="0.2">
      <c r="B561">
        <v>0.14069936399426999</v>
      </c>
      <c r="C561">
        <v>0.48378127896200185</v>
      </c>
    </row>
    <row r="562" spans="2:3" x14ac:dyDescent="0.2">
      <c r="B562">
        <v>0.140686599756046</v>
      </c>
      <c r="C562">
        <v>0.48285449490268767</v>
      </c>
    </row>
    <row r="563" spans="2:3" x14ac:dyDescent="0.2">
      <c r="B563">
        <v>0.13973166141962701</v>
      </c>
      <c r="C563">
        <v>0.48192771084337349</v>
      </c>
    </row>
    <row r="564" spans="2:3" x14ac:dyDescent="0.2">
      <c r="B564">
        <v>0.13948225577506199</v>
      </c>
      <c r="C564">
        <v>0.48100092678405931</v>
      </c>
    </row>
    <row r="565" spans="2:3" x14ac:dyDescent="0.2">
      <c r="B565">
        <v>0.139285129322818</v>
      </c>
      <c r="C565">
        <v>0.48007414272474513</v>
      </c>
    </row>
    <row r="566" spans="2:3" x14ac:dyDescent="0.2">
      <c r="B566">
        <v>0.13912479748748699</v>
      </c>
      <c r="C566">
        <v>0.47914735866543096</v>
      </c>
    </row>
    <row r="567" spans="2:3" x14ac:dyDescent="0.2">
      <c r="B567">
        <v>0.13865013256837699</v>
      </c>
      <c r="C567">
        <v>0.47822057460611678</v>
      </c>
    </row>
    <row r="568" spans="2:3" x14ac:dyDescent="0.2">
      <c r="B568">
        <v>0.13816341428253401</v>
      </c>
      <c r="C568">
        <v>0.4772937905468026</v>
      </c>
    </row>
    <row r="569" spans="2:3" x14ac:dyDescent="0.2">
      <c r="B569">
        <v>0.137784568851432</v>
      </c>
      <c r="C569">
        <v>0.47636700648748842</v>
      </c>
    </row>
    <row r="570" spans="2:3" x14ac:dyDescent="0.2">
      <c r="B570">
        <v>0.13760627268064499</v>
      </c>
      <c r="C570">
        <v>0.47544022242817424</v>
      </c>
    </row>
    <row r="571" spans="2:3" x14ac:dyDescent="0.2">
      <c r="B571">
        <v>0.13717652609834599</v>
      </c>
      <c r="C571">
        <v>0.47451343836886006</v>
      </c>
    </row>
    <row r="572" spans="2:3" x14ac:dyDescent="0.2">
      <c r="B572">
        <v>0.13709624206007201</v>
      </c>
      <c r="C572">
        <v>0.47358665430954588</v>
      </c>
    </row>
    <row r="573" spans="2:3" x14ac:dyDescent="0.2">
      <c r="B573">
        <v>0.13682717022760699</v>
      </c>
      <c r="C573">
        <v>0.47265987025023171</v>
      </c>
    </row>
    <row r="574" spans="2:3" x14ac:dyDescent="0.2">
      <c r="B574">
        <v>0.13666349177701401</v>
      </c>
      <c r="C574">
        <v>0.47173308619091753</v>
      </c>
    </row>
    <row r="575" spans="2:3" x14ac:dyDescent="0.2">
      <c r="B575">
        <v>0.136642127490402</v>
      </c>
      <c r="C575">
        <v>0.47080630213160335</v>
      </c>
    </row>
    <row r="576" spans="2:3" x14ac:dyDescent="0.2">
      <c r="B576">
        <v>0.13657082912417001</v>
      </c>
      <c r="C576">
        <v>0.46987951807228917</v>
      </c>
    </row>
    <row r="577" spans="2:3" x14ac:dyDescent="0.2">
      <c r="B577">
        <v>0.13649800393747799</v>
      </c>
      <c r="C577">
        <v>0.46895273401297499</v>
      </c>
    </row>
    <row r="578" spans="2:3" x14ac:dyDescent="0.2">
      <c r="B578">
        <v>0.136186097737371</v>
      </c>
      <c r="C578">
        <v>0.46802594995366081</v>
      </c>
    </row>
    <row r="579" spans="2:3" x14ac:dyDescent="0.2">
      <c r="B579">
        <v>0.13597406345712101</v>
      </c>
      <c r="C579">
        <v>0.46709916589434664</v>
      </c>
    </row>
    <row r="580" spans="2:3" x14ac:dyDescent="0.2">
      <c r="B580">
        <v>0.13524167443708601</v>
      </c>
      <c r="C580">
        <v>0.46617238183503246</v>
      </c>
    </row>
    <row r="581" spans="2:3" x14ac:dyDescent="0.2">
      <c r="B581">
        <v>0.13516045656353801</v>
      </c>
      <c r="C581">
        <v>0.46524559777571828</v>
      </c>
    </row>
    <row r="582" spans="2:3" x14ac:dyDescent="0.2">
      <c r="B582">
        <v>0.13503942389075901</v>
      </c>
      <c r="C582">
        <v>0.4643188137164041</v>
      </c>
    </row>
    <row r="583" spans="2:3" x14ac:dyDescent="0.2">
      <c r="B583">
        <v>0.134841654579334</v>
      </c>
      <c r="C583">
        <v>0.46339202965708992</v>
      </c>
    </row>
    <row r="584" spans="2:3" x14ac:dyDescent="0.2">
      <c r="B584">
        <v>0.134369055893649</v>
      </c>
      <c r="C584">
        <v>0.46246524559777574</v>
      </c>
    </row>
    <row r="585" spans="2:3" x14ac:dyDescent="0.2">
      <c r="B585">
        <v>0.13346793189872</v>
      </c>
      <c r="C585">
        <v>0.46153846153846156</v>
      </c>
    </row>
    <row r="586" spans="2:3" x14ac:dyDescent="0.2">
      <c r="B586">
        <v>0.13342867073123699</v>
      </c>
      <c r="C586">
        <v>0.46061167747914739</v>
      </c>
    </row>
    <row r="587" spans="2:3" x14ac:dyDescent="0.2">
      <c r="B587">
        <v>0.13333580975269599</v>
      </c>
      <c r="C587">
        <v>0.45968489341983315</v>
      </c>
    </row>
    <row r="588" spans="2:3" x14ac:dyDescent="0.2">
      <c r="B588">
        <v>0.13307925940398099</v>
      </c>
      <c r="C588">
        <v>0.45875810936051897</v>
      </c>
    </row>
    <row r="589" spans="2:3" x14ac:dyDescent="0.2">
      <c r="B589">
        <v>0.132436710240947</v>
      </c>
      <c r="C589">
        <v>0.45783132530120479</v>
      </c>
    </row>
    <row r="590" spans="2:3" x14ac:dyDescent="0.2">
      <c r="B590">
        <v>0.13220028801091399</v>
      </c>
      <c r="C590">
        <v>0.45690454124189062</v>
      </c>
    </row>
    <row r="591" spans="2:3" x14ac:dyDescent="0.2">
      <c r="B591">
        <v>0.13218243313979</v>
      </c>
      <c r="C591">
        <v>0.45597775718257644</v>
      </c>
    </row>
    <row r="592" spans="2:3" x14ac:dyDescent="0.2">
      <c r="B592">
        <v>0.13217016239068999</v>
      </c>
      <c r="C592">
        <v>0.45505097312326226</v>
      </c>
    </row>
    <row r="593" spans="2:3" x14ac:dyDescent="0.2">
      <c r="B593">
        <v>0.132150168728326</v>
      </c>
      <c r="C593">
        <v>0.45412418906394808</v>
      </c>
    </row>
    <row r="594" spans="2:3" x14ac:dyDescent="0.2">
      <c r="B594">
        <v>0.13179963043578699</v>
      </c>
      <c r="C594">
        <v>0.4531974050046339</v>
      </c>
    </row>
    <row r="595" spans="2:3" x14ac:dyDescent="0.2">
      <c r="B595">
        <v>0.131629727017224</v>
      </c>
      <c r="C595">
        <v>0.45227062094531972</v>
      </c>
    </row>
    <row r="596" spans="2:3" x14ac:dyDescent="0.2">
      <c r="B596">
        <v>0.13128240295635599</v>
      </c>
      <c r="C596">
        <v>0.45134383688600554</v>
      </c>
    </row>
    <row r="597" spans="2:3" x14ac:dyDescent="0.2">
      <c r="B597">
        <v>0.131115749765496</v>
      </c>
      <c r="C597">
        <v>0.45041705282669137</v>
      </c>
    </row>
    <row r="598" spans="2:3" x14ac:dyDescent="0.2">
      <c r="B598">
        <v>0.130548286179371</v>
      </c>
      <c r="C598">
        <v>0.44949026876737719</v>
      </c>
    </row>
    <row r="599" spans="2:3" x14ac:dyDescent="0.2">
      <c r="B599">
        <v>0.13039070358205601</v>
      </c>
      <c r="C599">
        <v>0.44856348470806301</v>
      </c>
    </row>
    <row r="600" spans="2:3" x14ac:dyDescent="0.2">
      <c r="B600">
        <v>0.13019375769755201</v>
      </c>
      <c r="C600">
        <v>0.44763670064874883</v>
      </c>
    </row>
    <row r="601" spans="2:3" x14ac:dyDescent="0.2">
      <c r="B601">
        <v>0.12955628604901701</v>
      </c>
      <c r="C601">
        <v>0.44670991658943465</v>
      </c>
    </row>
    <row r="602" spans="2:3" x14ac:dyDescent="0.2">
      <c r="B602">
        <v>0.12865299423476101</v>
      </c>
      <c r="C602">
        <v>0.44578313253012047</v>
      </c>
    </row>
    <row r="603" spans="2:3" x14ac:dyDescent="0.2">
      <c r="B603">
        <v>0.12801462304301101</v>
      </c>
      <c r="C603">
        <v>0.4448563484708063</v>
      </c>
    </row>
    <row r="604" spans="2:3" x14ac:dyDescent="0.2">
      <c r="B604">
        <v>0.12793963424486801</v>
      </c>
      <c r="C604">
        <v>0.44392956441149212</v>
      </c>
    </row>
    <row r="605" spans="2:3" x14ac:dyDescent="0.2">
      <c r="B605">
        <v>0.12702955852422401</v>
      </c>
      <c r="C605">
        <v>0.44300278035217794</v>
      </c>
    </row>
    <row r="606" spans="2:3" x14ac:dyDescent="0.2">
      <c r="B606">
        <v>0.12698017984666499</v>
      </c>
      <c r="C606">
        <v>0.44207599629286376</v>
      </c>
    </row>
    <row r="607" spans="2:3" x14ac:dyDescent="0.2">
      <c r="B607">
        <v>0.126971590535499</v>
      </c>
      <c r="C607">
        <v>0.44114921223354958</v>
      </c>
    </row>
    <row r="608" spans="2:3" x14ac:dyDescent="0.2">
      <c r="B608">
        <v>0.12667515394750201</v>
      </c>
      <c r="C608">
        <v>0.4402224281742354</v>
      </c>
    </row>
    <row r="609" spans="2:3" x14ac:dyDescent="0.2">
      <c r="B609">
        <v>0.12659532877110199</v>
      </c>
      <c r="C609">
        <v>0.43929564411492122</v>
      </c>
    </row>
    <row r="610" spans="2:3" x14ac:dyDescent="0.2">
      <c r="B610">
        <v>0.12598592353982699</v>
      </c>
      <c r="C610">
        <v>0.43836886005560705</v>
      </c>
    </row>
    <row r="611" spans="2:3" x14ac:dyDescent="0.2">
      <c r="B611">
        <v>0.12572920615993</v>
      </c>
      <c r="C611">
        <v>0.43744207599629287</v>
      </c>
    </row>
    <row r="612" spans="2:3" x14ac:dyDescent="0.2">
      <c r="B612">
        <v>0.12546463494757601</v>
      </c>
      <c r="C612">
        <v>0.43651529193697869</v>
      </c>
    </row>
    <row r="613" spans="2:3" x14ac:dyDescent="0.2">
      <c r="B613">
        <v>0.12520639406075401</v>
      </c>
      <c r="C613">
        <v>0.43558850787766451</v>
      </c>
    </row>
    <row r="614" spans="2:3" x14ac:dyDescent="0.2">
      <c r="B614">
        <v>0.124863796969598</v>
      </c>
      <c r="C614">
        <v>0.43466172381835033</v>
      </c>
    </row>
    <row r="615" spans="2:3" x14ac:dyDescent="0.2">
      <c r="B615">
        <v>0.12455093190165201</v>
      </c>
      <c r="C615">
        <v>0.43373493975903615</v>
      </c>
    </row>
    <row r="616" spans="2:3" x14ac:dyDescent="0.2">
      <c r="B616">
        <v>0.12450667195731099</v>
      </c>
      <c r="C616">
        <v>0.43280815569972197</v>
      </c>
    </row>
    <row r="617" spans="2:3" x14ac:dyDescent="0.2">
      <c r="B617">
        <v>0.12449356040519299</v>
      </c>
      <c r="C617">
        <v>0.4318813716404078</v>
      </c>
    </row>
    <row r="618" spans="2:3" x14ac:dyDescent="0.2">
      <c r="B618">
        <v>0.124475269550402</v>
      </c>
      <c r="C618">
        <v>0.43095458758109362</v>
      </c>
    </row>
    <row r="619" spans="2:3" x14ac:dyDescent="0.2">
      <c r="B619">
        <v>0.123917519528671</v>
      </c>
      <c r="C619">
        <v>0.43002780352177944</v>
      </c>
    </row>
    <row r="620" spans="2:3" x14ac:dyDescent="0.2">
      <c r="B620">
        <v>0.12376484638095001</v>
      </c>
      <c r="C620">
        <v>0.42910101946246526</v>
      </c>
    </row>
    <row r="621" spans="2:3" x14ac:dyDescent="0.2">
      <c r="B621">
        <v>0.12371594719547099</v>
      </c>
      <c r="C621">
        <v>0.42817423540315108</v>
      </c>
    </row>
    <row r="622" spans="2:3" x14ac:dyDescent="0.2">
      <c r="B622">
        <v>0.123613137574759</v>
      </c>
      <c r="C622">
        <v>0.4272474513438369</v>
      </c>
    </row>
    <row r="623" spans="2:3" x14ac:dyDescent="0.2">
      <c r="B623">
        <v>0.123362918329042</v>
      </c>
      <c r="C623">
        <v>0.42632066728452273</v>
      </c>
    </row>
    <row r="624" spans="2:3" x14ac:dyDescent="0.2">
      <c r="B624">
        <v>0.123353984016444</v>
      </c>
      <c r="C624">
        <v>0.42539388322520855</v>
      </c>
    </row>
    <row r="625" spans="2:3" x14ac:dyDescent="0.2">
      <c r="B625">
        <v>0.12328835899983499</v>
      </c>
      <c r="C625">
        <v>0.42446709916589437</v>
      </c>
    </row>
    <row r="626" spans="2:3" x14ac:dyDescent="0.2">
      <c r="B626">
        <v>0.123173779262851</v>
      </c>
      <c r="C626">
        <v>0.42354031510658019</v>
      </c>
    </row>
    <row r="627" spans="2:3" x14ac:dyDescent="0.2">
      <c r="B627">
        <v>0.123118893733121</v>
      </c>
      <c r="C627">
        <v>0.42261353104726601</v>
      </c>
    </row>
    <row r="628" spans="2:3" x14ac:dyDescent="0.2">
      <c r="B628">
        <v>0.12253670391672</v>
      </c>
      <c r="C628">
        <v>0.42168674698795183</v>
      </c>
    </row>
    <row r="629" spans="2:3" x14ac:dyDescent="0.2">
      <c r="B629">
        <v>0.122135697898172</v>
      </c>
      <c r="C629">
        <v>0.42075996292863765</v>
      </c>
    </row>
    <row r="630" spans="2:3" x14ac:dyDescent="0.2">
      <c r="B630">
        <v>0.122126085136939</v>
      </c>
      <c r="C630">
        <v>0.41983317886932342</v>
      </c>
    </row>
    <row r="631" spans="2:3" x14ac:dyDescent="0.2">
      <c r="B631">
        <v>0.12198491874278899</v>
      </c>
      <c r="C631">
        <v>0.41890639481000924</v>
      </c>
    </row>
    <row r="632" spans="2:3" x14ac:dyDescent="0.2">
      <c r="B632">
        <v>0.121918383233014</v>
      </c>
      <c r="C632">
        <v>0.41797961075069506</v>
      </c>
    </row>
    <row r="633" spans="2:3" x14ac:dyDescent="0.2">
      <c r="B633">
        <v>0.12172872356574201</v>
      </c>
      <c r="C633">
        <v>0.41705282669138088</v>
      </c>
    </row>
    <row r="634" spans="2:3" x14ac:dyDescent="0.2">
      <c r="B634">
        <v>0.121167481217458</v>
      </c>
      <c r="C634">
        <v>0.41612604263206671</v>
      </c>
    </row>
    <row r="635" spans="2:3" x14ac:dyDescent="0.2">
      <c r="B635">
        <v>0.120796776564893</v>
      </c>
      <c r="C635">
        <v>0.41519925857275253</v>
      </c>
    </row>
    <row r="636" spans="2:3" x14ac:dyDescent="0.2">
      <c r="B636">
        <v>0.120774072212465</v>
      </c>
      <c r="C636">
        <v>0.41427247451343835</v>
      </c>
    </row>
    <row r="637" spans="2:3" x14ac:dyDescent="0.2">
      <c r="B637">
        <v>0.120728691584569</v>
      </c>
      <c r="C637">
        <v>0.41334569045412417</v>
      </c>
    </row>
    <row r="638" spans="2:3" x14ac:dyDescent="0.2">
      <c r="B638">
        <v>0.12052133647395501</v>
      </c>
      <c r="C638">
        <v>0.41241890639480999</v>
      </c>
    </row>
    <row r="639" spans="2:3" x14ac:dyDescent="0.2">
      <c r="B639">
        <v>0.119615875182746</v>
      </c>
      <c r="C639">
        <v>0.41149212233549581</v>
      </c>
    </row>
    <row r="640" spans="2:3" x14ac:dyDescent="0.2">
      <c r="B640">
        <v>0.119320982351639</v>
      </c>
      <c r="C640">
        <v>0.41056533827618164</v>
      </c>
    </row>
    <row r="641" spans="2:3" x14ac:dyDescent="0.2">
      <c r="B641">
        <v>0.11921265131618999</v>
      </c>
      <c r="C641">
        <v>0.40963855421686746</v>
      </c>
    </row>
    <row r="642" spans="2:3" x14ac:dyDescent="0.2">
      <c r="B642">
        <v>0.119121032254313</v>
      </c>
      <c r="C642">
        <v>0.40871177015755328</v>
      </c>
    </row>
    <row r="643" spans="2:3" x14ac:dyDescent="0.2">
      <c r="B643">
        <v>0.118705726486683</v>
      </c>
      <c r="C643">
        <v>0.4077849860982391</v>
      </c>
    </row>
    <row r="644" spans="2:3" x14ac:dyDescent="0.2">
      <c r="B644">
        <v>0.118467815011217</v>
      </c>
      <c r="C644">
        <v>0.40685820203892492</v>
      </c>
    </row>
    <row r="645" spans="2:3" x14ac:dyDescent="0.2">
      <c r="B645">
        <v>0.118343660174275</v>
      </c>
      <c r="C645">
        <v>0.40593141797961074</v>
      </c>
    </row>
    <row r="646" spans="2:3" x14ac:dyDescent="0.2">
      <c r="B646">
        <v>0.118271819382656</v>
      </c>
      <c r="C646">
        <v>0.40500463392029656</v>
      </c>
    </row>
    <row r="647" spans="2:3" x14ac:dyDescent="0.2">
      <c r="B647">
        <v>0.117362311814356</v>
      </c>
      <c r="C647">
        <v>0.40407784986098239</v>
      </c>
    </row>
    <row r="648" spans="2:3" x14ac:dyDescent="0.2">
      <c r="B648">
        <v>0.116509294827845</v>
      </c>
      <c r="C648">
        <v>0.40315106580166821</v>
      </c>
    </row>
    <row r="649" spans="2:3" x14ac:dyDescent="0.2">
      <c r="B649">
        <v>0.116134026662027</v>
      </c>
      <c r="C649">
        <v>0.40222428174235403</v>
      </c>
    </row>
    <row r="650" spans="2:3" x14ac:dyDescent="0.2">
      <c r="B650">
        <v>0.115766611619208</v>
      </c>
      <c r="C650">
        <v>0.40129749768303985</v>
      </c>
    </row>
    <row r="651" spans="2:3" x14ac:dyDescent="0.2">
      <c r="B651">
        <v>0.11571735351286901</v>
      </c>
      <c r="C651">
        <v>0.40037071362372567</v>
      </c>
    </row>
    <row r="652" spans="2:3" x14ac:dyDescent="0.2">
      <c r="B652">
        <v>0.115678585024191</v>
      </c>
      <c r="C652">
        <v>0.39944392956441149</v>
      </c>
    </row>
    <row r="653" spans="2:3" x14ac:dyDescent="0.2">
      <c r="B653">
        <v>0.115425345144245</v>
      </c>
      <c r="C653">
        <v>0.39851714550509731</v>
      </c>
    </row>
    <row r="654" spans="2:3" x14ac:dyDescent="0.2">
      <c r="B654">
        <v>0.115424361015751</v>
      </c>
      <c r="C654">
        <v>0.39759036144578314</v>
      </c>
    </row>
    <row r="655" spans="2:3" x14ac:dyDescent="0.2">
      <c r="B655">
        <v>0.11530167643436599</v>
      </c>
      <c r="C655">
        <v>0.39666357738646896</v>
      </c>
    </row>
    <row r="656" spans="2:3" x14ac:dyDescent="0.2">
      <c r="B656">
        <v>0.115284994992794</v>
      </c>
      <c r="C656">
        <v>0.39573679332715478</v>
      </c>
    </row>
    <row r="657" spans="2:3" x14ac:dyDescent="0.2">
      <c r="B657">
        <v>0.11528447458509</v>
      </c>
      <c r="C657">
        <v>0.3948100092678406</v>
      </c>
    </row>
    <row r="658" spans="2:3" x14ac:dyDescent="0.2">
      <c r="B658">
        <v>0.114989607211526</v>
      </c>
      <c r="C658">
        <v>0.39388322520852642</v>
      </c>
    </row>
    <row r="659" spans="2:3" x14ac:dyDescent="0.2">
      <c r="B659">
        <v>0.11480283131050199</v>
      </c>
      <c r="C659">
        <v>0.39295644114921224</v>
      </c>
    </row>
    <row r="660" spans="2:3" x14ac:dyDescent="0.2">
      <c r="B660">
        <v>0.114740855006304</v>
      </c>
      <c r="C660">
        <v>0.39202965708989806</v>
      </c>
    </row>
    <row r="661" spans="2:3" x14ac:dyDescent="0.2">
      <c r="B661">
        <v>0.114176145462586</v>
      </c>
      <c r="C661">
        <v>0.39110287303058389</v>
      </c>
    </row>
    <row r="662" spans="2:3" x14ac:dyDescent="0.2">
      <c r="B662">
        <v>0.11412439866518</v>
      </c>
      <c r="C662">
        <v>0.39017608897126971</v>
      </c>
    </row>
    <row r="663" spans="2:3" x14ac:dyDescent="0.2">
      <c r="B663">
        <v>0.11411569843655001</v>
      </c>
      <c r="C663">
        <v>0.38924930491195553</v>
      </c>
    </row>
    <row r="664" spans="2:3" x14ac:dyDescent="0.2">
      <c r="B664">
        <v>0.11385775443443</v>
      </c>
      <c r="C664">
        <v>0.38832252085264135</v>
      </c>
    </row>
    <row r="665" spans="2:3" x14ac:dyDescent="0.2">
      <c r="B665">
        <v>0.113785210130881</v>
      </c>
      <c r="C665">
        <v>0.38739573679332717</v>
      </c>
    </row>
    <row r="666" spans="2:3" x14ac:dyDescent="0.2">
      <c r="B666">
        <v>0.1137656078123</v>
      </c>
      <c r="C666">
        <v>0.38646895273401299</v>
      </c>
    </row>
    <row r="667" spans="2:3" x14ac:dyDescent="0.2">
      <c r="B667">
        <v>0.11371551685023</v>
      </c>
      <c r="C667">
        <v>0.38554216867469882</v>
      </c>
    </row>
    <row r="668" spans="2:3" x14ac:dyDescent="0.2">
      <c r="B668">
        <v>0.113111287098127</v>
      </c>
      <c r="C668">
        <v>0.38461538461538464</v>
      </c>
    </row>
    <row r="669" spans="2:3" x14ac:dyDescent="0.2">
      <c r="B669">
        <v>0.11306499445023301</v>
      </c>
      <c r="C669">
        <v>0.38368860055607046</v>
      </c>
    </row>
    <row r="670" spans="2:3" x14ac:dyDescent="0.2">
      <c r="B670">
        <v>0.112952024686682</v>
      </c>
      <c r="C670">
        <v>0.38276181649675628</v>
      </c>
    </row>
    <row r="671" spans="2:3" x14ac:dyDescent="0.2">
      <c r="B671">
        <v>0.11289939752619101</v>
      </c>
      <c r="C671">
        <v>0.3818350324374421</v>
      </c>
    </row>
    <row r="672" spans="2:3" x14ac:dyDescent="0.2">
      <c r="B672">
        <v>0.11283438595663101</v>
      </c>
      <c r="C672">
        <v>0.38090824837812792</v>
      </c>
    </row>
    <row r="673" spans="2:3" x14ac:dyDescent="0.2">
      <c r="B673">
        <v>0.112566659102318</v>
      </c>
      <c r="C673">
        <v>0.37998146431881369</v>
      </c>
    </row>
    <row r="674" spans="2:3" x14ac:dyDescent="0.2">
      <c r="B674">
        <v>0.11199847788122901</v>
      </c>
      <c r="C674">
        <v>0.37905468025949951</v>
      </c>
    </row>
    <row r="675" spans="2:3" x14ac:dyDescent="0.2">
      <c r="B675">
        <v>0.111959902869027</v>
      </c>
      <c r="C675">
        <v>0.37812789620018533</v>
      </c>
    </row>
    <row r="676" spans="2:3" x14ac:dyDescent="0.2">
      <c r="B676">
        <v>0.11157394521225</v>
      </c>
      <c r="C676">
        <v>0.37720111214087115</v>
      </c>
    </row>
    <row r="677" spans="2:3" x14ac:dyDescent="0.2">
      <c r="B677">
        <v>0.111342024040837</v>
      </c>
      <c r="C677">
        <v>0.37627432808155697</v>
      </c>
    </row>
    <row r="678" spans="2:3" x14ac:dyDescent="0.2">
      <c r="B678">
        <v>0.11114807666493499</v>
      </c>
      <c r="C678">
        <v>0.3753475440222428</v>
      </c>
    </row>
    <row r="679" spans="2:3" x14ac:dyDescent="0.2">
      <c r="B679">
        <v>0.111143617919181</v>
      </c>
      <c r="C679">
        <v>0.37442075996292862</v>
      </c>
    </row>
    <row r="680" spans="2:3" x14ac:dyDescent="0.2">
      <c r="B680">
        <v>0.111070257604355</v>
      </c>
      <c r="C680">
        <v>0.37349397590361444</v>
      </c>
    </row>
    <row r="681" spans="2:3" x14ac:dyDescent="0.2">
      <c r="B681">
        <v>0.110894517277282</v>
      </c>
      <c r="C681">
        <v>0.37256719184430026</v>
      </c>
    </row>
    <row r="682" spans="2:3" x14ac:dyDescent="0.2">
      <c r="B682">
        <v>0.110585262332064</v>
      </c>
      <c r="C682">
        <v>0.37164040778498608</v>
      </c>
    </row>
    <row r="683" spans="2:3" x14ac:dyDescent="0.2">
      <c r="B683">
        <v>0.110557987221212</v>
      </c>
      <c r="C683">
        <v>0.3707136237256719</v>
      </c>
    </row>
    <row r="684" spans="2:3" x14ac:dyDescent="0.2">
      <c r="B684">
        <v>0.11049440231645399</v>
      </c>
      <c r="C684">
        <v>0.36978683966635773</v>
      </c>
    </row>
    <row r="685" spans="2:3" x14ac:dyDescent="0.2">
      <c r="B685">
        <v>0.11046107852591799</v>
      </c>
      <c r="C685">
        <v>0.36886005560704355</v>
      </c>
    </row>
    <row r="686" spans="2:3" x14ac:dyDescent="0.2">
      <c r="B686">
        <v>0.110262436891627</v>
      </c>
      <c r="C686">
        <v>0.36793327154772937</v>
      </c>
    </row>
    <row r="687" spans="2:3" x14ac:dyDescent="0.2">
      <c r="B687">
        <v>0.11021499656520101</v>
      </c>
      <c r="C687">
        <v>0.36700648748841519</v>
      </c>
    </row>
    <row r="688" spans="2:3" x14ac:dyDescent="0.2">
      <c r="B688">
        <v>0.109793388700102</v>
      </c>
      <c r="C688">
        <v>0.36607970342910101</v>
      </c>
    </row>
    <row r="689" spans="2:3" x14ac:dyDescent="0.2">
      <c r="B689">
        <v>0.109688290168286</v>
      </c>
      <c r="C689">
        <v>0.36515291936978683</v>
      </c>
    </row>
    <row r="690" spans="2:3" x14ac:dyDescent="0.2">
      <c r="B690">
        <v>0.109531589065559</v>
      </c>
      <c r="C690">
        <v>0.36422613531047265</v>
      </c>
    </row>
    <row r="691" spans="2:3" x14ac:dyDescent="0.2">
      <c r="B691">
        <v>0.108494636248558</v>
      </c>
      <c r="C691">
        <v>0.36329935125115848</v>
      </c>
    </row>
    <row r="692" spans="2:3" x14ac:dyDescent="0.2">
      <c r="B692">
        <v>0.108389748260627</v>
      </c>
      <c r="C692">
        <v>0.3623725671918443</v>
      </c>
    </row>
    <row r="693" spans="2:3" x14ac:dyDescent="0.2">
      <c r="B693">
        <v>0.10775750957211901</v>
      </c>
      <c r="C693">
        <v>0.36144578313253012</v>
      </c>
    </row>
    <row r="694" spans="2:3" x14ac:dyDescent="0.2">
      <c r="B694">
        <v>0.10773401237720499</v>
      </c>
      <c r="C694">
        <v>0.36051899907321594</v>
      </c>
    </row>
    <row r="695" spans="2:3" x14ac:dyDescent="0.2">
      <c r="B695">
        <v>0.107639359520403</v>
      </c>
      <c r="C695">
        <v>0.35959221501390176</v>
      </c>
    </row>
    <row r="696" spans="2:3" x14ac:dyDescent="0.2">
      <c r="B696">
        <v>0.107566348385268</v>
      </c>
      <c r="C696">
        <v>0.35866543095458758</v>
      </c>
    </row>
    <row r="697" spans="2:3" x14ac:dyDescent="0.2">
      <c r="B697">
        <v>0.107513201066155</v>
      </c>
      <c r="C697">
        <v>0.3577386468952734</v>
      </c>
    </row>
    <row r="698" spans="2:3" x14ac:dyDescent="0.2">
      <c r="B698">
        <v>0.107422759787035</v>
      </c>
      <c r="C698">
        <v>0.35681186283595923</v>
      </c>
    </row>
    <row r="699" spans="2:3" x14ac:dyDescent="0.2">
      <c r="B699">
        <v>0.10737576768164001</v>
      </c>
      <c r="C699">
        <v>0.35588507877664505</v>
      </c>
    </row>
    <row r="700" spans="2:3" x14ac:dyDescent="0.2">
      <c r="B700">
        <v>0.107370364016353</v>
      </c>
      <c r="C700">
        <v>0.35495829471733087</v>
      </c>
    </row>
    <row r="701" spans="2:3" x14ac:dyDescent="0.2">
      <c r="B701">
        <v>0.107353305945828</v>
      </c>
      <c r="C701">
        <v>0.35403151065801669</v>
      </c>
    </row>
    <row r="702" spans="2:3" x14ac:dyDescent="0.2">
      <c r="B702">
        <v>0.10700662970520899</v>
      </c>
      <c r="C702">
        <v>0.35310472659870251</v>
      </c>
    </row>
    <row r="703" spans="2:3" x14ac:dyDescent="0.2">
      <c r="B703">
        <v>0.106900888927197</v>
      </c>
      <c r="C703">
        <v>0.35217794253938833</v>
      </c>
    </row>
    <row r="704" spans="2:3" x14ac:dyDescent="0.2">
      <c r="B704">
        <v>0.106720430583579</v>
      </c>
      <c r="C704">
        <v>0.35125115848007415</v>
      </c>
    </row>
    <row r="705" spans="2:3" x14ac:dyDescent="0.2">
      <c r="B705">
        <v>0.106394471362976</v>
      </c>
      <c r="C705">
        <v>0.35032437442075998</v>
      </c>
    </row>
    <row r="706" spans="2:3" x14ac:dyDescent="0.2">
      <c r="B706">
        <v>0.106258326960359</v>
      </c>
      <c r="C706">
        <v>0.3493975903614458</v>
      </c>
    </row>
    <row r="707" spans="2:3" x14ac:dyDescent="0.2">
      <c r="B707">
        <v>0.106247455715166</v>
      </c>
      <c r="C707">
        <v>0.34847080630213162</v>
      </c>
    </row>
    <row r="708" spans="2:3" x14ac:dyDescent="0.2">
      <c r="B708">
        <v>0.106082167682305</v>
      </c>
      <c r="C708">
        <v>0.34754402224281744</v>
      </c>
    </row>
    <row r="709" spans="2:3" x14ac:dyDescent="0.2">
      <c r="B709">
        <v>0.105617088939874</v>
      </c>
      <c r="C709">
        <v>0.34661723818350326</v>
      </c>
    </row>
    <row r="710" spans="2:3" x14ac:dyDescent="0.2">
      <c r="B710">
        <v>0.10561391617423101</v>
      </c>
      <c r="C710">
        <v>0.34569045412418908</v>
      </c>
    </row>
    <row r="711" spans="2:3" x14ac:dyDescent="0.2">
      <c r="B711">
        <v>0.105546802097333</v>
      </c>
      <c r="C711">
        <v>0.34476367006487491</v>
      </c>
    </row>
    <row r="712" spans="2:3" x14ac:dyDescent="0.2">
      <c r="B712">
        <v>0.104989132653783</v>
      </c>
      <c r="C712">
        <v>0.34383688600556073</v>
      </c>
    </row>
    <row r="713" spans="2:3" x14ac:dyDescent="0.2">
      <c r="B713">
        <v>0.10483637120534101</v>
      </c>
      <c r="C713">
        <v>0.34291010194624655</v>
      </c>
    </row>
    <row r="714" spans="2:3" x14ac:dyDescent="0.2">
      <c r="B714">
        <v>0.10432058287361901</v>
      </c>
      <c r="C714">
        <v>0.34198331788693237</v>
      </c>
    </row>
    <row r="715" spans="2:3" x14ac:dyDescent="0.2">
      <c r="B715">
        <v>0.104162111072632</v>
      </c>
      <c r="C715">
        <v>0.34105653382761819</v>
      </c>
    </row>
    <row r="716" spans="2:3" x14ac:dyDescent="0.2">
      <c r="B716">
        <v>0.104059971287397</v>
      </c>
      <c r="C716">
        <v>0.34012974976830401</v>
      </c>
    </row>
    <row r="717" spans="2:3" x14ac:dyDescent="0.2">
      <c r="B717">
        <v>0.104005840390143</v>
      </c>
      <c r="C717">
        <v>0.33920296570898978</v>
      </c>
    </row>
    <row r="718" spans="2:3" x14ac:dyDescent="0.2">
      <c r="B718">
        <v>0.103888840545487</v>
      </c>
      <c r="C718">
        <v>0.3382761816496756</v>
      </c>
    </row>
    <row r="719" spans="2:3" x14ac:dyDescent="0.2">
      <c r="B719">
        <v>0.10384284385039701</v>
      </c>
      <c r="C719">
        <v>0.33734939759036142</v>
      </c>
    </row>
    <row r="720" spans="2:3" x14ac:dyDescent="0.2">
      <c r="B720">
        <v>0.103056399713559</v>
      </c>
      <c r="C720">
        <v>0.33642261353104724</v>
      </c>
    </row>
    <row r="721" spans="2:3" x14ac:dyDescent="0.2">
      <c r="B721">
        <v>0.102933769186563</v>
      </c>
      <c r="C721">
        <v>0.33549582947173306</v>
      </c>
    </row>
    <row r="722" spans="2:3" x14ac:dyDescent="0.2">
      <c r="B722">
        <v>0.102906566485774</v>
      </c>
      <c r="C722">
        <v>0.33456904541241889</v>
      </c>
    </row>
    <row r="723" spans="2:3" x14ac:dyDescent="0.2">
      <c r="B723">
        <v>0.102731025297677</v>
      </c>
      <c r="C723">
        <v>0.33364226135310471</v>
      </c>
    </row>
    <row r="724" spans="2:3" x14ac:dyDescent="0.2">
      <c r="B724">
        <v>0.10244789091085001</v>
      </c>
      <c r="C724">
        <v>0.33271547729379053</v>
      </c>
    </row>
    <row r="725" spans="2:3" x14ac:dyDescent="0.2">
      <c r="B725">
        <v>0.10242245814553801</v>
      </c>
      <c r="C725">
        <v>0.33178869323447635</v>
      </c>
    </row>
    <row r="726" spans="2:3" x14ac:dyDescent="0.2">
      <c r="B726">
        <v>0.102366919154098</v>
      </c>
      <c r="C726">
        <v>0.33086190917516217</v>
      </c>
    </row>
    <row r="727" spans="2:3" x14ac:dyDescent="0.2">
      <c r="B727">
        <v>0.102240218371265</v>
      </c>
      <c r="C727">
        <v>0.32993512511584799</v>
      </c>
    </row>
    <row r="728" spans="2:3" x14ac:dyDescent="0.2">
      <c r="B728">
        <v>0.102188608065185</v>
      </c>
      <c r="C728">
        <v>0.32900834105653382</v>
      </c>
    </row>
    <row r="729" spans="2:3" x14ac:dyDescent="0.2">
      <c r="B729">
        <v>0.101947069343574</v>
      </c>
      <c r="C729">
        <v>0.32808155699721964</v>
      </c>
    </row>
    <row r="730" spans="2:3" x14ac:dyDescent="0.2">
      <c r="B730">
        <v>0.101894177581257</v>
      </c>
      <c r="C730">
        <v>0.32715477293790546</v>
      </c>
    </row>
    <row r="731" spans="2:3" x14ac:dyDescent="0.2">
      <c r="B731">
        <v>0.101795842580063</v>
      </c>
      <c r="C731">
        <v>0.32622798887859128</v>
      </c>
    </row>
    <row r="732" spans="2:3" x14ac:dyDescent="0.2">
      <c r="B732">
        <v>0.10158390104510601</v>
      </c>
      <c r="C732">
        <v>0.3253012048192771</v>
      </c>
    </row>
    <row r="733" spans="2:3" x14ac:dyDescent="0.2">
      <c r="B733">
        <v>0.10125965827377401</v>
      </c>
      <c r="C733">
        <v>0.32437442075996292</v>
      </c>
    </row>
    <row r="734" spans="2:3" x14ac:dyDescent="0.2">
      <c r="B734">
        <v>0.101182189577553</v>
      </c>
      <c r="C734">
        <v>0.32344763670064874</v>
      </c>
    </row>
    <row r="735" spans="2:3" x14ac:dyDescent="0.2">
      <c r="B735">
        <v>0.10106291747636301</v>
      </c>
      <c r="C735">
        <v>0.32252085264133457</v>
      </c>
    </row>
    <row r="736" spans="2:3" x14ac:dyDescent="0.2">
      <c r="B736">
        <v>0.101056081075688</v>
      </c>
      <c r="C736">
        <v>0.32159406858202039</v>
      </c>
    </row>
    <row r="737" spans="2:3" x14ac:dyDescent="0.2">
      <c r="B737">
        <v>0.100859476501755</v>
      </c>
      <c r="C737">
        <v>0.32066728452270621</v>
      </c>
    </row>
    <row r="738" spans="2:3" x14ac:dyDescent="0.2">
      <c r="B738">
        <v>0.100687306014882</v>
      </c>
      <c r="C738">
        <v>0.31974050046339203</v>
      </c>
    </row>
    <row r="739" spans="2:3" x14ac:dyDescent="0.2">
      <c r="B739">
        <v>0.100550052954302</v>
      </c>
      <c r="C739">
        <v>0.31881371640407785</v>
      </c>
    </row>
    <row r="740" spans="2:3" x14ac:dyDescent="0.2">
      <c r="B740">
        <v>0.100162108438515</v>
      </c>
      <c r="C740">
        <v>0.31788693234476367</v>
      </c>
    </row>
    <row r="741" spans="2:3" x14ac:dyDescent="0.2">
      <c r="B741">
        <v>0.10010353983824501</v>
      </c>
      <c r="C741">
        <v>0.31696014828544949</v>
      </c>
    </row>
    <row r="742" spans="2:3" x14ac:dyDescent="0.2">
      <c r="B742">
        <v>9.9944596931955301E-2</v>
      </c>
      <c r="C742">
        <v>0.31603336422613532</v>
      </c>
    </row>
    <row r="743" spans="2:3" x14ac:dyDescent="0.2">
      <c r="B743">
        <v>9.9800882245231107E-2</v>
      </c>
      <c r="C743">
        <v>0.31510658016682114</v>
      </c>
    </row>
    <row r="744" spans="2:3" x14ac:dyDescent="0.2">
      <c r="B744">
        <v>9.9562482548658404E-2</v>
      </c>
      <c r="C744">
        <v>0.31417979610750696</v>
      </c>
    </row>
    <row r="745" spans="2:3" x14ac:dyDescent="0.2">
      <c r="B745">
        <v>9.9517409876739196E-2</v>
      </c>
      <c r="C745">
        <v>0.31325301204819278</v>
      </c>
    </row>
    <row r="746" spans="2:3" x14ac:dyDescent="0.2">
      <c r="B746">
        <v>9.9327559263642395E-2</v>
      </c>
      <c r="C746">
        <v>0.3123262279888786</v>
      </c>
    </row>
    <row r="747" spans="2:3" x14ac:dyDescent="0.2">
      <c r="B747">
        <v>9.9284882584603495E-2</v>
      </c>
      <c r="C747">
        <v>0.31139944392956442</v>
      </c>
    </row>
    <row r="748" spans="2:3" x14ac:dyDescent="0.2">
      <c r="B748">
        <v>9.9276725987245504E-2</v>
      </c>
      <c r="C748">
        <v>0.31047265987025024</v>
      </c>
    </row>
    <row r="749" spans="2:3" x14ac:dyDescent="0.2">
      <c r="B749">
        <v>9.9228894714108007E-2</v>
      </c>
      <c r="C749">
        <v>0.30954587581093607</v>
      </c>
    </row>
    <row r="750" spans="2:3" x14ac:dyDescent="0.2">
      <c r="B750">
        <v>9.8434816150046206E-2</v>
      </c>
      <c r="C750">
        <v>0.30861909175162189</v>
      </c>
    </row>
    <row r="751" spans="2:3" x14ac:dyDescent="0.2">
      <c r="B751">
        <v>9.8296879404093304E-2</v>
      </c>
      <c r="C751">
        <v>0.30769230769230771</v>
      </c>
    </row>
    <row r="752" spans="2:3" x14ac:dyDescent="0.2">
      <c r="B752">
        <v>9.8265177366357398E-2</v>
      </c>
      <c r="C752">
        <v>0.30676552363299353</v>
      </c>
    </row>
    <row r="753" spans="2:3" x14ac:dyDescent="0.2">
      <c r="B753">
        <v>9.8213941854022005E-2</v>
      </c>
      <c r="C753">
        <v>0.30583873957367935</v>
      </c>
    </row>
    <row r="754" spans="2:3" x14ac:dyDescent="0.2">
      <c r="B754">
        <v>9.8035089555572996E-2</v>
      </c>
      <c r="C754">
        <v>0.30491195551436517</v>
      </c>
    </row>
    <row r="755" spans="2:3" x14ac:dyDescent="0.2">
      <c r="B755">
        <v>9.7750153504012394E-2</v>
      </c>
      <c r="C755">
        <v>0.303985171455051</v>
      </c>
    </row>
    <row r="756" spans="2:3" x14ac:dyDescent="0.2">
      <c r="B756">
        <v>9.7741717339439094E-2</v>
      </c>
      <c r="C756">
        <v>0.30305838739573682</v>
      </c>
    </row>
    <row r="757" spans="2:3" x14ac:dyDescent="0.2">
      <c r="B757">
        <v>9.7246108784634203E-2</v>
      </c>
      <c r="C757">
        <v>0.30213160333642264</v>
      </c>
    </row>
    <row r="758" spans="2:3" x14ac:dyDescent="0.2">
      <c r="B758">
        <v>9.6759566382772999E-2</v>
      </c>
      <c r="C758">
        <v>0.30120481927710846</v>
      </c>
    </row>
    <row r="759" spans="2:3" x14ac:dyDescent="0.2">
      <c r="B759">
        <v>9.6712811115489294E-2</v>
      </c>
      <c r="C759">
        <v>0.30027803521779428</v>
      </c>
    </row>
    <row r="760" spans="2:3" x14ac:dyDescent="0.2">
      <c r="B760">
        <v>9.6490287093305094E-2</v>
      </c>
      <c r="C760">
        <v>0.29935125115848005</v>
      </c>
    </row>
    <row r="761" spans="2:3" x14ac:dyDescent="0.2">
      <c r="B761">
        <v>9.6362666010335898E-2</v>
      </c>
      <c r="C761">
        <v>0.29842446709916587</v>
      </c>
    </row>
    <row r="762" spans="2:3" x14ac:dyDescent="0.2">
      <c r="B762">
        <v>9.6333569474155695E-2</v>
      </c>
      <c r="C762">
        <v>0.29749768303985169</v>
      </c>
    </row>
    <row r="763" spans="2:3" x14ac:dyDescent="0.2">
      <c r="B763">
        <v>9.6230622832796903E-2</v>
      </c>
      <c r="C763">
        <v>0.29657089898053751</v>
      </c>
    </row>
    <row r="764" spans="2:3" x14ac:dyDescent="0.2">
      <c r="B764">
        <v>9.5855681330872106E-2</v>
      </c>
      <c r="C764">
        <v>0.29564411492122333</v>
      </c>
    </row>
    <row r="765" spans="2:3" x14ac:dyDescent="0.2">
      <c r="B765">
        <v>9.5407623392174304E-2</v>
      </c>
      <c r="C765">
        <v>0.29471733086190915</v>
      </c>
    </row>
    <row r="766" spans="2:3" x14ac:dyDescent="0.2">
      <c r="B766">
        <v>9.5348750805096694E-2</v>
      </c>
      <c r="C766">
        <v>0.29379054680259498</v>
      </c>
    </row>
    <row r="767" spans="2:3" x14ac:dyDescent="0.2">
      <c r="B767">
        <v>9.5167609609010398E-2</v>
      </c>
      <c r="C767">
        <v>0.2928637627432808</v>
      </c>
    </row>
    <row r="768" spans="2:3" x14ac:dyDescent="0.2">
      <c r="B768">
        <v>9.4807448413564796E-2</v>
      </c>
      <c r="C768">
        <v>0.29193697868396662</v>
      </c>
    </row>
    <row r="769" spans="2:3" x14ac:dyDescent="0.2">
      <c r="B769">
        <v>9.4764907286520997E-2</v>
      </c>
      <c r="C769">
        <v>0.29101019462465244</v>
      </c>
    </row>
    <row r="770" spans="2:3" x14ac:dyDescent="0.2">
      <c r="B770">
        <v>9.4542444098623807E-2</v>
      </c>
      <c r="C770">
        <v>0.29008341056533826</v>
      </c>
    </row>
    <row r="771" spans="2:3" x14ac:dyDescent="0.2">
      <c r="B771">
        <v>9.3673455743463196E-2</v>
      </c>
      <c r="C771">
        <v>0.28915662650602408</v>
      </c>
    </row>
    <row r="772" spans="2:3" x14ac:dyDescent="0.2">
      <c r="B772">
        <v>9.3110930371249095E-2</v>
      </c>
      <c r="C772">
        <v>0.28822984244670991</v>
      </c>
    </row>
    <row r="773" spans="2:3" x14ac:dyDescent="0.2">
      <c r="B773">
        <v>9.2816620690978693E-2</v>
      </c>
      <c r="C773">
        <v>0.28730305838739573</v>
      </c>
    </row>
    <row r="774" spans="2:3" x14ac:dyDescent="0.2">
      <c r="B774">
        <v>9.26225400954995E-2</v>
      </c>
      <c r="C774">
        <v>0.28637627432808155</v>
      </c>
    </row>
    <row r="775" spans="2:3" x14ac:dyDescent="0.2">
      <c r="B775">
        <v>9.2537100683974402E-2</v>
      </c>
      <c r="C775">
        <v>0.28544949026876737</v>
      </c>
    </row>
    <row r="776" spans="2:3" x14ac:dyDescent="0.2">
      <c r="B776">
        <v>9.2487465008505701E-2</v>
      </c>
      <c r="C776">
        <v>0.28452270620945319</v>
      </c>
    </row>
    <row r="777" spans="2:3" x14ac:dyDescent="0.2">
      <c r="B777">
        <v>9.2134365805832494E-2</v>
      </c>
      <c r="C777">
        <v>0.28359592215013901</v>
      </c>
    </row>
    <row r="778" spans="2:3" x14ac:dyDescent="0.2">
      <c r="B778">
        <v>9.2033474374544594E-2</v>
      </c>
      <c r="C778">
        <v>0.28266913809082483</v>
      </c>
    </row>
    <row r="779" spans="2:3" x14ac:dyDescent="0.2">
      <c r="B779">
        <v>9.1808608231104302E-2</v>
      </c>
      <c r="C779">
        <v>0.28174235403151066</v>
      </c>
    </row>
    <row r="780" spans="2:3" x14ac:dyDescent="0.2">
      <c r="B780">
        <v>9.1628048969593603E-2</v>
      </c>
      <c r="C780">
        <v>0.28081556997219648</v>
      </c>
    </row>
    <row r="781" spans="2:3" x14ac:dyDescent="0.2">
      <c r="B781">
        <v>9.1339255084129906E-2</v>
      </c>
      <c r="C781">
        <v>0.2798887859128823</v>
      </c>
    </row>
    <row r="782" spans="2:3" x14ac:dyDescent="0.2">
      <c r="B782">
        <v>9.13375732007006E-2</v>
      </c>
      <c r="C782">
        <v>0.27896200185356812</v>
      </c>
    </row>
    <row r="783" spans="2:3" x14ac:dyDescent="0.2">
      <c r="B783">
        <v>9.0617424886420994E-2</v>
      </c>
      <c r="C783">
        <v>0.27803521779425394</v>
      </c>
    </row>
    <row r="784" spans="2:3" x14ac:dyDescent="0.2">
      <c r="B784">
        <v>9.05281241428601E-2</v>
      </c>
      <c r="C784">
        <v>0.27710843373493976</v>
      </c>
    </row>
    <row r="785" spans="2:3" x14ac:dyDescent="0.2">
      <c r="B785">
        <v>9.0461633057957999E-2</v>
      </c>
      <c r="C785">
        <v>0.27618164967562558</v>
      </c>
    </row>
    <row r="786" spans="2:3" x14ac:dyDescent="0.2">
      <c r="B786">
        <v>9.0366198692047497E-2</v>
      </c>
      <c r="C786">
        <v>0.27525486561631141</v>
      </c>
    </row>
    <row r="787" spans="2:3" x14ac:dyDescent="0.2">
      <c r="B787">
        <v>9.0270345790164699E-2</v>
      </c>
      <c r="C787">
        <v>0.27432808155699723</v>
      </c>
    </row>
    <row r="788" spans="2:3" x14ac:dyDescent="0.2">
      <c r="B788">
        <v>9.0101764359491299E-2</v>
      </c>
      <c r="C788">
        <v>0.27340129749768305</v>
      </c>
    </row>
    <row r="789" spans="2:3" x14ac:dyDescent="0.2">
      <c r="B789">
        <v>8.9673747178311294E-2</v>
      </c>
      <c r="C789">
        <v>0.27247451343836887</v>
      </c>
    </row>
    <row r="790" spans="2:3" x14ac:dyDescent="0.2">
      <c r="B790">
        <v>8.9349957463014495E-2</v>
      </c>
      <c r="C790">
        <v>0.27154772937905469</v>
      </c>
    </row>
    <row r="791" spans="2:3" x14ac:dyDescent="0.2">
      <c r="B791">
        <v>8.9171110852860502E-2</v>
      </c>
      <c r="C791">
        <v>0.27062094531974051</v>
      </c>
    </row>
    <row r="792" spans="2:3" x14ac:dyDescent="0.2">
      <c r="B792">
        <v>8.8663119320992606E-2</v>
      </c>
      <c r="C792">
        <v>0.26969416126042633</v>
      </c>
    </row>
    <row r="793" spans="2:3" x14ac:dyDescent="0.2">
      <c r="B793">
        <v>8.8662720689595201E-2</v>
      </c>
      <c r="C793">
        <v>0.26876737720111216</v>
      </c>
    </row>
    <row r="794" spans="2:3" x14ac:dyDescent="0.2">
      <c r="B794">
        <v>8.8201754109967806E-2</v>
      </c>
      <c r="C794">
        <v>0.26784059314179798</v>
      </c>
    </row>
    <row r="795" spans="2:3" x14ac:dyDescent="0.2">
      <c r="B795">
        <v>8.7917115140020596E-2</v>
      </c>
      <c r="C795">
        <v>0.2669138090824838</v>
      </c>
    </row>
    <row r="796" spans="2:3" x14ac:dyDescent="0.2">
      <c r="B796">
        <v>8.7770356912000705E-2</v>
      </c>
      <c r="C796">
        <v>0.26598702502316962</v>
      </c>
    </row>
    <row r="797" spans="2:3" x14ac:dyDescent="0.2">
      <c r="B797">
        <v>8.7745633742085799E-2</v>
      </c>
      <c r="C797">
        <v>0.26506024096385544</v>
      </c>
    </row>
    <row r="798" spans="2:3" x14ac:dyDescent="0.2">
      <c r="B798">
        <v>8.7717855171256395E-2</v>
      </c>
      <c r="C798">
        <v>0.26413345690454126</v>
      </c>
    </row>
    <row r="799" spans="2:3" x14ac:dyDescent="0.2">
      <c r="B799">
        <v>8.73682137872651E-2</v>
      </c>
      <c r="C799">
        <v>0.26320667284522709</v>
      </c>
    </row>
    <row r="800" spans="2:3" x14ac:dyDescent="0.2">
      <c r="B800">
        <v>8.7348776724163302E-2</v>
      </c>
      <c r="C800">
        <v>0.26227988878591291</v>
      </c>
    </row>
    <row r="801" spans="2:3" x14ac:dyDescent="0.2">
      <c r="B801">
        <v>8.6864992527742504E-2</v>
      </c>
      <c r="C801">
        <v>0.26135310472659873</v>
      </c>
    </row>
    <row r="802" spans="2:3" x14ac:dyDescent="0.2">
      <c r="B802">
        <v>8.6311523320571806E-2</v>
      </c>
      <c r="C802">
        <v>0.26042632066728455</v>
      </c>
    </row>
    <row r="803" spans="2:3" x14ac:dyDescent="0.2">
      <c r="B803">
        <v>8.6044246795247498E-2</v>
      </c>
      <c r="C803">
        <v>0.25949953660797032</v>
      </c>
    </row>
    <row r="804" spans="2:3" x14ac:dyDescent="0.2">
      <c r="B804">
        <v>8.6032911768285203E-2</v>
      </c>
      <c r="C804">
        <v>0.25857275254865614</v>
      </c>
    </row>
    <row r="805" spans="2:3" x14ac:dyDescent="0.2">
      <c r="B805">
        <v>8.5812414749107904E-2</v>
      </c>
      <c r="C805">
        <v>0.25764596848934196</v>
      </c>
    </row>
    <row r="806" spans="2:3" x14ac:dyDescent="0.2">
      <c r="B806">
        <v>8.5622632566745197E-2</v>
      </c>
      <c r="C806">
        <v>0.25671918443002778</v>
      </c>
    </row>
    <row r="807" spans="2:3" x14ac:dyDescent="0.2">
      <c r="B807">
        <v>8.5619925464388597E-2</v>
      </c>
      <c r="C807">
        <v>0.2557924003707136</v>
      </c>
    </row>
    <row r="808" spans="2:3" x14ac:dyDescent="0.2">
      <c r="B808">
        <v>8.5573345677068605E-2</v>
      </c>
      <c r="C808">
        <v>0.25486561631139942</v>
      </c>
    </row>
    <row r="809" spans="2:3" x14ac:dyDescent="0.2">
      <c r="B809">
        <v>8.5543972781951305E-2</v>
      </c>
      <c r="C809">
        <v>0.25393883225208524</v>
      </c>
    </row>
    <row r="810" spans="2:3" x14ac:dyDescent="0.2">
      <c r="B810">
        <v>8.4944259402343597E-2</v>
      </c>
      <c r="C810">
        <v>0.25301204819277107</v>
      </c>
    </row>
    <row r="811" spans="2:3" x14ac:dyDescent="0.2">
      <c r="B811">
        <v>8.4886729249396498E-2</v>
      </c>
      <c r="C811">
        <v>0.25208526413345689</v>
      </c>
    </row>
    <row r="812" spans="2:3" x14ac:dyDescent="0.2">
      <c r="B812">
        <v>8.4541579950177595E-2</v>
      </c>
      <c r="C812">
        <v>0.25115848007414271</v>
      </c>
    </row>
    <row r="813" spans="2:3" x14ac:dyDescent="0.2">
      <c r="B813">
        <v>8.4229049081093896E-2</v>
      </c>
      <c r="C813">
        <v>0.25023169601482853</v>
      </c>
    </row>
    <row r="814" spans="2:3" x14ac:dyDescent="0.2">
      <c r="B814">
        <v>8.4059527652405402E-2</v>
      </c>
      <c r="C814">
        <v>0.24930491195551435</v>
      </c>
    </row>
    <row r="815" spans="2:3" x14ac:dyDescent="0.2">
      <c r="B815">
        <v>8.4004897801527506E-2</v>
      </c>
      <c r="C815">
        <v>0.24837812789620017</v>
      </c>
    </row>
    <row r="816" spans="2:3" x14ac:dyDescent="0.2">
      <c r="B816">
        <v>8.3465120708819701E-2</v>
      </c>
      <c r="C816">
        <v>0.247451343836886</v>
      </c>
    </row>
    <row r="817" spans="2:3" x14ac:dyDescent="0.2">
      <c r="B817">
        <v>8.3454895006607799E-2</v>
      </c>
      <c r="C817">
        <v>0.24652455977757182</v>
      </c>
    </row>
    <row r="818" spans="2:3" x14ac:dyDescent="0.2">
      <c r="B818">
        <v>8.3283438935866899E-2</v>
      </c>
      <c r="C818">
        <v>0.24559777571825764</v>
      </c>
    </row>
    <row r="819" spans="2:3" x14ac:dyDescent="0.2">
      <c r="B819">
        <v>8.32378025223207E-2</v>
      </c>
      <c r="C819">
        <v>0.24467099165894346</v>
      </c>
    </row>
    <row r="820" spans="2:3" x14ac:dyDescent="0.2">
      <c r="B820">
        <v>8.3021089419299393E-2</v>
      </c>
      <c r="C820">
        <v>0.24374420759962928</v>
      </c>
    </row>
    <row r="821" spans="2:3" x14ac:dyDescent="0.2">
      <c r="B821">
        <v>8.2206353287373204E-2</v>
      </c>
      <c r="C821">
        <v>0.2428174235403151</v>
      </c>
    </row>
    <row r="822" spans="2:3" x14ac:dyDescent="0.2">
      <c r="B822">
        <v>8.2171484411695001E-2</v>
      </c>
      <c r="C822">
        <v>0.24189063948100092</v>
      </c>
    </row>
    <row r="823" spans="2:3" x14ac:dyDescent="0.2">
      <c r="B823">
        <v>8.20823699813579E-2</v>
      </c>
      <c r="C823">
        <v>0.24096385542168675</v>
      </c>
    </row>
    <row r="824" spans="2:3" x14ac:dyDescent="0.2">
      <c r="B824">
        <v>8.1982075992533002E-2</v>
      </c>
      <c r="C824">
        <v>0.24003707136237257</v>
      </c>
    </row>
    <row r="825" spans="2:3" x14ac:dyDescent="0.2">
      <c r="B825">
        <v>8.1921713134278595E-2</v>
      </c>
      <c r="C825">
        <v>0.23911028730305839</v>
      </c>
    </row>
    <row r="826" spans="2:3" x14ac:dyDescent="0.2">
      <c r="B826">
        <v>8.1716866371617E-2</v>
      </c>
      <c r="C826">
        <v>0.23818350324374421</v>
      </c>
    </row>
    <row r="827" spans="2:3" x14ac:dyDescent="0.2">
      <c r="B827">
        <v>8.1444323025002804E-2</v>
      </c>
      <c r="C827">
        <v>0.23725671918443003</v>
      </c>
    </row>
    <row r="828" spans="2:3" x14ac:dyDescent="0.2">
      <c r="B828">
        <v>8.09019991137023E-2</v>
      </c>
      <c r="C828">
        <v>0.23632993512511585</v>
      </c>
    </row>
    <row r="829" spans="2:3" x14ac:dyDescent="0.2">
      <c r="B829">
        <v>8.0808322370647806E-2</v>
      </c>
      <c r="C829">
        <v>0.23540315106580167</v>
      </c>
    </row>
    <row r="830" spans="2:3" x14ac:dyDescent="0.2">
      <c r="B830">
        <v>8.0697907915259506E-2</v>
      </c>
      <c r="C830">
        <v>0.2344763670064875</v>
      </c>
    </row>
    <row r="831" spans="2:3" x14ac:dyDescent="0.2">
      <c r="B831">
        <v>8.0616403826066094E-2</v>
      </c>
      <c r="C831">
        <v>0.23354958294717332</v>
      </c>
    </row>
    <row r="832" spans="2:3" x14ac:dyDescent="0.2">
      <c r="B832">
        <v>8.0423912839763897E-2</v>
      </c>
      <c r="C832">
        <v>0.23262279888785914</v>
      </c>
    </row>
    <row r="833" spans="2:3" x14ac:dyDescent="0.2">
      <c r="B833">
        <v>8.0415606430131806E-2</v>
      </c>
      <c r="C833">
        <v>0.23169601482854496</v>
      </c>
    </row>
    <row r="834" spans="2:3" x14ac:dyDescent="0.2">
      <c r="B834">
        <v>8.0092211233760605E-2</v>
      </c>
      <c r="C834">
        <v>0.23076923076923078</v>
      </c>
    </row>
    <row r="835" spans="2:3" x14ac:dyDescent="0.2">
      <c r="B835">
        <v>7.9821505492401107E-2</v>
      </c>
      <c r="C835">
        <v>0.22984244670991658</v>
      </c>
    </row>
    <row r="836" spans="2:3" x14ac:dyDescent="0.2">
      <c r="B836">
        <v>7.9642506118817194E-2</v>
      </c>
      <c r="C836">
        <v>0.2289156626506024</v>
      </c>
    </row>
    <row r="837" spans="2:3" x14ac:dyDescent="0.2">
      <c r="B837">
        <v>7.9586792097614198E-2</v>
      </c>
      <c r="C837">
        <v>0.22798887859128822</v>
      </c>
    </row>
    <row r="838" spans="2:3" x14ac:dyDescent="0.2">
      <c r="B838">
        <v>7.9458364105756601E-2</v>
      </c>
      <c r="C838">
        <v>0.22706209453197404</v>
      </c>
    </row>
    <row r="839" spans="2:3" x14ac:dyDescent="0.2">
      <c r="B839">
        <v>7.9271645001918606E-2</v>
      </c>
      <c r="C839">
        <v>0.22613531047265986</v>
      </c>
    </row>
    <row r="840" spans="2:3" x14ac:dyDescent="0.2">
      <c r="B840">
        <v>7.9227678507554106E-2</v>
      </c>
      <c r="C840">
        <v>0.22520852641334568</v>
      </c>
    </row>
    <row r="841" spans="2:3" x14ac:dyDescent="0.2">
      <c r="B841">
        <v>7.9216892249340795E-2</v>
      </c>
      <c r="C841">
        <v>0.2242817423540315</v>
      </c>
    </row>
    <row r="842" spans="2:3" x14ac:dyDescent="0.2">
      <c r="B842">
        <v>7.9038186081242898E-2</v>
      </c>
      <c r="C842">
        <v>0.22335495829471733</v>
      </c>
    </row>
    <row r="843" spans="2:3" x14ac:dyDescent="0.2">
      <c r="B843">
        <v>7.9009825174560497E-2</v>
      </c>
      <c r="C843">
        <v>0.22242817423540315</v>
      </c>
    </row>
    <row r="844" spans="2:3" x14ac:dyDescent="0.2">
      <c r="B844">
        <v>7.8994702050429799E-2</v>
      </c>
      <c r="C844">
        <v>0.22150139017608897</v>
      </c>
    </row>
    <row r="845" spans="2:3" x14ac:dyDescent="0.2">
      <c r="B845">
        <v>7.8359920593933596E-2</v>
      </c>
      <c r="C845">
        <v>0.22057460611677479</v>
      </c>
    </row>
    <row r="846" spans="2:3" x14ac:dyDescent="0.2">
      <c r="B846">
        <v>7.8257836588743898E-2</v>
      </c>
      <c r="C846">
        <v>0.21964782205746061</v>
      </c>
    </row>
    <row r="847" spans="2:3" x14ac:dyDescent="0.2">
      <c r="B847">
        <v>7.8250722374417506E-2</v>
      </c>
      <c r="C847">
        <v>0.21872103799814643</v>
      </c>
    </row>
    <row r="848" spans="2:3" x14ac:dyDescent="0.2">
      <c r="B848">
        <v>7.8231431652428698E-2</v>
      </c>
      <c r="C848">
        <v>0.21779425393883226</v>
      </c>
    </row>
    <row r="849" spans="2:3" x14ac:dyDescent="0.2">
      <c r="B849">
        <v>7.81563647771574E-2</v>
      </c>
      <c r="C849">
        <v>0.21686746987951808</v>
      </c>
    </row>
    <row r="850" spans="2:3" x14ac:dyDescent="0.2">
      <c r="B850">
        <v>7.7609281572106406E-2</v>
      </c>
      <c r="C850">
        <v>0.2159406858202039</v>
      </c>
    </row>
    <row r="851" spans="2:3" x14ac:dyDescent="0.2">
      <c r="B851">
        <v>7.75912875454801E-2</v>
      </c>
      <c r="C851">
        <v>0.21501390176088972</v>
      </c>
    </row>
    <row r="852" spans="2:3" x14ac:dyDescent="0.2">
      <c r="B852">
        <v>7.7582143024049893E-2</v>
      </c>
      <c r="C852">
        <v>0.21408711770157554</v>
      </c>
    </row>
    <row r="853" spans="2:3" x14ac:dyDescent="0.2">
      <c r="B853">
        <v>7.70234706117017E-2</v>
      </c>
      <c r="C853">
        <v>0.21316033364226136</v>
      </c>
    </row>
    <row r="854" spans="2:3" x14ac:dyDescent="0.2">
      <c r="B854">
        <v>7.6729139836456794E-2</v>
      </c>
      <c r="C854">
        <v>0.21223354958294718</v>
      </c>
    </row>
    <row r="855" spans="2:3" x14ac:dyDescent="0.2">
      <c r="B855">
        <v>7.6709027191875195E-2</v>
      </c>
      <c r="C855">
        <v>0.21130676552363301</v>
      </c>
    </row>
    <row r="856" spans="2:3" x14ac:dyDescent="0.2">
      <c r="B856">
        <v>7.6587649518391296E-2</v>
      </c>
      <c r="C856">
        <v>0.21037998146431883</v>
      </c>
    </row>
    <row r="857" spans="2:3" x14ac:dyDescent="0.2">
      <c r="B857">
        <v>7.6212730722380606E-2</v>
      </c>
      <c r="C857">
        <v>0.20945319740500462</v>
      </c>
    </row>
    <row r="858" spans="2:3" x14ac:dyDescent="0.2">
      <c r="B858">
        <v>7.5230863486276403E-2</v>
      </c>
      <c r="C858">
        <v>0.20852641334569044</v>
      </c>
    </row>
    <row r="859" spans="2:3" x14ac:dyDescent="0.2">
      <c r="B859">
        <v>7.5159586680377699E-2</v>
      </c>
      <c r="C859">
        <v>0.20759962928637626</v>
      </c>
    </row>
    <row r="860" spans="2:3" x14ac:dyDescent="0.2">
      <c r="B860">
        <v>7.4921072785212497E-2</v>
      </c>
      <c r="C860">
        <v>0.20667284522706209</v>
      </c>
    </row>
    <row r="861" spans="2:3" x14ac:dyDescent="0.2">
      <c r="B861">
        <v>7.4847423443574701E-2</v>
      </c>
      <c r="C861">
        <v>0.20574606116774791</v>
      </c>
    </row>
    <row r="862" spans="2:3" x14ac:dyDescent="0.2">
      <c r="B862">
        <v>7.4736158624186505E-2</v>
      </c>
      <c r="C862">
        <v>0.20481927710843373</v>
      </c>
    </row>
    <row r="863" spans="2:3" x14ac:dyDescent="0.2">
      <c r="B863">
        <v>7.4121717159534806E-2</v>
      </c>
      <c r="C863">
        <v>0.20389249304911955</v>
      </c>
    </row>
    <row r="864" spans="2:3" x14ac:dyDescent="0.2">
      <c r="B864">
        <v>7.3836472158057401E-2</v>
      </c>
      <c r="C864">
        <v>0.20296570898980537</v>
      </c>
    </row>
    <row r="865" spans="2:3" x14ac:dyDescent="0.2">
      <c r="B865">
        <v>7.3544444871036702E-2</v>
      </c>
      <c r="C865">
        <v>0.20203892493049119</v>
      </c>
    </row>
    <row r="866" spans="2:3" x14ac:dyDescent="0.2">
      <c r="B866">
        <v>7.3495529773709697E-2</v>
      </c>
      <c r="C866">
        <v>0.20111214087117701</v>
      </c>
    </row>
    <row r="867" spans="2:3" x14ac:dyDescent="0.2">
      <c r="B867">
        <v>7.3367864489922205E-2</v>
      </c>
      <c r="C867">
        <v>0.20018535681186284</v>
      </c>
    </row>
    <row r="868" spans="2:3" x14ac:dyDescent="0.2">
      <c r="B868">
        <v>7.2748734645795704E-2</v>
      </c>
      <c r="C868">
        <v>0.19925857275254866</v>
      </c>
    </row>
    <row r="869" spans="2:3" x14ac:dyDescent="0.2">
      <c r="B869">
        <v>7.2647578824807005E-2</v>
      </c>
      <c r="C869">
        <v>0.19833178869323448</v>
      </c>
    </row>
    <row r="870" spans="2:3" x14ac:dyDescent="0.2">
      <c r="B870">
        <v>7.2574562189476693E-2</v>
      </c>
      <c r="C870">
        <v>0.1974050046339203</v>
      </c>
    </row>
    <row r="871" spans="2:3" x14ac:dyDescent="0.2">
      <c r="B871">
        <v>7.22345773449415E-2</v>
      </c>
      <c r="C871">
        <v>0.19647822057460612</v>
      </c>
    </row>
    <row r="872" spans="2:3" x14ac:dyDescent="0.2">
      <c r="B872">
        <v>7.2140377198432706E-2</v>
      </c>
      <c r="C872">
        <v>0.19555143651529194</v>
      </c>
    </row>
    <row r="873" spans="2:3" x14ac:dyDescent="0.2">
      <c r="B873">
        <v>7.1802752522110505E-2</v>
      </c>
      <c r="C873">
        <v>0.19462465245597776</v>
      </c>
    </row>
    <row r="874" spans="2:3" x14ac:dyDescent="0.2">
      <c r="B874">
        <v>7.1257163270691301E-2</v>
      </c>
      <c r="C874">
        <v>0.19369786839666359</v>
      </c>
    </row>
    <row r="875" spans="2:3" x14ac:dyDescent="0.2">
      <c r="B875">
        <v>7.0741365235641701E-2</v>
      </c>
      <c r="C875">
        <v>0.19277108433734941</v>
      </c>
    </row>
    <row r="876" spans="2:3" x14ac:dyDescent="0.2">
      <c r="B876">
        <v>7.06995359316622E-2</v>
      </c>
      <c r="C876">
        <v>0.19184430027803523</v>
      </c>
    </row>
    <row r="877" spans="2:3" x14ac:dyDescent="0.2">
      <c r="B877">
        <v>6.9999394550102206E-2</v>
      </c>
      <c r="C877">
        <v>0.19091751621872105</v>
      </c>
    </row>
    <row r="878" spans="2:3" x14ac:dyDescent="0.2">
      <c r="B878">
        <v>6.9474196715379494E-2</v>
      </c>
      <c r="C878">
        <v>0.18999073215940684</v>
      </c>
    </row>
    <row r="879" spans="2:3" x14ac:dyDescent="0.2">
      <c r="B879">
        <v>6.9133063990618901E-2</v>
      </c>
      <c r="C879">
        <v>0.18906394810009267</v>
      </c>
    </row>
    <row r="880" spans="2:3" x14ac:dyDescent="0.2">
      <c r="B880">
        <v>6.85114562187914E-2</v>
      </c>
      <c r="C880">
        <v>0.18813716404077849</v>
      </c>
    </row>
    <row r="881" spans="2:3" x14ac:dyDescent="0.2">
      <c r="B881">
        <v>6.8438536435944095E-2</v>
      </c>
      <c r="C881">
        <v>0.18721037998146431</v>
      </c>
    </row>
    <row r="882" spans="2:3" x14ac:dyDescent="0.2">
      <c r="B882">
        <v>6.8354876908344506E-2</v>
      </c>
      <c r="C882">
        <v>0.18628359592215013</v>
      </c>
    </row>
    <row r="883" spans="2:3" x14ac:dyDescent="0.2">
      <c r="B883">
        <v>6.8136961022619499E-2</v>
      </c>
      <c r="C883">
        <v>0.18535681186283595</v>
      </c>
    </row>
    <row r="884" spans="2:3" x14ac:dyDescent="0.2">
      <c r="B884">
        <v>6.7919531643255301E-2</v>
      </c>
      <c r="C884">
        <v>0.18443002780352177</v>
      </c>
    </row>
    <row r="885" spans="2:3" x14ac:dyDescent="0.2">
      <c r="B885">
        <v>6.74011320738441E-2</v>
      </c>
      <c r="C885">
        <v>0.18350324374420759</v>
      </c>
    </row>
    <row r="886" spans="2:3" x14ac:dyDescent="0.2">
      <c r="B886">
        <v>6.7335740617744194E-2</v>
      </c>
      <c r="C886">
        <v>0.18257645968489342</v>
      </c>
    </row>
    <row r="887" spans="2:3" x14ac:dyDescent="0.2">
      <c r="B887">
        <v>6.7333068979327199E-2</v>
      </c>
      <c r="C887">
        <v>0.18164967562557924</v>
      </c>
    </row>
    <row r="888" spans="2:3" x14ac:dyDescent="0.2">
      <c r="B888">
        <v>6.7042588055969604E-2</v>
      </c>
      <c r="C888">
        <v>0.18072289156626506</v>
      </c>
    </row>
    <row r="889" spans="2:3" x14ac:dyDescent="0.2">
      <c r="B889">
        <v>6.6713623887965395E-2</v>
      </c>
      <c r="C889">
        <v>0.17979610750695088</v>
      </c>
    </row>
    <row r="890" spans="2:3" x14ac:dyDescent="0.2">
      <c r="B890">
        <v>6.6664244581874296E-2</v>
      </c>
      <c r="C890">
        <v>0.1788693234476367</v>
      </c>
    </row>
    <row r="891" spans="2:3" x14ac:dyDescent="0.2">
      <c r="B891">
        <v>6.5802401300809998E-2</v>
      </c>
      <c r="C891">
        <v>0.17794253938832252</v>
      </c>
    </row>
    <row r="892" spans="2:3" x14ac:dyDescent="0.2">
      <c r="B892">
        <v>6.5667999353692094E-2</v>
      </c>
      <c r="C892">
        <v>0.17701575532900835</v>
      </c>
    </row>
    <row r="893" spans="2:3" x14ac:dyDescent="0.2">
      <c r="B893">
        <v>6.5274919293476494E-2</v>
      </c>
      <c r="C893">
        <v>0.17608897126969417</v>
      </c>
    </row>
    <row r="894" spans="2:3" x14ac:dyDescent="0.2">
      <c r="B894">
        <v>6.4999298391358207E-2</v>
      </c>
      <c r="C894">
        <v>0.17516218721037999</v>
      </c>
    </row>
    <row r="895" spans="2:3" x14ac:dyDescent="0.2">
      <c r="B895">
        <v>6.4692541525284003E-2</v>
      </c>
      <c r="C895">
        <v>0.17423540315106581</v>
      </c>
    </row>
    <row r="896" spans="2:3" x14ac:dyDescent="0.2">
      <c r="B896">
        <v>6.4651478878226407E-2</v>
      </c>
      <c r="C896">
        <v>0.17330861909175163</v>
      </c>
    </row>
    <row r="897" spans="2:3" x14ac:dyDescent="0.2">
      <c r="B897">
        <v>6.4518935917016407E-2</v>
      </c>
      <c r="C897">
        <v>0.17238183503243745</v>
      </c>
    </row>
    <row r="898" spans="2:3" x14ac:dyDescent="0.2">
      <c r="B898">
        <v>6.4411205530750804E-2</v>
      </c>
      <c r="C898">
        <v>0.17145505097312327</v>
      </c>
    </row>
    <row r="899" spans="2:3" x14ac:dyDescent="0.2">
      <c r="B899">
        <v>6.3934843409568898E-2</v>
      </c>
      <c r="C899">
        <v>0.1705282669138091</v>
      </c>
    </row>
    <row r="900" spans="2:3" x14ac:dyDescent="0.2">
      <c r="B900">
        <v>6.3525991187566105E-2</v>
      </c>
      <c r="C900">
        <v>0.16960148285449489</v>
      </c>
    </row>
    <row r="901" spans="2:3" x14ac:dyDescent="0.2">
      <c r="B901">
        <v>6.3484069988255495E-2</v>
      </c>
      <c r="C901">
        <v>0.16867469879518071</v>
      </c>
    </row>
    <row r="902" spans="2:3" x14ac:dyDescent="0.2">
      <c r="B902">
        <v>6.3031282429015803E-2</v>
      </c>
      <c r="C902">
        <v>0.16774791473586653</v>
      </c>
    </row>
    <row r="903" spans="2:3" x14ac:dyDescent="0.2">
      <c r="B903">
        <v>6.2805029838310905E-2</v>
      </c>
      <c r="C903">
        <v>0.16682113067655235</v>
      </c>
    </row>
    <row r="904" spans="2:3" x14ac:dyDescent="0.2">
      <c r="B904">
        <v>6.2804768355944299E-2</v>
      </c>
      <c r="C904">
        <v>0.16589434661723818</v>
      </c>
    </row>
    <row r="905" spans="2:3" x14ac:dyDescent="0.2">
      <c r="B905">
        <v>6.1894712940147097E-2</v>
      </c>
      <c r="C905">
        <v>0.164967562557924</v>
      </c>
    </row>
    <row r="906" spans="2:3" x14ac:dyDescent="0.2">
      <c r="B906">
        <v>6.1873184203820403E-2</v>
      </c>
      <c r="C906">
        <v>0.16404077849860982</v>
      </c>
    </row>
    <row r="907" spans="2:3" x14ac:dyDescent="0.2">
      <c r="B907">
        <v>6.1491797528858902E-2</v>
      </c>
      <c r="C907">
        <v>0.16311399443929564</v>
      </c>
    </row>
    <row r="908" spans="2:3" x14ac:dyDescent="0.2">
      <c r="B908">
        <v>6.1351642913535002E-2</v>
      </c>
      <c r="C908">
        <v>0.16218721037998146</v>
      </c>
    </row>
    <row r="909" spans="2:3" x14ac:dyDescent="0.2">
      <c r="B909">
        <v>6.0696454287813097E-2</v>
      </c>
      <c r="C909">
        <v>0.16126042632066728</v>
      </c>
    </row>
    <row r="910" spans="2:3" x14ac:dyDescent="0.2">
      <c r="B910">
        <v>6.0253109959621E-2</v>
      </c>
      <c r="C910">
        <v>0.1603336422613531</v>
      </c>
    </row>
    <row r="911" spans="2:3" x14ac:dyDescent="0.2">
      <c r="B911">
        <v>5.9646347843209602E-2</v>
      </c>
      <c r="C911">
        <v>0.15940685820203893</v>
      </c>
    </row>
    <row r="912" spans="2:3" x14ac:dyDescent="0.2">
      <c r="B912">
        <v>5.9599894744330299E-2</v>
      </c>
      <c r="C912">
        <v>0.15848007414272475</v>
      </c>
    </row>
    <row r="913" spans="2:3" x14ac:dyDescent="0.2">
      <c r="B913">
        <v>5.9299976638207401E-2</v>
      </c>
      <c r="C913">
        <v>0.15755329008341057</v>
      </c>
    </row>
    <row r="914" spans="2:3" x14ac:dyDescent="0.2">
      <c r="B914">
        <v>5.9037460126752601E-2</v>
      </c>
      <c r="C914">
        <v>0.15662650602409639</v>
      </c>
    </row>
    <row r="915" spans="2:3" x14ac:dyDescent="0.2">
      <c r="B915">
        <v>5.8953716139653001E-2</v>
      </c>
      <c r="C915">
        <v>0.15569972196478221</v>
      </c>
    </row>
    <row r="916" spans="2:3" x14ac:dyDescent="0.2">
      <c r="B916">
        <v>5.8690979026245503E-2</v>
      </c>
      <c r="C916">
        <v>0.15477293790546803</v>
      </c>
    </row>
    <row r="917" spans="2:3" x14ac:dyDescent="0.2">
      <c r="B917">
        <v>5.8539879133386902E-2</v>
      </c>
      <c r="C917">
        <v>0.15384615384615385</v>
      </c>
    </row>
    <row r="918" spans="2:3" x14ac:dyDescent="0.2">
      <c r="B918">
        <v>5.82129938308482E-2</v>
      </c>
      <c r="C918">
        <v>0.15291936978683968</v>
      </c>
    </row>
    <row r="919" spans="2:3" x14ac:dyDescent="0.2">
      <c r="B919">
        <v>5.8045490056105903E-2</v>
      </c>
      <c r="C919">
        <v>0.1519925857275255</v>
      </c>
    </row>
    <row r="920" spans="2:3" x14ac:dyDescent="0.2">
      <c r="B920">
        <v>5.8010199441356602E-2</v>
      </c>
      <c r="C920">
        <v>0.15106580166821132</v>
      </c>
    </row>
    <row r="921" spans="2:3" x14ac:dyDescent="0.2">
      <c r="B921">
        <v>5.7961232926266801E-2</v>
      </c>
      <c r="C921">
        <v>0.15013901760889714</v>
      </c>
    </row>
    <row r="922" spans="2:3" x14ac:dyDescent="0.2">
      <c r="B922">
        <v>5.7688927560675798E-2</v>
      </c>
      <c r="C922">
        <v>0.14921223354958293</v>
      </c>
    </row>
    <row r="923" spans="2:3" x14ac:dyDescent="0.2">
      <c r="B923">
        <v>5.7675330031449097E-2</v>
      </c>
      <c r="C923">
        <v>0.14828544949026876</v>
      </c>
    </row>
    <row r="924" spans="2:3" x14ac:dyDescent="0.2">
      <c r="B924">
        <v>5.7192885125042697E-2</v>
      </c>
      <c r="C924">
        <v>0.14735866543095458</v>
      </c>
    </row>
    <row r="925" spans="2:3" x14ac:dyDescent="0.2">
      <c r="B925">
        <v>5.6984550689134598E-2</v>
      </c>
      <c r="C925">
        <v>0.1464318813716404</v>
      </c>
    </row>
    <row r="926" spans="2:3" x14ac:dyDescent="0.2">
      <c r="B926">
        <v>5.6781368297281802E-2</v>
      </c>
      <c r="C926">
        <v>0.14550509731232622</v>
      </c>
    </row>
    <row r="927" spans="2:3" x14ac:dyDescent="0.2">
      <c r="B927">
        <v>5.6751855033461203E-2</v>
      </c>
      <c r="C927">
        <v>0.14457831325301204</v>
      </c>
    </row>
    <row r="928" spans="2:3" x14ac:dyDescent="0.2">
      <c r="B928">
        <v>5.6658288064363099E-2</v>
      </c>
      <c r="C928">
        <v>0.14365152919369786</v>
      </c>
    </row>
    <row r="929" spans="2:3" x14ac:dyDescent="0.2">
      <c r="B929">
        <v>5.6483104612568003E-2</v>
      </c>
      <c r="C929">
        <v>0.14272474513438368</v>
      </c>
    </row>
    <row r="930" spans="2:3" x14ac:dyDescent="0.2">
      <c r="B930">
        <v>5.6323034591040599E-2</v>
      </c>
      <c r="C930">
        <v>0.14179796107506951</v>
      </c>
    </row>
    <row r="931" spans="2:3" x14ac:dyDescent="0.2">
      <c r="B931">
        <v>5.6295006828493498E-2</v>
      </c>
      <c r="C931">
        <v>0.14087117701575533</v>
      </c>
    </row>
    <row r="932" spans="2:3" x14ac:dyDescent="0.2">
      <c r="B932">
        <v>5.6191125914629103E-2</v>
      </c>
      <c r="C932">
        <v>0.13994439295644115</v>
      </c>
    </row>
    <row r="933" spans="2:3" x14ac:dyDescent="0.2">
      <c r="B933">
        <v>5.60859216378412E-2</v>
      </c>
      <c r="C933">
        <v>0.13901760889712697</v>
      </c>
    </row>
    <row r="934" spans="2:3" x14ac:dyDescent="0.2">
      <c r="B934">
        <v>5.6030365291685799E-2</v>
      </c>
      <c r="C934">
        <v>0.13809082483781279</v>
      </c>
    </row>
    <row r="935" spans="2:3" x14ac:dyDescent="0.2">
      <c r="B935">
        <v>5.5543089184637302E-2</v>
      </c>
      <c r="C935">
        <v>0.13716404077849861</v>
      </c>
    </row>
    <row r="936" spans="2:3" x14ac:dyDescent="0.2">
      <c r="B936">
        <v>5.5313920154666997E-2</v>
      </c>
      <c r="C936">
        <v>0.13623725671918444</v>
      </c>
    </row>
    <row r="937" spans="2:3" x14ac:dyDescent="0.2">
      <c r="B937">
        <v>5.50457772989019E-2</v>
      </c>
      <c r="C937">
        <v>0.13531047265987026</v>
      </c>
    </row>
    <row r="938" spans="2:3" x14ac:dyDescent="0.2">
      <c r="B938">
        <v>5.4645776272890099E-2</v>
      </c>
      <c r="C938">
        <v>0.13438368860055608</v>
      </c>
    </row>
    <row r="939" spans="2:3" x14ac:dyDescent="0.2">
      <c r="B939">
        <v>5.45350128064577E-2</v>
      </c>
      <c r="C939">
        <v>0.1334569045412419</v>
      </c>
    </row>
    <row r="940" spans="2:3" x14ac:dyDescent="0.2">
      <c r="B940">
        <v>5.4490510230625899E-2</v>
      </c>
      <c r="C940">
        <v>0.13253012048192772</v>
      </c>
    </row>
    <row r="941" spans="2:3" x14ac:dyDescent="0.2">
      <c r="B941">
        <v>5.3745074984747399E-2</v>
      </c>
      <c r="C941">
        <v>0.13160333642261354</v>
      </c>
    </row>
    <row r="942" spans="2:3" x14ac:dyDescent="0.2">
      <c r="B942">
        <v>5.3723136750721802E-2</v>
      </c>
      <c r="C942">
        <v>0.13067655236329936</v>
      </c>
    </row>
    <row r="943" spans="2:3" x14ac:dyDescent="0.2">
      <c r="B943">
        <v>5.34466920645192E-2</v>
      </c>
      <c r="C943">
        <v>0.12974976830398516</v>
      </c>
    </row>
    <row r="944" spans="2:3" x14ac:dyDescent="0.2">
      <c r="B944">
        <v>5.30614460824467E-2</v>
      </c>
      <c r="C944">
        <v>0.12882298424467098</v>
      </c>
    </row>
    <row r="945" spans="2:3" x14ac:dyDescent="0.2">
      <c r="B945">
        <v>5.3047133682949298E-2</v>
      </c>
      <c r="C945">
        <v>0.1278962001853568</v>
      </c>
    </row>
    <row r="946" spans="2:3" x14ac:dyDescent="0.2">
      <c r="B946">
        <v>5.29439961378214E-2</v>
      </c>
      <c r="C946">
        <v>0.12696941612604262</v>
      </c>
    </row>
    <row r="947" spans="2:3" x14ac:dyDescent="0.2">
      <c r="B947">
        <v>5.2493582941452101E-2</v>
      </c>
      <c r="C947">
        <v>0.12604263206672844</v>
      </c>
    </row>
    <row r="948" spans="2:3" x14ac:dyDescent="0.2">
      <c r="B948">
        <v>5.2021115242138802E-2</v>
      </c>
      <c r="C948">
        <v>0.12511584800741427</v>
      </c>
    </row>
    <row r="949" spans="2:3" x14ac:dyDescent="0.2">
      <c r="B949">
        <v>5.1414986109496102E-2</v>
      </c>
      <c r="C949">
        <v>0.12418906394810009</v>
      </c>
    </row>
    <row r="950" spans="2:3" x14ac:dyDescent="0.2">
      <c r="B950">
        <v>5.1201476354621203E-2</v>
      </c>
      <c r="C950">
        <v>0.12326227988878591</v>
      </c>
    </row>
    <row r="951" spans="2:3" x14ac:dyDescent="0.2">
      <c r="B951">
        <v>5.0941456403946601E-2</v>
      </c>
      <c r="C951">
        <v>0.12233549582947173</v>
      </c>
    </row>
    <row r="952" spans="2:3" x14ac:dyDescent="0.2">
      <c r="B952">
        <v>5.0890603680890198E-2</v>
      </c>
      <c r="C952">
        <v>0.12140871177015755</v>
      </c>
    </row>
    <row r="953" spans="2:3" x14ac:dyDescent="0.2">
      <c r="B953">
        <v>5.0476236741281898E-2</v>
      </c>
      <c r="C953">
        <v>0.12048192771084337</v>
      </c>
    </row>
    <row r="954" spans="2:3" x14ac:dyDescent="0.2">
      <c r="B954">
        <v>5.0096508066198898E-2</v>
      </c>
      <c r="C954">
        <v>0.11955514365152919</v>
      </c>
    </row>
    <row r="955" spans="2:3" x14ac:dyDescent="0.2">
      <c r="B955">
        <v>4.9883738076657601E-2</v>
      </c>
      <c r="C955">
        <v>0.11862835959221502</v>
      </c>
    </row>
    <row r="956" spans="2:3" x14ac:dyDescent="0.2">
      <c r="B956">
        <v>4.9478220511179803E-2</v>
      </c>
      <c r="C956">
        <v>0.11770157553290084</v>
      </c>
    </row>
    <row r="957" spans="2:3" x14ac:dyDescent="0.2">
      <c r="B957">
        <v>4.9120138811448E-2</v>
      </c>
      <c r="C957">
        <v>0.11677479147358666</v>
      </c>
    </row>
    <row r="958" spans="2:3" x14ac:dyDescent="0.2">
      <c r="B958">
        <v>4.8756307170269297E-2</v>
      </c>
      <c r="C958">
        <v>0.11584800741427248</v>
      </c>
    </row>
    <row r="959" spans="2:3" x14ac:dyDescent="0.2">
      <c r="B959">
        <v>4.8378869804656E-2</v>
      </c>
      <c r="C959">
        <v>0.11492122335495829</v>
      </c>
    </row>
    <row r="960" spans="2:3" x14ac:dyDescent="0.2">
      <c r="B960">
        <v>4.8114859734501601E-2</v>
      </c>
      <c r="C960">
        <v>0.11399443929564411</v>
      </c>
    </row>
    <row r="961" spans="2:3" x14ac:dyDescent="0.2">
      <c r="B961">
        <v>4.7981346113425999E-2</v>
      </c>
      <c r="C961">
        <v>0.11306765523632993</v>
      </c>
    </row>
    <row r="962" spans="2:3" x14ac:dyDescent="0.2">
      <c r="B962">
        <v>4.7721439840575697E-2</v>
      </c>
      <c r="C962">
        <v>0.11214087117701575</v>
      </c>
    </row>
    <row r="963" spans="2:3" x14ac:dyDescent="0.2">
      <c r="B963">
        <v>4.7585453259113002E-2</v>
      </c>
      <c r="C963">
        <v>0.11121408711770157</v>
      </c>
    </row>
    <row r="964" spans="2:3" x14ac:dyDescent="0.2">
      <c r="B964">
        <v>4.7396816684003903E-2</v>
      </c>
      <c r="C964">
        <v>0.1102873030583874</v>
      </c>
    </row>
    <row r="965" spans="2:3" x14ac:dyDescent="0.2">
      <c r="B965">
        <v>4.7134393548263098E-2</v>
      </c>
      <c r="C965">
        <v>0.10936051899907322</v>
      </c>
    </row>
    <row r="966" spans="2:3" x14ac:dyDescent="0.2">
      <c r="B966">
        <v>4.6927303992184297E-2</v>
      </c>
      <c r="C966">
        <v>0.10843373493975904</v>
      </c>
    </row>
    <row r="967" spans="2:3" x14ac:dyDescent="0.2">
      <c r="B967">
        <v>4.6889775647759403E-2</v>
      </c>
      <c r="C967">
        <v>0.10750695088044486</v>
      </c>
    </row>
    <row r="968" spans="2:3" x14ac:dyDescent="0.2">
      <c r="B968">
        <v>4.6861865950837203E-2</v>
      </c>
      <c r="C968">
        <v>0.10658016682113068</v>
      </c>
    </row>
    <row r="969" spans="2:3" x14ac:dyDescent="0.2">
      <c r="B969">
        <v>4.6825068802322803E-2</v>
      </c>
      <c r="C969">
        <v>0.1056533827618165</v>
      </c>
    </row>
    <row r="970" spans="2:3" x14ac:dyDescent="0.2">
      <c r="B970">
        <v>4.6817543681079002E-2</v>
      </c>
      <c r="C970">
        <v>0.10472659870250231</v>
      </c>
    </row>
    <row r="971" spans="2:3" x14ac:dyDescent="0.2">
      <c r="B971">
        <v>4.6289442509800799E-2</v>
      </c>
      <c r="C971">
        <v>0.10379981464318813</v>
      </c>
    </row>
    <row r="972" spans="2:3" x14ac:dyDescent="0.2">
      <c r="B972">
        <v>4.6179269064626799E-2</v>
      </c>
      <c r="C972">
        <v>0.10287303058387395</v>
      </c>
    </row>
    <row r="973" spans="2:3" x14ac:dyDescent="0.2">
      <c r="B973">
        <v>4.5675675169668001E-2</v>
      </c>
      <c r="C973">
        <v>0.10194624652455977</v>
      </c>
    </row>
    <row r="974" spans="2:3" x14ac:dyDescent="0.2">
      <c r="B974">
        <v>4.5484645506426197E-2</v>
      </c>
      <c r="C974">
        <v>0.1010194624652456</v>
      </c>
    </row>
    <row r="975" spans="2:3" x14ac:dyDescent="0.2">
      <c r="B975">
        <v>4.5232940228228102E-2</v>
      </c>
      <c r="C975">
        <v>0.10009267840593142</v>
      </c>
    </row>
    <row r="976" spans="2:3" x14ac:dyDescent="0.2">
      <c r="B976">
        <v>4.5165327127763701E-2</v>
      </c>
      <c r="C976">
        <v>9.9165894346617239E-2</v>
      </c>
    </row>
    <row r="977" spans="2:3" x14ac:dyDescent="0.2">
      <c r="B977">
        <v>4.4905413786297199E-2</v>
      </c>
      <c r="C977">
        <v>9.8239110287303061E-2</v>
      </c>
    </row>
    <row r="978" spans="2:3" x14ac:dyDescent="0.2">
      <c r="B978">
        <v>4.4570200943100498E-2</v>
      </c>
      <c r="C978">
        <v>9.7312326227988882E-2</v>
      </c>
    </row>
    <row r="979" spans="2:3" x14ac:dyDescent="0.2">
      <c r="B979">
        <v>4.41776493867286E-2</v>
      </c>
      <c r="C979">
        <v>9.6385542168674704E-2</v>
      </c>
    </row>
    <row r="980" spans="2:3" x14ac:dyDescent="0.2">
      <c r="B980">
        <v>4.38634564580156E-2</v>
      </c>
      <c r="C980">
        <v>9.5458758109360525E-2</v>
      </c>
    </row>
    <row r="981" spans="2:3" x14ac:dyDescent="0.2">
      <c r="B981">
        <v>4.3839714620462697E-2</v>
      </c>
      <c r="C981">
        <v>9.4531974050046333E-2</v>
      </c>
    </row>
    <row r="982" spans="2:3" x14ac:dyDescent="0.2">
      <c r="B982">
        <v>4.3747783700529397E-2</v>
      </c>
      <c r="C982">
        <v>9.3605189990732154E-2</v>
      </c>
    </row>
    <row r="983" spans="2:3" x14ac:dyDescent="0.2">
      <c r="B983">
        <v>4.3608022516556801E-2</v>
      </c>
      <c r="C983">
        <v>9.2678405931417976E-2</v>
      </c>
    </row>
    <row r="984" spans="2:3" x14ac:dyDescent="0.2">
      <c r="B984">
        <v>4.3296721607866601E-2</v>
      </c>
      <c r="C984">
        <v>9.1751621872103797E-2</v>
      </c>
    </row>
    <row r="985" spans="2:3" x14ac:dyDescent="0.2">
      <c r="B985">
        <v>4.3098338748726199E-2</v>
      </c>
      <c r="C985">
        <v>9.0824837812789619E-2</v>
      </c>
    </row>
    <row r="986" spans="2:3" x14ac:dyDescent="0.2">
      <c r="B986">
        <v>4.2920748760388303E-2</v>
      </c>
      <c r="C986">
        <v>8.989805375347544E-2</v>
      </c>
    </row>
    <row r="987" spans="2:3" x14ac:dyDescent="0.2">
      <c r="B987">
        <v>4.2053537066086603E-2</v>
      </c>
      <c r="C987">
        <v>8.8971269694161262E-2</v>
      </c>
    </row>
    <row r="988" spans="2:3" x14ac:dyDescent="0.2">
      <c r="B988">
        <v>4.2005328626041803E-2</v>
      </c>
      <c r="C988">
        <v>8.8044485634847083E-2</v>
      </c>
    </row>
    <row r="989" spans="2:3" x14ac:dyDescent="0.2">
      <c r="B989">
        <v>4.1951158408195001E-2</v>
      </c>
      <c r="C989">
        <v>8.7117701575532905E-2</v>
      </c>
    </row>
    <row r="990" spans="2:3" x14ac:dyDescent="0.2">
      <c r="B990">
        <v>4.1890551585991899E-2</v>
      </c>
      <c r="C990">
        <v>8.6190917516218726E-2</v>
      </c>
    </row>
    <row r="991" spans="2:3" x14ac:dyDescent="0.2">
      <c r="B991">
        <v>4.1322821303028799E-2</v>
      </c>
      <c r="C991">
        <v>8.5264133456904548E-2</v>
      </c>
    </row>
    <row r="992" spans="2:3" x14ac:dyDescent="0.2">
      <c r="B992">
        <v>4.12957302990659E-2</v>
      </c>
      <c r="C992">
        <v>8.4337349397590355E-2</v>
      </c>
    </row>
    <row r="993" spans="2:3" x14ac:dyDescent="0.2">
      <c r="B993">
        <v>4.1159311507128801E-2</v>
      </c>
      <c r="C993">
        <v>8.3410565338276177E-2</v>
      </c>
    </row>
    <row r="994" spans="2:3" x14ac:dyDescent="0.2">
      <c r="B994">
        <v>4.0623190675707702E-2</v>
      </c>
      <c r="C994">
        <v>8.2483781278961998E-2</v>
      </c>
    </row>
    <row r="995" spans="2:3" x14ac:dyDescent="0.2">
      <c r="B995">
        <v>3.9893706875472501E-2</v>
      </c>
      <c r="C995">
        <v>8.155699721964782E-2</v>
      </c>
    </row>
    <row r="996" spans="2:3" x14ac:dyDescent="0.2">
      <c r="B996">
        <v>3.9797943001342401E-2</v>
      </c>
      <c r="C996">
        <v>8.0630213160333641E-2</v>
      </c>
    </row>
    <row r="997" spans="2:3" x14ac:dyDescent="0.2">
      <c r="B997">
        <v>3.9362145222201099E-2</v>
      </c>
      <c r="C997">
        <v>7.9703429101019463E-2</v>
      </c>
    </row>
    <row r="998" spans="2:3" x14ac:dyDescent="0.2">
      <c r="B998">
        <v>3.9328576575099701E-2</v>
      </c>
      <c r="C998">
        <v>7.8776645041705284E-2</v>
      </c>
    </row>
    <row r="999" spans="2:3" x14ac:dyDescent="0.2">
      <c r="B999">
        <v>3.9219138284822999E-2</v>
      </c>
      <c r="C999">
        <v>7.7849860982391106E-2</v>
      </c>
    </row>
    <row r="1000" spans="2:3" x14ac:dyDescent="0.2">
      <c r="B1000">
        <v>3.9157043544412698E-2</v>
      </c>
      <c r="C1000">
        <v>7.6923076923076927E-2</v>
      </c>
    </row>
    <row r="1001" spans="2:3" x14ac:dyDescent="0.2">
      <c r="B1001">
        <v>3.8774754041090403E-2</v>
      </c>
      <c r="C1001">
        <v>7.5996292863762749E-2</v>
      </c>
    </row>
    <row r="1002" spans="2:3" x14ac:dyDescent="0.2">
      <c r="B1002">
        <v>3.8640888963969E-2</v>
      </c>
      <c r="C1002">
        <v>7.506950880444857E-2</v>
      </c>
    </row>
    <row r="1003" spans="2:3" x14ac:dyDescent="0.2">
      <c r="B1003">
        <v>3.7619217462232298E-2</v>
      </c>
      <c r="C1003">
        <v>7.4142724745134378E-2</v>
      </c>
    </row>
    <row r="1004" spans="2:3" x14ac:dyDescent="0.2">
      <c r="B1004">
        <v>3.7252837967464002E-2</v>
      </c>
      <c r="C1004">
        <v>7.3215940685820199E-2</v>
      </c>
    </row>
    <row r="1005" spans="2:3" x14ac:dyDescent="0.2">
      <c r="B1005">
        <v>3.7106791812144303E-2</v>
      </c>
      <c r="C1005">
        <v>7.2289156626506021E-2</v>
      </c>
    </row>
    <row r="1006" spans="2:3" x14ac:dyDescent="0.2">
      <c r="B1006">
        <v>3.6959271610768403E-2</v>
      </c>
      <c r="C1006">
        <v>7.1362372567191842E-2</v>
      </c>
    </row>
    <row r="1007" spans="2:3" x14ac:dyDescent="0.2">
      <c r="B1007">
        <v>3.6270098544225603E-2</v>
      </c>
      <c r="C1007">
        <v>7.0435588507877664E-2</v>
      </c>
    </row>
    <row r="1008" spans="2:3" x14ac:dyDescent="0.2">
      <c r="B1008">
        <v>3.6142306767257097E-2</v>
      </c>
      <c r="C1008">
        <v>6.9508804448563485E-2</v>
      </c>
    </row>
    <row r="1009" spans="2:3" x14ac:dyDescent="0.2">
      <c r="B1009">
        <v>3.5954833764024197E-2</v>
      </c>
      <c r="C1009">
        <v>6.8582020389249307E-2</v>
      </c>
    </row>
    <row r="1010" spans="2:3" x14ac:dyDescent="0.2">
      <c r="B1010">
        <v>3.5656655729836201E-2</v>
      </c>
      <c r="C1010">
        <v>6.7655236329935128E-2</v>
      </c>
    </row>
    <row r="1011" spans="2:3" x14ac:dyDescent="0.2">
      <c r="B1011">
        <v>3.5527150664174202E-2</v>
      </c>
      <c r="C1011">
        <v>6.672845227062095E-2</v>
      </c>
    </row>
    <row r="1012" spans="2:3" x14ac:dyDescent="0.2">
      <c r="B1012">
        <v>3.5357672105778899E-2</v>
      </c>
      <c r="C1012">
        <v>6.5801668211306771E-2</v>
      </c>
    </row>
    <row r="1013" spans="2:3" x14ac:dyDescent="0.2">
      <c r="B1013">
        <v>3.4980289320620202E-2</v>
      </c>
      <c r="C1013">
        <v>6.4874884151992579E-2</v>
      </c>
    </row>
    <row r="1014" spans="2:3" x14ac:dyDescent="0.2">
      <c r="B1014">
        <v>3.4613039320735901E-2</v>
      </c>
      <c r="C1014">
        <v>6.39481000926784E-2</v>
      </c>
    </row>
    <row r="1015" spans="2:3" x14ac:dyDescent="0.2">
      <c r="B1015">
        <v>3.4427597825963802E-2</v>
      </c>
      <c r="C1015">
        <v>6.3021316033364222E-2</v>
      </c>
    </row>
    <row r="1016" spans="2:3" x14ac:dyDescent="0.2">
      <c r="B1016">
        <v>3.43661861886344E-2</v>
      </c>
      <c r="C1016">
        <v>6.2094531974050043E-2</v>
      </c>
    </row>
    <row r="1017" spans="2:3" x14ac:dyDescent="0.2">
      <c r="B1017">
        <v>3.4222638304234401E-2</v>
      </c>
      <c r="C1017">
        <v>6.1167747914735865E-2</v>
      </c>
    </row>
    <row r="1018" spans="2:3" x14ac:dyDescent="0.2">
      <c r="B1018">
        <v>3.4100706435675497E-2</v>
      </c>
      <c r="C1018">
        <v>6.0240963855421686E-2</v>
      </c>
    </row>
    <row r="1019" spans="2:3" x14ac:dyDescent="0.2">
      <c r="B1019">
        <v>3.3775100004126202E-2</v>
      </c>
      <c r="C1019">
        <v>5.9314179796107508E-2</v>
      </c>
    </row>
    <row r="1020" spans="2:3" x14ac:dyDescent="0.2">
      <c r="B1020">
        <v>3.35117612884459E-2</v>
      </c>
      <c r="C1020">
        <v>5.8387395736793329E-2</v>
      </c>
    </row>
    <row r="1021" spans="2:3" x14ac:dyDescent="0.2">
      <c r="B1021">
        <v>3.3282946642601702E-2</v>
      </c>
      <c r="C1021">
        <v>5.7460611677479144E-2</v>
      </c>
    </row>
    <row r="1022" spans="2:3" x14ac:dyDescent="0.2">
      <c r="B1022">
        <v>3.2621827282681502E-2</v>
      </c>
      <c r="C1022">
        <v>5.6533827618164965E-2</v>
      </c>
    </row>
    <row r="1023" spans="2:3" x14ac:dyDescent="0.2">
      <c r="B1023">
        <v>3.1324082923828697E-2</v>
      </c>
      <c r="C1023">
        <v>5.5607043558850787E-2</v>
      </c>
    </row>
    <row r="1024" spans="2:3" x14ac:dyDescent="0.2">
      <c r="B1024">
        <v>3.0910770658142801E-2</v>
      </c>
      <c r="C1024">
        <v>5.4680259499536608E-2</v>
      </c>
    </row>
    <row r="1025" spans="2:3" x14ac:dyDescent="0.2">
      <c r="B1025">
        <v>3.08039165297916E-2</v>
      </c>
      <c r="C1025">
        <v>5.375347544022243E-2</v>
      </c>
    </row>
    <row r="1026" spans="2:3" x14ac:dyDescent="0.2">
      <c r="B1026">
        <v>3.0476134247787601E-2</v>
      </c>
      <c r="C1026">
        <v>5.2826691380908251E-2</v>
      </c>
    </row>
    <row r="1027" spans="2:3" x14ac:dyDescent="0.2">
      <c r="B1027">
        <v>2.8994430128620401E-2</v>
      </c>
      <c r="C1027">
        <v>5.1899907321594066E-2</v>
      </c>
    </row>
    <row r="1028" spans="2:3" x14ac:dyDescent="0.2">
      <c r="B1028">
        <v>2.8842938294210901E-2</v>
      </c>
      <c r="C1028">
        <v>5.0973123262279887E-2</v>
      </c>
    </row>
    <row r="1029" spans="2:3" x14ac:dyDescent="0.2">
      <c r="B1029">
        <v>2.8577020875637502E-2</v>
      </c>
      <c r="C1029">
        <v>5.0046339202965709E-2</v>
      </c>
    </row>
    <row r="1030" spans="2:3" x14ac:dyDescent="0.2">
      <c r="B1030">
        <v>2.8094294873862499E-2</v>
      </c>
      <c r="C1030">
        <v>4.911955514365153E-2</v>
      </c>
    </row>
    <row r="1031" spans="2:3" x14ac:dyDescent="0.2">
      <c r="B1031">
        <v>2.8038382345310399E-2</v>
      </c>
      <c r="C1031">
        <v>4.8192771084337352E-2</v>
      </c>
    </row>
    <row r="1032" spans="2:3" x14ac:dyDescent="0.2">
      <c r="B1032">
        <v>2.7467191136169401E-2</v>
      </c>
      <c r="C1032">
        <v>4.7265987025023166E-2</v>
      </c>
    </row>
    <row r="1033" spans="2:3" x14ac:dyDescent="0.2">
      <c r="B1033">
        <v>2.7429398210546501E-2</v>
      </c>
      <c r="C1033">
        <v>4.6339202965708988E-2</v>
      </c>
    </row>
    <row r="1034" spans="2:3" x14ac:dyDescent="0.2">
      <c r="B1034">
        <v>2.6938741829312499E-2</v>
      </c>
      <c r="C1034">
        <v>4.5412418906394809E-2</v>
      </c>
    </row>
    <row r="1035" spans="2:3" x14ac:dyDescent="0.2">
      <c r="B1035">
        <v>2.67442787791515E-2</v>
      </c>
      <c r="C1035">
        <v>4.4485634847080631E-2</v>
      </c>
    </row>
    <row r="1036" spans="2:3" x14ac:dyDescent="0.2">
      <c r="B1036">
        <v>2.6495051880788201E-2</v>
      </c>
      <c r="C1036">
        <v>4.3558850787766452E-2</v>
      </c>
    </row>
    <row r="1037" spans="2:3" x14ac:dyDescent="0.2">
      <c r="B1037">
        <v>2.5513561615363198E-2</v>
      </c>
      <c r="C1037">
        <v>4.2632066728452274E-2</v>
      </c>
    </row>
    <row r="1038" spans="2:3" x14ac:dyDescent="0.2">
      <c r="B1038">
        <v>2.5258411245540902E-2</v>
      </c>
      <c r="C1038">
        <v>4.1705282669138088E-2</v>
      </c>
    </row>
    <row r="1039" spans="2:3" x14ac:dyDescent="0.2">
      <c r="B1039">
        <v>2.4866256469970201E-2</v>
      </c>
      <c r="C1039">
        <v>4.077849860982391E-2</v>
      </c>
    </row>
    <row r="1040" spans="2:3" x14ac:dyDescent="0.2">
      <c r="B1040">
        <v>2.4462078359288601E-2</v>
      </c>
      <c r="C1040">
        <v>3.9851714550509731E-2</v>
      </c>
    </row>
    <row r="1041" spans="2:3" x14ac:dyDescent="0.2">
      <c r="B1041">
        <v>2.4007438671223E-2</v>
      </c>
      <c r="C1041">
        <v>3.8924930491195553E-2</v>
      </c>
    </row>
    <row r="1042" spans="2:3" x14ac:dyDescent="0.2">
      <c r="B1042">
        <v>2.3798937863803899E-2</v>
      </c>
      <c r="C1042">
        <v>3.7998146431881374E-2</v>
      </c>
    </row>
    <row r="1043" spans="2:3" x14ac:dyDescent="0.2">
      <c r="B1043">
        <v>2.3748600495490501E-2</v>
      </c>
      <c r="C1043">
        <v>3.7071362372567189E-2</v>
      </c>
    </row>
    <row r="1044" spans="2:3" x14ac:dyDescent="0.2">
      <c r="B1044">
        <v>2.3128153186103201E-2</v>
      </c>
      <c r="C1044">
        <v>3.614457831325301E-2</v>
      </c>
    </row>
    <row r="1045" spans="2:3" x14ac:dyDescent="0.2">
      <c r="B1045">
        <v>2.2949639563861701E-2</v>
      </c>
      <c r="C1045">
        <v>3.5217794253938832E-2</v>
      </c>
    </row>
    <row r="1046" spans="2:3" x14ac:dyDescent="0.2">
      <c r="B1046">
        <v>2.2729144206037302E-2</v>
      </c>
      <c r="C1046">
        <v>3.4291010194624653E-2</v>
      </c>
    </row>
    <row r="1047" spans="2:3" x14ac:dyDescent="0.2">
      <c r="B1047">
        <v>2.2651304713215699E-2</v>
      </c>
      <c r="C1047">
        <v>3.3364226135310475E-2</v>
      </c>
    </row>
    <row r="1048" spans="2:3" x14ac:dyDescent="0.2">
      <c r="B1048">
        <v>2.2599537125891401E-2</v>
      </c>
      <c r="C1048">
        <v>3.2437442075996289E-2</v>
      </c>
    </row>
    <row r="1049" spans="2:3" x14ac:dyDescent="0.2">
      <c r="B1049">
        <v>2.1240087976266801E-2</v>
      </c>
      <c r="C1049">
        <v>3.1510658016682111E-2</v>
      </c>
    </row>
    <row r="1050" spans="2:3" x14ac:dyDescent="0.2">
      <c r="B1050">
        <v>2.00956302435496E-2</v>
      </c>
      <c r="C1050">
        <v>3.0583873957367932E-2</v>
      </c>
    </row>
    <row r="1051" spans="2:3" x14ac:dyDescent="0.2">
      <c r="B1051">
        <v>2.0077825000480401E-2</v>
      </c>
      <c r="C1051">
        <v>2.9657089898053754E-2</v>
      </c>
    </row>
    <row r="1052" spans="2:3" x14ac:dyDescent="0.2">
      <c r="B1052">
        <v>1.95411430148472E-2</v>
      </c>
      <c r="C1052">
        <v>2.8730305838739572E-2</v>
      </c>
    </row>
    <row r="1053" spans="2:3" x14ac:dyDescent="0.2">
      <c r="B1053">
        <v>1.945061411886E-2</v>
      </c>
      <c r="C1053">
        <v>2.7803521779425393E-2</v>
      </c>
    </row>
    <row r="1054" spans="2:3" x14ac:dyDescent="0.2">
      <c r="B1054">
        <v>1.8623633183213899E-2</v>
      </c>
      <c r="C1054">
        <v>2.6876737720111215E-2</v>
      </c>
    </row>
    <row r="1055" spans="2:3" x14ac:dyDescent="0.2">
      <c r="B1055">
        <v>1.8552479837795399E-2</v>
      </c>
      <c r="C1055">
        <v>2.5949953660797033E-2</v>
      </c>
    </row>
    <row r="1056" spans="2:3" x14ac:dyDescent="0.2">
      <c r="B1056">
        <v>1.84792430343956E-2</v>
      </c>
      <c r="C1056">
        <v>2.5023169601482854E-2</v>
      </c>
    </row>
    <row r="1057" spans="2:3" x14ac:dyDescent="0.2">
      <c r="B1057">
        <v>1.83198889962293E-2</v>
      </c>
      <c r="C1057">
        <v>2.4096385542168676E-2</v>
      </c>
    </row>
    <row r="1058" spans="2:3" x14ac:dyDescent="0.2">
      <c r="B1058">
        <v>1.7768721543668702E-2</v>
      </c>
      <c r="C1058">
        <v>2.3169601482854494E-2</v>
      </c>
    </row>
    <row r="1059" spans="2:3" x14ac:dyDescent="0.2">
      <c r="B1059">
        <v>1.76937101656243E-2</v>
      </c>
      <c r="C1059">
        <v>2.2242817423540315E-2</v>
      </c>
    </row>
    <row r="1060" spans="2:3" x14ac:dyDescent="0.2">
      <c r="B1060">
        <v>1.7518795833281E-2</v>
      </c>
      <c r="C1060">
        <v>2.1316033364226137E-2</v>
      </c>
    </row>
    <row r="1061" spans="2:3" x14ac:dyDescent="0.2">
      <c r="B1061">
        <v>1.74772877747859E-2</v>
      </c>
      <c r="C1061">
        <v>2.0389249304911955E-2</v>
      </c>
    </row>
    <row r="1062" spans="2:3" x14ac:dyDescent="0.2">
      <c r="B1062">
        <v>1.7120161914800099E-2</v>
      </c>
      <c r="C1062">
        <v>1.9462465245597776E-2</v>
      </c>
    </row>
    <row r="1063" spans="2:3" x14ac:dyDescent="0.2">
      <c r="B1063">
        <v>1.5834441797236299E-2</v>
      </c>
      <c r="C1063">
        <v>1.8535681186283594E-2</v>
      </c>
    </row>
    <row r="1064" spans="2:3" x14ac:dyDescent="0.2">
      <c r="B1064">
        <v>1.5721624251492799E-2</v>
      </c>
      <c r="C1064">
        <v>1.7608897126969416E-2</v>
      </c>
    </row>
    <row r="1065" spans="2:3" x14ac:dyDescent="0.2">
      <c r="B1065">
        <v>1.5049652624248899E-2</v>
      </c>
      <c r="C1065">
        <v>1.6682113067655237E-2</v>
      </c>
    </row>
    <row r="1066" spans="2:3" x14ac:dyDescent="0.2">
      <c r="B1066">
        <v>1.47144512528577E-2</v>
      </c>
      <c r="C1066">
        <v>1.5755329008341055E-2</v>
      </c>
    </row>
    <row r="1067" spans="2:3" x14ac:dyDescent="0.2">
      <c r="B1067">
        <v>1.3253671040202E-2</v>
      </c>
      <c r="C1067">
        <v>1.4828544949026877E-2</v>
      </c>
    </row>
    <row r="1068" spans="2:3" x14ac:dyDescent="0.2">
      <c r="B1068">
        <v>1.30454356358988E-2</v>
      </c>
      <c r="C1068">
        <v>1.3901760889712697E-2</v>
      </c>
    </row>
    <row r="1069" spans="2:3" x14ac:dyDescent="0.2">
      <c r="B1069">
        <v>1.2847531110131E-2</v>
      </c>
      <c r="C1069">
        <v>1.2974976830398516E-2</v>
      </c>
    </row>
    <row r="1070" spans="2:3" x14ac:dyDescent="0.2">
      <c r="B1070">
        <v>1.18206393706828E-2</v>
      </c>
      <c r="C1070">
        <v>1.2048192771084338E-2</v>
      </c>
    </row>
    <row r="1071" spans="2:3" x14ac:dyDescent="0.2">
      <c r="B1071">
        <v>1.1803321686785301E-2</v>
      </c>
      <c r="C1071">
        <v>1.1121408711770158E-2</v>
      </c>
    </row>
    <row r="1072" spans="2:3" x14ac:dyDescent="0.2">
      <c r="B1072">
        <v>1.0633364820653199E-2</v>
      </c>
      <c r="C1072">
        <v>1.0194624652455977E-2</v>
      </c>
    </row>
    <row r="1073" spans="2:3" x14ac:dyDescent="0.2">
      <c r="B1073">
        <v>1.0216760584062699E-2</v>
      </c>
      <c r="C1073">
        <v>9.2678405931417972E-3</v>
      </c>
    </row>
    <row r="1074" spans="2:3" x14ac:dyDescent="0.2">
      <c r="B1074">
        <v>9.9601007322026001E-3</v>
      </c>
      <c r="C1074">
        <v>8.3410565338276187E-3</v>
      </c>
    </row>
    <row r="1075" spans="2:3" x14ac:dyDescent="0.2">
      <c r="B1075">
        <v>9.6127137076600193E-3</v>
      </c>
      <c r="C1075">
        <v>7.4142724745134385E-3</v>
      </c>
    </row>
    <row r="1076" spans="2:3" x14ac:dyDescent="0.2">
      <c r="B1076">
        <v>9.2954153925750901E-3</v>
      </c>
      <c r="C1076">
        <v>6.4874884151992582E-3</v>
      </c>
    </row>
    <row r="1077" spans="2:3" x14ac:dyDescent="0.2">
      <c r="B1077">
        <v>7.5579926617120397E-3</v>
      </c>
      <c r="C1077">
        <v>5.5607043558850789E-3</v>
      </c>
    </row>
    <row r="1078" spans="2:3" x14ac:dyDescent="0.2">
      <c r="B1078">
        <v>7.32748709930915E-3</v>
      </c>
      <c r="C1078">
        <v>4.6339202965708986E-3</v>
      </c>
    </row>
    <row r="1079" spans="2:3" x14ac:dyDescent="0.2">
      <c r="B1079">
        <v>6.3970576989558397E-3</v>
      </c>
      <c r="C1079">
        <v>3.7071362372567192E-3</v>
      </c>
    </row>
    <row r="1080" spans="2:3" x14ac:dyDescent="0.2">
      <c r="B1080">
        <v>5.9009268778126497E-3</v>
      </c>
      <c r="C1080">
        <v>2.7803521779425394E-3</v>
      </c>
    </row>
    <row r="1081" spans="2:3" x14ac:dyDescent="0.2">
      <c r="B1081">
        <v>5.6980781098531202E-3</v>
      </c>
      <c r="C1081">
        <v>1.8535681186283596E-3</v>
      </c>
    </row>
    <row r="1082" spans="2:3" x14ac:dyDescent="0.2">
      <c r="B1082">
        <v>4.6314138606822304E-3</v>
      </c>
      <c r="C1082">
        <v>9.2678405931417981E-4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Sheet1</vt:lpstr>
      <vt:lpstr>Settings</vt:lpstr>
      <vt:lpstr>ClaimCount</vt:lpstr>
      <vt:lpstr>claimSimResults</vt:lpstr>
      <vt:lpstr>SeverityHelpers</vt:lpstr>
      <vt:lpstr>ClaimsByPolicy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dcterms:created xsi:type="dcterms:W3CDTF">2025-02-08T20:16:04Z</dcterms:created>
  <dcterms:modified xsi:type="dcterms:W3CDTF">2025-02-14T21:16:29Z</dcterms:modified>
</cp:coreProperties>
</file>