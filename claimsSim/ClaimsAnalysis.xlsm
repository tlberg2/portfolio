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bergtho/Desktop/msc/me/portfolio/claimsSim/"/>
    </mc:Choice>
  </mc:AlternateContent>
  <xr:revisionPtr revIDLastSave="0" documentId="13_ncr:1_{E01A6BC4-660C-C940-A780-19761CDA8410}" xr6:coauthVersionLast="47" xr6:coauthVersionMax="47" xr10:uidLastSave="{00000000-0000-0000-0000-000000000000}"/>
  <bookViews>
    <workbookView xWindow="0" yWindow="500" windowWidth="28800" windowHeight="17500" xr2:uid="{4BF5421F-6D43-8944-9C24-E443344B4663}"/>
  </bookViews>
  <sheets>
    <sheet name="Dashboard" sheetId="1" r:id="rId1"/>
    <sheet name="Settings" sheetId="7" r:id="rId2"/>
    <sheet name="PolicyLosses" sheetId="13" state="hidden" r:id="rId3"/>
    <sheet name="claimSimResults" sheetId="6" state="hidden" r:id="rId4"/>
    <sheet name="SeverityCDF" sheetId="15" state="hidden" r:id="rId5"/>
    <sheet name="PolicyLossCDF" sheetId="16" state="hidden" r:id="rId6"/>
  </sheets>
  <functionGroups builtInGroupCount="19"/>
  <definedNames>
    <definedName name="_xlchart.v1.0" hidden="1">'claimSimResults'!$F$1</definedName>
    <definedName name="_xlchart.v1.1" hidden="1">'claimSimResults'!$F$2:$F$1495</definedName>
    <definedName name="_xlchart.v1.2" hidden="1">PolicyLosses!$C$1</definedName>
    <definedName name="_xlchart.v1.3" hidden="1">PolicyLosses!$C$2:$C$501</definedName>
    <definedName name="_xleta.SUM" hidden="1" xlm="1">#NAME?</definedName>
    <definedName name="_xleta.VAR" hidden="1" xlm="1">#NAME?</definedName>
    <definedName name="_xleta.VAR.S" hidden="1" xlm="1">#NAME?</definedName>
    <definedName name="_xlpm.directory" hidden="1" xlm="1">#NAME?</definedName>
    <definedName name="_xlpm.filepath" hidden="1" xlm="1">#NAME?</definedName>
    <definedName name="_xlpm.x" hidden="1" xlm="1">#NAME?</definedName>
    <definedName name="ClaimsByPolicy">'claimSimResults'!$J$7:$L$462</definedName>
    <definedName name="claimSimResults_" localSheetId="3" hidden="1">'claimSimResults'!$A$1:$F$1495</definedName>
    <definedName name="claimSimResultsCsvPath">Settings!$B$8</definedName>
    <definedName name="ExternalData_3" localSheetId="2" hidden="1">PolicyLosses!$A$1:$C$501</definedName>
    <definedName name="frequency_distribution">Table2[Distribution]</definedName>
    <definedName name="frequency_lambda">Table2[lambda]</definedName>
    <definedName name="frequency_prob">Table2[p]</definedName>
    <definedName name="frequency_trials">Table2[trials]</definedName>
    <definedName name="max_claim_amount">Settings!$B$7</definedName>
    <definedName name="num_policies">Settings!$B$6</definedName>
    <definedName name="Rscript_path">Settings!$B$5</definedName>
    <definedName name="SevCDFValueRange">OFFSET(SeverityCDF!$C$4, 0, 0, COUNTA(SeverityCDF!$C:$C) - 1, 1)</definedName>
    <definedName name="SevClaimAmountRange">OFFSET(SeverityCDF!$B$4, 0, 0, COUNTA(SeverityCDF!$B:$B) - 1, 1)</definedName>
    <definedName name="severity_alpha">Table1[alpha]</definedName>
    <definedName name="severity_distribution">Table1[Distribution]</definedName>
    <definedName name="severity_mu">Table1[mu]</definedName>
    <definedName name="severity_sigma">Table1[sigma]</definedName>
    <definedName name="severity_theta">Table1[theta]</definedName>
    <definedName name="simCsvOutputPath">Settings!#REF!</definedName>
    <definedName name="simOutputCsvPath">Settings!#REF!</definedName>
    <definedName name="whoops">Settings!#REF!</definedName>
  </definedNames>
  <calcPr calcId="191029"/>
  <pivotCaches>
    <pivotCache cacheId="12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7" l="1" a="1"/>
  <c r="B8" i="7" s="1"/>
  <c r="P13" i="1"/>
  <c r="D33" i="1"/>
  <c r="D29" i="1"/>
  <c r="P8" i="1"/>
  <c r="P12" i="1"/>
  <c r="P33" i="1"/>
  <c r="P32" i="1"/>
  <c r="P29" i="1"/>
  <c r="D30" i="1"/>
  <c r="B2" i="16" a="1"/>
  <c r="B2" i="16" s="1"/>
  <c r="C2" i="16" s="1" a="1"/>
  <c r="C2" i="16" s="1"/>
  <c r="R29" i="1" a="1"/>
  <c r="R29" i="1" s="1"/>
  <c r="W30" i="1"/>
  <c r="W31" i="1"/>
  <c r="W32" i="1"/>
  <c r="W33" i="1"/>
  <c r="W29" i="1"/>
  <c r="P31" i="1"/>
  <c r="P30" i="1"/>
  <c r="P28" i="1"/>
  <c r="P9" i="1"/>
  <c r="P7" i="1"/>
  <c r="D31" i="1"/>
  <c r="F29" i="1" a="1"/>
  <c r="F29" i="1" s="1"/>
  <c r="B4" i="15" a="1"/>
  <c r="B4" i="15" s="1"/>
  <c r="P11" i="1"/>
  <c r="P10" i="1"/>
  <c r="D32" i="1"/>
  <c r="P17" i="1"/>
  <c r="P18" i="1"/>
  <c r="P19" i="1"/>
  <c r="P20" i="1"/>
  <c r="P16" i="1"/>
  <c r="K33" i="1"/>
  <c r="K32" i="1"/>
  <c r="K31" i="1"/>
  <c r="K30" i="1"/>
  <c r="K29" i="1"/>
  <c r="D28" i="1"/>
  <c r="C4" i="15" l="1" a="1"/>
  <c r="C4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BF4DAE-3765-6349-A262-E6ACA79B3F6B}" keepAlive="1" name="Query - claimSimResults" description="Connection to the 'claimSimResults' query in the workbook." type="5" refreshedVersion="8" refreshOnLoad="1" saveData="1">
    <dbPr connection="Provider=Microsoft.Mashup.OleDb.1;Data Source=$Workbook$;Location=claimSimResults;Extended Properties=&quot;&quot;" command="SELECT * FROM [claimSimResults]"/>
  </connection>
  <connection id="2" xr16:uid="{43E92657-0528-3A49-87B8-4AA2B7493C71}" keepAlive="1" name="Query - getSetting" description="Connection to the 'getSetting' query in the workbook." type="5" refreshedVersion="0" background="1">
    <dbPr connection="Provider=Microsoft.Mashup.OleDb.1;Data Source=$Workbook$;Location=getSetting;Extended Properties=&quot;&quot;" command="SELECT * FROM [getSetting]"/>
  </connection>
  <connection id="3" xr16:uid="{7E182DFB-1E7A-5E4A-9514-EBF46F3429F0}" keepAlive="1" name="Query - PolicyLevelAggregate" description="Connection to the 'PolicyLevelAggregate' query in the workbook." type="5" refreshedVersion="8" saveData="1">
    <dbPr connection="Provider=Microsoft.Mashup.OleDb.1;Data Source=$Workbook$;Location=PolicyLevelAggregate;Extended Properties=&quot;&quot;" command="SELECT * FROM [PolicyLevelAggregat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<sst xmlns="http://schemas.openxmlformats.org/spreadsheetml/2006/main" count="3074" uniqueCount="1557">
  <si>
    <t>PolicyID</t>
  </si>
  <si>
    <t>ClaimAmount</t>
  </si>
  <si>
    <t>ClaimDate</t>
  </si>
  <si>
    <t>Distribution</t>
  </si>
  <si>
    <t>lambda</t>
  </si>
  <si>
    <t>p</t>
  </si>
  <si>
    <t>alpha</t>
  </si>
  <si>
    <t>theta</t>
  </si>
  <si>
    <t>mu</t>
  </si>
  <si>
    <t>sigma</t>
  </si>
  <si>
    <t>Rscript path</t>
  </si>
  <si>
    <t>/usr/local/bin/Rscript</t>
  </si>
  <si>
    <t>Setting</t>
  </si>
  <si>
    <t>Value</t>
  </si>
  <si>
    <t>Notes</t>
  </si>
  <si>
    <t>trials</t>
  </si>
  <si>
    <t>Distribution Summary</t>
  </si>
  <si>
    <t>Mean</t>
  </si>
  <si>
    <t>Num Policies</t>
  </si>
  <si>
    <t>Max Claim Amount</t>
  </si>
  <si>
    <t>Claims will be capped at this (10 million by default)</t>
  </si>
  <si>
    <t>ClaimAmountNumeric</t>
  </si>
  <si>
    <t>ValidClaimAmount</t>
  </si>
  <si>
    <t>CleanedClaimAmountText</t>
  </si>
  <si>
    <t>Users will need to enter this manually - Find with: "which Rscript", used to run the simulation script</t>
  </si>
  <si>
    <t>Grand Total</t>
  </si>
  <si>
    <t>ClaimCount</t>
  </si>
  <si>
    <t>NumberOfPolicies</t>
  </si>
  <si>
    <t>Claim Amount</t>
  </si>
  <si>
    <t>Empirical CDF of the claim amounts - sorted for a sanity check</t>
  </si>
  <si>
    <t>Min</t>
  </si>
  <si>
    <t>Max</t>
  </si>
  <si>
    <t>Total Claims</t>
  </si>
  <si>
    <t>Largest Claims</t>
  </si>
  <si>
    <t>TotalClaimAmount</t>
  </si>
  <si>
    <t xml:space="preserve"> </t>
  </si>
  <si>
    <t>Total Loss</t>
  </si>
  <si>
    <t>Empirical CDF of policy losses - sorted for a sanity check</t>
  </si>
  <si>
    <t>Loss</t>
  </si>
  <si>
    <t>CDF(Loss)</t>
  </si>
  <si>
    <t>CDF(Amount)</t>
  </si>
  <si>
    <t>Claim Frequency</t>
  </si>
  <si>
    <t>Claim Severity</t>
  </si>
  <si>
    <t>Total Losses</t>
  </si>
  <si>
    <t>Median</t>
  </si>
  <si>
    <t>Amount</t>
  </si>
  <si>
    <t>Date</t>
  </si>
  <si>
    <t>Policy</t>
  </si>
  <si>
    <t>Claims</t>
  </si>
  <si>
    <t>Percentile</t>
  </si>
  <si>
    <t>Policy-Level Loss</t>
  </si>
  <si>
    <t>Std. Dev</t>
  </si>
  <si>
    <t>Std. Dev.</t>
  </si>
  <si>
    <t>0-claim Policies</t>
  </si>
  <si>
    <t>Poisson</t>
  </si>
  <si>
    <t>Gamma</t>
  </si>
  <si>
    <r>
      <rPr>
        <b/>
        <sz val="14"/>
        <color theme="1"/>
        <rFont val="Aptos Narrow"/>
        <scheme val="minor"/>
      </rPr>
      <t>Claim Frequency:</t>
    </r>
    <r>
      <rPr>
        <sz val="14"/>
        <color theme="1"/>
        <rFont val="Aptos Narrow"/>
        <scheme val="minor"/>
      </rPr>
      <t xml:space="preserve"> distribution of the number of claims per policy</t>
    </r>
  </si>
  <si>
    <r>
      <rPr>
        <b/>
        <sz val="14"/>
        <color theme="1"/>
        <rFont val="Aptos Narrow"/>
        <scheme val="minor"/>
      </rPr>
      <t xml:space="preserve">Policy-Level Loss: </t>
    </r>
    <r>
      <rPr>
        <sz val="14"/>
        <color theme="1"/>
        <rFont val="Aptos Narrow"/>
        <scheme val="minor"/>
      </rPr>
      <t>distribution of total loss amounts per policy</t>
    </r>
  </si>
  <si>
    <t>Top Policies by Loss Amount</t>
  </si>
  <si>
    <t>This is hardcoded in the R script (for now), so this can't be changed. TODO: support passing this to the R script</t>
  </si>
  <si>
    <t>Results Csv Path</t>
  </si>
  <si>
    <t>This is where powerquery will look for the simulation results</t>
  </si>
  <si>
    <r>
      <rPr>
        <b/>
        <sz val="14"/>
        <color theme="1"/>
        <rFont val="Aptos Narrow"/>
        <scheme val="minor"/>
      </rPr>
      <t xml:space="preserve">Claim Severity:      </t>
    </r>
    <r>
      <rPr>
        <sz val="14"/>
        <color theme="1"/>
        <rFont val="Aptos Narrow"/>
        <scheme val="minor"/>
      </rPr>
      <t>distribution of individual claim amounts</t>
    </r>
  </si>
  <si>
    <t>0.107525168854414</t>
  </si>
  <si>
    <t>0.504740769935949</t>
  </si>
  <si>
    <t>0.136404862725604</t>
  </si>
  <si>
    <t>0.279937813712569</t>
  </si>
  <si>
    <t>0.0855964076472454</t>
  </si>
  <si>
    <t>0.11922872308669</t>
  </si>
  <si>
    <t>0.333159650840959</t>
  </si>
  <si>
    <t>0.0406844664919726</t>
  </si>
  <si>
    <t>0.075190364599179</t>
  </si>
  <si>
    <t>0.0977702845559003</t>
  </si>
  <si>
    <t>0.339695271328401</t>
  </si>
  <si>
    <t>0.503343529887284</t>
  </si>
  <si>
    <t>0.315505179234479</t>
  </si>
  <si>
    <t>0.234271970780042</t>
  </si>
  <si>
    <t>0.0703283277505258</t>
  </si>
  <si>
    <t>0.029144557068867</t>
  </si>
  <si>
    <t>0.245429080588635</t>
  </si>
  <si>
    <t>0.142643345050423</t>
  </si>
  <si>
    <t>0.309480403865562</t>
  </si>
  <si>
    <t>0.0605503550287921</t>
  </si>
  <si>
    <t>0.156469773522048</t>
  </si>
  <si>
    <t>0.630247942513426</t>
  </si>
  <si>
    <t>0.0864908094988346</t>
  </si>
  <si>
    <t>0.0242916826504968</t>
  </si>
  <si>
    <t>0.148252824461882</t>
  </si>
  <si>
    <t>0.0657045434781753</t>
  </si>
  <si>
    <t>0.278709097710033</t>
  </si>
  <si>
    <t>0.275262444907751</t>
  </si>
  <si>
    <t>0.0789830277743215</t>
  </si>
  <si>
    <t>0.195383556188537</t>
  </si>
  <si>
    <t>0.143265238904509</t>
  </si>
  <si>
    <t>0.389929926334116</t>
  </si>
  <si>
    <t>0.0980635926533519</t>
  </si>
  <si>
    <t>0.214589027351265</t>
  </si>
  <si>
    <t>0.158085820351013</t>
  </si>
  <si>
    <t>0.319424913778474</t>
  </si>
  <si>
    <t>0.48949544650045</t>
  </si>
  <si>
    <t>0.483613686682087</t>
  </si>
  <si>
    <t>0.137323895572788</t>
  </si>
  <si>
    <t>0.192335340816526</t>
  </si>
  <si>
    <t>0.247625905150289</t>
  </si>
  <si>
    <t>0.306381094525112</t>
  </si>
  <si>
    <t>0.143284706210845</t>
  </si>
  <si>
    <t>0.25608494255932</t>
  </si>
  <si>
    <t>0.197664038337339</t>
  </si>
  <si>
    <t>0.17764121973411</t>
  </si>
  <si>
    <t>0.0438548325117762</t>
  </si>
  <si>
    <t>0.0264671271930951</t>
  </si>
  <si>
    <t>0.197170106392704</t>
  </si>
  <si>
    <t>0.0391167302910145</t>
  </si>
  <si>
    <t>0.247509911118303</t>
  </si>
  <si>
    <t>0.191400372401839</t>
  </si>
  <si>
    <t>0.0463699050617901</t>
  </si>
  <si>
    <t>0.282852792502315</t>
  </si>
  <si>
    <t>0.0814553914210179</t>
  </si>
  <si>
    <t>0.446153364259918</t>
  </si>
  <si>
    <t>0.0418332917387364</t>
  </si>
  <si>
    <t>0.559303145894387</t>
  </si>
  <si>
    <t>0.333954826617548</t>
  </si>
  <si>
    <t>0.176258960164585</t>
  </si>
  <si>
    <t>0.171620195177163</t>
  </si>
  <si>
    <t>0.825109636233184</t>
  </si>
  <si>
    <t>0.105441249463959</t>
  </si>
  <si>
    <t>0.098284953209316</t>
  </si>
  <si>
    <t>0.13157746270102</t>
  </si>
  <si>
    <t>0.271877926795314</t>
  </si>
  <si>
    <t>0.139732514376647</t>
  </si>
  <si>
    <t>0.0740693146795186</t>
  </si>
  <si>
    <t>0.0294187066570667</t>
  </si>
  <si>
    <t>0.374069453777756</t>
  </si>
  <si>
    <t>0.308105175361393</t>
  </si>
  <si>
    <t>0.269598553486039</t>
  </si>
  <si>
    <t>0.0844020538201024</t>
  </si>
  <si>
    <t>0.227008030288468</t>
  </si>
  <si>
    <t>0.174096938776802</t>
  </si>
  <si>
    <t>0.0461347488291036</t>
  </si>
  <si>
    <t>0.8276609960289</t>
  </si>
  <si>
    <t>0.28842135841553</t>
  </si>
  <si>
    <t>0.0380743432528095</t>
  </si>
  <si>
    <t>0.583806215759578</t>
  </si>
  <si>
    <t>0.278026239355257</t>
  </si>
  <si>
    <t>0.235017724070781</t>
  </si>
  <si>
    <t>0.101269983328802</t>
  </si>
  <si>
    <t>0.150329840954716</t>
  </si>
  <si>
    <t>0.168168298473001</t>
  </si>
  <si>
    <t>0.118670695646617</t>
  </si>
  <si>
    <t>0.33981477251883</t>
  </si>
  <si>
    <t>0.407234546662733</t>
  </si>
  <si>
    <t>0.100659367349514</t>
  </si>
  <si>
    <t>0.157971377514471</t>
  </si>
  <si>
    <t>0.29859104071586</t>
  </si>
  <si>
    <t>0.410731190944309</t>
  </si>
  <si>
    <t>0.153912790056609</t>
  </si>
  <si>
    <t>0.0373263446806302</t>
  </si>
  <si>
    <t>0.16795488352498</t>
  </si>
  <si>
    <t>0.403997640452938</t>
  </si>
  <si>
    <t>0.0638112193854923</t>
  </si>
  <si>
    <t>0.0532157201014966</t>
  </si>
  <si>
    <t>0.101567272551517</t>
  </si>
  <si>
    <t>0.208665669299551</t>
  </si>
  <si>
    <t>0.0161858963781434</t>
  </si>
  <si>
    <t>0.217591555776937</t>
  </si>
  <si>
    <t>0.316715119841337</t>
  </si>
  <si>
    <t>0.281182760161728</t>
  </si>
  <si>
    <t>0.105862864552918</t>
  </si>
  <si>
    <t>0.109151784185519</t>
  </si>
  <si>
    <t>0.261976082918573</t>
  </si>
  <si>
    <t>0.162961532313998</t>
  </si>
  <si>
    <t>0.286095950407872</t>
  </si>
  <si>
    <t>0.161200123571069</t>
  </si>
  <si>
    <t>0.0854331867218019</t>
  </si>
  <si>
    <t>0.563850932027581</t>
  </si>
  <si>
    <t>0.10920439858597</t>
  </si>
  <si>
    <t>0.392413352430507</t>
  </si>
  <si>
    <t>0.0705604048715844</t>
  </si>
  <si>
    <t>0.100253203459502</t>
  </si>
  <si>
    <t>0.212944222650201</t>
  </si>
  <si>
    <t>0.174945199887848</t>
  </si>
  <si>
    <t>0.187016472581073</t>
  </si>
  <si>
    <t>0.440734832116781</t>
  </si>
  <si>
    <t>0.130576299135352</t>
  </si>
  <si>
    <t>0.294003466577364</t>
  </si>
  <si>
    <t>0.156800698454701</t>
  </si>
  <si>
    <t>0.193338476951453</t>
  </si>
  <si>
    <t>0.205588009793501</t>
  </si>
  <si>
    <t>0.0698324769870811</t>
  </si>
  <si>
    <t>0.303811480335494</t>
  </si>
  <si>
    <t>0.130759980955258</t>
  </si>
  <si>
    <t>0.114578322179896</t>
  </si>
  <si>
    <t>0.211306445364919</t>
  </si>
  <si>
    <t>0.0998555617663617</t>
  </si>
  <si>
    <t>0.137350176666558</t>
  </si>
  <si>
    <t>0.121236496221721</t>
  </si>
  <si>
    <t>0.109260315190007</t>
  </si>
  <si>
    <t>0.151010197950614</t>
  </si>
  <si>
    <t>0.126813494492074</t>
  </si>
  <si>
    <t>0.0903319448521403</t>
  </si>
  <si>
    <t>0.206085268146105</t>
  </si>
  <si>
    <t>0.0336848783889608</t>
  </si>
  <si>
    <t>0.380700002948676</t>
  </si>
  <si>
    <t>0.0674868072048885</t>
  </si>
  <si>
    <t>0.349200299798407</t>
  </si>
  <si>
    <t>0.186057081340045</t>
  </si>
  <si>
    <t>0.139462175203608</t>
  </si>
  <si>
    <t>0.0533664452850217</t>
  </si>
  <si>
    <t>0.034338964300021</t>
  </si>
  <si>
    <t>0.102241760488037</t>
  </si>
  <si>
    <t>0.148693758613318</t>
  </si>
  <si>
    <t>0.0771556491062159</t>
  </si>
  <si>
    <t>0.438227730115103</t>
  </si>
  <si>
    <t>0.0637573562188934</t>
  </si>
  <si>
    <t>0.0643938670467256</t>
  </si>
  <si>
    <t>0.0807378962413313</t>
  </si>
  <si>
    <t>0.0822097744866052</t>
  </si>
  <si>
    <t>0.224739780765491</t>
  </si>
  <si>
    <t>0.0842286444646039</t>
  </si>
  <si>
    <t>0.231258284953596</t>
  </si>
  <si>
    <t>0.256445760377632</t>
  </si>
  <si>
    <t>0.11955445964759</t>
  </si>
  <si>
    <t>0.205089673284003</t>
  </si>
  <si>
    <t>0.117679900856448</t>
  </si>
  <si>
    <t>0.0631948327037071</t>
  </si>
  <si>
    <t>0.317039910596501</t>
  </si>
  <si>
    <t>0.130314596512339</t>
  </si>
  <si>
    <t>0.160102564618933</t>
  </si>
  <si>
    <t>0.177956014559782</t>
  </si>
  <si>
    <t>0.394895287791006</t>
  </si>
  <si>
    <t>0.270128894275455</t>
  </si>
  <si>
    <t>0.0253007417487896</t>
  </si>
  <si>
    <t>0.306837666027998</t>
  </si>
  <si>
    <t>0.537288635061466</t>
  </si>
  <si>
    <t>0.1215438425481</t>
  </si>
  <si>
    <t>0.0376435233851017</t>
  </si>
  <si>
    <t>0.139568633160433</t>
  </si>
  <si>
    <t>0.171273589810613</t>
  </si>
  <si>
    <t>0.025002058626641</t>
  </si>
  <si>
    <t>0.101790810752372</t>
  </si>
  <si>
    <t>0.116884159656395</t>
  </si>
  <si>
    <t>0.184049346540814</t>
  </si>
  <si>
    <t>0.11770729267573</t>
  </si>
  <si>
    <t>0.0667660997165944</t>
  </si>
  <si>
    <t>0.403913207467988</t>
  </si>
  <si>
    <t>0.094942675652629</t>
  </si>
  <si>
    <t>0.0749506571248814</t>
  </si>
  <si>
    <t>0.0212999174404564</t>
  </si>
  <si>
    <t>0.132811642390651</t>
  </si>
  <si>
    <t>0.260767979707413</t>
  </si>
  <si>
    <t>0.360312113708</t>
  </si>
  <si>
    <t>0.208928659044926</t>
  </si>
  <si>
    <t>0.33001003313053</t>
  </si>
  <si>
    <t>0.292226056619157</t>
  </si>
  <si>
    <t>0.279234260176847</t>
  </si>
  <si>
    <t>0.30071855533682</t>
  </si>
  <si>
    <t>0.40520496805306</t>
  </si>
  <si>
    <t>0.127575458935014</t>
  </si>
  <si>
    <t>0.122239674185213</t>
  </si>
  <si>
    <t>0.22286497316647</t>
  </si>
  <si>
    <t>0.118113344449804</t>
  </si>
  <si>
    <t>0.133562231353019</t>
  </si>
  <si>
    <t>0.11075603661637</t>
  </si>
  <si>
    <t>0.20439651045577</t>
  </si>
  <si>
    <t>0.170828018567044</t>
  </si>
  <si>
    <t>0.405487033558801</t>
  </si>
  <si>
    <t>0.142511914653919</t>
  </si>
  <si>
    <t>0.0777452856410407</t>
  </si>
  <si>
    <t>0.373430481612586</t>
  </si>
  <si>
    <t>0.335996125415254</t>
  </si>
  <si>
    <t>0.209097521327691</t>
  </si>
  <si>
    <t>0.101736211509356</t>
  </si>
  <si>
    <t>0.0722569105224352</t>
  </si>
  <si>
    <t>0.0729998694074832</t>
  </si>
  <si>
    <t>0.177426367687258</t>
  </si>
  <si>
    <t>0.0667659068058462</t>
  </si>
  <si>
    <t>0.241181389717454</t>
  </si>
  <si>
    <t>0.184931237232186</t>
  </si>
  <si>
    <t>0.28095897131229</t>
  </si>
  <si>
    <t>0.213873393374757</t>
  </si>
  <si>
    <t>0.0904269886161105</t>
  </si>
  <si>
    <t>0.242515157047254</t>
  </si>
  <si>
    <t>0.127036336270678</t>
  </si>
  <si>
    <t>0.31657456830294</t>
  </si>
  <si>
    <t>0.408198426134163</t>
  </si>
  <si>
    <t>0.278043690717966</t>
  </si>
  <si>
    <t>0.276846364140214</t>
  </si>
  <si>
    <t>0.0940983700601464</t>
  </si>
  <si>
    <t>0.0358840100109497</t>
  </si>
  <si>
    <t>0.449421757802668</t>
  </si>
  <si>
    <t>0.0540296607302519</t>
  </si>
  <si>
    <t>0.143603114797308</t>
  </si>
  <si>
    <t>0.302441142184238</t>
  </si>
  <si>
    <t>0.194662118079232</t>
  </si>
  <si>
    <t>0.0228065014729545</t>
  </si>
  <si>
    <t>0.174436750548706</t>
  </si>
  <si>
    <t>0.0803933354983888</t>
  </si>
  <si>
    <t>0.312621216298822</t>
  </si>
  <si>
    <t>0.476820879289624</t>
  </si>
  <si>
    <t>0.132213329382705</t>
  </si>
  <si>
    <t>0.145916491058454</t>
  </si>
  <si>
    <t>0.431428292099862</t>
  </si>
  <si>
    <t>0.0946362029451137</t>
  </si>
  <si>
    <t>0.48121623688628</t>
  </si>
  <si>
    <t>0.0461462742490145</t>
  </si>
  <si>
    <t>0.06245950512701</t>
  </si>
  <si>
    <t>0.174688683725703</t>
  </si>
  <si>
    <t>0.0903886328528645</t>
  </si>
  <si>
    <t>0.200375542448683</t>
  </si>
  <si>
    <t>0.121643788565271</t>
  </si>
  <si>
    <t>0.177229775617972</t>
  </si>
  <si>
    <t>0.2076453864526</t>
  </si>
  <si>
    <t>0.401701251111899</t>
  </si>
  <si>
    <t>0.103258215286962</t>
  </si>
  <si>
    <t>0.262109172972487</t>
  </si>
  <si>
    <t>0.252803262499624</t>
  </si>
  <si>
    <t>0.257697561663836</t>
  </si>
  <si>
    <t>0.149082507707121</t>
  </si>
  <si>
    <t>0.0864139967468512</t>
  </si>
  <si>
    <t>0.0273528821169672</t>
  </si>
  <si>
    <t>0.0523439985850243</t>
  </si>
  <si>
    <t>0.30777379848164</t>
  </si>
  <si>
    <t>0.326290806575902</t>
  </si>
  <si>
    <t>0.422510838600023</t>
  </si>
  <si>
    <t>0.0142957471905651</t>
  </si>
  <si>
    <t>0.0336672811270064</t>
  </si>
  <si>
    <t>0.103989160324911</t>
  </si>
  <si>
    <t>0.0993728543749498</t>
  </si>
  <si>
    <t>0.297658441914268</t>
  </si>
  <si>
    <t>0.374481821006634</t>
  </si>
  <si>
    <t>0.12198396900501</t>
  </si>
  <si>
    <t>0.162744732947556</t>
  </si>
  <si>
    <t>0.164796140060667</t>
  </si>
  <si>
    <t>0.26614147871636</t>
  </si>
  <si>
    <t>0.168903220028225</t>
  </si>
  <si>
    <t>0.079354414918276</t>
  </si>
  <si>
    <t>0.0570162269677926</t>
  </si>
  <si>
    <t>0.117886897707314</t>
  </si>
  <si>
    <t>0.131033135479745</t>
  </si>
  <si>
    <t>0.166345055377606</t>
  </si>
  <si>
    <t>0.316697228857626</t>
  </si>
  <si>
    <t>0.0941915406104531</t>
  </si>
  <si>
    <t>0.144792699718946</t>
  </si>
  <si>
    <t>0.305484864844752</t>
  </si>
  <si>
    <t>0.21378254146991</t>
  </si>
  <si>
    <t>0.45299556696553</t>
  </si>
  <si>
    <t>0.17413646244133</t>
  </si>
  <si>
    <t>0.0413811392084555</t>
  </si>
  <si>
    <t>0.17795362636074</t>
  </si>
  <si>
    <t>0.180376348537273</t>
  </si>
  <si>
    <t>0.317268211516095</t>
  </si>
  <si>
    <t>0.0534411142942689</t>
  </si>
  <si>
    <t>0.161118594017637</t>
  </si>
  <si>
    <t>0.182191562697624</t>
  </si>
  <si>
    <t>0.172275874635649</t>
  </si>
  <si>
    <t>0.0493959551649269</t>
  </si>
  <si>
    <t>0.016832169744707</t>
  </si>
  <si>
    <t>0.19323367284696</t>
  </si>
  <si>
    <t>0.0897632409123628</t>
  </si>
  <si>
    <t>0.0982910351408163</t>
  </si>
  <si>
    <t>0.342413048778613</t>
  </si>
  <si>
    <t>0.0943936562240187</t>
  </si>
  <si>
    <t>0.176141106289949</t>
  </si>
  <si>
    <t>0.200918666808266</t>
  </si>
  <si>
    <t>0.00581779366253647</t>
  </si>
  <si>
    <t>0.0667101197733436</t>
  </si>
  <si>
    <t>0.149603307276889</t>
  </si>
  <si>
    <t>0.150147885666028</t>
  </si>
  <si>
    <t>0.629241807956799</t>
  </si>
  <si>
    <t>0.0273813824989478</t>
  </si>
  <si>
    <t>0.248822908470113</t>
  </si>
  <si>
    <t>0.112692680001935</t>
  </si>
  <si>
    <t>0.22053896295145</t>
  </si>
  <si>
    <t>0.231350080483811</t>
  </si>
  <si>
    <t>0.126050405759765</t>
  </si>
  <si>
    <t>0.0490272210374106</t>
  </si>
  <si>
    <t>0.0718024112228242</t>
  </si>
  <si>
    <t>0.17624152937696</t>
  </si>
  <si>
    <t>0.146387185344379</t>
  </si>
  <si>
    <t>0.208205276380363</t>
  </si>
  <si>
    <t>0.228085293395004</t>
  </si>
  <si>
    <t>0.0730181130389468</t>
  </si>
  <si>
    <t>0.0753686090240656</t>
  </si>
  <si>
    <t>0.0644714129968544</t>
  </si>
  <si>
    <t>0.378934681725275</t>
  </si>
  <si>
    <t>0.0862895326718758</t>
  </si>
  <si>
    <t>0.239496747159956</t>
  </si>
  <si>
    <t>0.16816165210071</t>
  </si>
  <si>
    <t>0.117304686126687</t>
  </si>
  <si>
    <t>0.268566758445644</t>
  </si>
  <si>
    <t>0.193953032998787</t>
  </si>
  <si>
    <t>0.120939563259916</t>
  </si>
  <si>
    <t>0.263965715651438</t>
  </si>
  <si>
    <t>0.545280538392873</t>
  </si>
  <si>
    <t>0.162131202893374</t>
  </si>
  <si>
    <t>0.0520800907909265</t>
  </si>
  <si>
    <t>0.0396236992491551</t>
  </si>
  <si>
    <t>0.112890685170215</t>
  </si>
  <si>
    <t>0.573810764552488</t>
  </si>
  <si>
    <t>0.0993204433563094</t>
  </si>
  <si>
    <t>0.166465685984506</t>
  </si>
  <si>
    <t>0.0979734377992687</t>
  </si>
  <si>
    <t>0.496783950081966</t>
  </si>
  <si>
    <t>0.258619440144781</t>
  </si>
  <si>
    <t>0.256749099362485</t>
  </si>
  <si>
    <t>0.197701785296051</t>
  </si>
  <si>
    <t>0.0731966309339988</t>
  </si>
  <si>
    <t>0.308782337829003</t>
  </si>
  <si>
    <t>0.151685528109302</t>
  </si>
  <si>
    <t>0.285969268606305</t>
  </si>
  <si>
    <t>0.19994826296867</t>
  </si>
  <si>
    <t>0.271153776502602</t>
  </si>
  <si>
    <t>0.0835804834520903</t>
  </si>
  <si>
    <t>0.206285452932013</t>
  </si>
  <si>
    <t>0.247444939344887</t>
  </si>
  <si>
    <t>0.0388934393163568</t>
  </si>
  <si>
    <t>0.316949184879588</t>
  </si>
  <si>
    <t>0.0134907339256411</t>
  </si>
  <si>
    <t>0.271182643791048</t>
  </si>
  <si>
    <t>0.179352429084229</t>
  </si>
  <si>
    <t>0.275130679822679</t>
  </si>
  <si>
    <t>0.379167919313372</t>
  </si>
  <si>
    <t>0.0233640967738935</t>
  </si>
  <si>
    <t>0.145400676453769</t>
  </si>
  <si>
    <t>0.162304974516755</t>
  </si>
  <si>
    <t>0.217046477264081</t>
  </si>
  <si>
    <t>0.252014863659242</t>
  </si>
  <si>
    <t>0.0472128236364271</t>
  </si>
  <si>
    <t>0.107610070999936</t>
  </si>
  <si>
    <t>0.20974428280677</t>
  </si>
  <si>
    <t>0.469625590107615</t>
  </si>
  <si>
    <t>0.485322779970272</t>
  </si>
  <si>
    <t>0.193649597410517</t>
  </si>
  <si>
    <t>0.385194932728642</t>
  </si>
  <si>
    <t>0.0811408011607042</t>
  </si>
  <si>
    <t>0.448633787398789</t>
  </si>
  <si>
    <t>0.0597441296663983</t>
  </si>
  <si>
    <t>0.463473270738918</t>
  </si>
  <si>
    <t>0.198641981531689</t>
  </si>
  <si>
    <t>0.151563071258382</t>
  </si>
  <si>
    <t>0.0986924398410296</t>
  </si>
  <si>
    <t>0.0275791295048869</t>
  </si>
  <si>
    <t>0.253138025509653</t>
  </si>
  <si>
    <t>0.130272419467914</t>
  </si>
  <si>
    <t>0.16806196946355</t>
  </si>
  <si>
    <t>0.157588535495077</t>
  </si>
  <si>
    <t>0.149955102199585</t>
  </si>
  <si>
    <t>0.185923767847336</t>
  </si>
  <si>
    <t>0.0702392632460115</t>
  </si>
  <si>
    <t>0.256119753966025</t>
  </si>
  <si>
    <t>0.335863038771674</t>
  </si>
  <si>
    <t>0.35189019352658</t>
  </si>
  <si>
    <t>0.443752385751866</t>
  </si>
  <si>
    <t>0.134451892651278</t>
  </si>
  <si>
    <t>0.0522548288456232</t>
  </si>
  <si>
    <t>0.226517783352282</t>
  </si>
  <si>
    <t>0.0939454050913564</t>
  </si>
  <si>
    <t>0.141713736662556</t>
  </si>
  <si>
    <t>0.0569609753417576</t>
  </si>
  <si>
    <t>0.274434772239553</t>
  </si>
  <si>
    <t>0.561130362129381</t>
  </si>
  <si>
    <t>0.210189922585977</t>
  </si>
  <si>
    <t>0.187605276374641</t>
  </si>
  <si>
    <t>0.13004839088037</t>
  </si>
  <si>
    <t>0.0794988331319539</t>
  </si>
  <si>
    <t>0.151104798666158</t>
  </si>
  <si>
    <t>0.280083013919843</t>
  </si>
  <si>
    <t>0.436497677031543</t>
  </si>
  <si>
    <t>0.0437962355429865</t>
  </si>
  <si>
    <t>0.16292640453564</t>
  </si>
  <si>
    <t>0.174437625816191</t>
  </si>
  <si>
    <t>0.102991051744528</t>
  </si>
  <si>
    <t>0.168489974130364</t>
  </si>
  <si>
    <t>0.710841637066227</t>
  </si>
  <si>
    <t>0.108895780101436</t>
  </si>
  <si>
    <t>0.0779759060076716</t>
  </si>
  <si>
    <t>0.255450862892825</t>
  </si>
  <si>
    <t>0.54287489651622</t>
  </si>
  <si>
    <t>0.188400371296468</t>
  </si>
  <si>
    <t>0.302280248171932</t>
  </si>
  <si>
    <t>0.0786597418041858</t>
  </si>
  <si>
    <t>0.365476530656497</t>
  </si>
  <si>
    <t>0.0869726141837347</t>
  </si>
  <si>
    <t>0.0194272291757879</t>
  </si>
  <si>
    <t>0.149795167848246</t>
  </si>
  <si>
    <t>0.0822906330496916</t>
  </si>
  <si>
    <t>0.195960552989562</t>
  </si>
  <si>
    <t>0.240408802920689</t>
  </si>
  <si>
    <t>0.0365726876373443</t>
  </si>
  <si>
    <t>0.451922972862547</t>
  </si>
  <si>
    <t>0.0878431939264678</t>
  </si>
  <si>
    <t>0.332658129454918</t>
  </si>
  <si>
    <t>0.231135810244124</t>
  </si>
  <si>
    <t>0.123307533339256</t>
  </si>
  <si>
    <t>0.0931181552219112</t>
  </si>
  <si>
    <t>0.0449129288652802</t>
  </si>
  <si>
    <t>0.203174218061266</t>
  </si>
  <si>
    <t>0.0961833804166881</t>
  </si>
  <si>
    <t>0.241042310793359</t>
  </si>
  <si>
    <t>0.315121360684662</t>
  </si>
  <si>
    <t>0.200637021506559</t>
  </si>
  <si>
    <t>0.557329772590791</t>
  </si>
  <si>
    <t>0.0112584496897407</t>
  </si>
  <si>
    <t>0.0804808687384877</t>
  </si>
  <si>
    <t>0.26783498879938</t>
  </si>
  <si>
    <t>0.242250817028755</t>
  </si>
  <si>
    <t>0.0718733829376765</t>
  </si>
  <si>
    <t>0.237810074901498</t>
  </si>
  <si>
    <t>0.226484533079101</t>
  </si>
  <si>
    <t>0.15621299452161</t>
  </si>
  <si>
    <t>0.337433960681319</t>
  </si>
  <si>
    <t>0.113888609514303</t>
  </si>
  <si>
    <t>0.204041059115682</t>
  </si>
  <si>
    <t>0.184077215961718</t>
  </si>
  <si>
    <t>0.161388223633751</t>
  </si>
  <si>
    <t>0.0782165406429909</t>
  </si>
  <si>
    <t>0.162640081679163</t>
  </si>
  <si>
    <t>0.0209532949746689</t>
  </si>
  <si>
    <t>0.383172782335363</t>
  </si>
  <si>
    <t>0.215697323435195</t>
  </si>
  <si>
    <t>0.174334322757994</t>
  </si>
  <si>
    <t>0.30530282532826</t>
  </si>
  <si>
    <t>0.0598019773334547</t>
  </si>
  <si>
    <t>0.205537144415426</t>
  </si>
  <si>
    <t>0.352397611704978</t>
  </si>
  <si>
    <t>0.239348775859361</t>
  </si>
  <si>
    <t>0.0661665767606665</t>
  </si>
  <si>
    <t>0.316209880548726</t>
  </si>
  <si>
    <t>0.224824095763439</t>
  </si>
  <si>
    <t>0.131846820374556</t>
  </si>
  <si>
    <t>0.156267196723729</t>
  </si>
  <si>
    <t>0.0671943118846987</t>
  </si>
  <si>
    <t>0.601460676880309</t>
  </si>
  <si>
    <t>0.342664144050093</t>
  </si>
  <si>
    <t>0.097137018608917</t>
  </si>
  <si>
    <t>0.185728542088051</t>
  </si>
  <si>
    <t>0.169608700505158</t>
  </si>
  <si>
    <t>0.0553309635864858</t>
  </si>
  <si>
    <t>0.0241579035334962</t>
  </si>
  <si>
    <t>0.0502966510828611</t>
  </si>
  <si>
    <t>0.0808519922802304</t>
  </si>
  <si>
    <t>0.170330205303773</t>
  </si>
  <si>
    <t>0.410043281756546</t>
  </si>
  <si>
    <t>0.193583545341252</t>
  </si>
  <si>
    <t>0.0985531828079414</t>
  </si>
  <si>
    <t>0.0517571502473399</t>
  </si>
  <si>
    <t>0.0677240018208067</t>
  </si>
  <si>
    <t>0.541010278848448</t>
  </si>
  <si>
    <t>0.00918054144199328</t>
  </si>
  <si>
    <t>0.15693751043136</t>
  </si>
  <si>
    <t>0.113973172087113</t>
  </si>
  <si>
    <t>0.0666210505927106</t>
  </si>
  <si>
    <t>0.148742643859139</t>
  </si>
  <si>
    <t>0.0886326830494309</t>
  </si>
  <si>
    <t>0.0858292646334105</t>
  </si>
  <si>
    <t>0.0438794978095684</t>
  </si>
  <si>
    <t>0.137375488875806</t>
  </si>
  <si>
    <t>0.102342423006992</t>
  </si>
  <si>
    <t>0.237151818554178</t>
  </si>
  <si>
    <t>0.380818686795456</t>
  </si>
  <si>
    <t>0.150807170576372</t>
  </si>
  <si>
    <t>0.3132456062392</t>
  </si>
  <si>
    <t>0.146941025821067</t>
  </si>
  <si>
    <t>0.0502854940050465</t>
  </si>
  <si>
    <t>0.0884932172080173</t>
  </si>
  <si>
    <t>0.314711666479939</t>
  </si>
  <si>
    <t>0.163656817819295</t>
  </si>
  <si>
    <t>0.0167610986996142</t>
  </si>
  <si>
    <t>0.13726430146946</t>
  </si>
  <si>
    <t>0.0569476895333145</t>
  </si>
  <si>
    <t>0.402241773106186</t>
  </si>
  <si>
    <t>0.101951225069641</t>
  </si>
  <si>
    <t>0.64990707159289</t>
  </si>
  <si>
    <t>0.350391893338497</t>
  </si>
  <si>
    <t>0.103048634196629</t>
  </si>
  <si>
    <t>0.421093360518769</t>
  </si>
  <si>
    <t>0.616695639563935</t>
  </si>
  <si>
    <t>0.145198909788773</t>
  </si>
  <si>
    <t>0.172617545520939</t>
  </si>
  <si>
    <t>0.145770471727786</t>
  </si>
  <si>
    <t>0.233825194371498</t>
  </si>
  <si>
    <t>0.0249333159916017</t>
  </si>
  <si>
    <t>0.223199383187858</t>
  </si>
  <si>
    <t>0.258975321223731</t>
  </si>
  <si>
    <t>0.165149366853801</t>
  </si>
  <si>
    <t>0.274422114487587</t>
  </si>
  <si>
    <t>0.0741412452812285</t>
  </si>
  <si>
    <t>0.177641741445596</t>
  </si>
  <si>
    <t>0.0585634164640092</t>
  </si>
  <si>
    <t>0.125064125977383</t>
  </si>
  <si>
    <t>0.0736709734608837</t>
  </si>
  <si>
    <t>0.221176982167483</t>
  </si>
  <si>
    <t>0.433078700537815</t>
  </si>
  <si>
    <t>0.203376404242763</t>
  </si>
  <si>
    <t>0.106139315802636</t>
  </si>
  <si>
    <t>0.131239445005835</t>
  </si>
  <si>
    <t>0.230879670898789</t>
  </si>
  <si>
    <t>0.115683323251547</t>
  </si>
  <si>
    <t>0.573789240877184</t>
  </si>
  <si>
    <t>0.19466651737197</t>
  </si>
  <si>
    <t>0.240138662442295</t>
  </si>
  <si>
    <t>0.260662773522418</t>
  </si>
  <si>
    <t>0.111742291149617</t>
  </si>
  <si>
    <t>0.263589901704813</t>
  </si>
  <si>
    <t>0.211243997849933</t>
  </si>
  <si>
    <t>0.0497983347201187</t>
  </si>
  <si>
    <t>0.083258532212366</t>
  </si>
  <si>
    <t>0.216577926205455</t>
  </si>
  <si>
    <t>0.139710425870954</t>
  </si>
  <si>
    <t>0.183582342695211</t>
  </si>
  <si>
    <t>0.609469599942477</t>
  </si>
  <si>
    <t>0.112010386067415</t>
  </si>
  <si>
    <t>0.0171243468185884</t>
  </si>
  <si>
    <t>0.192869646253444</t>
  </si>
  <si>
    <t>0.0280649177768995</t>
  </si>
  <si>
    <t>0.289826004395794</t>
  </si>
  <si>
    <t>0.163308610729169</t>
  </si>
  <si>
    <t>0.20009046273748</t>
  </si>
  <si>
    <t>0.131514891174686</t>
  </si>
  <si>
    <t>0.234063740819605</t>
  </si>
  <si>
    <t>0.0711617956778124</t>
  </si>
  <si>
    <t>0.429381963696132</t>
  </si>
  <si>
    <t>0.207046455260494</t>
  </si>
  <si>
    <t>0.179576533740458</t>
  </si>
  <si>
    <t>0.0143499791994887</t>
  </si>
  <si>
    <t>0.131133916447809</t>
  </si>
  <si>
    <t>0.060681620345941</t>
  </si>
  <si>
    <t>0.145680381265042</t>
  </si>
  <si>
    <t>0.0559796640489792</t>
  </si>
  <si>
    <t>0.187624811546472</t>
  </si>
  <si>
    <t>0.0724891156627985</t>
  </si>
  <si>
    <t>0.0733849862767619</t>
  </si>
  <si>
    <t>0.0809079673176607</t>
  </si>
  <si>
    <t>0.373338298611896</t>
  </si>
  <si>
    <t>0.133790037597625</t>
  </si>
  <si>
    <t>0.117938697499239</t>
  </si>
  <si>
    <t>0.0569355130991888</t>
  </si>
  <si>
    <t>0.10274485538361</t>
  </si>
  <si>
    <t>0.0556226319304801</t>
  </si>
  <si>
    <t>0.0742513773158868</t>
  </si>
  <si>
    <t>0.371366437750858</t>
  </si>
  <si>
    <t>0.20115364008687</t>
  </si>
  <si>
    <t>0.306458462730543</t>
  </si>
  <si>
    <t>0.235990307411166</t>
  </si>
  <si>
    <t>0.135699210161946</t>
  </si>
  <si>
    <t>0.28307208344319</t>
  </si>
  <si>
    <t>0.116178797833861</t>
  </si>
  <si>
    <t>0.0623241168707994</t>
  </si>
  <si>
    <t>0.0507971959710894</t>
  </si>
  <si>
    <t>0.0141929327734788</t>
  </si>
  <si>
    <t>0.0783559098629238</t>
  </si>
  <si>
    <t>0.0335237476725663</t>
  </si>
  <si>
    <t>0.852599285190038</t>
  </si>
  <si>
    <t>0.272133916775236</t>
  </si>
  <si>
    <t>0.33746609513993</t>
  </si>
  <si>
    <t>0.558984834822535</t>
  </si>
  <si>
    <t>0.308444952439121</t>
  </si>
  <si>
    <t>0.0409781217642104</t>
  </si>
  <si>
    <t>0.218740333652231</t>
  </si>
  <si>
    <t>0.136087541915018</t>
  </si>
  <si>
    <t>0.153901317425922</t>
  </si>
  <si>
    <t>0.202074201936566</t>
  </si>
  <si>
    <t>0.27211564616766</t>
  </si>
  <si>
    <t>0.357942434081095</t>
  </si>
  <si>
    <t>0.140452162356905</t>
  </si>
  <si>
    <t>0.0867137283070679</t>
  </si>
  <si>
    <t>0.135430783106433</t>
  </si>
  <si>
    <t>0.177418286550533</t>
  </si>
  <si>
    <t>0.192016623412664</t>
  </si>
  <si>
    <t>0.204460154144174</t>
  </si>
  <si>
    <t>0.148676502219892</t>
  </si>
  <si>
    <t>0.101056847033139</t>
  </si>
  <si>
    <t>0.158007366021079</t>
  </si>
  <si>
    <t>0.0331060848609097</t>
  </si>
  <si>
    <t>0.211703764313202</t>
  </si>
  <si>
    <t>0.504789680426215</t>
  </si>
  <si>
    <t>0.0692767906575306</t>
  </si>
  <si>
    <t>0.166339735804102</t>
  </si>
  <si>
    <t>0.282988946453567</t>
  </si>
  <si>
    <t>0.322876416930898</t>
  </si>
  <si>
    <t>0.663960682926629</t>
  </si>
  <si>
    <t>0.432719413766274</t>
  </si>
  <si>
    <t>0.125527268280205</t>
  </si>
  <si>
    <t>0.185239969153564</t>
  </si>
  <si>
    <t>0.313804307934837</t>
  </si>
  <si>
    <t>0.176773321834109</t>
  </si>
  <si>
    <t>0.107569981778065</t>
  </si>
  <si>
    <t>0.11095380143552</t>
  </si>
  <si>
    <t>0.47397616659638</t>
  </si>
  <si>
    <t>0.259458804763194</t>
  </si>
  <si>
    <t>0.0477125114997905</t>
  </si>
  <si>
    <t>0.0865457693402796</t>
  </si>
  <si>
    <t>0.17082600458526</t>
  </si>
  <si>
    <t>0.169171913204908</t>
  </si>
  <si>
    <t>0.168974512544667</t>
  </si>
  <si>
    <t>0.190998490156351</t>
  </si>
  <si>
    <t>0.140615401548114</t>
  </si>
  <si>
    <t>0.0426522294451995</t>
  </si>
  <si>
    <t>0.591249136294228</t>
  </si>
  <si>
    <t>0.236302804628722</t>
  </si>
  <si>
    <t>0.153423403038517</t>
  </si>
  <si>
    <t>0.350168739528309</t>
  </si>
  <si>
    <t>0.174020824603076</t>
  </si>
  <si>
    <t>0.331146074324383</t>
  </si>
  <si>
    <t>0.165847624667882</t>
  </si>
  <si>
    <t>0.111169209224</t>
  </si>
  <si>
    <t>0.287993661834639</t>
  </si>
  <si>
    <t>0.249587408042806</t>
  </si>
  <si>
    <t>0.217456096217209</t>
  </si>
  <si>
    <t>0.155667117400492</t>
  </si>
  <si>
    <t>0.192198098835736</t>
  </si>
  <si>
    <t>0.045713590247587</t>
  </si>
  <si>
    <t>0.0815236208264046</t>
  </si>
  <si>
    <t>0.236485778156107</t>
  </si>
  <si>
    <t>0.240627921566107</t>
  </si>
  <si>
    <t>0.208915639694016</t>
  </si>
  <si>
    <t>0.144073566370595</t>
  </si>
  <si>
    <t>0.267420871060255</t>
  </si>
  <si>
    <t>0.341085792010868</t>
  </si>
  <si>
    <t>0.219213916766512</t>
  </si>
  <si>
    <t>0.269548229856209</t>
  </si>
  <si>
    <t>0.395885028961346</t>
  </si>
  <si>
    <t>0.0617367381927392</t>
  </si>
  <si>
    <t>0.05552386041541</t>
  </si>
  <si>
    <t>0.120484747972115</t>
  </si>
  <si>
    <t>0.232178091878777</t>
  </si>
  <si>
    <t>0.186500351756394</t>
  </si>
  <si>
    <t>0.0483434317477464</t>
  </si>
  <si>
    <t>0.424065775597226</t>
  </si>
  <si>
    <t>0.23731427271997</t>
  </si>
  <si>
    <t>0.144292996423938</t>
  </si>
  <si>
    <t>0.115816387036577</t>
  </si>
  <si>
    <t>0.27978300272837</t>
  </si>
  <si>
    <t>0.13257347012135</t>
  </si>
  <si>
    <t>0.186744519409335</t>
  </si>
  <si>
    <t>0.313423187728163</t>
  </si>
  <si>
    <t>0.209364989047706</t>
  </si>
  <si>
    <t>0.227112500422257</t>
  </si>
  <si>
    <t>0.127763509299726</t>
  </si>
  <si>
    <t>0.0875961688511246</t>
  </si>
  <si>
    <t>0.0861265311221235</t>
  </si>
  <si>
    <t>0.104288193254921</t>
  </si>
  <si>
    <t>0.0434192733039079</t>
  </si>
  <si>
    <t>0.199651903267491</t>
  </si>
  <si>
    <t>0.0645290926443473</t>
  </si>
  <si>
    <t>0.241108642429571</t>
  </si>
  <si>
    <t>0.319736817088222</t>
  </si>
  <si>
    <t>0.063113645266047</t>
  </si>
  <si>
    <t>0.156711302464859</t>
  </si>
  <si>
    <t>0.0188321781062801</t>
  </si>
  <si>
    <t>0.218215298924874</t>
  </si>
  <si>
    <t>0.298459681377531</t>
  </si>
  <si>
    <t>0.121188820282893</t>
  </si>
  <si>
    <t>0.0444031229797546</t>
  </si>
  <si>
    <t>0.355108118435071</t>
  </si>
  <si>
    <t>0.167484813002792</t>
  </si>
  <si>
    <t>0.208197082387547</t>
  </si>
  <si>
    <t>0.329623559329986</t>
  </si>
  <si>
    <t>0.0938628709112407</t>
  </si>
  <si>
    <t>0.128025519155091</t>
  </si>
  <si>
    <t>0.37578004693985</t>
  </si>
  <si>
    <t>0.366723885728349</t>
  </si>
  <si>
    <t>0.0259161996168591</t>
  </si>
  <si>
    <t>0.115403820045375</t>
  </si>
  <si>
    <t>0.183979880123009</t>
  </si>
  <si>
    <t>0.47592670994241</t>
  </si>
  <si>
    <t>0.091331766614157</t>
  </si>
  <si>
    <t>0.262691033749596</t>
  </si>
  <si>
    <t>0.187807048662523</t>
  </si>
  <si>
    <t>0.399365505244658</t>
  </si>
  <si>
    <t>0.117590977819916</t>
  </si>
  <si>
    <t>0.125420279920064</t>
  </si>
  <si>
    <t>0.236737428267142</t>
  </si>
  <si>
    <t>0.086195912653327</t>
  </si>
  <si>
    <t>0.351316137526893</t>
  </si>
  <si>
    <t>0.0783828795977604</t>
  </si>
  <si>
    <t>0.201566230034275</t>
  </si>
  <si>
    <t>0.0296326160122437</t>
  </si>
  <si>
    <t>0.259834145518117</t>
  </si>
  <si>
    <t>0.0974039063260697</t>
  </si>
  <si>
    <t>0.504327000238529</t>
  </si>
  <si>
    <t>0.550866469707356</t>
  </si>
  <si>
    <t>0.317680430441451</t>
  </si>
  <si>
    <t>0.0844662666900195</t>
  </si>
  <si>
    <t>0.338443990613829</t>
  </si>
  <si>
    <t>0.420520325110794</t>
  </si>
  <si>
    <t>0.317506857706733</t>
  </si>
  <si>
    <t>0.0957023349221692</t>
  </si>
  <si>
    <t>0.150592351702734</t>
  </si>
  <si>
    <t>0.349945388736985</t>
  </si>
  <si>
    <t>0.244094192803312</t>
  </si>
  <si>
    <t>0.149376690368935</t>
  </si>
  <si>
    <t>0.275872983100938</t>
  </si>
  <si>
    <t>0.466235858308824</t>
  </si>
  <si>
    <t>0.354594218048321</t>
  </si>
  <si>
    <t>0.251562862261679</t>
  </si>
  <si>
    <t>0.0900590665029984</t>
  </si>
  <si>
    <t>0.334641784603339</t>
  </si>
  <si>
    <t>0.191334502038978</t>
  </si>
  <si>
    <t>0.387026158662599</t>
  </si>
  <si>
    <t>0.341878358377837</t>
  </si>
  <si>
    <t>0.119579235706648</t>
  </si>
  <si>
    <t>0.194656161171443</t>
  </si>
  <si>
    <t>0.140401210272008</t>
  </si>
  <si>
    <t>0.0736796711173591</t>
  </si>
  <si>
    <t>0.23383554360942</t>
  </si>
  <si>
    <t>0.134865456192995</t>
  </si>
  <si>
    <t>0.142027793386531</t>
  </si>
  <si>
    <t>0.351764700885539</t>
  </si>
  <si>
    <t>0.631876912700588</t>
  </si>
  <si>
    <t>0.385788000862546</t>
  </si>
  <si>
    <t>0.363552719549673</t>
  </si>
  <si>
    <t>0.0946589210016857</t>
  </si>
  <si>
    <t>0.450279334681286</t>
  </si>
  <si>
    <t>0.210610033755224</t>
  </si>
  <si>
    <t>0.110298753016464</t>
  </si>
  <si>
    <t>0.0315865920633355</t>
  </si>
  <si>
    <t>0.251206412484474</t>
  </si>
  <si>
    <t>0.11277371564745</t>
  </si>
  <si>
    <t>0.1270679397182</t>
  </si>
  <si>
    <t>0.0176715690516664</t>
  </si>
  <si>
    <t>0.0520165224695794</t>
  </si>
  <si>
    <t>0.154762984612386</t>
  </si>
  <si>
    <t>0.526271159099195</t>
  </si>
  <si>
    <t>0.14769223955578</t>
  </si>
  <si>
    <t>0.0590195933507883</t>
  </si>
  <si>
    <t>0.30346065998224</t>
  </si>
  <si>
    <t>0.035714821655005</t>
  </si>
  <si>
    <t>0.285102982947472</t>
  </si>
  <si>
    <t>0.175021508052084</t>
  </si>
  <si>
    <t>0.155753397023115</t>
  </si>
  <si>
    <t>0.117486970327899</t>
  </si>
  <si>
    <t>0.331715772638381</t>
  </si>
  <si>
    <t>0.17378923490122</t>
  </si>
  <si>
    <t>0.0226651949017802</t>
  </si>
  <si>
    <t>0.253446825103004</t>
  </si>
  <si>
    <t>0.118825436189603</t>
  </si>
  <si>
    <t>0.158771308306545</t>
  </si>
  <si>
    <t>0.257582100977634</t>
  </si>
  <si>
    <t>0.285951756838755</t>
  </si>
  <si>
    <t>0.182025984809313</t>
  </si>
  <si>
    <t>0.283097444958045</t>
  </si>
  <si>
    <t>0.249543476868041</t>
  </si>
  <si>
    <t>0.147315836272662</t>
  </si>
  <si>
    <t>0.0538522004249937</t>
  </si>
  <si>
    <t>0.286540606001358</t>
  </si>
  <si>
    <t>0.0683955123692872</t>
  </si>
  <si>
    <t>0.0521067665831774</t>
  </si>
  <si>
    <t>0.114748672153881</t>
  </si>
  <si>
    <t>0.100257488159891</t>
  </si>
  <si>
    <t>0.214436046269809</t>
  </si>
  <si>
    <t>0.245375964736508</t>
  </si>
  <si>
    <t>0.354407692771613</t>
  </si>
  <si>
    <t>0.111252103566853</t>
  </si>
  <si>
    <t>0.380556089897986</t>
  </si>
  <si>
    <t>0.0479100677609536</t>
  </si>
  <si>
    <t>0.134641569026355</t>
  </si>
  <si>
    <t>0.161738805414772</t>
  </si>
  <si>
    <t>0.119553630117084</t>
  </si>
  <si>
    <t>0.0185375515766972</t>
  </si>
  <si>
    <t>0.0575791848365511</t>
  </si>
  <si>
    <t>0.256465830112217</t>
  </si>
  <si>
    <t>0.156169937599853</t>
  </si>
  <si>
    <t>0.229786284082599</t>
  </si>
  <si>
    <t>0.365882473980885</t>
  </si>
  <si>
    <t>0.182462656755354</t>
  </si>
  <si>
    <t>0.127761041354447</t>
  </si>
  <si>
    <t>0.282030561042037</t>
  </si>
  <si>
    <t>0.0992924615502795</t>
  </si>
  <si>
    <t>0.330387724305524</t>
  </si>
  <si>
    <t>0.231438387896257</t>
  </si>
  <si>
    <t>0.141711701817472</t>
  </si>
  <si>
    <t>0.22547068536366</t>
  </si>
  <si>
    <t>0.178478842640626</t>
  </si>
  <si>
    <t>0.333632474799306</t>
  </si>
  <si>
    <t>0.177905919696115</t>
  </si>
  <si>
    <t>0.392137365820125</t>
  </si>
  <si>
    <t>0.408183018967388</t>
  </si>
  <si>
    <t>0.171080400040699</t>
  </si>
  <si>
    <t>0.0281559947777649</t>
  </si>
  <si>
    <t>0.23719755568547</t>
  </si>
  <si>
    <t>0.562298950795209</t>
  </si>
  <si>
    <t>0.399414374858447</t>
  </si>
  <si>
    <t>0.680553520906075</t>
  </si>
  <si>
    <t>0.291046621550069</t>
  </si>
  <si>
    <t>0.245517431291979</t>
  </si>
  <si>
    <t>0.027784252370095</t>
  </si>
  <si>
    <t>0.159326151823847</t>
  </si>
  <si>
    <t>0.00238812607746481</t>
  </si>
  <si>
    <t>0.253762623218876</t>
  </si>
  <si>
    <t>0.201003818767512</t>
  </si>
  <si>
    <t>0.278547320158431</t>
  </si>
  <si>
    <t>0.111519787342891</t>
  </si>
  <si>
    <t>0.0876116350371485</t>
  </si>
  <si>
    <t>0.152580961749483</t>
  </si>
  <si>
    <t>0.342139806915245</t>
  </si>
  <si>
    <t>0.177085587464126</t>
  </si>
  <si>
    <t>0.336281941993194</t>
  </si>
  <si>
    <t>0.0308422205798414</t>
  </si>
  <si>
    <t>0.0746396904516836</t>
  </si>
  <si>
    <t>0.0520795750743738</t>
  </si>
  <si>
    <t>0.286483764632202</t>
  </si>
  <si>
    <t>0.236187290520106</t>
  </si>
  <si>
    <t>0.290445974673908</t>
  </si>
  <si>
    <t>0.424472189173057</t>
  </si>
  <si>
    <t>0.156939067539232</t>
  </si>
  <si>
    <t>0.162411745418355</t>
  </si>
  <si>
    <t>0.0881382696566215</t>
  </si>
  <si>
    <t>0.0328655793051658</t>
  </si>
  <si>
    <t>0.102233378166199</t>
  </si>
  <si>
    <t>0.234146780854688</t>
  </si>
  <si>
    <t>0.116175307791655</t>
  </si>
  <si>
    <t>0.266856595605274</t>
  </si>
  <si>
    <t>0.125406018315843</t>
  </si>
  <si>
    <t>0.0970273923618635</t>
  </si>
  <si>
    <t>0.0988484746416801</t>
  </si>
  <si>
    <t>0.0985555044195051</t>
  </si>
  <si>
    <t>0.0233145008545625</t>
  </si>
  <si>
    <t>0.0812201193738631</t>
  </si>
  <si>
    <t>0.390732381840204</t>
  </si>
  <si>
    <t>0.0701695060760417</t>
  </si>
  <si>
    <t>0.122749300332939</t>
  </si>
  <si>
    <t>0.109720108903866</t>
  </si>
  <si>
    <t>0.167312773870838</t>
  </si>
  <si>
    <t>0.262188505537232</t>
  </si>
  <si>
    <t>0.0658053411492504</t>
  </si>
  <si>
    <t>0.435505140168625</t>
  </si>
  <si>
    <t>0.0204859965015352</t>
  </si>
  <si>
    <t>0.152515145825215</t>
  </si>
  <si>
    <t>0.190929856670227</t>
  </si>
  <si>
    <t>0.356776270677039</t>
  </si>
  <si>
    <t>0.0714025506386813</t>
  </si>
  <si>
    <t>0.170868113551291</t>
  </si>
  <si>
    <t>0.197909247232338</t>
  </si>
  <si>
    <t>0.0221051932679046</t>
  </si>
  <si>
    <t>0.136619233581956</t>
  </si>
  <si>
    <t>0.0735040869863053</t>
  </si>
  <si>
    <t>0.0496890629090236</t>
  </si>
  <si>
    <t>0.134338693650633</t>
  </si>
  <si>
    <t>0.137031565812619</t>
  </si>
  <si>
    <t>0.162363538684584</t>
  </si>
  <si>
    <t>0.0861220521079168</t>
  </si>
  <si>
    <t>0.0894001291445795</t>
  </si>
  <si>
    <t>0.0567974438791885</t>
  </si>
  <si>
    <t>0.0847258176728719</t>
  </si>
  <si>
    <t>0.108035336039424</t>
  </si>
  <si>
    <t>0.0980882219381466</t>
  </si>
  <si>
    <t>0.0646056943411353</t>
  </si>
  <si>
    <t>0.204977353858362</t>
  </si>
  <si>
    <t>0.287176615253888</t>
  </si>
  <si>
    <t>0.118088636540411</t>
  </si>
  <si>
    <t>0.171824143268998</t>
  </si>
  <si>
    <t>0.17064538575337</t>
  </si>
  <si>
    <t>0.189785995056896</t>
  </si>
  <si>
    <t>0.200352074427999</t>
  </si>
  <si>
    <t>0.119793873806295</t>
  </si>
  <si>
    <t>0.459817845406454</t>
  </si>
  <si>
    <t>0.00645087273575761</t>
  </si>
  <si>
    <t>0.0373263450433557</t>
  </si>
  <si>
    <t>0.229018577120011</t>
  </si>
  <si>
    <t>0.163256581969033</t>
  </si>
  <si>
    <t>0.758070229604578</t>
  </si>
  <si>
    <t>0.279054602154181</t>
  </si>
  <si>
    <t>0.064034293213933</t>
  </si>
  <si>
    <t>0.191528992801643</t>
  </si>
  <si>
    <t>0.271578209610996</t>
  </si>
  <si>
    <t>0.0652299743020282</t>
  </si>
  <si>
    <t>0.247007679871121</t>
  </si>
  <si>
    <t>0.0859720012548731</t>
  </si>
  <si>
    <t>0.158180045549329</t>
  </si>
  <si>
    <t>0.147181433792566</t>
  </si>
  <si>
    <t>0.242896950618718</t>
  </si>
  <si>
    <t>0.116143127172909</t>
  </si>
  <si>
    <t>0.430212394034126</t>
  </si>
  <si>
    <t>0.181743666330924</t>
  </si>
  <si>
    <t>0.291100022231273</t>
  </si>
  <si>
    <t>0.139010639663691</t>
  </si>
  <si>
    <t>0.416413698569447</t>
  </si>
  <si>
    <t>0.234527476364339</t>
  </si>
  <si>
    <t>0.0961050351659916</t>
  </si>
  <si>
    <t>0.115367084112058</t>
  </si>
  <si>
    <t>0.203458853765839</t>
  </si>
  <si>
    <t>0.0130027033077511</t>
  </si>
  <si>
    <t>0.24590990431112</t>
  </si>
  <si>
    <t>0.314523318833898</t>
  </si>
  <si>
    <t>0.00142631226873841</t>
  </si>
  <si>
    <t>0.251891003269167</t>
  </si>
  <si>
    <t>0.0648490877536183</t>
  </si>
  <si>
    <t>0.219182176691118</t>
  </si>
  <si>
    <t>0.177348844252332</t>
  </si>
  <si>
    <t>0.128070985666632</t>
  </si>
  <si>
    <t>0.367328453676666</t>
  </si>
  <si>
    <t>0.0143409229673549</t>
  </si>
  <si>
    <t>0.124639253576321</t>
  </si>
  <si>
    <t>0.11316674151935</t>
  </si>
  <si>
    <t>0.142821624819428</t>
  </si>
  <si>
    <t>0.0302139102497864</t>
  </si>
  <si>
    <t>0.117834902201211</t>
  </si>
  <si>
    <t>0.0883885398198879</t>
  </si>
  <si>
    <t>0.201335511631311</t>
  </si>
  <si>
    <t>0.283425165692555</t>
  </si>
  <si>
    <t>0.427542680986245</t>
  </si>
  <si>
    <t>0.251315795796386</t>
  </si>
  <si>
    <t>0.304414839898297</t>
  </si>
  <si>
    <t>0.151259144272961</t>
  </si>
  <si>
    <t>0.202587695977205</t>
  </si>
  <si>
    <t>0.288998809121787</t>
  </si>
  <si>
    <t>0.323628643151819</t>
  </si>
  <si>
    <t>0.0253741442828039</t>
  </si>
  <si>
    <t>0.0110581269393456</t>
  </si>
  <si>
    <t>0.26226986206662</t>
  </si>
  <si>
    <t>0.393225002319078</t>
  </si>
  <si>
    <t>0.162237950430492</t>
  </si>
  <si>
    <t>0.146385289422464</t>
  </si>
  <si>
    <t>0.0290378433640583</t>
  </si>
  <si>
    <t>0.300319361727843</t>
  </si>
  <si>
    <t>0.0245342065035915</t>
  </si>
  <si>
    <t>0.168105872844962</t>
  </si>
  <si>
    <t>0.0455583691665615</t>
  </si>
  <si>
    <t>0.0545748261258219</t>
  </si>
  <si>
    <t>0.590693121934457</t>
  </si>
  <si>
    <t>0.105337794537728</t>
  </si>
  <si>
    <t>0.0444271126355636</t>
  </si>
  <si>
    <t>0.211714299088415</t>
  </si>
  <si>
    <t>0.0764300937163863</t>
  </si>
  <si>
    <t>0.29385044643426</t>
  </si>
  <si>
    <t>0.162614728423335</t>
  </si>
  <si>
    <t>0.011206173178829</t>
  </si>
  <si>
    <t>0.150227912036588</t>
  </si>
  <si>
    <t>0.345063555907259</t>
  </si>
  <si>
    <t>0.144416401931403</t>
  </si>
  <si>
    <t>0.145558496664146</t>
  </si>
  <si>
    <t>0.074516374127046</t>
  </si>
  <si>
    <t>0.39845229544225</t>
  </si>
  <si>
    <t>0.209818060527197</t>
  </si>
  <si>
    <t>0.0798237237791588</t>
  </si>
  <si>
    <t>0.261414025437032</t>
  </si>
  <si>
    <t>0.151630809290072</t>
  </si>
  <si>
    <t>0.113075935211224</t>
  </si>
  <si>
    <t>0.0514992980491869</t>
  </si>
  <si>
    <t>0.210840208641382</t>
  </si>
  <si>
    <t>0.125012815463267</t>
  </si>
  <si>
    <t>0.0790935202495413</t>
  </si>
  <si>
    <t>0.309761017203663</t>
  </si>
  <si>
    <t>0.0301614794936568</t>
  </si>
  <si>
    <t>0.0496697016933225</t>
  </si>
  <si>
    <t>0.188427681973006</t>
  </si>
  <si>
    <t>0.536638721500763</t>
  </si>
  <si>
    <t>0.143603913077059</t>
  </si>
  <si>
    <t>0.420872810960289</t>
  </si>
  <si>
    <t>0.251335134780556</t>
  </si>
  <si>
    <t>0.456180943985549</t>
  </si>
  <si>
    <t>0.0509183867607808</t>
  </si>
  <si>
    <t>0.00677696319016444</t>
  </si>
  <si>
    <t>0.441261886301636</t>
  </si>
  <si>
    <t>0.156907504923289</t>
  </si>
  <si>
    <t>0.325333406760789</t>
  </si>
  <si>
    <t>0.0874042005163323</t>
  </si>
  <si>
    <t>0.156755782218316</t>
  </si>
  <si>
    <t>0.250560622447074</t>
  </si>
  <si>
    <t>0.050690661662089</t>
  </si>
  <si>
    <t>0.117020343375242</t>
  </si>
  <si>
    <t>0.445082112099269</t>
  </si>
  <si>
    <t>0.436507610015214</t>
  </si>
  <si>
    <t>0.0572232267663527</t>
  </si>
  <si>
    <t>0.224258141158522</t>
  </si>
  <si>
    <t>0.2098078042549</t>
  </si>
  <si>
    <t>0.00831379192788324</t>
  </si>
  <si>
    <t>0.40574756043498</t>
  </si>
  <si>
    <t>0.0997283928072515</t>
  </si>
  <si>
    <t>0.196223768981199</t>
  </si>
  <si>
    <t>0.219004924504843</t>
  </si>
  <si>
    <t>0.111975426838069</t>
  </si>
  <si>
    <t>0.0518341290356165</t>
  </si>
  <si>
    <t>0.110822179475615</t>
  </si>
  <si>
    <t>0.258887645403791</t>
  </si>
  <si>
    <t>0.0877622508046301</t>
  </si>
  <si>
    <t>0.129848004376345</t>
  </si>
  <si>
    <t>0.0981648742512639</t>
  </si>
  <si>
    <t>0.114752641160981</t>
  </si>
  <si>
    <t>0.139783381423996</t>
  </si>
  <si>
    <t>0.113385435814472</t>
  </si>
  <si>
    <t>0.114227128235437</t>
  </si>
  <si>
    <t>0.269619980104073</t>
  </si>
  <si>
    <t>0.165601719273297</t>
  </si>
  <si>
    <t>0.150137608729515</t>
  </si>
  <si>
    <t>0.319543751574663</t>
  </si>
  <si>
    <t>0.234330762037783</t>
  </si>
  <si>
    <t>0.156047394903544</t>
  </si>
  <si>
    <t>0.0294120768954315</t>
  </si>
  <si>
    <t>0.512303132476788</t>
  </si>
  <si>
    <t>0.257998105991845</t>
  </si>
  <si>
    <t>0.0918003845072686</t>
  </si>
  <si>
    <t>0.113197223134351</t>
  </si>
  <si>
    <t>0.0378028048074978</t>
  </si>
  <si>
    <t>0.239265349345007</t>
  </si>
  <si>
    <t>0.473432216543401</t>
  </si>
  <si>
    <t>0.203667761187611</t>
  </si>
  <si>
    <t>0.214534677122059</t>
  </si>
  <si>
    <t>0.163248063347732</t>
  </si>
  <si>
    <t>0.0694215696955209</t>
  </si>
  <si>
    <t>0.654273308374427</t>
  </si>
  <si>
    <t>0.280827957937151</t>
  </si>
  <si>
    <t>0.0687972336865202</t>
  </si>
  <si>
    <t>0.149804707511108</t>
  </si>
  <si>
    <t>0.223724697484614</t>
  </si>
  <si>
    <t>0.0953590309267771</t>
  </si>
  <si>
    <t>0.0473238571269264</t>
  </si>
  <si>
    <t>0.26198116856164</t>
  </si>
  <si>
    <t>0.363695894036109</t>
  </si>
  <si>
    <t>0.117593795939776</t>
  </si>
  <si>
    <t>0.116865306930407</t>
  </si>
  <si>
    <t>0.0860545748176715</t>
  </si>
  <si>
    <t>0.0846527032061969</t>
  </si>
  <si>
    <t>0.193333904882123</t>
  </si>
  <si>
    <t>0.181961978656154</t>
  </si>
  <si>
    <t>0.237736309148817</t>
  </si>
  <si>
    <t>0.206372587801456</t>
  </si>
  <si>
    <t>0.126298453896281</t>
  </si>
  <si>
    <t>0.116567718483211</t>
  </si>
  <si>
    <t>0.0619245075113429</t>
  </si>
  <si>
    <t>0.560175696871206</t>
  </si>
  <si>
    <t>0.212804779955205</t>
  </si>
  <si>
    <t>0.218072378081585</t>
  </si>
  <si>
    <t>0.0323259964814119</t>
  </si>
  <si>
    <t>0.369437783157684</t>
  </si>
  <si>
    <t>0.0714992282304941</t>
  </si>
  <si>
    <t>0.0421375214698583</t>
  </si>
  <si>
    <t>0.267178292880291</t>
  </si>
  <si>
    <t>0.174485525850855</t>
  </si>
  <si>
    <t>0.176446286964482</t>
  </si>
  <si>
    <t>0.144738029835651</t>
  </si>
  <si>
    <t>0.211410912547974</t>
  </si>
  <si>
    <t>0.0610790021701636</t>
  </si>
  <si>
    <t>0.176793672335192</t>
  </si>
  <si>
    <t>0.0860836202476183</t>
  </si>
  <si>
    <t>0.192134050695469</t>
  </si>
  <si>
    <t>0.119748074976776</t>
  </si>
  <si>
    <t>0.0871385814742749</t>
  </si>
  <si>
    <t>0.303005789944543</t>
  </si>
  <si>
    <t>0.161877584974764</t>
  </si>
  <si>
    <t>0.104000767561803</t>
  </si>
  <si>
    <t>0.364540661226996</t>
  </si>
  <si>
    <t>0.317866573171394</t>
  </si>
  <si>
    <t>0.185167618780997</t>
  </si>
  <si>
    <t>0.0405636233791433</t>
  </si>
  <si>
    <t>0.268806472340512</t>
  </si>
  <si>
    <t>0.146319460705988</t>
  </si>
  <si>
    <t>0.0673002505121697</t>
  </si>
  <si>
    <t>0.201937479615241</t>
  </si>
  <si>
    <t>0.167157094155987</t>
  </si>
  <si>
    <t>0.27762432548909</t>
  </si>
  <si>
    <t>0.062912173637547</t>
  </si>
  <si>
    <t>0.218328679890271</t>
  </si>
  <si>
    <t>0.0924053875816803</t>
  </si>
  <si>
    <t>0.355490835289667</t>
  </si>
  <si>
    <t>0.0454551034333317</t>
  </si>
  <si>
    <t>0.047204722961109</t>
  </si>
  <si>
    <t>0.63170735929396</t>
  </si>
  <si>
    <t>0.0432983597444212</t>
  </si>
  <si>
    <t>0.104630336375539</t>
  </si>
  <si>
    <t>0.190759173604416</t>
  </si>
  <si>
    <t>0.556415964169118</t>
  </si>
  <si>
    <t>0.0143386886123879</t>
  </si>
  <si>
    <t>0.0469780617257553</t>
  </si>
  <si>
    <t>0.207816120478134</t>
  </si>
  <si>
    <t>0.280400801402401</t>
  </si>
  <si>
    <t>0.120338776243236</t>
  </si>
  <si>
    <t>0.43161776248362</t>
  </si>
  <si>
    <t>0.189914414649067</t>
  </si>
  <si>
    <t>0.122731339733475</t>
  </si>
  <si>
    <t>0.0588973877070823</t>
  </si>
  <si>
    <t>0.172548824558366</t>
  </si>
  <si>
    <t>0.130627834590832</t>
  </si>
  <si>
    <t>0.145793095885004</t>
  </si>
  <si>
    <t>0.296808696307723</t>
  </si>
  <si>
    <t>0.0616334018208544</t>
  </si>
  <si>
    <t>0.0727808275597297</t>
  </si>
  <si>
    <t>0.289952574615811</t>
  </si>
  <si>
    <t>0.145520877857426</t>
  </si>
  <si>
    <t>0.108428989577476</t>
  </si>
  <si>
    <t>0.432253339939342</t>
  </si>
  <si>
    <t>0.071393066665252</t>
  </si>
  <si>
    <t>0.275547346401522</t>
  </si>
  <si>
    <t>0.0283989126967972</t>
  </si>
  <si>
    <t>0.158980710451326</t>
  </si>
  <si>
    <t>0.36575240115882</t>
  </si>
  <si>
    <t>0.370269997608347</t>
  </si>
  <si>
    <t>0.135058072686907</t>
  </si>
  <si>
    <t>0.457595396526389</t>
  </si>
  <si>
    <t>0.0916117828294536</t>
  </si>
  <si>
    <t>0.153159220223649</t>
  </si>
  <si>
    <t>0.362551210004327</t>
  </si>
  <si>
    <t>0.225704621492041</t>
  </si>
  <si>
    <t>0.307688938286863</t>
  </si>
  <si>
    <t>0.240914529362345</t>
  </si>
  <si>
    <t>0.143387583015428</t>
  </si>
  <si>
    <t>0.426571204813159</t>
  </si>
  <si>
    <t>0.0427735729619042</t>
  </si>
  <si>
    <t>0.121760904743549</t>
  </si>
  <si>
    <t>0.174502896362038</t>
  </si>
  <si>
    <t>0.357810292957413</t>
  </si>
  <si>
    <t>0.117586880260275</t>
  </si>
  <si>
    <t>0.141033373577609</t>
  </si>
  <si>
    <t>0.232474514520582</t>
  </si>
  <si>
    <t>0.179818735931518</t>
  </si>
  <si>
    <t>0.0979190270560803</t>
  </si>
  <si>
    <t>0.171331421783982</t>
  </si>
  <si>
    <t>0.0928579695397006</t>
  </si>
  <si>
    <t>0.245386485967034</t>
  </si>
  <si>
    <t>0.0344564912162116</t>
  </si>
  <si>
    <t>0.0621314150738247</t>
  </si>
  <si>
    <t>0.011238436642469</t>
  </si>
  <si>
    <t>0.268383877882127</t>
  </si>
  <si>
    <t>0.0769993340051124</t>
  </si>
  <si>
    <t>0.206966407593076</t>
  </si>
  <si>
    <t>0.693156743688002</t>
  </si>
  <si>
    <t>0.0145790381442222</t>
  </si>
  <si>
    <t>0.165100690364547</t>
  </si>
  <si>
    <t>0.434416383466541</t>
  </si>
  <si>
    <t>0.120898347310621</t>
  </si>
  <si>
    <t>0.212415703876246</t>
  </si>
  <si>
    <t>0.12724644352661</t>
  </si>
  <si>
    <t>0.180422334194134</t>
  </si>
  <si>
    <t>0.0910021147359575</t>
  </si>
  <si>
    <t>0.0615661890951007</t>
  </si>
  <si>
    <t>0.0660947062405048</t>
  </si>
  <si>
    <t>0.175935586197168</t>
  </si>
  <si>
    <t>0.0652038784068106</t>
  </si>
  <si>
    <t>0.230591697034376</t>
  </si>
  <si>
    <t>0.188691608760128</t>
  </si>
  <si>
    <t>0.378165907307823</t>
  </si>
  <si>
    <t>0.266676910781548</t>
  </si>
  <si>
    <t>0.391695866353945</t>
  </si>
  <si>
    <t>0.0603760378747327</t>
  </si>
  <si>
    <t>0.0822463267449474</t>
  </si>
  <si>
    <t>0.325742381568193</t>
  </si>
  <si>
    <t>0.186077346982406</t>
  </si>
  <si>
    <t>0.0156048889420269</t>
  </si>
  <si>
    <t>0.262992404173534</t>
  </si>
  <si>
    <t>0.133284229339204</t>
  </si>
  <si>
    <t>0.120772727570112</t>
  </si>
  <si>
    <t>0.0577429412355973</t>
  </si>
  <si>
    <t>0.12315589315593</t>
  </si>
  <si>
    <t>0.0838340037946187</t>
  </si>
  <si>
    <t>0.139342669342252</t>
  </si>
  <si>
    <t>0.130178026191702</t>
  </si>
  <si>
    <t>0.236443317841712</t>
  </si>
  <si>
    <t>0.217182519574885</t>
  </si>
  <si>
    <t>0.223971931656904</t>
  </si>
  <si>
    <t>0.0480026150782591</t>
  </si>
  <si>
    <t>0.156897311818839</t>
  </si>
  <si>
    <t>0.0951618901917438</t>
  </si>
  <si>
    <t>0.110605058249733</t>
  </si>
  <si>
    <t>0.176766141721799</t>
  </si>
  <si>
    <t>0.415113947926201</t>
  </si>
  <si>
    <t>0.195844010220285</t>
  </si>
  <si>
    <t>0.0950498917192197</t>
  </si>
  <si>
    <t>0.236060277113285</t>
  </si>
  <si>
    <t>0.222453771749376</t>
  </si>
  <si>
    <t>0.249589537695888</t>
  </si>
  <si>
    <t>0.242546011082517</t>
  </si>
  <si>
    <t>0.107649684342963</t>
  </si>
  <si>
    <t>0.37111087370831</t>
  </si>
  <si>
    <t>0.103987893119104</t>
  </si>
  <si>
    <t>0.423726735704288</t>
  </si>
  <si>
    <t>0.206601127582311</t>
  </si>
  <si>
    <t>0.11601638341215</t>
  </si>
  <si>
    <t>0.0357695982781684</t>
  </si>
  <si>
    <t>0.239718757449009</t>
  </si>
  <si>
    <t>0.018332960849327</t>
  </si>
  <si>
    <t>0.118530304494324</t>
  </si>
  <si>
    <t>0.20191917752359</t>
  </si>
  <si>
    <t>0.16493314993495</t>
  </si>
  <si>
    <t>0.365905456607</t>
  </si>
  <si>
    <t>0.204610377446258</t>
  </si>
  <si>
    <t>0.0616945138016253</t>
  </si>
  <si>
    <t>0.234047392366829</t>
  </si>
  <si>
    <t>0.244848648794377</t>
  </si>
  <si>
    <t>0.113627490260798</t>
  </si>
  <si>
    <t>0.336215219168372</t>
  </si>
  <si>
    <t>0.289470182123976</t>
  </si>
  <si>
    <t>0.225133782059919</t>
  </si>
  <si>
    <t>0.331203671588229</t>
  </si>
  <si>
    <t>0.193222783913242</t>
  </si>
  <si>
    <t>0.144285970617775</t>
  </si>
  <si>
    <t>0.294326365710745</t>
  </si>
  <si>
    <t>0.165824060108468</t>
  </si>
  <si>
    <t>0.10490530109259</t>
  </si>
  <si>
    <t>0.0994028185612523</t>
  </si>
  <si>
    <t>0.203658643753858</t>
  </si>
  <si>
    <t>0.0971157531411949</t>
  </si>
  <si>
    <t>0.217856337086968</t>
  </si>
  <si>
    <t>0.0165546178866738</t>
  </si>
  <si>
    <t>0.215622626292112</t>
  </si>
  <si>
    <t>0.270310679261071</t>
  </si>
  <si>
    <t>0.252858553424581</t>
  </si>
  <si>
    <t>0.258789296820693</t>
  </si>
  <si>
    <t>0.0950191462970013</t>
  </si>
  <si>
    <t>0.275912748207313</t>
  </si>
  <si>
    <t>0.0966637676119115</t>
  </si>
  <si>
    <t>0.739180709379193</t>
  </si>
  <si>
    <t>0.0760463703896808</t>
  </si>
  <si>
    <t>0.201201674569839</t>
  </si>
  <si>
    <t>0.672027575492135</t>
  </si>
  <si>
    <t>0.161550795774962</t>
  </si>
  <si>
    <t>0.14196061603759</t>
  </si>
  <si>
    <t>0.220713978273007</t>
  </si>
  <si>
    <t>0.150752001970394</t>
  </si>
  <si>
    <t>0.287368436899026</t>
  </si>
  <si>
    <t>0.268624523367983</t>
  </si>
  <si>
    <t>0.186501228640074</t>
  </si>
  <si>
    <t>0.216418449110533</t>
  </si>
  <si>
    <t>0.389568793409562</t>
  </si>
  <si>
    <t>0.123236088323336</t>
  </si>
  <si>
    <t>0.213944464635581</t>
  </si>
  <si>
    <t>0.0454253033289725</t>
  </si>
  <si>
    <t>0.40900686134473</t>
  </si>
  <si>
    <t>0.234697956122053</t>
  </si>
  <si>
    <t>0.262098862598337</t>
  </si>
  <si>
    <t>0.246624816077409</t>
  </si>
  <si>
    <t>0.340861829375984</t>
  </si>
  <si>
    <t>0.490999001533235</t>
  </si>
  <si>
    <t>0.0737468468615666</t>
  </si>
  <si>
    <t>0.158960628781929</t>
  </si>
  <si>
    <t>0.152408289700015</t>
  </si>
  <si>
    <t>0.0105532474793487</t>
  </si>
  <si>
    <t>0.310997704807777</t>
  </si>
  <si>
    <t>0.309062071451639</t>
  </si>
  <si>
    <t>0.0827539498349041</t>
  </si>
  <si>
    <t>0.150306340239442</t>
  </si>
  <si>
    <t>0.0192250165522645</t>
  </si>
  <si>
    <t>0.285305899130607</t>
  </si>
  <si>
    <t>0.0875454713073756</t>
  </si>
  <si>
    <t>0.131856436810491</t>
  </si>
  <si>
    <t>0.262417538341843</t>
  </si>
  <si>
    <t>0.148325820037268</t>
  </si>
  <si>
    <t>0.109780970469754</t>
  </si>
  <si>
    <t>0.226916869016051</t>
  </si>
  <si>
    <t>0.221665071356808</t>
  </si>
  <si>
    <t>0.122152479763941</t>
  </si>
  <si>
    <t>0.0452459959202033</t>
  </si>
  <si>
    <t>0.249112908710248</t>
  </si>
  <si>
    <t>0.0957270123042419</t>
  </si>
  <si>
    <t>0.0584316311642398</t>
  </si>
  <si>
    <t>0.254897361175577</t>
  </si>
  <si>
    <t>0.0560356020443412</t>
  </si>
  <si>
    <t>0.0485799289182713</t>
  </si>
  <si>
    <t>0.153124419653307</t>
  </si>
  <si>
    <t>0.0476263937686533</t>
  </si>
  <si>
    <t>0.0354300103982544</t>
  </si>
  <si>
    <t>0.268685448375029</t>
  </si>
  <si>
    <t>0.0558850556141232</t>
  </si>
  <si>
    <t>0.156930009334259</t>
  </si>
  <si>
    <t>0.216360019801818</t>
  </si>
  <si>
    <t>0.217862765654253</t>
  </si>
  <si>
    <t>0.240763776008105</t>
  </si>
  <si>
    <t>0.111695432826107</t>
  </si>
  <si>
    <t>0.123096747249982</t>
  </si>
  <si>
    <t>0.207142065356783</t>
  </si>
  <si>
    <t>0.196552722000268</t>
  </si>
  <si>
    <t>0.5863449062556</t>
  </si>
  <si>
    <t>0.0946486714747722</t>
  </si>
  <si>
    <t>0.114865572470902</t>
  </si>
  <si>
    <t>0.0793966751771212</t>
  </si>
  <si>
    <t>0.036711293305368</t>
  </si>
  <si>
    <t>0.102422023408374</t>
  </si>
  <si>
    <t>0.0783183630194653</t>
  </si>
  <si>
    <t>0.159396533278631</t>
  </si>
  <si>
    <t>0.159152064181307</t>
  </si>
  <si>
    <t>0.253736793461764</t>
  </si>
  <si>
    <t>0.241989527964555</t>
  </si>
  <si>
    <t>0.410672320639652</t>
  </si>
  <si>
    <t>0.0981503508761268</t>
  </si>
  <si>
    <t>0.122412738076588</t>
  </si>
  <si>
    <t>0.175676483960801</t>
  </si>
  <si>
    <t>0.0813836008200588</t>
  </si>
  <si>
    <t>0.29324178281174</t>
  </si>
  <si>
    <t>0.1897500718338</t>
  </si>
  <si>
    <t>0.329946960787775</t>
  </si>
  <si>
    <t>0.153704827561589</t>
  </si>
  <si>
    <t>0.452937619087923</t>
  </si>
  <si>
    <t>0.10643552302105</t>
  </si>
  <si>
    <t>0.237657458905421</t>
  </si>
  <si>
    <t>0.370633000783032</t>
  </si>
  <si>
    <t>0.0638485736421813</t>
  </si>
  <si>
    <t>0.0406937591436999</t>
  </si>
  <si>
    <t>0.606414167873391</t>
  </si>
  <si>
    <t>0.156410878307624</t>
  </si>
  <si>
    <t>0.142929280765451</t>
  </si>
  <si>
    <t>0.178903389419097</t>
  </si>
  <si>
    <t>0.432171502224205</t>
  </si>
  <si>
    <t>0.0828736650902399</t>
  </si>
  <si>
    <t>0.200521735647895</t>
  </si>
  <si>
    <t>0.347593322599385</t>
  </si>
  <si>
    <t>0.130182937185518</t>
  </si>
  <si>
    <t>0.0472400128303822</t>
  </si>
  <si>
    <t>0.0626065597772323</t>
  </si>
  <si>
    <t>0.0282987693415545</t>
  </si>
  <si>
    <t>0.120651714938186</t>
  </si>
  <si>
    <t>0.115577485214599</t>
  </si>
  <si>
    <t>0.0632402783494055</t>
  </si>
  <si>
    <t>0.0258584386254308</t>
  </si>
  <si>
    <t>0.100357297066904</t>
  </si>
  <si>
    <t>0.132012885340373</t>
  </si>
  <si>
    <t>0.206879142281051</t>
  </si>
  <si>
    <t>0.390432543690273</t>
  </si>
  <si>
    <t>0.203368765339271</t>
  </si>
  <si>
    <t>0.206864773389509</t>
  </si>
  <si>
    <t>0.322127105824352</t>
  </si>
  <si>
    <t>0.0983849527740999</t>
  </si>
  <si>
    <t>0.0136103053552133</t>
  </si>
  <si>
    <t>0.315691166439105</t>
  </si>
  <si>
    <t>0.189662730581464</t>
  </si>
  <si>
    <t>0.0938869598851858</t>
  </si>
  <si>
    <t>0.114799860138929</t>
  </si>
  <si>
    <t>0.218872582534282</t>
  </si>
  <si>
    <t>0.0509819851948367</t>
  </si>
  <si>
    <t>0.177808198409894</t>
  </si>
  <si>
    <t>0.132105364504212</t>
  </si>
  <si>
    <t>0.488216395696885</t>
  </si>
  <si>
    <t>0.211478447360933</t>
  </si>
  <si>
    <t>0.294819018251078</t>
  </si>
  <si>
    <t>0.158792147264183</t>
  </si>
  <si>
    <t>0.129667080102532</t>
  </si>
  <si>
    <t>0.134499836005403</t>
  </si>
  <si>
    <t>0.147248113934472</t>
  </si>
  <si>
    <t>0.0270425443751078</t>
  </si>
  <si>
    <t>0.0686010572572078</t>
  </si>
  <si>
    <t>0.129578703778259</t>
  </si>
  <si>
    <t>0.0148618700947763</t>
  </si>
  <si>
    <t>0.357218175119499</t>
  </si>
  <si>
    <t>0.412913031544983</t>
  </si>
  <si>
    <t>0.282741136635469</t>
  </si>
  <si>
    <t>0.128251462475489</t>
  </si>
  <si>
    <t>0.169981217753655</t>
  </si>
  <si>
    <t>0.0238597716824231</t>
  </si>
  <si>
    <t>0.128949841339065</t>
  </si>
  <si>
    <t>0.293272349535278</t>
  </si>
  <si>
    <t>0.0829734687750356</t>
  </si>
  <si>
    <t>0.231572326612379</t>
  </si>
  <si>
    <t>0.306059333498948</t>
  </si>
  <si>
    <t>0.152864995413042</t>
  </si>
  <si>
    <t>0.313894100168085</t>
  </si>
  <si>
    <t>0.0908856772505352</t>
  </si>
  <si>
    <t>0.424084036285568</t>
  </si>
  <si>
    <t>0.0229559442112</t>
  </si>
  <si>
    <t>0.0621564985592434</t>
  </si>
  <si>
    <t>0.138798979973391</t>
  </si>
  <si>
    <t>0.0589710090859297</t>
  </si>
  <si>
    <t>0.200996517401704</t>
  </si>
  <si>
    <t>0.223423326207925</t>
  </si>
  <si>
    <t>0.0833705825752963</t>
  </si>
  <si>
    <t>0.0720692308292684</t>
  </si>
  <si>
    <t>0.180767619444696</t>
  </si>
  <si>
    <t>0.156585513628914</t>
  </si>
  <si>
    <t>0.126673031432897</t>
  </si>
  <si>
    <t>0.231152262248937</t>
  </si>
  <si>
    <t>0.0400486027902397</t>
  </si>
  <si>
    <t>0.0512366261231519</t>
  </si>
  <si>
    <t>0.1426686509087</t>
  </si>
  <si>
    <t>0.0814522084734705</t>
  </si>
  <si>
    <t>0.0040533862663264</t>
  </si>
  <si>
    <t>0.265603192975953</t>
  </si>
  <si>
    <t>0.0996965221659933</t>
  </si>
  <si>
    <t>0.190700708340727</t>
  </si>
  <si>
    <t>0.59615983705506</t>
  </si>
  <si>
    <t>0.184346979513955</t>
  </si>
  <si>
    <t>0.177514153145454</t>
  </si>
  <si>
    <t>0.181082593528577</t>
  </si>
  <si>
    <t>0.331787166147812</t>
  </si>
  <si>
    <t>0.301098774035388</t>
  </si>
  <si>
    <t>0.0598246280008056</t>
  </si>
  <si>
    <t>0.106166351180089</t>
  </si>
  <si>
    <t>0.195634059123503</t>
  </si>
  <si>
    <t>0.16013462324704</t>
  </si>
  <si>
    <t>0.147944729177228</t>
  </si>
  <si>
    <t>0.0878040908702217</t>
  </si>
  <si>
    <t>0.152580404440535</t>
  </si>
  <si>
    <t>0.123330302191064</t>
  </si>
  <si>
    <t>0.215334626750515</t>
  </si>
  <si>
    <t>0.109990977825974</t>
  </si>
  <si>
    <t>0.0876160021571333</t>
  </si>
  <si>
    <t>0.116379261905152</t>
  </si>
  <si>
    <t>0.450755700357278</t>
  </si>
  <si>
    <t>0.0398229837456409</t>
  </si>
  <si>
    <t>0.24517127912739</t>
  </si>
  <si>
    <t>0.255311067252002</t>
  </si>
  <si>
    <t>0.225469078912289</t>
  </si>
  <si>
    <t>0.126878138327103</t>
  </si>
  <si>
    <t>0.112114131428029</t>
  </si>
  <si>
    <t>0.19671141035336</t>
  </si>
  <si>
    <t>0.0163361594240128</t>
  </si>
  <si>
    <t>0.303331398198256</t>
  </si>
  <si>
    <t>0.169425511716433</t>
  </si>
  <si>
    <t>0.105103742106343</t>
  </si>
  <si>
    <t>0.420364467599954</t>
  </si>
  <si>
    <t>0.100247993937617</t>
  </si>
  <si>
    <t>0.208192834994674</t>
  </si>
  <si>
    <t>0.232859828990986</t>
  </si>
  <si>
    <t>0.026778413666797</t>
  </si>
  <si>
    <t>0.399218743274169</t>
  </si>
  <si>
    <t>0.44102044490642</t>
  </si>
  <si>
    <t>0.114663662842554</t>
  </si>
  <si>
    <t>0.233563600951915</t>
  </si>
  <si>
    <t>0.378998454761887</t>
  </si>
  <si>
    <t>0.130964218123624</t>
  </si>
  <si>
    <t>0.317618680290225</t>
  </si>
  <si>
    <t>0.244945252480269</t>
  </si>
  <si>
    <t>0.02116221130128</t>
  </si>
  <si>
    <t>0.69923447886096</t>
  </si>
  <si>
    <t>0.150136114339236</t>
  </si>
  <si>
    <t>0.0620834643144991</t>
  </si>
  <si>
    <t>0.279758396277875</t>
  </si>
  <si>
    <t>0.0881861840118742</t>
  </si>
  <si>
    <t>0.199571805829675</t>
  </si>
  <si>
    <t>0.165635765328763</t>
  </si>
  <si>
    <t>0.154324513468037</t>
  </si>
  <si>
    <t>0.153146414187126</t>
  </si>
  <si>
    <t>0.237007738015999</t>
  </si>
  <si>
    <t>0.0626758188109523</t>
  </si>
  <si>
    <t>0.0799748228251331</t>
  </si>
  <si>
    <t>0.131901111463943</t>
  </si>
  <si>
    <t>0.123306445309277</t>
  </si>
  <si>
    <t>0.258698989527887</t>
  </si>
  <si>
    <t>0.116907958605523</t>
  </si>
  <si>
    <t>0.328882778132456</t>
  </si>
  <si>
    <t>0.255286292787948</t>
  </si>
  <si>
    <t>0.36774232199436</t>
  </si>
  <si>
    <t>0.0672597475479241</t>
  </si>
  <si>
    <t>0.0550145275440362</t>
  </si>
  <si>
    <t>0.138875522160295</t>
  </si>
  <si>
    <t>0.280037502764338</t>
  </si>
  <si>
    <t>0.471994468574648</t>
  </si>
  <si>
    <t>0.0887891157176432</t>
  </si>
  <si>
    <t>0.17136384648087</t>
  </si>
  <si>
    <t>0.27190547041871</t>
  </si>
  <si>
    <t>0.234895589298881</t>
  </si>
  <si>
    <t>0.177163109604939</t>
  </si>
  <si>
    <t>0.175183873735681</t>
  </si>
  <si>
    <t>0.0909085223477237</t>
  </si>
  <si>
    <t>0.229107597820191</t>
  </si>
  <si>
    <t>0.184038144803842</t>
  </si>
  <si>
    <t>0.0722533179307931</t>
  </si>
  <si>
    <t>0.171515333827269</t>
  </si>
  <si>
    <t>0.00942581521725788</t>
  </si>
  <si>
    <t>0.155480860636136</t>
  </si>
  <si>
    <t>0.327376348066506</t>
  </si>
  <si>
    <t>0.270808629130364</t>
  </si>
  <si>
    <t>0.0855465582656248</t>
  </si>
  <si>
    <t>0.368752488128013</t>
  </si>
  <si>
    <t>0.254803311218563</t>
  </si>
  <si>
    <t>0.132113763966665</t>
  </si>
  <si>
    <t>0.163803073287452</t>
  </si>
  <si>
    <t>0.0660070334365098</t>
  </si>
  <si>
    <t>0.215976710416307</t>
  </si>
  <si>
    <t>0.0610620798182626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</si>
</sst>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16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Aptos Narrow"/>
      <scheme val="minor"/>
    </font>
    <font>
      <sz val="18"/>
      <color theme="3"/>
      <name val="Aptos Display"/>
      <family val="2"/>
      <scheme val="maj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20"/>
      <color theme="3"/>
      <name val="Aptos Narrow"/>
      <scheme val="minor"/>
    </font>
    <font>
      <sz val="12"/>
      <color rgb="FF000000"/>
      <name val="Aptos Narrow"/>
    </font>
    <font>
      <b/>
      <sz val="15"/>
      <color theme="3"/>
      <name val="Aptos Narrow"/>
      <family val="2"/>
      <scheme val="minor"/>
    </font>
    <font>
      <sz val="14"/>
      <color theme="1"/>
      <name val="Aptos Narrow"/>
      <scheme val="minor"/>
    </font>
    <font>
      <u/>
      <sz val="12"/>
      <color theme="1"/>
      <name val="Aptos Narrow"/>
      <scheme val="minor"/>
    </font>
    <font>
      <b/>
      <sz val="16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2" applyNumberFormat="0" applyFill="0" applyAlignment="0" applyProtection="0"/>
  </cellStyleXfs>
  <cellXfs count="38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5" fillId="0" borderId="0" xfId="0" applyFont="1"/>
    <xf numFmtId="14" fontId="8" fillId="0" borderId="0" xfId="0" applyNumberFormat="1" applyFont="1"/>
    <xf numFmtId="0" fontId="7" fillId="2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/>
    <xf numFmtId="0" fontId="8" fillId="3" borderId="1" xfId="0" applyFont="1" applyFill="1" applyBorder="1" applyAlignment="1">
      <alignment horizontal="center"/>
    </xf>
    <xf numFmtId="164" fontId="8" fillId="3" borderId="1" xfId="0" applyNumberFormat="1" applyFont="1" applyFill="1" applyBorder="1"/>
    <xf numFmtId="0" fontId="8" fillId="0" borderId="1" xfId="0" applyFont="1" applyBorder="1"/>
    <xf numFmtId="44" fontId="8" fillId="0" borderId="1" xfId="1" applyFont="1" applyBorder="1"/>
    <xf numFmtId="0" fontId="8" fillId="3" borderId="1" xfId="0" applyFont="1" applyFill="1" applyBorder="1"/>
    <xf numFmtId="44" fontId="8" fillId="3" borderId="1" xfId="1" applyFont="1" applyFill="1" applyBorder="1"/>
    <xf numFmtId="14" fontId="8" fillId="0" borderId="1" xfId="0" applyNumberFormat="1" applyFont="1" applyBorder="1"/>
    <xf numFmtId="14" fontId="8" fillId="3" borderId="1" xfId="0" applyNumberFormat="1" applyFont="1" applyFill="1" applyBorder="1"/>
    <xf numFmtId="164" fontId="8" fillId="3" borderId="1" xfId="1" applyNumberFormat="1" applyFont="1" applyFill="1" applyBorder="1"/>
    <xf numFmtId="44" fontId="8" fillId="0" borderId="1" xfId="1" applyFont="1" applyFill="1" applyBorder="1"/>
    <xf numFmtId="0" fontId="9" fillId="0" borderId="0" xfId="0" applyFont="1" applyAlignment="1">
      <alignment horizontal="left"/>
    </xf>
    <xf numFmtId="0" fontId="13" fillId="0" borderId="0" xfId="0" applyFont="1"/>
    <xf numFmtId="0" fontId="8" fillId="0" borderId="0" xfId="0" applyFont="1" applyAlignment="1">
      <alignment horizontal="left"/>
    </xf>
    <xf numFmtId="0" fontId="14" fillId="0" borderId="0" xfId="0" applyFont="1"/>
    <xf numFmtId="2" fontId="8" fillId="3" borderId="1" xfId="0" applyNumberFormat="1" applyFont="1" applyFill="1" applyBorder="1"/>
    <xf numFmtId="2" fontId="8" fillId="0" borderId="1" xfId="0" applyNumberFormat="1" applyFont="1" applyBorder="1"/>
    <xf numFmtId="0" fontId="0" fillId="3" borderId="1" xfId="0" applyFill="1" applyBorder="1"/>
    <xf numFmtId="0" fontId="0" fillId="0" borderId="1" xfId="0" applyBorder="1"/>
    <xf numFmtId="1" fontId="8" fillId="0" borderId="1" xfId="0" applyNumberFormat="1" applyFont="1" applyBorder="1"/>
    <xf numFmtId="1" fontId="8" fillId="3" borderId="1" xfId="0" applyNumberFormat="1" applyFont="1" applyFill="1" applyBorder="1"/>
    <xf numFmtId="0" fontId="10" fillId="0" borderId="0" xfId="2" applyFont="1" applyBorder="1" applyAlignment="1">
      <alignment horizontal="center"/>
    </xf>
    <xf numFmtId="0" fontId="9" fillId="0" borderId="0" xfId="0" applyFont="1" applyAlignment="1">
      <alignment horizontal="left"/>
    </xf>
    <xf numFmtId="0" fontId="15" fillId="0" borderId="0" xfId="3" applyFont="1" applyBorder="1" applyAlignment="1">
      <alignment horizontal="left"/>
    </xf>
    <xf numFmtId="0" fontId="0" fillId="0" borderId="0" xfId="0" applyNumberFormat="1"/>
  </cellXfs>
  <cellStyles count="4">
    <cellStyle name="Currency" xfId="1" builtinId="4"/>
    <cellStyle name="Heading 1" xfId="3" builtinId="16"/>
    <cellStyle name="Normal" xfId="0" builtinId="0"/>
    <cellStyle name="Title" xfId="2" builtinId="15"/>
  </cellStyles>
  <dxfs count="20">
    <dxf>
      <numFmt numFmtId="0" formatCode="General"/>
    </dxf>
    <dxf>
      <numFmt numFmtId="19" formatCode="m/d/yy"/>
    </dxf>
    <dxf>
      <numFmt numFmtId="0" formatCode="General"/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colors>
    <mruColors>
      <color rgb="FFFFFFFF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CDF of</a:t>
            </a:r>
            <a:r>
              <a:rPr lang="en-US" baseline="0"/>
              <a:t> </a:t>
            </a:r>
            <a:r>
              <a:rPr lang="en-US"/>
              <a:t>Claim Amounts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[0]!SevClaimAmountRange</c:f>
              <c:numCache>
                <c:formatCode>General</c:formatCode>
                <c:ptCount val="1495"/>
                <c:pt idx="0">
                  <c:v>0.85259928519003803</c:v>
                </c:pt>
                <c:pt idx="1">
                  <c:v>0.82766099602889998</c:v>
                </c:pt>
                <c:pt idx="2">
                  <c:v>0.82510963623318401</c:v>
                </c:pt>
                <c:pt idx="3">
                  <c:v>0.75807022960457804</c:v>
                </c:pt>
                <c:pt idx="4">
                  <c:v>0.739180709379193</c:v>
                </c:pt>
                <c:pt idx="5">
                  <c:v>0.71084163706622705</c:v>
                </c:pt>
                <c:pt idx="6">
                  <c:v>0.69923447886096002</c:v>
                </c:pt>
                <c:pt idx="7">
                  <c:v>0.69315674368800195</c:v>
                </c:pt>
                <c:pt idx="8">
                  <c:v>0.68055352090607502</c:v>
                </c:pt>
                <c:pt idx="9">
                  <c:v>0.67202757549213499</c:v>
                </c:pt>
                <c:pt idx="10">
                  <c:v>0.66396068292662902</c:v>
                </c:pt>
                <c:pt idx="11">
                  <c:v>0.65427330837442699</c:v>
                </c:pt>
                <c:pt idx="12">
                  <c:v>0.64990707159288996</c:v>
                </c:pt>
                <c:pt idx="13">
                  <c:v>0.63187691270058799</c:v>
                </c:pt>
                <c:pt idx="14">
                  <c:v>0.63170735929396005</c:v>
                </c:pt>
                <c:pt idx="15">
                  <c:v>0.63024794251342597</c:v>
                </c:pt>
                <c:pt idx="16">
                  <c:v>0.62924180795679896</c:v>
                </c:pt>
                <c:pt idx="17">
                  <c:v>0.61669563956393503</c:v>
                </c:pt>
                <c:pt idx="18">
                  <c:v>0.60946959994247696</c:v>
                </c:pt>
                <c:pt idx="19">
                  <c:v>0.60641416787339097</c:v>
                </c:pt>
                <c:pt idx="20">
                  <c:v>0.60146067688030902</c:v>
                </c:pt>
                <c:pt idx="21">
                  <c:v>0.59615983705506004</c:v>
                </c:pt>
                <c:pt idx="22">
                  <c:v>0.59124913629422804</c:v>
                </c:pt>
                <c:pt idx="23">
                  <c:v>0.590693121934457</c:v>
                </c:pt>
                <c:pt idx="24">
                  <c:v>0.58634490625559998</c:v>
                </c:pt>
                <c:pt idx="25">
                  <c:v>0.58380621575957803</c:v>
                </c:pt>
                <c:pt idx="26">
                  <c:v>0.57381076455248803</c:v>
                </c:pt>
                <c:pt idx="27">
                  <c:v>0.57378924087718397</c:v>
                </c:pt>
                <c:pt idx="28">
                  <c:v>0.56385093202758096</c:v>
                </c:pt>
                <c:pt idx="29">
                  <c:v>0.56229895079520897</c:v>
                </c:pt>
                <c:pt idx="30">
                  <c:v>0.56113036212938106</c:v>
                </c:pt>
                <c:pt idx="31">
                  <c:v>0.56017569687120605</c:v>
                </c:pt>
                <c:pt idx="32">
                  <c:v>0.55930314589438701</c:v>
                </c:pt>
                <c:pt idx="33">
                  <c:v>0.55898483482253503</c:v>
                </c:pt>
                <c:pt idx="34">
                  <c:v>0.55732977259079097</c:v>
                </c:pt>
                <c:pt idx="35">
                  <c:v>0.55641596416911798</c:v>
                </c:pt>
                <c:pt idx="36">
                  <c:v>0.55086646970735598</c:v>
                </c:pt>
                <c:pt idx="37">
                  <c:v>0.54528053839287305</c:v>
                </c:pt>
                <c:pt idx="38">
                  <c:v>0.54287489651622001</c:v>
                </c:pt>
                <c:pt idx="39">
                  <c:v>0.54101027884844799</c:v>
                </c:pt>
                <c:pt idx="40">
                  <c:v>0.53728863506146596</c:v>
                </c:pt>
                <c:pt idx="41">
                  <c:v>0.53663872150076297</c:v>
                </c:pt>
                <c:pt idx="42">
                  <c:v>0.52627115909919497</c:v>
                </c:pt>
                <c:pt idx="43">
                  <c:v>0.51230313247678805</c:v>
                </c:pt>
                <c:pt idx="44">
                  <c:v>0.50478968042621497</c:v>
                </c:pt>
                <c:pt idx="45">
                  <c:v>0.50474076993594896</c:v>
                </c:pt>
                <c:pt idx="46">
                  <c:v>0.50432700023852906</c:v>
                </c:pt>
                <c:pt idx="47">
                  <c:v>0.50334352988728404</c:v>
                </c:pt>
                <c:pt idx="48">
                  <c:v>0.49678395008196602</c:v>
                </c:pt>
                <c:pt idx="49">
                  <c:v>0.490999001533235</c:v>
                </c:pt>
                <c:pt idx="50">
                  <c:v>0.48949544650045002</c:v>
                </c:pt>
                <c:pt idx="51">
                  <c:v>0.48821639569688502</c:v>
                </c:pt>
                <c:pt idx="52">
                  <c:v>0.48532277997027201</c:v>
                </c:pt>
                <c:pt idx="53">
                  <c:v>0.48361368668208699</c:v>
                </c:pt>
                <c:pt idx="54">
                  <c:v>0.48121623688628001</c:v>
                </c:pt>
                <c:pt idx="55">
                  <c:v>0.47682087928962402</c:v>
                </c:pt>
                <c:pt idx="56">
                  <c:v>0.47592670994240999</c:v>
                </c:pt>
                <c:pt idx="57">
                  <c:v>0.47397616659637998</c:v>
                </c:pt>
                <c:pt idx="58">
                  <c:v>0.47343221654340101</c:v>
                </c:pt>
                <c:pt idx="59">
                  <c:v>0.471994468574648</c:v>
                </c:pt>
                <c:pt idx="60">
                  <c:v>0.46962559010761501</c:v>
                </c:pt>
                <c:pt idx="61">
                  <c:v>0.46623585830882402</c:v>
                </c:pt>
                <c:pt idx="62">
                  <c:v>0.46347327073891798</c:v>
                </c:pt>
                <c:pt idx="63">
                  <c:v>0.45981784540645398</c:v>
                </c:pt>
                <c:pt idx="64">
                  <c:v>0.45759539652638898</c:v>
                </c:pt>
                <c:pt idx="65">
                  <c:v>0.45618094398554898</c:v>
                </c:pt>
                <c:pt idx="66">
                  <c:v>0.45299556696553001</c:v>
                </c:pt>
                <c:pt idx="67">
                  <c:v>0.45293761908792302</c:v>
                </c:pt>
                <c:pt idx="68">
                  <c:v>0.45192297286254701</c:v>
                </c:pt>
                <c:pt idx="69">
                  <c:v>0.45075570035727802</c:v>
                </c:pt>
                <c:pt idx="70">
                  <c:v>0.450279334681286</c:v>
                </c:pt>
                <c:pt idx="71">
                  <c:v>0.44942175780266802</c:v>
                </c:pt>
                <c:pt idx="72">
                  <c:v>0.44863378739878901</c:v>
                </c:pt>
                <c:pt idx="73">
                  <c:v>0.44615336425991797</c:v>
                </c:pt>
                <c:pt idx="74">
                  <c:v>0.44508211209926901</c:v>
                </c:pt>
                <c:pt idx="75">
                  <c:v>0.44375238575186599</c:v>
                </c:pt>
                <c:pt idx="76">
                  <c:v>0.44126188630163599</c:v>
                </c:pt>
                <c:pt idx="77">
                  <c:v>0.44102044490642001</c:v>
                </c:pt>
                <c:pt idx="78">
                  <c:v>0.44073483211678099</c:v>
                </c:pt>
                <c:pt idx="79">
                  <c:v>0.43822773011510302</c:v>
                </c:pt>
                <c:pt idx="80">
                  <c:v>0.43650761001521399</c:v>
                </c:pt>
                <c:pt idx="81">
                  <c:v>0.43649767703154302</c:v>
                </c:pt>
                <c:pt idx="82">
                  <c:v>0.43550514016862502</c:v>
                </c:pt>
                <c:pt idx="83">
                  <c:v>0.43441638346654099</c:v>
                </c:pt>
                <c:pt idx="84">
                  <c:v>0.433078700537815</c:v>
                </c:pt>
                <c:pt idx="85">
                  <c:v>0.43271941376627399</c:v>
                </c:pt>
                <c:pt idx="86">
                  <c:v>0.43225333993934201</c:v>
                </c:pt>
                <c:pt idx="87">
                  <c:v>0.43217150222420497</c:v>
                </c:pt>
                <c:pt idx="88">
                  <c:v>0.43161776248361999</c:v>
                </c:pt>
                <c:pt idx="89">
                  <c:v>0.431428292099862</c:v>
                </c:pt>
                <c:pt idx="90">
                  <c:v>0.43021239403412598</c:v>
                </c:pt>
                <c:pt idx="91">
                  <c:v>0.42938196369613202</c:v>
                </c:pt>
                <c:pt idx="92">
                  <c:v>0.42754268098624498</c:v>
                </c:pt>
                <c:pt idx="93">
                  <c:v>0.42657120481315902</c:v>
                </c:pt>
                <c:pt idx="94">
                  <c:v>0.42447218917305701</c:v>
                </c:pt>
                <c:pt idx="95">
                  <c:v>0.42408403628556801</c:v>
                </c:pt>
                <c:pt idx="96">
                  <c:v>0.42406577559722602</c:v>
                </c:pt>
                <c:pt idx="97">
                  <c:v>0.42372673570428798</c:v>
                </c:pt>
                <c:pt idx="98">
                  <c:v>0.42251083860002298</c:v>
                </c:pt>
                <c:pt idx="99">
                  <c:v>0.421093360518769</c:v>
                </c:pt>
                <c:pt idx="100">
                  <c:v>0.420872810960289</c:v>
                </c:pt>
                <c:pt idx="101">
                  <c:v>0.42052032511079401</c:v>
                </c:pt>
                <c:pt idx="102">
                  <c:v>0.42036446759995399</c:v>
                </c:pt>
                <c:pt idx="103">
                  <c:v>0.41641369856944699</c:v>
                </c:pt>
                <c:pt idx="104">
                  <c:v>0.41511394792620099</c:v>
                </c:pt>
                <c:pt idx="105">
                  <c:v>0.41291303154498299</c:v>
                </c:pt>
                <c:pt idx="106">
                  <c:v>0.41073119094430899</c:v>
                </c:pt>
                <c:pt idx="107">
                  <c:v>0.41067232063965198</c:v>
                </c:pt>
                <c:pt idx="108">
                  <c:v>0.41004328175654597</c:v>
                </c:pt>
                <c:pt idx="109">
                  <c:v>0.40900686134473002</c:v>
                </c:pt>
                <c:pt idx="110">
                  <c:v>0.40819842613416302</c:v>
                </c:pt>
                <c:pt idx="111">
                  <c:v>0.40818301896738801</c:v>
                </c:pt>
                <c:pt idx="112">
                  <c:v>0.40723454666273301</c:v>
                </c:pt>
                <c:pt idx="113">
                  <c:v>0.40574756043498</c:v>
                </c:pt>
                <c:pt idx="114">
                  <c:v>0.405487033558801</c:v>
                </c:pt>
                <c:pt idx="115">
                  <c:v>0.40520496805306</c:v>
                </c:pt>
                <c:pt idx="116">
                  <c:v>0.40399764045293801</c:v>
                </c:pt>
                <c:pt idx="117">
                  <c:v>0.40391320746798798</c:v>
                </c:pt>
                <c:pt idx="118">
                  <c:v>0.40224177310618597</c:v>
                </c:pt>
                <c:pt idx="119">
                  <c:v>0.40170125111189903</c:v>
                </c:pt>
                <c:pt idx="120">
                  <c:v>0.399414374858447</c:v>
                </c:pt>
                <c:pt idx="121">
                  <c:v>0.39936550524465803</c:v>
                </c:pt>
                <c:pt idx="122">
                  <c:v>0.39921874327416901</c:v>
                </c:pt>
                <c:pt idx="123">
                  <c:v>0.39845229544225003</c:v>
                </c:pt>
                <c:pt idx="124">
                  <c:v>0.39588502896134597</c:v>
                </c:pt>
                <c:pt idx="125">
                  <c:v>0.39489528779100602</c:v>
                </c:pt>
                <c:pt idx="126">
                  <c:v>0.39322500231907798</c:v>
                </c:pt>
                <c:pt idx="127">
                  <c:v>0.39241335243050701</c:v>
                </c:pt>
                <c:pt idx="128">
                  <c:v>0.39213736582012498</c:v>
                </c:pt>
                <c:pt idx="129">
                  <c:v>0.39169586635394499</c:v>
                </c:pt>
                <c:pt idx="130">
                  <c:v>0.39073238184020398</c:v>
                </c:pt>
                <c:pt idx="131">
                  <c:v>0.39043254369027303</c:v>
                </c:pt>
                <c:pt idx="132">
                  <c:v>0.38992992633411599</c:v>
                </c:pt>
                <c:pt idx="133">
                  <c:v>0.38956879340956202</c:v>
                </c:pt>
                <c:pt idx="134">
                  <c:v>0.38702615866259898</c:v>
                </c:pt>
                <c:pt idx="135">
                  <c:v>0.385788000862546</c:v>
                </c:pt>
                <c:pt idx="136">
                  <c:v>0.38519493272864203</c:v>
                </c:pt>
                <c:pt idx="137">
                  <c:v>0.383172782335363</c:v>
                </c:pt>
                <c:pt idx="138">
                  <c:v>0.380818686795456</c:v>
                </c:pt>
                <c:pt idx="139">
                  <c:v>0.38070000294867601</c:v>
                </c:pt>
                <c:pt idx="140">
                  <c:v>0.38055608989798601</c:v>
                </c:pt>
                <c:pt idx="141">
                  <c:v>0.37916791931337201</c:v>
                </c:pt>
                <c:pt idx="142">
                  <c:v>0.37899845476188698</c:v>
                </c:pt>
                <c:pt idx="143">
                  <c:v>0.378934681725275</c:v>
                </c:pt>
                <c:pt idx="144">
                  <c:v>0.37816590730782301</c:v>
                </c:pt>
                <c:pt idx="145">
                  <c:v>0.37578004693985001</c:v>
                </c:pt>
                <c:pt idx="146">
                  <c:v>0.37448182100663402</c:v>
                </c:pt>
                <c:pt idx="147">
                  <c:v>0.37406945377775602</c:v>
                </c:pt>
                <c:pt idx="148">
                  <c:v>0.37343048161258602</c:v>
                </c:pt>
                <c:pt idx="149">
                  <c:v>0.37333829861189599</c:v>
                </c:pt>
                <c:pt idx="150">
                  <c:v>0.37136643775085798</c:v>
                </c:pt>
                <c:pt idx="151">
                  <c:v>0.37111087370830997</c:v>
                </c:pt>
                <c:pt idx="152">
                  <c:v>0.37063300078303202</c:v>
                </c:pt>
                <c:pt idx="153">
                  <c:v>0.370269997608347</c:v>
                </c:pt>
                <c:pt idx="154">
                  <c:v>0.369437783157684</c:v>
                </c:pt>
                <c:pt idx="155">
                  <c:v>0.36875248812801298</c:v>
                </c:pt>
                <c:pt idx="156">
                  <c:v>0.36774232199436002</c:v>
                </c:pt>
                <c:pt idx="157">
                  <c:v>0.367328453676666</c:v>
                </c:pt>
                <c:pt idx="158">
                  <c:v>0.36672388572834902</c:v>
                </c:pt>
                <c:pt idx="159">
                  <c:v>0.36590545660700002</c:v>
                </c:pt>
                <c:pt idx="160">
                  <c:v>0.36588247398088503</c:v>
                </c:pt>
                <c:pt idx="161">
                  <c:v>0.36575240115882002</c:v>
                </c:pt>
                <c:pt idx="162">
                  <c:v>0.36547653065649699</c:v>
                </c:pt>
                <c:pt idx="163">
                  <c:v>0.36454066122699602</c:v>
                </c:pt>
                <c:pt idx="164">
                  <c:v>0.36369589403610902</c:v>
                </c:pt>
                <c:pt idx="165">
                  <c:v>0.363552719549673</c:v>
                </c:pt>
                <c:pt idx="166">
                  <c:v>0.362551210004327</c:v>
                </c:pt>
                <c:pt idx="167">
                  <c:v>0.36031211370799998</c:v>
                </c:pt>
                <c:pt idx="168">
                  <c:v>0.357942434081095</c:v>
                </c:pt>
                <c:pt idx="169">
                  <c:v>0.35781029295741301</c:v>
                </c:pt>
                <c:pt idx="170">
                  <c:v>0.35721817511949899</c:v>
                </c:pt>
                <c:pt idx="171">
                  <c:v>0.35677627067703899</c:v>
                </c:pt>
                <c:pt idx="172">
                  <c:v>0.35549083528966702</c:v>
                </c:pt>
                <c:pt idx="173">
                  <c:v>0.35510811843507101</c:v>
                </c:pt>
                <c:pt idx="174">
                  <c:v>0.35459421804832097</c:v>
                </c:pt>
                <c:pt idx="175">
                  <c:v>0.35440769277161299</c:v>
                </c:pt>
                <c:pt idx="176">
                  <c:v>0.35239761170497802</c:v>
                </c:pt>
                <c:pt idx="177">
                  <c:v>0.35189019352658002</c:v>
                </c:pt>
                <c:pt idx="178">
                  <c:v>0.35176470088553902</c:v>
                </c:pt>
                <c:pt idx="179">
                  <c:v>0.351316137526893</c:v>
                </c:pt>
                <c:pt idx="180">
                  <c:v>0.35039189333849702</c:v>
                </c:pt>
                <c:pt idx="181">
                  <c:v>0.35016873952830901</c:v>
                </c:pt>
                <c:pt idx="182">
                  <c:v>0.349945388736985</c:v>
                </c:pt>
                <c:pt idx="183">
                  <c:v>0.349200299798407</c:v>
                </c:pt>
                <c:pt idx="184">
                  <c:v>0.34759332259938502</c:v>
                </c:pt>
                <c:pt idx="185">
                  <c:v>0.34506355590725901</c:v>
                </c:pt>
                <c:pt idx="186">
                  <c:v>0.34266414405009299</c:v>
                </c:pt>
                <c:pt idx="187">
                  <c:v>0.34241304877861301</c:v>
                </c:pt>
                <c:pt idx="188">
                  <c:v>0.34213980691524498</c:v>
                </c:pt>
                <c:pt idx="189">
                  <c:v>0.34187835837783698</c:v>
                </c:pt>
                <c:pt idx="190">
                  <c:v>0.34108579201086803</c:v>
                </c:pt>
                <c:pt idx="191">
                  <c:v>0.34086182937598403</c:v>
                </c:pt>
                <c:pt idx="192">
                  <c:v>0.33981477251883002</c:v>
                </c:pt>
                <c:pt idx="193">
                  <c:v>0.33969527132840099</c:v>
                </c:pt>
                <c:pt idx="194">
                  <c:v>0.33844399061382902</c:v>
                </c:pt>
                <c:pt idx="195">
                  <c:v>0.33746609513992998</c:v>
                </c:pt>
                <c:pt idx="196">
                  <c:v>0.33743396068131898</c:v>
                </c:pt>
                <c:pt idx="197">
                  <c:v>0.336281941993194</c:v>
                </c:pt>
                <c:pt idx="198">
                  <c:v>0.33621521916837199</c:v>
                </c:pt>
                <c:pt idx="199">
                  <c:v>0.33599612541525398</c:v>
                </c:pt>
                <c:pt idx="200">
                  <c:v>0.33586303877167401</c:v>
                </c:pt>
                <c:pt idx="201">
                  <c:v>0.33464178460333899</c:v>
                </c:pt>
                <c:pt idx="202">
                  <c:v>0.333954826617548</c:v>
                </c:pt>
                <c:pt idx="203">
                  <c:v>0.33363247479930602</c:v>
                </c:pt>
                <c:pt idx="204">
                  <c:v>0.333159650840959</c:v>
                </c:pt>
                <c:pt idx="205">
                  <c:v>0.33265812945491802</c:v>
                </c:pt>
                <c:pt idx="206">
                  <c:v>0.33178716614781201</c:v>
                </c:pt>
                <c:pt idx="207">
                  <c:v>0.33171577263838098</c:v>
                </c:pt>
                <c:pt idx="208">
                  <c:v>0.331203671588229</c:v>
                </c:pt>
                <c:pt idx="209">
                  <c:v>0.33114607432438298</c:v>
                </c:pt>
                <c:pt idx="210">
                  <c:v>0.33038772430552399</c:v>
                </c:pt>
                <c:pt idx="211">
                  <c:v>0.33001003313053001</c:v>
                </c:pt>
                <c:pt idx="212">
                  <c:v>0.32994696078777502</c:v>
                </c:pt>
                <c:pt idx="213">
                  <c:v>0.32962355932998599</c:v>
                </c:pt>
                <c:pt idx="214">
                  <c:v>0.32888277813245598</c:v>
                </c:pt>
                <c:pt idx="215">
                  <c:v>0.32737634806650601</c:v>
                </c:pt>
                <c:pt idx="216">
                  <c:v>0.32629080657590198</c:v>
                </c:pt>
                <c:pt idx="217">
                  <c:v>0.32574238156819302</c:v>
                </c:pt>
                <c:pt idx="218">
                  <c:v>0.32533340676078898</c:v>
                </c:pt>
                <c:pt idx="219">
                  <c:v>0.323628643151819</c:v>
                </c:pt>
                <c:pt idx="220">
                  <c:v>0.32287641693089802</c:v>
                </c:pt>
                <c:pt idx="221">
                  <c:v>0.322127105824352</c:v>
                </c:pt>
                <c:pt idx="222">
                  <c:v>0.31973681708822199</c:v>
                </c:pt>
                <c:pt idx="223">
                  <c:v>0.31954375157466303</c:v>
                </c:pt>
                <c:pt idx="224">
                  <c:v>0.31942491377847398</c:v>
                </c:pt>
                <c:pt idx="225">
                  <c:v>0.317866573171394</c:v>
                </c:pt>
                <c:pt idx="226">
                  <c:v>0.317680430441451</c:v>
                </c:pt>
                <c:pt idx="227">
                  <c:v>0.317618680290225</c:v>
                </c:pt>
                <c:pt idx="228">
                  <c:v>0.31750685770673298</c:v>
                </c:pt>
                <c:pt idx="229">
                  <c:v>0.31726821151609502</c:v>
                </c:pt>
                <c:pt idx="230">
                  <c:v>0.317039910596501</c:v>
                </c:pt>
                <c:pt idx="231">
                  <c:v>0.31694918487958801</c:v>
                </c:pt>
                <c:pt idx="232">
                  <c:v>0.31671511984133699</c:v>
                </c:pt>
                <c:pt idx="233">
                  <c:v>0.31669722885762602</c:v>
                </c:pt>
                <c:pt idx="234">
                  <c:v>0.31657456830294001</c:v>
                </c:pt>
                <c:pt idx="235">
                  <c:v>0.31620988054872601</c:v>
                </c:pt>
                <c:pt idx="236">
                  <c:v>0.315691166439105</c:v>
                </c:pt>
                <c:pt idx="237">
                  <c:v>0.31550517923447902</c:v>
                </c:pt>
                <c:pt idx="238">
                  <c:v>0.31512136068466201</c:v>
                </c:pt>
                <c:pt idx="239">
                  <c:v>0.31471166647993898</c:v>
                </c:pt>
                <c:pt idx="240">
                  <c:v>0.314523318833898</c:v>
                </c:pt>
                <c:pt idx="241">
                  <c:v>0.313894100168085</c:v>
                </c:pt>
                <c:pt idx="242">
                  <c:v>0.31380430793483699</c:v>
                </c:pt>
                <c:pt idx="243">
                  <c:v>0.31342318772816302</c:v>
                </c:pt>
                <c:pt idx="244">
                  <c:v>0.3132456062392</c:v>
                </c:pt>
                <c:pt idx="245">
                  <c:v>0.312621216298822</c:v>
                </c:pt>
                <c:pt idx="246">
                  <c:v>0.310997704807777</c:v>
                </c:pt>
                <c:pt idx="247">
                  <c:v>0.309761017203663</c:v>
                </c:pt>
                <c:pt idx="248">
                  <c:v>0.30948040386556203</c:v>
                </c:pt>
                <c:pt idx="249">
                  <c:v>0.309062071451639</c:v>
                </c:pt>
                <c:pt idx="250">
                  <c:v>0.308782337829003</c:v>
                </c:pt>
                <c:pt idx="251">
                  <c:v>0.30844495243912101</c:v>
                </c:pt>
                <c:pt idx="252">
                  <c:v>0.30810517536139298</c:v>
                </c:pt>
                <c:pt idx="253">
                  <c:v>0.30777379848163999</c:v>
                </c:pt>
                <c:pt idx="254">
                  <c:v>0.307688938286863</c:v>
                </c:pt>
                <c:pt idx="255">
                  <c:v>0.306837666027998</c:v>
                </c:pt>
                <c:pt idx="256">
                  <c:v>0.306458462730543</c:v>
                </c:pt>
                <c:pt idx="257">
                  <c:v>0.30638109452511197</c:v>
                </c:pt>
                <c:pt idx="258">
                  <c:v>0.30605933349894798</c:v>
                </c:pt>
                <c:pt idx="259">
                  <c:v>0.30548486484475201</c:v>
                </c:pt>
                <c:pt idx="260">
                  <c:v>0.30530282532825997</c:v>
                </c:pt>
                <c:pt idx="261">
                  <c:v>0.30441483989829698</c:v>
                </c:pt>
                <c:pt idx="262">
                  <c:v>0.30381148033549399</c:v>
                </c:pt>
                <c:pt idx="263">
                  <c:v>0.30346065998223998</c:v>
                </c:pt>
                <c:pt idx="264">
                  <c:v>0.303331398198256</c:v>
                </c:pt>
                <c:pt idx="265">
                  <c:v>0.30300578994454302</c:v>
                </c:pt>
                <c:pt idx="266">
                  <c:v>0.30244114218423801</c:v>
                </c:pt>
                <c:pt idx="267">
                  <c:v>0.302280248171932</c:v>
                </c:pt>
                <c:pt idx="268">
                  <c:v>0.30109877403538798</c:v>
                </c:pt>
                <c:pt idx="269">
                  <c:v>0.30071855533682001</c:v>
                </c:pt>
                <c:pt idx="270">
                  <c:v>0.30031936172784301</c:v>
                </c:pt>
                <c:pt idx="271">
                  <c:v>0.29859104071586001</c:v>
                </c:pt>
                <c:pt idx="272">
                  <c:v>0.29845968137753098</c:v>
                </c:pt>
                <c:pt idx="273">
                  <c:v>0.29765844191426799</c:v>
                </c:pt>
                <c:pt idx="274">
                  <c:v>0.296808696307723</c:v>
                </c:pt>
                <c:pt idx="275">
                  <c:v>0.29481901825107798</c:v>
                </c:pt>
                <c:pt idx="276">
                  <c:v>0.294326365710745</c:v>
                </c:pt>
                <c:pt idx="277">
                  <c:v>0.29400346657736398</c:v>
                </c:pt>
                <c:pt idx="278">
                  <c:v>0.29385044643426</c:v>
                </c:pt>
                <c:pt idx="279">
                  <c:v>0.29327234953527798</c:v>
                </c:pt>
                <c:pt idx="280">
                  <c:v>0.29324178281174001</c:v>
                </c:pt>
                <c:pt idx="281">
                  <c:v>0.29222605661915702</c:v>
                </c:pt>
                <c:pt idx="282">
                  <c:v>0.29110002223127301</c:v>
                </c:pt>
                <c:pt idx="283">
                  <c:v>0.291046621550069</c:v>
                </c:pt>
                <c:pt idx="284">
                  <c:v>0.29044597467390798</c:v>
                </c:pt>
                <c:pt idx="285">
                  <c:v>0.28995257461581098</c:v>
                </c:pt>
                <c:pt idx="286">
                  <c:v>0.28982600439579398</c:v>
                </c:pt>
                <c:pt idx="287">
                  <c:v>0.28947018212397602</c:v>
                </c:pt>
                <c:pt idx="288">
                  <c:v>0.28899880912178699</c:v>
                </c:pt>
                <c:pt idx="289">
                  <c:v>0.28842135841553002</c:v>
                </c:pt>
                <c:pt idx="290">
                  <c:v>0.28799366183463898</c:v>
                </c:pt>
                <c:pt idx="291">
                  <c:v>0.28736843689902603</c:v>
                </c:pt>
                <c:pt idx="292">
                  <c:v>0.28717661525388799</c:v>
                </c:pt>
                <c:pt idx="293">
                  <c:v>0.286540606001358</c:v>
                </c:pt>
                <c:pt idx="294">
                  <c:v>0.28648376463220199</c:v>
                </c:pt>
                <c:pt idx="295">
                  <c:v>0.286095950407872</c:v>
                </c:pt>
                <c:pt idx="296">
                  <c:v>0.285969268606305</c:v>
                </c:pt>
                <c:pt idx="297">
                  <c:v>0.28595175683875501</c:v>
                </c:pt>
                <c:pt idx="298">
                  <c:v>0.285305899130607</c:v>
                </c:pt>
                <c:pt idx="299">
                  <c:v>0.28510298294747199</c:v>
                </c:pt>
                <c:pt idx="300">
                  <c:v>0.28342516569255499</c:v>
                </c:pt>
                <c:pt idx="301">
                  <c:v>0.28309744495804501</c:v>
                </c:pt>
                <c:pt idx="302">
                  <c:v>0.28307208344319001</c:v>
                </c:pt>
                <c:pt idx="303">
                  <c:v>0.28298894645356698</c:v>
                </c:pt>
                <c:pt idx="304">
                  <c:v>0.28285279250231499</c:v>
                </c:pt>
                <c:pt idx="305">
                  <c:v>0.28274113663546901</c:v>
                </c:pt>
                <c:pt idx="306">
                  <c:v>0.282030561042037</c:v>
                </c:pt>
                <c:pt idx="307">
                  <c:v>0.281182760161728</c:v>
                </c:pt>
                <c:pt idx="308">
                  <c:v>0.28095897131228997</c:v>
                </c:pt>
                <c:pt idx="309">
                  <c:v>0.28082795793715098</c:v>
                </c:pt>
                <c:pt idx="310">
                  <c:v>0.28040080140240098</c:v>
                </c:pt>
                <c:pt idx="311">
                  <c:v>0.28008301391984303</c:v>
                </c:pt>
                <c:pt idx="312">
                  <c:v>0.28003750276433798</c:v>
                </c:pt>
                <c:pt idx="313">
                  <c:v>0.27993781371256898</c:v>
                </c:pt>
                <c:pt idx="314">
                  <c:v>0.27978300272836998</c:v>
                </c:pt>
                <c:pt idx="315">
                  <c:v>0.27975839627787502</c:v>
                </c:pt>
                <c:pt idx="316">
                  <c:v>0.27923426017684699</c:v>
                </c:pt>
                <c:pt idx="317">
                  <c:v>0.27905460215418099</c:v>
                </c:pt>
                <c:pt idx="318">
                  <c:v>0.27870909771003299</c:v>
                </c:pt>
                <c:pt idx="319">
                  <c:v>0.27854732015843098</c:v>
                </c:pt>
                <c:pt idx="320">
                  <c:v>0.27804369071796597</c:v>
                </c:pt>
                <c:pt idx="321">
                  <c:v>0.278026239355257</c:v>
                </c:pt>
                <c:pt idx="322">
                  <c:v>0.27762432548909</c:v>
                </c:pt>
                <c:pt idx="323">
                  <c:v>0.27684636414021402</c:v>
                </c:pt>
                <c:pt idx="324">
                  <c:v>0.27591274820731299</c:v>
                </c:pt>
                <c:pt idx="325">
                  <c:v>0.275872983100938</c:v>
                </c:pt>
                <c:pt idx="326">
                  <c:v>0.27554734640152201</c:v>
                </c:pt>
                <c:pt idx="327">
                  <c:v>0.27526244490775098</c:v>
                </c:pt>
                <c:pt idx="328">
                  <c:v>0.27513067982267903</c:v>
                </c:pt>
                <c:pt idx="329">
                  <c:v>0.27443477223955298</c:v>
                </c:pt>
                <c:pt idx="330">
                  <c:v>0.27442211448758702</c:v>
                </c:pt>
                <c:pt idx="331">
                  <c:v>0.27213391677523602</c:v>
                </c:pt>
                <c:pt idx="332">
                  <c:v>0.27211564616765999</c:v>
                </c:pt>
                <c:pt idx="333">
                  <c:v>0.27190547041870999</c:v>
                </c:pt>
                <c:pt idx="334">
                  <c:v>0.27187792679531397</c:v>
                </c:pt>
                <c:pt idx="335">
                  <c:v>0.27157820961099599</c:v>
                </c:pt>
                <c:pt idx="336">
                  <c:v>0.27118264379104801</c:v>
                </c:pt>
                <c:pt idx="337">
                  <c:v>0.27115377650260197</c:v>
                </c:pt>
                <c:pt idx="338">
                  <c:v>0.27080862913036402</c:v>
                </c:pt>
                <c:pt idx="339">
                  <c:v>0.270310679261071</c:v>
                </c:pt>
                <c:pt idx="340">
                  <c:v>0.270128894275455</c:v>
                </c:pt>
                <c:pt idx="341">
                  <c:v>0.26961998010407301</c:v>
                </c:pt>
                <c:pt idx="342">
                  <c:v>0.26959855348603901</c:v>
                </c:pt>
                <c:pt idx="343">
                  <c:v>0.26954822985620902</c:v>
                </c:pt>
                <c:pt idx="344">
                  <c:v>0.26880647234051203</c:v>
                </c:pt>
                <c:pt idx="345">
                  <c:v>0.268685448375029</c:v>
                </c:pt>
                <c:pt idx="346">
                  <c:v>0.26862452336798298</c:v>
                </c:pt>
                <c:pt idx="347">
                  <c:v>0.26856675844564398</c:v>
                </c:pt>
                <c:pt idx="348">
                  <c:v>0.26838387788212698</c:v>
                </c:pt>
                <c:pt idx="349">
                  <c:v>0.26783498879938</c:v>
                </c:pt>
                <c:pt idx="350">
                  <c:v>0.26742087106025503</c:v>
                </c:pt>
                <c:pt idx="351">
                  <c:v>0.26717829288029099</c:v>
                </c:pt>
                <c:pt idx="352">
                  <c:v>0.26685659560527403</c:v>
                </c:pt>
                <c:pt idx="353">
                  <c:v>0.26667691078154798</c:v>
                </c:pt>
                <c:pt idx="354">
                  <c:v>0.26614147871636001</c:v>
                </c:pt>
                <c:pt idx="355">
                  <c:v>0.26560319297595297</c:v>
                </c:pt>
                <c:pt idx="356">
                  <c:v>0.263965715651438</c:v>
                </c:pt>
                <c:pt idx="357">
                  <c:v>0.263589901704813</c:v>
                </c:pt>
                <c:pt idx="358">
                  <c:v>0.26299240417353398</c:v>
                </c:pt>
                <c:pt idx="359">
                  <c:v>0.26269103374959601</c:v>
                </c:pt>
                <c:pt idx="360">
                  <c:v>0.262417538341843</c:v>
                </c:pt>
                <c:pt idx="361">
                  <c:v>0.26226986206662001</c:v>
                </c:pt>
                <c:pt idx="362">
                  <c:v>0.262188505537232</c:v>
                </c:pt>
                <c:pt idx="363">
                  <c:v>0.26210917297248698</c:v>
                </c:pt>
                <c:pt idx="364">
                  <c:v>0.26209886259833698</c:v>
                </c:pt>
                <c:pt idx="365">
                  <c:v>0.26198116856164</c:v>
                </c:pt>
                <c:pt idx="366">
                  <c:v>0.26197608291857299</c:v>
                </c:pt>
                <c:pt idx="367">
                  <c:v>0.26141402543703202</c:v>
                </c:pt>
                <c:pt idx="368">
                  <c:v>0.260767979707413</c:v>
                </c:pt>
                <c:pt idx="369">
                  <c:v>0.26066277352241801</c:v>
                </c:pt>
                <c:pt idx="370">
                  <c:v>0.25983414551811701</c:v>
                </c:pt>
                <c:pt idx="371">
                  <c:v>0.259458804763194</c:v>
                </c:pt>
                <c:pt idx="372">
                  <c:v>0.25897532122373101</c:v>
                </c:pt>
                <c:pt idx="373">
                  <c:v>0.258887645403791</c:v>
                </c:pt>
                <c:pt idx="374">
                  <c:v>0.25878929682069302</c:v>
                </c:pt>
                <c:pt idx="375">
                  <c:v>0.258698989527887</c:v>
                </c:pt>
                <c:pt idx="376">
                  <c:v>0.258619440144781</c:v>
                </c:pt>
                <c:pt idx="377">
                  <c:v>0.25799810599184497</c:v>
                </c:pt>
                <c:pt idx="378">
                  <c:v>0.25769756166383601</c:v>
                </c:pt>
                <c:pt idx="379">
                  <c:v>0.25758210097763401</c:v>
                </c:pt>
                <c:pt idx="380">
                  <c:v>0.25674909936248502</c:v>
                </c:pt>
                <c:pt idx="381">
                  <c:v>0.25646583011221702</c:v>
                </c:pt>
                <c:pt idx="382">
                  <c:v>0.256445760377632</c:v>
                </c:pt>
                <c:pt idx="383">
                  <c:v>0.25611975396602499</c:v>
                </c:pt>
                <c:pt idx="384">
                  <c:v>0.25608494255932002</c:v>
                </c:pt>
                <c:pt idx="385">
                  <c:v>0.25545086289282498</c:v>
                </c:pt>
                <c:pt idx="386">
                  <c:v>0.25531106725200198</c:v>
                </c:pt>
                <c:pt idx="387">
                  <c:v>0.25528629278794801</c:v>
                </c:pt>
                <c:pt idx="388">
                  <c:v>0.25489736117557699</c:v>
                </c:pt>
                <c:pt idx="389">
                  <c:v>0.25480331121856298</c:v>
                </c:pt>
                <c:pt idx="390">
                  <c:v>0.25376262321887599</c:v>
                </c:pt>
                <c:pt idx="391">
                  <c:v>0.25373679346176398</c:v>
                </c:pt>
                <c:pt idx="392">
                  <c:v>0.25344682510300398</c:v>
                </c:pt>
                <c:pt idx="393">
                  <c:v>0.25313802550965298</c:v>
                </c:pt>
                <c:pt idx="394">
                  <c:v>0.25285855342458102</c:v>
                </c:pt>
                <c:pt idx="395">
                  <c:v>0.25280326249962398</c:v>
                </c:pt>
                <c:pt idx="396">
                  <c:v>0.25201486365924203</c:v>
                </c:pt>
                <c:pt idx="397">
                  <c:v>0.25189100326916702</c:v>
                </c:pt>
                <c:pt idx="398">
                  <c:v>0.25156286226167901</c:v>
                </c:pt>
                <c:pt idx="399">
                  <c:v>0.25133513478055602</c:v>
                </c:pt>
                <c:pt idx="400">
                  <c:v>0.25131579579638602</c:v>
                </c:pt>
                <c:pt idx="401">
                  <c:v>0.25120641248447401</c:v>
                </c:pt>
                <c:pt idx="402">
                  <c:v>0.250560622447074</c:v>
                </c:pt>
                <c:pt idx="403">
                  <c:v>0.24958953769588799</c:v>
                </c:pt>
                <c:pt idx="404">
                  <c:v>0.24958740804280599</c:v>
                </c:pt>
                <c:pt idx="405">
                  <c:v>0.24954347686804099</c:v>
                </c:pt>
                <c:pt idx="406">
                  <c:v>0.24911290871024799</c:v>
                </c:pt>
                <c:pt idx="407">
                  <c:v>0.24882290847011301</c:v>
                </c:pt>
                <c:pt idx="408">
                  <c:v>0.24762590515028901</c:v>
                </c:pt>
                <c:pt idx="409">
                  <c:v>0.24750991111830301</c:v>
                </c:pt>
                <c:pt idx="410">
                  <c:v>0.24744493934488701</c:v>
                </c:pt>
                <c:pt idx="411">
                  <c:v>0.24700767987112099</c:v>
                </c:pt>
                <c:pt idx="412">
                  <c:v>0.24662481607740899</c:v>
                </c:pt>
                <c:pt idx="413">
                  <c:v>0.24590990431112</c:v>
                </c:pt>
                <c:pt idx="414">
                  <c:v>0.245517431291979</c:v>
                </c:pt>
                <c:pt idx="415">
                  <c:v>0.245429080588635</c:v>
                </c:pt>
                <c:pt idx="416">
                  <c:v>0.245386485967034</c:v>
                </c:pt>
                <c:pt idx="417">
                  <c:v>0.245375964736508</c:v>
                </c:pt>
                <c:pt idx="418">
                  <c:v>0.24517127912739001</c:v>
                </c:pt>
                <c:pt idx="419">
                  <c:v>0.24494525248026899</c:v>
                </c:pt>
                <c:pt idx="420">
                  <c:v>0.24484864879437701</c:v>
                </c:pt>
                <c:pt idx="421">
                  <c:v>0.24409419280331199</c:v>
                </c:pt>
                <c:pt idx="422">
                  <c:v>0.24289695061871799</c:v>
                </c:pt>
                <c:pt idx="423">
                  <c:v>0.242546011082517</c:v>
                </c:pt>
                <c:pt idx="424">
                  <c:v>0.24251515704725399</c:v>
                </c:pt>
                <c:pt idx="425">
                  <c:v>0.24225081702875501</c:v>
                </c:pt>
                <c:pt idx="426">
                  <c:v>0.241989527964555</c:v>
                </c:pt>
                <c:pt idx="427">
                  <c:v>0.24118138971745401</c:v>
                </c:pt>
                <c:pt idx="428">
                  <c:v>0.241108642429571</c:v>
                </c:pt>
                <c:pt idx="429">
                  <c:v>0.241042310793359</c:v>
                </c:pt>
                <c:pt idx="430">
                  <c:v>0.240914529362345</c:v>
                </c:pt>
                <c:pt idx="431">
                  <c:v>0.240763776008105</c:v>
                </c:pt>
                <c:pt idx="432">
                  <c:v>0.24062792156610699</c:v>
                </c:pt>
                <c:pt idx="433">
                  <c:v>0.240408802920689</c:v>
                </c:pt>
                <c:pt idx="434">
                  <c:v>0.24013866244229501</c:v>
                </c:pt>
                <c:pt idx="435">
                  <c:v>0.239718757449009</c:v>
                </c:pt>
                <c:pt idx="436">
                  <c:v>0.239496747159956</c:v>
                </c:pt>
                <c:pt idx="437">
                  <c:v>0.23934877585936101</c:v>
                </c:pt>
                <c:pt idx="438">
                  <c:v>0.23926534934500701</c:v>
                </c:pt>
                <c:pt idx="439">
                  <c:v>0.237810074901498</c:v>
                </c:pt>
                <c:pt idx="440">
                  <c:v>0.23773630914881699</c:v>
                </c:pt>
                <c:pt idx="441">
                  <c:v>0.237657458905421</c:v>
                </c:pt>
                <c:pt idx="442">
                  <c:v>0.23731427271996999</c:v>
                </c:pt>
                <c:pt idx="443">
                  <c:v>0.23719755568546999</c:v>
                </c:pt>
                <c:pt idx="444">
                  <c:v>0.237151818554178</c:v>
                </c:pt>
                <c:pt idx="445">
                  <c:v>0.237007738015999</c:v>
                </c:pt>
                <c:pt idx="446">
                  <c:v>0.236737428267142</c:v>
                </c:pt>
                <c:pt idx="447">
                  <c:v>0.236485778156107</c:v>
                </c:pt>
                <c:pt idx="448">
                  <c:v>0.23644331784171199</c:v>
                </c:pt>
                <c:pt idx="449">
                  <c:v>0.236302804628722</c:v>
                </c:pt>
                <c:pt idx="450">
                  <c:v>0.23618729052010601</c:v>
                </c:pt>
                <c:pt idx="451">
                  <c:v>0.23606027711328501</c:v>
                </c:pt>
                <c:pt idx="452">
                  <c:v>0.235990307411166</c:v>
                </c:pt>
                <c:pt idx="453">
                  <c:v>0.235017724070781</c:v>
                </c:pt>
                <c:pt idx="454">
                  <c:v>0.23489558929888099</c:v>
                </c:pt>
                <c:pt idx="455">
                  <c:v>0.23469795612205299</c:v>
                </c:pt>
                <c:pt idx="456">
                  <c:v>0.23452747636433899</c:v>
                </c:pt>
                <c:pt idx="457">
                  <c:v>0.234330762037783</c:v>
                </c:pt>
                <c:pt idx="458">
                  <c:v>0.234271970780042</c:v>
                </c:pt>
                <c:pt idx="459">
                  <c:v>0.23414678085468801</c:v>
                </c:pt>
                <c:pt idx="460">
                  <c:v>0.23406374081960499</c:v>
                </c:pt>
                <c:pt idx="461">
                  <c:v>0.234047392366829</c:v>
                </c:pt>
                <c:pt idx="462">
                  <c:v>0.23383554360941999</c:v>
                </c:pt>
                <c:pt idx="463">
                  <c:v>0.23382519437149801</c:v>
                </c:pt>
                <c:pt idx="464">
                  <c:v>0.233563600951915</c:v>
                </c:pt>
                <c:pt idx="465">
                  <c:v>0.23285982899098601</c:v>
                </c:pt>
                <c:pt idx="466">
                  <c:v>0.23247451452058199</c:v>
                </c:pt>
                <c:pt idx="467">
                  <c:v>0.232178091878777</c:v>
                </c:pt>
                <c:pt idx="468">
                  <c:v>0.231572326612379</c:v>
                </c:pt>
                <c:pt idx="469">
                  <c:v>0.23143838789625701</c:v>
                </c:pt>
                <c:pt idx="470">
                  <c:v>0.231350080483811</c:v>
                </c:pt>
                <c:pt idx="471">
                  <c:v>0.23125828495359599</c:v>
                </c:pt>
                <c:pt idx="472">
                  <c:v>0.23115226224893701</c:v>
                </c:pt>
                <c:pt idx="473">
                  <c:v>0.231135810244124</c:v>
                </c:pt>
                <c:pt idx="474">
                  <c:v>0.230879670898789</c:v>
                </c:pt>
                <c:pt idx="475">
                  <c:v>0.23059169703437599</c:v>
                </c:pt>
                <c:pt idx="476">
                  <c:v>0.22978628408259899</c:v>
                </c:pt>
                <c:pt idx="477">
                  <c:v>0.22910759782019099</c:v>
                </c:pt>
                <c:pt idx="478">
                  <c:v>0.229018577120011</c:v>
                </c:pt>
                <c:pt idx="479">
                  <c:v>0.228085293395004</c:v>
                </c:pt>
                <c:pt idx="480">
                  <c:v>0.227112500422257</c:v>
                </c:pt>
                <c:pt idx="481">
                  <c:v>0.227008030288468</c:v>
                </c:pt>
                <c:pt idx="482">
                  <c:v>0.22691686901605099</c:v>
                </c:pt>
                <c:pt idx="483">
                  <c:v>0.22651778335228201</c:v>
                </c:pt>
                <c:pt idx="484">
                  <c:v>0.22648453307910099</c:v>
                </c:pt>
                <c:pt idx="485">
                  <c:v>0.22570462149204101</c:v>
                </c:pt>
                <c:pt idx="486">
                  <c:v>0.22547068536366</c:v>
                </c:pt>
                <c:pt idx="487">
                  <c:v>0.22546907891228901</c:v>
                </c:pt>
                <c:pt idx="488">
                  <c:v>0.22513378205991899</c:v>
                </c:pt>
                <c:pt idx="489">
                  <c:v>0.22482409576343901</c:v>
                </c:pt>
                <c:pt idx="490">
                  <c:v>0.224739780765491</c:v>
                </c:pt>
                <c:pt idx="491">
                  <c:v>0.224258141158522</c:v>
                </c:pt>
                <c:pt idx="492">
                  <c:v>0.22397193165690399</c:v>
                </c:pt>
                <c:pt idx="493">
                  <c:v>0.22372469748461399</c:v>
                </c:pt>
                <c:pt idx="494">
                  <c:v>0.22342332620792499</c:v>
                </c:pt>
                <c:pt idx="495">
                  <c:v>0.22319938318785801</c:v>
                </c:pt>
                <c:pt idx="496">
                  <c:v>0.22286497316647</c:v>
                </c:pt>
                <c:pt idx="497">
                  <c:v>0.222453771749376</c:v>
                </c:pt>
                <c:pt idx="498">
                  <c:v>0.22166507135680799</c:v>
                </c:pt>
                <c:pt idx="499">
                  <c:v>0.22117698216748299</c:v>
                </c:pt>
                <c:pt idx="500">
                  <c:v>0.22071397827300701</c:v>
                </c:pt>
                <c:pt idx="501">
                  <c:v>0.22053896295145001</c:v>
                </c:pt>
                <c:pt idx="502">
                  <c:v>0.219213916766512</c:v>
                </c:pt>
                <c:pt idx="503">
                  <c:v>0.219182176691118</c:v>
                </c:pt>
                <c:pt idx="504">
                  <c:v>0.21900492450484299</c:v>
                </c:pt>
                <c:pt idx="505">
                  <c:v>0.21887258253428199</c:v>
                </c:pt>
                <c:pt idx="506">
                  <c:v>0.218740333652231</c:v>
                </c:pt>
                <c:pt idx="507">
                  <c:v>0.21832867989027099</c:v>
                </c:pt>
                <c:pt idx="508">
                  <c:v>0.21821529892487401</c:v>
                </c:pt>
                <c:pt idx="509">
                  <c:v>0.218072378081585</c:v>
                </c:pt>
                <c:pt idx="510">
                  <c:v>0.217862765654253</c:v>
                </c:pt>
                <c:pt idx="511">
                  <c:v>0.217856337086968</c:v>
                </c:pt>
                <c:pt idx="512">
                  <c:v>0.21759155577693701</c:v>
                </c:pt>
                <c:pt idx="513">
                  <c:v>0.21745609621720899</c:v>
                </c:pt>
                <c:pt idx="514">
                  <c:v>0.21718251957488499</c:v>
                </c:pt>
                <c:pt idx="515">
                  <c:v>0.21704647726408099</c:v>
                </c:pt>
                <c:pt idx="516">
                  <c:v>0.21657792620545499</c:v>
                </c:pt>
                <c:pt idx="517">
                  <c:v>0.21641844911053301</c:v>
                </c:pt>
                <c:pt idx="518">
                  <c:v>0.21636001980181799</c:v>
                </c:pt>
                <c:pt idx="519">
                  <c:v>0.21597671041630701</c:v>
                </c:pt>
                <c:pt idx="520">
                  <c:v>0.21569732343519499</c:v>
                </c:pt>
                <c:pt idx="521">
                  <c:v>0.21562262629211201</c:v>
                </c:pt>
                <c:pt idx="522">
                  <c:v>0.21533462675051501</c:v>
                </c:pt>
                <c:pt idx="523">
                  <c:v>0.214589027351265</c:v>
                </c:pt>
                <c:pt idx="524">
                  <c:v>0.21453467712205901</c:v>
                </c:pt>
                <c:pt idx="525">
                  <c:v>0.214436046269809</c:v>
                </c:pt>
                <c:pt idx="526">
                  <c:v>0.21394446463558101</c:v>
                </c:pt>
                <c:pt idx="527">
                  <c:v>0.213873393374757</c:v>
                </c:pt>
                <c:pt idx="528">
                  <c:v>0.21378254146990999</c:v>
                </c:pt>
                <c:pt idx="529">
                  <c:v>0.21294422265020099</c:v>
                </c:pt>
                <c:pt idx="530">
                  <c:v>0.212804779955205</c:v>
                </c:pt>
                <c:pt idx="531">
                  <c:v>0.212415703876246</c:v>
                </c:pt>
                <c:pt idx="532">
                  <c:v>0.21171429908841499</c:v>
                </c:pt>
                <c:pt idx="533">
                  <c:v>0.21170376431320201</c:v>
                </c:pt>
                <c:pt idx="534">
                  <c:v>0.21147844736093299</c:v>
                </c:pt>
                <c:pt idx="535">
                  <c:v>0.21141091254797401</c:v>
                </c:pt>
                <c:pt idx="536">
                  <c:v>0.21130644536491899</c:v>
                </c:pt>
                <c:pt idx="537">
                  <c:v>0.211243997849933</c:v>
                </c:pt>
                <c:pt idx="538">
                  <c:v>0.210840208641382</c:v>
                </c:pt>
                <c:pt idx="539">
                  <c:v>0.210610033755224</c:v>
                </c:pt>
                <c:pt idx="540">
                  <c:v>0.21018992258597699</c:v>
                </c:pt>
                <c:pt idx="541">
                  <c:v>0.20981806052719701</c:v>
                </c:pt>
                <c:pt idx="542">
                  <c:v>0.2098078042549</c:v>
                </c:pt>
                <c:pt idx="543">
                  <c:v>0.20974428280676999</c:v>
                </c:pt>
                <c:pt idx="544">
                  <c:v>0.20936498904770601</c:v>
                </c:pt>
                <c:pt idx="545">
                  <c:v>0.20909752132769099</c:v>
                </c:pt>
                <c:pt idx="546">
                  <c:v>0.208928659044926</c:v>
                </c:pt>
                <c:pt idx="547">
                  <c:v>0.208915639694016</c:v>
                </c:pt>
                <c:pt idx="548">
                  <c:v>0.20866566929955099</c:v>
                </c:pt>
                <c:pt idx="549">
                  <c:v>0.20820527638036301</c:v>
                </c:pt>
                <c:pt idx="550">
                  <c:v>0.208197082387547</c:v>
                </c:pt>
                <c:pt idx="551">
                  <c:v>0.208192834994674</c:v>
                </c:pt>
                <c:pt idx="552">
                  <c:v>0.207816120478134</c:v>
                </c:pt>
                <c:pt idx="553">
                  <c:v>0.2076453864526</c:v>
                </c:pt>
                <c:pt idx="554">
                  <c:v>0.20714206535678301</c:v>
                </c:pt>
                <c:pt idx="555">
                  <c:v>0.20704645526049401</c:v>
                </c:pt>
                <c:pt idx="556">
                  <c:v>0.206966407593076</c:v>
                </c:pt>
                <c:pt idx="557">
                  <c:v>0.206879142281051</c:v>
                </c:pt>
                <c:pt idx="558">
                  <c:v>0.20686477338950901</c:v>
                </c:pt>
                <c:pt idx="559">
                  <c:v>0.206601127582311</c:v>
                </c:pt>
                <c:pt idx="560">
                  <c:v>0.20637258780145601</c:v>
                </c:pt>
                <c:pt idx="561">
                  <c:v>0.206285452932013</c:v>
                </c:pt>
                <c:pt idx="562">
                  <c:v>0.20608526814610501</c:v>
                </c:pt>
                <c:pt idx="563">
                  <c:v>0.205588009793501</c:v>
                </c:pt>
                <c:pt idx="564">
                  <c:v>0.205537144415426</c:v>
                </c:pt>
                <c:pt idx="565">
                  <c:v>0.20508967328400299</c:v>
                </c:pt>
                <c:pt idx="566">
                  <c:v>0.20497735385836199</c:v>
                </c:pt>
                <c:pt idx="567">
                  <c:v>0.20461037744625801</c:v>
                </c:pt>
                <c:pt idx="568">
                  <c:v>0.20446015414417401</c:v>
                </c:pt>
                <c:pt idx="569">
                  <c:v>0.20439651045577001</c:v>
                </c:pt>
                <c:pt idx="570">
                  <c:v>0.20404105911568199</c:v>
                </c:pt>
                <c:pt idx="571">
                  <c:v>0.20366776118761101</c:v>
                </c:pt>
                <c:pt idx="572">
                  <c:v>0.203658643753858</c:v>
                </c:pt>
                <c:pt idx="573">
                  <c:v>0.203458853765839</c:v>
                </c:pt>
                <c:pt idx="574">
                  <c:v>0.20337640424276299</c:v>
                </c:pt>
                <c:pt idx="575">
                  <c:v>0.20336876533927101</c:v>
                </c:pt>
                <c:pt idx="576">
                  <c:v>0.20317421806126601</c:v>
                </c:pt>
                <c:pt idx="577">
                  <c:v>0.202587695977205</c:v>
                </c:pt>
                <c:pt idx="578">
                  <c:v>0.202074201936566</c:v>
                </c:pt>
                <c:pt idx="579">
                  <c:v>0.201937479615241</c:v>
                </c:pt>
                <c:pt idx="580">
                  <c:v>0.20191917752359001</c:v>
                </c:pt>
                <c:pt idx="581">
                  <c:v>0.20156623003427501</c:v>
                </c:pt>
                <c:pt idx="582">
                  <c:v>0.201335511631311</c:v>
                </c:pt>
                <c:pt idx="583">
                  <c:v>0.20120167456983901</c:v>
                </c:pt>
                <c:pt idx="584">
                  <c:v>0.20115364008687001</c:v>
                </c:pt>
                <c:pt idx="585">
                  <c:v>0.201003818767512</c:v>
                </c:pt>
                <c:pt idx="586">
                  <c:v>0.20099651740170399</c:v>
                </c:pt>
                <c:pt idx="587">
                  <c:v>0.20091866680826601</c:v>
                </c:pt>
                <c:pt idx="588">
                  <c:v>0.20063702150655899</c:v>
                </c:pt>
                <c:pt idx="589">
                  <c:v>0.20052173564789499</c:v>
                </c:pt>
                <c:pt idx="590">
                  <c:v>0.200375542448683</c:v>
                </c:pt>
                <c:pt idx="591">
                  <c:v>0.20035207442799899</c:v>
                </c:pt>
                <c:pt idx="592">
                  <c:v>0.20009046273747999</c:v>
                </c:pt>
                <c:pt idx="593">
                  <c:v>0.19994826296866999</c:v>
                </c:pt>
                <c:pt idx="594">
                  <c:v>0.19965190326749099</c:v>
                </c:pt>
                <c:pt idx="595">
                  <c:v>0.19957180582967499</c:v>
                </c:pt>
                <c:pt idx="596">
                  <c:v>0.19864198153168899</c:v>
                </c:pt>
                <c:pt idx="597">
                  <c:v>0.19790924723233799</c:v>
                </c:pt>
                <c:pt idx="598">
                  <c:v>0.19770178529605101</c:v>
                </c:pt>
                <c:pt idx="599">
                  <c:v>0.197664038337339</c:v>
                </c:pt>
                <c:pt idx="600">
                  <c:v>0.19717010639270399</c:v>
                </c:pt>
                <c:pt idx="601">
                  <c:v>0.19671141035336001</c:v>
                </c:pt>
                <c:pt idx="602">
                  <c:v>0.19655272200026799</c:v>
                </c:pt>
                <c:pt idx="603">
                  <c:v>0.196223768981199</c:v>
                </c:pt>
                <c:pt idx="604">
                  <c:v>0.195960552989562</c:v>
                </c:pt>
                <c:pt idx="605">
                  <c:v>0.195844010220285</c:v>
                </c:pt>
                <c:pt idx="606">
                  <c:v>0.19563405912350301</c:v>
                </c:pt>
                <c:pt idx="607">
                  <c:v>0.19538355618853701</c:v>
                </c:pt>
                <c:pt idx="608">
                  <c:v>0.19466651737196999</c:v>
                </c:pt>
                <c:pt idx="609">
                  <c:v>0.194662118079232</c:v>
                </c:pt>
                <c:pt idx="610">
                  <c:v>0.19465616117144299</c:v>
                </c:pt>
                <c:pt idx="611">
                  <c:v>0.19395303299878699</c:v>
                </c:pt>
                <c:pt idx="612">
                  <c:v>0.19364959741051699</c:v>
                </c:pt>
                <c:pt idx="613">
                  <c:v>0.19358354534125199</c:v>
                </c:pt>
                <c:pt idx="614">
                  <c:v>0.19333847695145301</c:v>
                </c:pt>
                <c:pt idx="615">
                  <c:v>0.19333390488212299</c:v>
                </c:pt>
                <c:pt idx="616">
                  <c:v>0.19323367284696</c:v>
                </c:pt>
                <c:pt idx="617">
                  <c:v>0.19322278391324199</c:v>
                </c:pt>
                <c:pt idx="618">
                  <c:v>0.19286964625344399</c:v>
                </c:pt>
                <c:pt idx="619">
                  <c:v>0.19233534081652601</c:v>
                </c:pt>
                <c:pt idx="620">
                  <c:v>0.19219809883573599</c:v>
                </c:pt>
                <c:pt idx="621">
                  <c:v>0.19213405069546899</c:v>
                </c:pt>
                <c:pt idx="622">
                  <c:v>0.19201662341266401</c:v>
                </c:pt>
                <c:pt idx="623">
                  <c:v>0.19152899280164301</c:v>
                </c:pt>
                <c:pt idx="624">
                  <c:v>0.19140037240183899</c:v>
                </c:pt>
                <c:pt idx="625">
                  <c:v>0.191334502038978</c:v>
                </c:pt>
                <c:pt idx="626">
                  <c:v>0.19099849015635101</c:v>
                </c:pt>
                <c:pt idx="627">
                  <c:v>0.19092985667022699</c:v>
                </c:pt>
                <c:pt idx="628">
                  <c:v>0.19075917360441599</c:v>
                </c:pt>
                <c:pt idx="629">
                  <c:v>0.190700708340727</c:v>
                </c:pt>
                <c:pt idx="630">
                  <c:v>0.189914414649067</c:v>
                </c:pt>
                <c:pt idx="631">
                  <c:v>0.189785995056896</c:v>
                </c:pt>
                <c:pt idx="632">
                  <c:v>0.18975007183379999</c:v>
                </c:pt>
                <c:pt idx="633">
                  <c:v>0.18966273058146399</c:v>
                </c:pt>
                <c:pt idx="634">
                  <c:v>0.188691608760128</c:v>
                </c:pt>
                <c:pt idx="635">
                  <c:v>0.18842768197300599</c:v>
                </c:pt>
                <c:pt idx="636">
                  <c:v>0.188400371296468</c:v>
                </c:pt>
                <c:pt idx="637">
                  <c:v>0.18780704866252301</c:v>
                </c:pt>
                <c:pt idx="638">
                  <c:v>0.18762481154647201</c:v>
                </c:pt>
                <c:pt idx="639">
                  <c:v>0.187605276374641</c:v>
                </c:pt>
                <c:pt idx="640">
                  <c:v>0.18701647258107301</c:v>
                </c:pt>
                <c:pt idx="641">
                  <c:v>0.18674451940933501</c:v>
                </c:pt>
                <c:pt idx="642">
                  <c:v>0.18650122864007401</c:v>
                </c:pt>
                <c:pt idx="643">
                  <c:v>0.18650035175639401</c:v>
                </c:pt>
                <c:pt idx="644">
                  <c:v>0.18607734698240599</c:v>
                </c:pt>
                <c:pt idx="645">
                  <c:v>0.18605708134004501</c:v>
                </c:pt>
                <c:pt idx="646">
                  <c:v>0.185923767847336</c:v>
                </c:pt>
                <c:pt idx="647">
                  <c:v>0.18572854208805101</c:v>
                </c:pt>
                <c:pt idx="648">
                  <c:v>0.185239969153564</c:v>
                </c:pt>
                <c:pt idx="649">
                  <c:v>0.185167618780997</c:v>
                </c:pt>
                <c:pt idx="650">
                  <c:v>0.18493123723218599</c:v>
                </c:pt>
                <c:pt idx="651">
                  <c:v>0.18434697951395501</c:v>
                </c:pt>
                <c:pt idx="652">
                  <c:v>0.184077215961718</c:v>
                </c:pt>
                <c:pt idx="653">
                  <c:v>0.18404934654081401</c:v>
                </c:pt>
                <c:pt idx="654">
                  <c:v>0.18403814480384201</c:v>
                </c:pt>
                <c:pt idx="655">
                  <c:v>0.183979880123009</c:v>
                </c:pt>
                <c:pt idx="656">
                  <c:v>0.18358234269521101</c:v>
                </c:pt>
                <c:pt idx="657">
                  <c:v>0.182462656755354</c:v>
                </c:pt>
                <c:pt idx="658">
                  <c:v>0.18219156269762399</c:v>
                </c:pt>
                <c:pt idx="659">
                  <c:v>0.18202598480931301</c:v>
                </c:pt>
                <c:pt idx="660">
                  <c:v>0.18196197865615399</c:v>
                </c:pt>
                <c:pt idx="661">
                  <c:v>0.18174366633092401</c:v>
                </c:pt>
                <c:pt idx="662">
                  <c:v>0.181082593528577</c:v>
                </c:pt>
                <c:pt idx="663">
                  <c:v>0.18076761944469599</c:v>
                </c:pt>
                <c:pt idx="664">
                  <c:v>0.180422334194134</c:v>
                </c:pt>
                <c:pt idx="665">
                  <c:v>0.180376348537273</c:v>
                </c:pt>
                <c:pt idx="666">
                  <c:v>0.17981873593151801</c:v>
                </c:pt>
                <c:pt idx="667">
                  <c:v>0.17957653374045801</c:v>
                </c:pt>
                <c:pt idx="668">
                  <c:v>0.17935242908422899</c:v>
                </c:pt>
                <c:pt idx="669">
                  <c:v>0.178903389419097</c:v>
                </c:pt>
                <c:pt idx="670">
                  <c:v>0.178478842640626</c:v>
                </c:pt>
                <c:pt idx="671">
                  <c:v>0.17795601455978199</c:v>
                </c:pt>
                <c:pt idx="672">
                  <c:v>0.17795362636074</c:v>
                </c:pt>
                <c:pt idx="673">
                  <c:v>0.17790591969611499</c:v>
                </c:pt>
                <c:pt idx="674">
                  <c:v>0.17780819840989401</c:v>
                </c:pt>
                <c:pt idx="675">
                  <c:v>0.177641741445596</c:v>
                </c:pt>
                <c:pt idx="676">
                  <c:v>0.17764121973411001</c:v>
                </c:pt>
                <c:pt idx="677">
                  <c:v>0.17751415314545399</c:v>
                </c:pt>
                <c:pt idx="678">
                  <c:v>0.177426367687258</c:v>
                </c:pt>
                <c:pt idx="679">
                  <c:v>0.17741828655053299</c:v>
                </c:pt>
                <c:pt idx="680">
                  <c:v>0.17734884425233199</c:v>
                </c:pt>
                <c:pt idx="681">
                  <c:v>0.17722977561797201</c:v>
                </c:pt>
                <c:pt idx="682">
                  <c:v>0.177163109604939</c:v>
                </c:pt>
                <c:pt idx="683">
                  <c:v>0.177085587464126</c:v>
                </c:pt>
                <c:pt idx="684">
                  <c:v>0.176793672335192</c:v>
                </c:pt>
                <c:pt idx="685">
                  <c:v>0.17677332183410899</c:v>
                </c:pt>
                <c:pt idx="686">
                  <c:v>0.176766141721799</c:v>
                </c:pt>
                <c:pt idx="687">
                  <c:v>0.176446286964482</c:v>
                </c:pt>
                <c:pt idx="688">
                  <c:v>0.176258960164585</c:v>
                </c:pt>
                <c:pt idx="689">
                  <c:v>0.17624152937696</c:v>
                </c:pt>
                <c:pt idx="690">
                  <c:v>0.176141106289949</c:v>
                </c:pt>
                <c:pt idx="691">
                  <c:v>0.17593558619716801</c:v>
                </c:pt>
                <c:pt idx="692">
                  <c:v>0.17567648396080099</c:v>
                </c:pt>
                <c:pt idx="693">
                  <c:v>0.17518387373568101</c:v>
                </c:pt>
                <c:pt idx="694">
                  <c:v>0.175021508052084</c:v>
                </c:pt>
                <c:pt idx="695">
                  <c:v>0.17494519988784801</c:v>
                </c:pt>
                <c:pt idx="696">
                  <c:v>0.17468868372570301</c:v>
                </c:pt>
                <c:pt idx="697">
                  <c:v>0.174502896362038</c:v>
                </c:pt>
                <c:pt idx="698">
                  <c:v>0.174485525850855</c:v>
                </c:pt>
                <c:pt idx="699">
                  <c:v>0.17443762581619099</c:v>
                </c:pt>
                <c:pt idx="700">
                  <c:v>0.174436750548706</c:v>
                </c:pt>
                <c:pt idx="701">
                  <c:v>0.17433432275799399</c:v>
                </c:pt>
                <c:pt idx="702">
                  <c:v>0.17413646244132999</c:v>
                </c:pt>
                <c:pt idx="703">
                  <c:v>0.17409693877680199</c:v>
                </c:pt>
                <c:pt idx="704">
                  <c:v>0.174020824603076</c:v>
                </c:pt>
                <c:pt idx="705">
                  <c:v>0.17378923490122</c:v>
                </c:pt>
                <c:pt idx="706">
                  <c:v>0.172617545520939</c:v>
                </c:pt>
                <c:pt idx="707">
                  <c:v>0.17254882455836601</c:v>
                </c:pt>
                <c:pt idx="708">
                  <c:v>0.172275874635649</c:v>
                </c:pt>
                <c:pt idx="709">
                  <c:v>0.171824143268998</c:v>
                </c:pt>
                <c:pt idx="710">
                  <c:v>0.17162019517716301</c:v>
                </c:pt>
                <c:pt idx="711">
                  <c:v>0.171515333827269</c:v>
                </c:pt>
                <c:pt idx="712">
                  <c:v>0.17136384648087</c:v>
                </c:pt>
                <c:pt idx="713">
                  <c:v>0.171331421783982</c:v>
                </c:pt>
                <c:pt idx="714">
                  <c:v>0.171273589810613</c:v>
                </c:pt>
                <c:pt idx="715">
                  <c:v>0.17108040004069899</c:v>
                </c:pt>
                <c:pt idx="716">
                  <c:v>0.170868113551291</c:v>
                </c:pt>
                <c:pt idx="717">
                  <c:v>0.17082801856704399</c:v>
                </c:pt>
                <c:pt idx="718">
                  <c:v>0.17082600458526001</c:v>
                </c:pt>
                <c:pt idx="719">
                  <c:v>0.17064538575336999</c:v>
                </c:pt>
                <c:pt idx="720">
                  <c:v>0.17033020530377299</c:v>
                </c:pt>
                <c:pt idx="721">
                  <c:v>0.16998121775365499</c:v>
                </c:pt>
                <c:pt idx="722">
                  <c:v>0.169608700505158</c:v>
                </c:pt>
                <c:pt idx="723">
                  <c:v>0.169425511716433</c:v>
                </c:pt>
                <c:pt idx="724">
                  <c:v>0.16917191320490799</c:v>
                </c:pt>
                <c:pt idx="725">
                  <c:v>0.168974512544667</c:v>
                </c:pt>
                <c:pt idx="726">
                  <c:v>0.168903220028225</c:v>
                </c:pt>
                <c:pt idx="727">
                  <c:v>0.16848997413036401</c:v>
                </c:pt>
                <c:pt idx="728">
                  <c:v>0.16816829847300099</c:v>
                </c:pt>
                <c:pt idx="729">
                  <c:v>0.16816165210070999</c:v>
                </c:pt>
                <c:pt idx="730">
                  <c:v>0.16810587284496201</c:v>
                </c:pt>
                <c:pt idx="731">
                  <c:v>0.16806196946355001</c:v>
                </c:pt>
                <c:pt idx="732">
                  <c:v>0.16795488352498</c:v>
                </c:pt>
                <c:pt idx="733">
                  <c:v>0.167484813002792</c:v>
                </c:pt>
                <c:pt idx="734">
                  <c:v>0.16731277387083801</c:v>
                </c:pt>
                <c:pt idx="735">
                  <c:v>0.16715709415598701</c:v>
                </c:pt>
                <c:pt idx="736">
                  <c:v>0.16646568598450601</c:v>
                </c:pt>
                <c:pt idx="737">
                  <c:v>0.16634505537760599</c:v>
                </c:pt>
                <c:pt idx="738">
                  <c:v>0.166339735804102</c:v>
                </c:pt>
                <c:pt idx="739">
                  <c:v>0.165847624667882</c:v>
                </c:pt>
                <c:pt idx="740">
                  <c:v>0.16582406010846801</c:v>
                </c:pt>
                <c:pt idx="741">
                  <c:v>0.16563576532876301</c:v>
                </c:pt>
                <c:pt idx="742">
                  <c:v>0.165601719273297</c:v>
                </c:pt>
                <c:pt idx="743">
                  <c:v>0.16514936685380099</c:v>
                </c:pt>
                <c:pt idx="744">
                  <c:v>0.165100690364547</c:v>
                </c:pt>
                <c:pt idx="745">
                  <c:v>0.16493314993495001</c:v>
                </c:pt>
                <c:pt idx="746">
                  <c:v>0.16479614006066701</c:v>
                </c:pt>
                <c:pt idx="747">
                  <c:v>0.163803073287452</c:v>
                </c:pt>
                <c:pt idx="748">
                  <c:v>0.163656817819295</c:v>
                </c:pt>
                <c:pt idx="749">
                  <c:v>0.163308610729169</c:v>
                </c:pt>
                <c:pt idx="750">
                  <c:v>0.163256581969033</c:v>
                </c:pt>
                <c:pt idx="751">
                  <c:v>0.16324806334773201</c:v>
                </c:pt>
                <c:pt idx="752">
                  <c:v>0.16296153231399799</c:v>
                </c:pt>
                <c:pt idx="753">
                  <c:v>0.16292640453564</c:v>
                </c:pt>
                <c:pt idx="754">
                  <c:v>0.16274473294755601</c:v>
                </c:pt>
                <c:pt idx="755">
                  <c:v>0.162640081679163</c:v>
                </c:pt>
                <c:pt idx="756">
                  <c:v>0.16261472842333499</c:v>
                </c:pt>
                <c:pt idx="757">
                  <c:v>0.16241174541835501</c:v>
                </c:pt>
                <c:pt idx="758">
                  <c:v>0.162363538684584</c:v>
                </c:pt>
                <c:pt idx="759">
                  <c:v>0.16230497451675499</c:v>
                </c:pt>
                <c:pt idx="760">
                  <c:v>0.162237950430492</c:v>
                </c:pt>
                <c:pt idx="761">
                  <c:v>0.16213120289337399</c:v>
                </c:pt>
                <c:pt idx="762">
                  <c:v>0.16187758497476401</c:v>
                </c:pt>
                <c:pt idx="763">
                  <c:v>0.16173880541477201</c:v>
                </c:pt>
                <c:pt idx="764">
                  <c:v>0.16155079577496201</c:v>
                </c:pt>
                <c:pt idx="765">
                  <c:v>0.16138822363375099</c:v>
                </c:pt>
                <c:pt idx="766">
                  <c:v>0.161200123571069</c:v>
                </c:pt>
                <c:pt idx="767">
                  <c:v>0.16111859401763701</c:v>
                </c:pt>
                <c:pt idx="768">
                  <c:v>0.16013462324704</c:v>
                </c:pt>
                <c:pt idx="769">
                  <c:v>0.16010256461893299</c:v>
                </c:pt>
                <c:pt idx="770">
                  <c:v>0.15939653327863099</c:v>
                </c:pt>
                <c:pt idx="771">
                  <c:v>0.15932615182384699</c:v>
                </c:pt>
                <c:pt idx="772">
                  <c:v>0.15915206418130701</c:v>
                </c:pt>
                <c:pt idx="773">
                  <c:v>0.158980710451326</c:v>
                </c:pt>
                <c:pt idx="774">
                  <c:v>0.15896062878192899</c:v>
                </c:pt>
                <c:pt idx="775">
                  <c:v>0.158792147264183</c:v>
                </c:pt>
                <c:pt idx="776">
                  <c:v>0.15877130830654501</c:v>
                </c:pt>
                <c:pt idx="777">
                  <c:v>0.15818004554932899</c:v>
                </c:pt>
                <c:pt idx="778">
                  <c:v>0.15808582035101301</c:v>
                </c:pt>
                <c:pt idx="779">
                  <c:v>0.15800736602107901</c:v>
                </c:pt>
                <c:pt idx="780">
                  <c:v>0.15797137751447099</c:v>
                </c:pt>
                <c:pt idx="781">
                  <c:v>0.15758853549507701</c:v>
                </c:pt>
                <c:pt idx="782">
                  <c:v>0.15693906753923201</c:v>
                </c:pt>
                <c:pt idx="783">
                  <c:v>0.15693751043136001</c:v>
                </c:pt>
                <c:pt idx="784">
                  <c:v>0.15693000933425899</c:v>
                </c:pt>
                <c:pt idx="785">
                  <c:v>0.156907504923289</c:v>
                </c:pt>
                <c:pt idx="786">
                  <c:v>0.15689731181883901</c:v>
                </c:pt>
                <c:pt idx="787">
                  <c:v>0.15680069845470099</c:v>
                </c:pt>
                <c:pt idx="788">
                  <c:v>0.15675578221831599</c:v>
                </c:pt>
                <c:pt idx="789">
                  <c:v>0.15671130246485901</c:v>
                </c:pt>
                <c:pt idx="790">
                  <c:v>0.15658551362891401</c:v>
                </c:pt>
                <c:pt idx="791">
                  <c:v>0.15646977352204799</c:v>
                </c:pt>
                <c:pt idx="792">
                  <c:v>0.15641087830762401</c:v>
                </c:pt>
                <c:pt idx="793">
                  <c:v>0.15626719672372899</c:v>
                </c:pt>
                <c:pt idx="794">
                  <c:v>0.15621299452161</c:v>
                </c:pt>
                <c:pt idx="795">
                  <c:v>0.15616993759985301</c:v>
                </c:pt>
                <c:pt idx="796">
                  <c:v>0.156047394903544</c:v>
                </c:pt>
                <c:pt idx="797">
                  <c:v>0.155753397023115</c:v>
                </c:pt>
                <c:pt idx="798">
                  <c:v>0.15566711740049199</c:v>
                </c:pt>
                <c:pt idx="799">
                  <c:v>0.155480860636136</c:v>
                </c:pt>
                <c:pt idx="800">
                  <c:v>0.154762984612386</c:v>
                </c:pt>
                <c:pt idx="801">
                  <c:v>0.15432451346803699</c:v>
                </c:pt>
                <c:pt idx="802">
                  <c:v>0.15391279005660899</c:v>
                </c:pt>
                <c:pt idx="803">
                  <c:v>0.153901317425922</c:v>
                </c:pt>
                <c:pt idx="804">
                  <c:v>0.15370482756158901</c:v>
                </c:pt>
                <c:pt idx="805">
                  <c:v>0.15342340303851701</c:v>
                </c:pt>
                <c:pt idx="806">
                  <c:v>0.153159220223649</c:v>
                </c:pt>
                <c:pt idx="807">
                  <c:v>0.15314641418712599</c:v>
                </c:pt>
                <c:pt idx="808">
                  <c:v>0.153124419653307</c:v>
                </c:pt>
                <c:pt idx="809">
                  <c:v>0.15286499541304199</c:v>
                </c:pt>
                <c:pt idx="810">
                  <c:v>0.15258096174948299</c:v>
                </c:pt>
                <c:pt idx="811">
                  <c:v>0.152580404440535</c:v>
                </c:pt>
                <c:pt idx="812">
                  <c:v>0.152515145825215</c:v>
                </c:pt>
                <c:pt idx="813">
                  <c:v>0.15240828970001499</c:v>
                </c:pt>
                <c:pt idx="814">
                  <c:v>0.151685528109302</c:v>
                </c:pt>
                <c:pt idx="815">
                  <c:v>0.151630809290072</c:v>
                </c:pt>
                <c:pt idx="816">
                  <c:v>0.151563071258382</c:v>
                </c:pt>
                <c:pt idx="817">
                  <c:v>0.151259144272961</c:v>
                </c:pt>
                <c:pt idx="818">
                  <c:v>0.151104798666158</c:v>
                </c:pt>
                <c:pt idx="819">
                  <c:v>0.15101019795061399</c:v>
                </c:pt>
                <c:pt idx="820">
                  <c:v>0.150807170576372</c:v>
                </c:pt>
                <c:pt idx="821">
                  <c:v>0.15075200197039401</c:v>
                </c:pt>
                <c:pt idx="822">
                  <c:v>0.150592351702734</c:v>
                </c:pt>
                <c:pt idx="823">
                  <c:v>0.15032984095471599</c:v>
                </c:pt>
                <c:pt idx="824">
                  <c:v>0.150306340239442</c:v>
                </c:pt>
                <c:pt idx="825">
                  <c:v>0.150227912036588</c:v>
                </c:pt>
                <c:pt idx="826">
                  <c:v>0.15014788566602799</c:v>
                </c:pt>
                <c:pt idx="827">
                  <c:v>0.15013760872951501</c:v>
                </c:pt>
                <c:pt idx="828">
                  <c:v>0.15013611433923599</c:v>
                </c:pt>
                <c:pt idx="829">
                  <c:v>0.14995510219958499</c:v>
                </c:pt>
                <c:pt idx="830">
                  <c:v>0.149804707511108</c:v>
                </c:pt>
                <c:pt idx="831">
                  <c:v>0.14979516784824601</c:v>
                </c:pt>
                <c:pt idx="832">
                  <c:v>0.149603307276889</c:v>
                </c:pt>
                <c:pt idx="833">
                  <c:v>0.149376690368935</c:v>
                </c:pt>
                <c:pt idx="834">
                  <c:v>0.149082507707121</c:v>
                </c:pt>
                <c:pt idx="835">
                  <c:v>0.14874264385913899</c:v>
                </c:pt>
                <c:pt idx="836">
                  <c:v>0.14869375861331799</c:v>
                </c:pt>
                <c:pt idx="837">
                  <c:v>0.14867650221989201</c:v>
                </c:pt>
                <c:pt idx="838">
                  <c:v>0.14832582003726799</c:v>
                </c:pt>
                <c:pt idx="839">
                  <c:v>0.14825282446188201</c:v>
                </c:pt>
                <c:pt idx="840">
                  <c:v>0.14794472917722801</c:v>
                </c:pt>
                <c:pt idx="841">
                  <c:v>0.14769223955578001</c:v>
                </c:pt>
                <c:pt idx="842">
                  <c:v>0.14731583627266201</c:v>
                </c:pt>
                <c:pt idx="843">
                  <c:v>0.14724811393447201</c:v>
                </c:pt>
                <c:pt idx="844">
                  <c:v>0.14718143379256601</c:v>
                </c:pt>
                <c:pt idx="845">
                  <c:v>0.146941025821067</c:v>
                </c:pt>
                <c:pt idx="846">
                  <c:v>0.146387185344379</c:v>
                </c:pt>
                <c:pt idx="847">
                  <c:v>0.14638528942246401</c:v>
                </c:pt>
                <c:pt idx="848">
                  <c:v>0.146319460705988</c:v>
                </c:pt>
                <c:pt idx="849">
                  <c:v>0.145916491058454</c:v>
                </c:pt>
                <c:pt idx="850">
                  <c:v>0.145793095885004</c:v>
                </c:pt>
                <c:pt idx="851">
                  <c:v>0.14577047172778601</c:v>
                </c:pt>
                <c:pt idx="852">
                  <c:v>0.14568038126504201</c:v>
                </c:pt>
                <c:pt idx="853">
                  <c:v>0.145558496664146</c:v>
                </c:pt>
                <c:pt idx="854">
                  <c:v>0.14552087785742601</c:v>
                </c:pt>
                <c:pt idx="855">
                  <c:v>0.145400676453769</c:v>
                </c:pt>
                <c:pt idx="856">
                  <c:v>0.14519890978877301</c:v>
                </c:pt>
                <c:pt idx="857">
                  <c:v>0.14479269971894601</c:v>
                </c:pt>
                <c:pt idx="858">
                  <c:v>0.14473802983565101</c:v>
                </c:pt>
                <c:pt idx="859">
                  <c:v>0.14441640193140301</c:v>
                </c:pt>
                <c:pt idx="860">
                  <c:v>0.144292996423938</c:v>
                </c:pt>
                <c:pt idx="861">
                  <c:v>0.14428597061777501</c:v>
                </c:pt>
                <c:pt idx="862">
                  <c:v>0.14407356637059501</c:v>
                </c:pt>
                <c:pt idx="863">
                  <c:v>0.143603913077059</c:v>
                </c:pt>
                <c:pt idx="864">
                  <c:v>0.143603114797308</c:v>
                </c:pt>
                <c:pt idx="865">
                  <c:v>0.14338758301542801</c:v>
                </c:pt>
                <c:pt idx="866">
                  <c:v>0.14328470621084499</c:v>
                </c:pt>
                <c:pt idx="867">
                  <c:v>0.14326523890450901</c:v>
                </c:pt>
                <c:pt idx="868">
                  <c:v>0.142929280765451</c:v>
                </c:pt>
                <c:pt idx="869">
                  <c:v>0.14282162481942801</c:v>
                </c:pt>
                <c:pt idx="870">
                  <c:v>0.14266865090870001</c:v>
                </c:pt>
                <c:pt idx="871">
                  <c:v>0.142643345050423</c:v>
                </c:pt>
                <c:pt idx="872">
                  <c:v>0.14251191465391899</c:v>
                </c:pt>
                <c:pt idx="873">
                  <c:v>0.14202779338653099</c:v>
                </c:pt>
                <c:pt idx="874">
                  <c:v>0.14196061603759</c:v>
                </c:pt>
                <c:pt idx="875">
                  <c:v>0.14171373666255599</c:v>
                </c:pt>
                <c:pt idx="876">
                  <c:v>0.141711701817472</c:v>
                </c:pt>
                <c:pt idx="877">
                  <c:v>0.14103337357760901</c:v>
                </c:pt>
                <c:pt idx="878">
                  <c:v>0.140615401548114</c:v>
                </c:pt>
                <c:pt idx="879">
                  <c:v>0.140452162356905</c:v>
                </c:pt>
                <c:pt idx="880">
                  <c:v>0.140401210272008</c:v>
                </c:pt>
                <c:pt idx="881">
                  <c:v>0.13978338142399599</c:v>
                </c:pt>
                <c:pt idx="882">
                  <c:v>0.13973251437664699</c:v>
                </c:pt>
                <c:pt idx="883">
                  <c:v>0.139710425870954</c:v>
                </c:pt>
                <c:pt idx="884">
                  <c:v>0.139568633160433</c:v>
                </c:pt>
                <c:pt idx="885">
                  <c:v>0.13946217520360801</c:v>
                </c:pt>
                <c:pt idx="886">
                  <c:v>0.13934266934225201</c:v>
                </c:pt>
                <c:pt idx="887">
                  <c:v>0.13901063966369101</c:v>
                </c:pt>
                <c:pt idx="888">
                  <c:v>0.138875522160295</c:v>
                </c:pt>
                <c:pt idx="889">
                  <c:v>0.138798979973391</c:v>
                </c:pt>
                <c:pt idx="890">
                  <c:v>0.137375488875806</c:v>
                </c:pt>
                <c:pt idx="891">
                  <c:v>0.13735017666655799</c:v>
                </c:pt>
                <c:pt idx="892">
                  <c:v>0.13732389557278801</c:v>
                </c:pt>
                <c:pt idx="893">
                  <c:v>0.13726430146946</c:v>
                </c:pt>
                <c:pt idx="894">
                  <c:v>0.13703156581261899</c:v>
                </c:pt>
                <c:pt idx="895">
                  <c:v>0.13661923358195599</c:v>
                </c:pt>
                <c:pt idx="896">
                  <c:v>0.13640486272560401</c:v>
                </c:pt>
                <c:pt idx="897">
                  <c:v>0.13608754191501801</c:v>
                </c:pt>
                <c:pt idx="898">
                  <c:v>0.135699210161946</c:v>
                </c:pt>
                <c:pt idx="899">
                  <c:v>0.135430783106433</c:v>
                </c:pt>
                <c:pt idx="900">
                  <c:v>0.135058072686907</c:v>
                </c:pt>
                <c:pt idx="901">
                  <c:v>0.134865456192995</c:v>
                </c:pt>
                <c:pt idx="902">
                  <c:v>0.13464156902635499</c:v>
                </c:pt>
                <c:pt idx="903">
                  <c:v>0.134499836005403</c:v>
                </c:pt>
                <c:pt idx="904">
                  <c:v>0.13445189265127799</c:v>
                </c:pt>
                <c:pt idx="905">
                  <c:v>0.134338693650633</c:v>
                </c:pt>
                <c:pt idx="906">
                  <c:v>0.13379003759762501</c:v>
                </c:pt>
                <c:pt idx="907">
                  <c:v>0.13356223135301901</c:v>
                </c:pt>
                <c:pt idx="908">
                  <c:v>0.133284229339204</c:v>
                </c:pt>
                <c:pt idx="909">
                  <c:v>0.13281164239065099</c:v>
                </c:pt>
                <c:pt idx="910">
                  <c:v>0.13257347012135001</c:v>
                </c:pt>
                <c:pt idx="911">
                  <c:v>0.132213329382705</c:v>
                </c:pt>
                <c:pt idx="912">
                  <c:v>0.13211376396666499</c:v>
                </c:pt>
                <c:pt idx="913">
                  <c:v>0.13210536450421201</c:v>
                </c:pt>
                <c:pt idx="914">
                  <c:v>0.132012885340373</c:v>
                </c:pt>
                <c:pt idx="915">
                  <c:v>0.13190111146394301</c:v>
                </c:pt>
                <c:pt idx="916">
                  <c:v>0.131856436810491</c:v>
                </c:pt>
                <c:pt idx="917">
                  <c:v>0.131846820374556</c:v>
                </c:pt>
                <c:pt idx="918">
                  <c:v>0.13157746270102</c:v>
                </c:pt>
                <c:pt idx="919">
                  <c:v>0.13151489117468601</c:v>
                </c:pt>
                <c:pt idx="920">
                  <c:v>0.13123944500583501</c:v>
                </c:pt>
                <c:pt idx="921">
                  <c:v>0.131133916447809</c:v>
                </c:pt>
                <c:pt idx="922">
                  <c:v>0.13103313547974499</c:v>
                </c:pt>
                <c:pt idx="923">
                  <c:v>0.13096421812362399</c:v>
                </c:pt>
                <c:pt idx="924">
                  <c:v>0.13075998095525801</c:v>
                </c:pt>
                <c:pt idx="925">
                  <c:v>0.13062783459083199</c:v>
                </c:pt>
                <c:pt idx="926">
                  <c:v>0.13057629913535199</c:v>
                </c:pt>
                <c:pt idx="927">
                  <c:v>0.13031459651233901</c:v>
                </c:pt>
                <c:pt idx="928">
                  <c:v>0.13027241946791401</c:v>
                </c:pt>
                <c:pt idx="929">
                  <c:v>0.13018293718551799</c:v>
                </c:pt>
                <c:pt idx="930">
                  <c:v>0.13017802619170199</c:v>
                </c:pt>
                <c:pt idx="931">
                  <c:v>0.13004839088037001</c:v>
                </c:pt>
                <c:pt idx="932">
                  <c:v>0.129848004376345</c:v>
                </c:pt>
                <c:pt idx="933">
                  <c:v>0.129667080102532</c:v>
                </c:pt>
                <c:pt idx="934">
                  <c:v>0.129578703778259</c:v>
                </c:pt>
                <c:pt idx="935">
                  <c:v>0.12894984133906501</c:v>
                </c:pt>
                <c:pt idx="936">
                  <c:v>0.12825146247548899</c:v>
                </c:pt>
                <c:pt idx="937">
                  <c:v>0.128070985666632</c:v>
                </c:pt>
                <c:pt idx="938">
                  <c:v>0.128025519155091</c:v>
                </c:pt>
                <c:pt idx="939">
                  <c:v>0.12776350929972599</c:v>
                </c:pt>
                <c:pt idx="940">
                  <c:v>0.12776104135444699</c:v>
                </c:pt>
                <c:pt idx="941">
                  <c:v>0.12757545893501401</c:v>
                </c:pt>
                <c:pt idx="942">
                  <c:v>0.12724644352660999</c:v>
                </c:pt>
                <c:pt idx="943">
                  <c:v>0.12706793971819999</c:v>
                </c:pt>
                <c:pt idx="944">
                  <c:v>0.12703633627067801</c:v>
                </c:pt>
                <c:pt idx="945">
                  <c:v>0.12687813832710301</c:v>
                </c:pt>
                <c:pt idx="946">
                  <c:v>0.12681349449207399</c:v>
                </c:pt>
                <c:pt idx="947">
                  <c:v>0.12667303143289699</c:v>
                </c:pt>
                <c:pt idx="948">
                  <c:v>0.126298453896281</c:v>
                </c:pt>
                <c:pt idx="949">
                  <c:v>0.12605040575976501</c:v>
                </c:pt>
                <c:pt idx="950">
                  <c:v>0.125527268280205</c:v>
                </c:pt>
                <c:pt idx="951">
                  <c:v>0.12542027992006399</c:v>
                </c:pt>
                <c:pt idx="952">
                  <c:v>0.125406018315843</c:v>
                </c:pt>
                <c:pt idx="953">
                  <c:v>0.12506412597738301</c:v>
                </c:pt>
                <c:pt idx="954">
                  <c:v>0.12501281546326701</c:v>
                </c:pt>
                <c:pt idx="955">
                  <c:v>0.124639253576321</c:v>
                </c:pt>
                <c:pt idx="956">
                  <c:v>0.123330302191064</c:v>
                </c:pt>
                <c:pt idx="957">
                  <c:v>0.123307533339256</c:v>
                </c:pt>
                <c:pt idx="958">
                  <c:v>0.12330644530927699</c:v>
                </c:pt>
                <c:pt idx="959">
                  <c:v>0.123236088323336</c:v>
                </c:pt>
                <c:pt idx="960">
                  <c:v>0.12315589315592999</c:v>
                </c:pt>
                <c:pt idx="961">
                  <c:v>0.123096747249982</c:v>
                </c:pt>
                <c:pt idx="962">
                  <c:v>0.122749300332939</c:v>
                </c:pt>
                <c:pt idx="963">
                  <c:v>0.122731339733475</c:v>
                </c:pt>
                <c:pt idx="964">
                  <c:v>0.12241273807658801</c:v>
                </c:pt>
                <c:pt idx="965">
                  <c:v>0.122239674185213</c:v>
                </c:pt>
                <c:pt idx="966">
                  <c:v>0.122152479763941</c:v>
                </c:pt>
                <c:pt idx="967">
                  <c:v>0.12198396900501</c:v>
                </c:pt>
                <c:pt idx="968">
                  <c:v>0.121760904743549</c:v>
                </c:pt>
                <c:pt idx="969">
                  <c:v>0.121643788565271</c:v>
                </c:pt>
                <c:pt idx="970">
                  <c:v>0.1215438425481</c:v>
                </c:pt>
                <c:pt idx="971">
                  <c:v>0.121236496221721</c:v>
                </c:pt>
                <c:pt idx="972">
                  <c:v>0.121188820282893</c:v>
                </c:pt>
                <c:pt idx="973">
                  <c:v>0.12093956325991601</c:v>
                </c:pt>
                <c:pt idx="974">
                  <c:v>0.120898347310621</c:v>
                </c:pt>
                <c:pt idx="975">
                  <c:v>0.120772727570112</c:v>
                </c:pt>
                <c:pt idx="976">
                  <c:v>0.12065171493818599</c:v>
                </c:pt>
                <c:pt idx="977">
                  <c:v>0.120484747972115</c:v>
                </c:pt>
                <c:pt idx="978">
                  <c:v>0.120338776243236</c:v>
                </c:pt>
                <c:pt idx="979">
                  <c:v>0.119793873806295</c:v>
                </c:pt>
                <c:pt idx="980">
                  <c:v>0.119748074976776</c:v>
                </c:pt>
                <c:pt idx="981">
                  <c:v>0.119579235706648</c:v>
                </c:pt>
                <c:pt idx="982">
                  <c:v>0.11955445964759</c:v>
                </c:pt>
                <c:pt idx="983">
                  <c:v>0.119553630117084</c:v>
                </c:pt>
                <c:pt idx="984">
                  <c:v>0.11922872308669</c:v>
                </c:pt>
                <c:pt idx="985">
                  <c:v>0.11882543618960301</c:v>
                </c:pt>
                <c:pt idx="986">
                  <c:v>0.118670695646617</c:v>
                </c:pt>
                <c:pt idx="987">
                  <c:v>0.118530304494324</c:v>
                </c:pt>
                <c:pt idx="988">
                  <c:v>0.11811334444980399</c:v>
                </c:pt>
                <c:pt idx="989">
                  <c:v>0.118088636540411</c:v>
                </c:pt>
                <c:pt idx="990">
                  <c:v>0.11793869749923901</c:v>
                </c:pt>
                <c:pt idx="991">
                  <c:v>0.117886897707314</c:v>
                </c:pt>
                <c:pt idx="992">
                  <c:v>0.117834902201211</c:v>
                </c:pt>
                <c:pt idx="993">
                  <c:v>0.11770729267573</c:v>
                </c:pt>
                <c:pt idx="994">
                  <c:v>0.117679900856448</c:v>
                </c:pt>
                <c:pt idx="995">
                  <c:v>0.11759379593977599</c:v>
                </c:pt>
                <c:pt idx="996">
                  <c:v>0.117590977819916</c:v>
                </c:pt>
                <c:pt idx="997">
                  <c:v>0.117586880260275</c:v>
                </c:pt>
                <c:pt idx="998">
                  <c:v>0.117486970327899</c:v>
                </c:pt>
                <c:pt idx="999">
                  <c:v>0.117304686126687</c:v>
                </c:pt>
                <c:pt idx="1000">
                  <c:v>0.117020343375242</c:v>
                </c:pt>
                <c:pt idx="1001">
                  <c:v>0.116907958605523</c:v>
                </c:pt>
                <c:pt idx="1002">
                  <c:v>0.116884159656395</c:v>
                </c:pt>
                <c:pt idx="1003">
                  <c:v>0.116865306930407</c:v>
                </c:pt>
                <c:pt idx="1004">
                  <c:v>0.116567718483211</c:v>
                </c:pt>
                <c:pt idx="1005">
                  <c:v>0.11637926190515201</c:v>
                </c:pt>
                <c:pt idx="1006">
                  <c:v>0.11617879783386099</c:v>
                </c:pt>
                <c:pt idx="1007">
                  <c:v>0.116175307791655</c:v>
                </c:pt>
                <c:pt idx="1008">
                  <c:v>0.11614312717290901</c:v>
                </c:pt>
                <c:pt idx="1009">
                  <c:v>0.11601638341215</c:v>
                </c:pt>
                <c:pt idx="1010">
                  <c:v>0.115816387036577</c:v>
                </c:pt>
                <c:pt idx="1011">
                  <c:v>0.115683323251547</c:v>
                </c:pt>
                <c:pt idx="1012">
                  <c:v>0.115577485214599</c:v>
                </c:pt>
                <c:pt idx="1013">
                  <c:v>0.115403820045375</c:v>
                </c:pt>
                <c:pt idx="1014">
                  <c:v>0.115367084112058</c:v>
                </c:pt>
                <c:pt idx="1015">
                  <c:v>0.114865572470902</c:v>
                </c:pt>
                <c:pt idx="1016">
                  <c:v>0.114799860138929</c:v>
                </c:pt>
                <c:pt idx="1017">
                  <c:v>0.11475264116098099</c:v>
                </c:pt>
                <c:pt idx="1018">
                  <c:v>0.114748672153881</c:v>
                </c:pt>
                <c:pt idx="1019">
                  <c:v>0.114663662842554</c:v>
                </c:pt>
                <c:pt idx="1020">
                  <c:v>0.114578322179896</c:v>
                </c:pt>
                <c:pt idx="1021">
                  <c:v>0.114227128235437</c:v>
                </c:pt>
                <c:pt idx="1022">
                  <c:v>0.11397317208711299</c:v>
                </c:pt>
                <c:pt idx="1023">
                  <c:v>0.113888609514303</c:v>
                </c:pt>
                <c:pt idx="1024">
                  <c:v>0.11362749026079801</c:v>
                </c:pt>
                <c:pt idx="1025">
                  <c:v>0.113385435814472</c:v>
                </c:pt>
                <c:pt idx="1026">
                  <c:v>0.113197223134351</c:v>
                </c:pt>
                <c:pt idx="1027">
                  <c:v>0.11316674151934999</c:v>
                </c:pt>
                <c:pt idx="1028">
                  <c:v>0.113075935211224</c:v>
                </c:pt>
                <c:pt idx="1029">
                  <c:v>0.112890685170215</c:v>
                </c:pt>
                <c:pt idx="1030">
                  <c:v>0.11277371564745001</c:v>
                </c:pt>
                <c:pt idx="1031">
                  <c:v>0.112692680001935</c:v>
                </c:pt>
                <c:pt idx="1032">
                  <c:v>0.11211413142802901</c:v>
                </c:pt>
                <c:pt idx="1033">
                  <c:v>0.11201038606741499</c:v>
                </c:pt>
                <c:pt idx="1034">
                  <c:v>0.11197542683806901</c:v>
                </c:pt>
                <c:pt idx="1035">
                  <c:v>0.11174229114961701</c:v>
                </c:pt>
                <c:pt idx="1036">
                  <c:v>0.111695432826107</c:v>
                </c:pt>
                <c:pt idx="1037">
                  <c:v>0.111519787342891</c:v>
                </c:pt>
                <c:pt idx="1038">
                  <c:v>0.111252103566853</c:v>
                </c:pt>
                <c:pt idx="1039">
                  <c:v>0.111169209224</c:v>
                </c:pt>
                <c:pt idx="1040">
                  <c:v>0.11095380143552</c:v>
                </c:pt>
                <c:pt idx="1041">
                  <c:v>0.110822179475615</c:v>
                </c:pt>
                <c:pt idx="1042">
                  <c:v>0.11075603661637</c:v>
                </c:pt>
                <c:pt idx="1043">
                  <c:v>0.110605058249733</c:v>
                </c:pt>
                <c:pt idx="1044">
                  <c:v>0.110298753016464</c:v>
                </c:pt>
                <c:pt idx="1045">
                  <c:v>0.109990977825974</c:v>
                </c:pt>
                <c:pt idx="1046">
                  <c:v>0.10978097046975401</c:v>
                </c:pt>
                <c:pt idx="1047">
                  <c:v>0.10972010890386601</c:v>
                </c:pt>
                <c:pt idx="1048">
                  <c:v>0.10926031519000701</c:v>
                </c:pt>
                <c:pt idx="1049">
                  <c:v>0.10920439858597</c:v>
                </c:pt>
                <c:pt idx="1050">
                  <c:v>0.109151784185519</c:v>
                </c:pt>
                <c:pt idx="1051">
                  <c:v>0.108895780101436</c:v>
                </c:pt>
                <c:pt idx="1052">
                  <c:v>0.108428989577476</c:v>
                </c:pt>
                <c:pt idx="1053">
                  <c:v>0.108035336039424</c:v>
                </c:pt>
                <c:pt idx="1054">
                  <c:v>0.107649684342963</c:v>
                </c:pt>
                <c:pt idx="1055">
                  <c:v>0.107610070999936</c:v>
                </c:pt>
                <c:pt idx="1056">
                  <c:v>0.107569981778065</c:v>
                </c:pt>
                <c:pt idx="1057">
                  <c:v>0.107525168854414</c:v>
                </c:pt>
                <c:pt idx="1058">
                  <c:v>0.10643552302105</c:v>
                </c:pt>
                <c:pt idx="1059">
                  <c:v>0.10616635118008901</c:v>
                </c:pt>
                <c:pt idx="1060">
                  <c:v>0.106139315802636</c:v>
                </c:pt>
                <c:pt idx="1061">
                  <c:v>0.105862864552918</c:v>
                </c:pt>
                <c:pt idx="1062">
                  <c:v>0.105441249463959</c:v>
                </c:pt>
                <c:pt idx="1063">
                  <c:v>0.105337794537728</c:v>
                </c:pt>
                <c:pt idx="1064">
                  <c:v>0.105103742106343</c:v>
                </c:pt>
                <c:pt idx="1065">
                  <c:v>0.10490530109259</c:v>
                </c:pt>
                <c:pt idx="1066">
                  <c:v>0.10463033637553899</c:v>
                </c:pt>
                <c:pt idx="1067">
                  <c:v>0.104288193254921</c:v>
                </c:pt>
                <c:pt idx="1068">
                  <c:v>0.104000767561803</c:v>
                </c:pt>
                <c:pt idx="1069">
                  <c:v>0.103989160324911</c:v>
                </c:pt>
                <c:pt idx="1070">
                  <c:v>0.103987893119104</c:v>
                </c:pt>
                <c:pt idx="1071">
                  <c:v>0.103258215286962</c:v>
                </c:pt>
                <c:pt idx="1072">
                  <c:v>0.103048634196629</c:v>
                </c:pt>
                <c:pt idx="1073">
                  <c:v>0.10299105174452799</c:v>
                </c:pt>
                <c:pt idx="1074">
                  <c:v>0.10274485538361</c:v>
                </c:pt>
                <c:pt idx="1075">
                  <c:v>0.102422023408374</c:v>
                </c:pt>
                <c:pt idx="1076">
                  <c:v>0.10234242300699201</c:v>
                </c:pt>
                <c:pt idx="1077">
                  <c:v>0.102241760488037</c:v>
                </c:pt>
                <c:pt idx="1078">
                  <c:v>0.102233378166199</c:v>
                </c:pt>
                <c:pt idx="1079">
                  <c:v>0.10195122506964099</c:v>
                </c:pt>
                <c:pt idx="1080">
                  <c:v>0.10179081075237199</c:v>
                </c:pt>
                <c:pt idx="1081">
                  <c:v>0.10173621150935599</c:v>
                </c:pt>
                <c:pt idx="1082">
                  <c:v>0.101567272551517</c:v>
                </c:pt>
                <c:pt idx="1083">
                  <c:v>0.10126998332880199</c:v>
                </c:pt>
                <c:pt idx="1084">
                  <c:v>0.101056847033139</c:v>
                </c:pt>
                <c:pt idx="1085">
                  <c:v>0.100659367349514</c:v>
                </c:pt>
                <c:pt idx="1086">
                  <c:v>0.10035729706690399</c:v>
                </c:pt>
                <c:pt idx="1087">
                  <c:v>0.100257488159891</c:v>
                </c:pt>
                <c:pt idx="1088">
                  <c:v>0.100253203459502</c:v>
                </c:pt>
                <c:pt idx="1089">
                  <c:v>0.10024799393761701</c:v>
                </c:pt>
                <c:pt idx="1090">
                  <c:v>9.9855561766361706E-2</c:v>
                </c:pt>
                <c:pt idx="1091">
                  <c:v>9.9728392807251501E-2</c:v>
                </c:pt>
                <c:pt idx="1092">
                  <c:v>9.9696522165993298E-2</c:v>
                </c:pt>
                <c:pt idx="1093">
                  <c:v>9.9402818561252299E-2</c:v>
                </c:pt>
                <c:pt idx="1094">
                  <c:v>9.9372854374949804E-2</c:v>
                </c:pt>
                <c:pt idx="1095">
                  <c:v>9.9320443356309407E-2</c:v>
                </c:pt>
                <c:pt idx="1096">
                  <c:v>9.9292461550279501E-2</c:v>
                </c:pt>
                <c:pt idx="1097">
                  <c:v>9.8848474641680104E-2</c:v>
                </c:pt>
                <c:pt idx="1098">
                  <c:v>9.86924398410296E-2</c:v>
                </c:pt>
                <c:pt idx="1099">
                  <c:v>9.8555504419505099E-2</c:v>
                </c:pt>
                <c:pt idx="1100">
                  <c:v>9.8553182807941397E-2</c:v>
                </c:pt>
                <c:pt idx="1101">
                  <c:v>9.8384952774099907E-2</c:v>
                </c:pt>
                <c:pt idx="1102">
                  <c:v>9.8291035140816302E-2</c:v>
                </c:pt>
                <c:pt idx="1103">
                  <c:v>9.8284953209316003E-2</c:v>
                </c:pt>
                <c:pt idx="1104">
                  <c:v>9.8164874251263898E-2</c:v>
                </c:pt>
                <c:pt idx="1105">
                  <c:v>9.8150350876126793E-2</c:v>
                </c:pt>
                <c:pt idx="1106">
                  <c:v>9.8088221938146605E-2</c:v>
                </c:pt>
                <c:pt idx="1107">
                  <c:v>9.8063592653351905E-2</c:v>
                </c:pt>
                <c:pt idx="1108">
                  <c:v>9.7973437799268703E-2</c:v>
                </c:pt>
                <c:pt idx="1109">
                  <c:v>9.7919027056080299E-2</c:v>
                </c:pt>
                <c:pt idx="1110">
                  <c:v>9.7770284555900297E-2</c:v>
                </c:pt>
                <c:pt idx="1111">
                  <c:v>9.7403906326069697E-2</c:v>
                </c:pt>
                <c:pt idx="1112">
                  <c:v>9.7137018608917006E-2</c:v>
                </c:pt>
                <c:pt idx="1113">
                  <c:v>9.7115753141194902E-2</c:v>
                </c:pt>
                <c:pt idx="1114">
                  <c:v>9.7027392361863501E-2</c:v>
                </c:pt>
                <c:pt idx="1115">
                  <c:v>9.6663767611911505E-2</c:v>
                </c:pt>
                <c:pt idx="1116">
                  <c:v>9.61833804166881E-2</c:v>
                </c:pt>
                <c:pt idx="1117">
                  <c:v>9.6105035165991601E-2</c:v>
                </c:pt>
                <c:pt idx="1118">
                  <c:v>9.5727012304241896E-2</c:v>
                </c:pt>
                <c:pt idx="1119">
                  <c:v>9.5702334922169202E-2</c:v>
                </c:pt>
                <c:pt idx="1120">
                  <c:v>9.5359030926777097E-2</c:v>
                </c:pt>
                <c:pt idx="1121">
                  <c:v>9.51618901917438E-2</c:v>
                </c:pt>
                <c:pt idx="1122">
                  <c:v>9.5049891719219695E-2</c:v>
                </c:pt>
                <c:pt idx="1123">
                  <c:v>9.5019146297001297E-2</c:v>
                </c:pt>
                <c:pt idx="1124">
                  <c:v>9.4942675652628997E-2</c:v>
                </c:pt>
                <c:pt idx="1125">
                  <c:v>9.46589210016857E-2</c:v>
                </c:pt>
                <c:pt idx="1126">
                  <c:v>9.4648671474772197E-2</c:v>
                </c:pt>
                <c:pt idx="1127">
                  <c:v>9.4636202945113698E-2</c:v>
                </c:pt>
                <c:pt idx="1128">
                  <c:v>9.4393656224018699E-2</c:v>
                </c:pt>
                <c:pt idx="1129">
                  <c:v>9.4191540610453095E-2</c:v>
                </c:pt>
                <c:pt idx="1130">
                  <c:v>9.4098370060146402E-2</c:v>
                </c:pt>
                <c:pt idx="1131">
                  <c:v>9.3945405091356404E-2</c:v>
                </c:pt>
                <c:pt idx="1132">
                  <c:v>9.3886959885185806E-2</c:v>
                </c:pt>
                <c:pt idx="1133">
                  <c:v>9.3862870911240695E-2</c:v>
                </c:pt>
                <c:pt idx="1134">
                  <c:v>9.3118155221911206E-2</c:v>
                </c:pt>
                <c:pt idx="1135">
                  <c:v>9.2857969539700602E-2</c:v>
                </c:pt>
                <c:pt idx="1136">
                  <c:v>9.2405387581680307E-2</c:v>
                </c:pt>
                <c:pt idx="1137">
                  <c:v>9.1800384507268601E-2</c:v>
                </c:pt>
                <c:pt idx="1138">
                  <c:v>9.1611782829453606E-2</c:v>
                </c:pt>
                <c:pt idx="1139">
                  <c:v>9.1331766614156998E-2</c:v>
                </c:pt>
                <c:pt idx="1140">
                  <c:v>9.1002114735957498E-2</c:v>
                </c:pt>
                <c:pt idx="1141">
                  <c:v>9.0908522347723703E-2</c:v>
                </c:pt>
                <c:pt idx="1142">
                  <c:v>9.0885677250535202E-2</c:v>
                </c:pt>
                <c:pt idx="1143">
                  <c:v>9.0426988616110496E-2</c:v>
                </c:pt>
                <c:pt idx="1144">
                  <c:v>9.0388632852864498E-2</c:v>
                </c:pt>
                <c:pt idx="1145">
                  <c:v>9.03319448521403E-2</c:v>
                </c:pt>
                <c:pt idx="1146">
                  <c:v>9.00590665029984E-2</c:v>
                </c:pt>
                <c:pt idx="1147">
                  <c:v>8.9763240912362804E-2</c:v>
                </c:pt>
                <c:pt idx="1148">
                  <c:v>8.9400129144579496E-2</c:v>
                </c:pt>
                <c:pt idx="1149">
                  <c:v>8.8789115717643197E-2</c:v>
                </c:pt>
                <c:pt idx="1150">
                  <c:v>8.8632683049430894E-2</c:v>
                </c:pt>
                <c:pt idx="1151">
                  <c:v>8.8493217208017297E-2</c:v>
                </c:pt>
                <c:pt idx="1152">
                  <c:v>8.8388539819887896E-2</c:v>
                </c:pt>
                <c:pt idx="1153">
                  <c:v>8.8186184011874197E-2</c:v>
                </c:pt>
                <c:pt idx="1154">
                  <c:v>8.8138269656621498E-2</c:v>
                </c:pt>
                <c:pt idx="1155">
                  <c:v>8.7843193926467805E-2</c:v>
                </c:pt>
                <c:pt idx="1156">
                  <c:v>8.7804090870221702E-2</c:v>
                </c:pt>
                <c:pt idx="1157">
                  <c:v>8.7762250804630099E-2</c:v>
                </c:pt>
                <c:pt idx="1158">
                  <c:v>8.7616002157133305E-2</c:v>
                </c:pt>
                <c:pt idx="1159">
                  <c:v>8.76116350371485E-2</c:v>
                </c:pt>
                <c:pt idx="1160">
                  <c:v>8.7596168851124603E-2</c:v>
                </c:pt>
                <c:pt idx="1161">
                  <c:v>8.7545471307375597E-2</c:v>
                </c:pt>
                <c:pt idx="1162">
                  <c:v>8.7404200516332298E-2</c:v>
                </c:pt>
                <c:pt idx="1163">
                  <c:v>8.7138581474274904E-2</c:v>
                </c:pt>
                <c:pt idx="1164">
                  <c:v>8.6972614183734698E-2</c:v>
                </c:pt>
                <c:pt idx="1165">
                  <c:v>8.6713728307067903E-2</c:v>
                </c:pt>
                <c:pt idx="1166">
                  <c:v>8.6545769340279605E-2</c:v>
                </c:pt>
                <c:pt idx="1167">
                  <c:v>8.64908094988346E-2</c:v>
                </c:pt>
                <c:pt idx="1168">
                  <c:v>8.6413996746851199E-2</c:v>
                </c:pt>
                <c:pt idx="1169">
                  <c:v>8.6289532671875793E-2</c:v>
                </c:pt>
                <c:pt idx="1170">
                  <c:v>8.6195912653327003E-2</c:v>
                </c:pt>
                <c:pt idx="1171">
                  <c:v>8.6126531122123498E-2</c:v>
                </c:pt>
                <c:pt idx="1172">
                  <c:v>8.6122052107916805E-2</c:v>
                </c:pt>
                <c:pt idx="1173">
                  <c:v>8.60836202476183E-2</c:v>
                </c:pt>
                <c:pt idx="1174">
                  <c:v>8.6054574817671495E-2</c:v>
                </c:pt>
                <c:pt idx="1175">
                  <c:v>8.5972001254873101E-2</c:v>
                </c:pt>
                <c:pt idx="1176">
                  <c:v>8.5829264633410507E-2</c:v>
                </c:pt>
                <c:pt idx="1177">
                  <c:v>8.5596407647245396E-2</c:v>
                </c:pt>
                <c:pt idx="1178">
                  <c:v>8.5546558265624795E-2</c:v>
                </c:pt>
                <c:pt idx="1179">
                  <c:v>8.5433186721801904E-2</c:v>
                </c:pt>
                <c:pt idx="1180">
                  <c:v>8.4725817672871906E-2</c:v>
                </c:pt>
                <c:pt idx="1181">
                  <c:v>8.4652703206196903E-2</c:v>
                </c:pt>
                <c:pt idx="1182">
                  <c:v>8.4466266690019498E-2</c:v>
                </c:pt>
                <c:pt idx="1183">
                  <c:v>8.4402053820102393E-2</c:v>
                </c:pt>
                <c:pt idx="1184">
                  <c:v>8.4228644464603902E-2</c:v>
                </c:pt>
                <c:pt idx="1185">
                  <c:v>8.3834003794618694E-2</c:v>
                </c:pt>
                <c:pt idx="1186">
                  <c:v>8.3580483452090307E-2</c:v>
                </c:pt>
                <c:pt idx="1187">
                  <c:v>8.3370582575296295E-2</c:v>
                </c:pt>
                <c:pt idx="1188">
                  <c:v>8.3258532212365996E-2</c:v>
                </c:pt>
                <c:pt idx="1189">
                  <c:v>8.29734687750356E-2</c:v>
                </c:pt>
                <c:pt idx="1190">
                  <c:v>8.2873665090239898E-2</c:v>
                </c:pt>
                <c:pt idx="1191">
                  <c:v>8.2753949834904098E-2</c:v>
                </c:pt>
                <c:pt idx="1192">
                  <c:v>8.22906330496916E-2</c:v>
                </c:pt>
                <c:pt idx="1193">
                  <c:v>8.2246326744947404E-2</c:v>
                </c:pt>
                <c:pt idx="1194">
                  <c:v>8.22097744866052E-2</c:v>
                </c:pt>
                <c:pt idx="1195">
                  <c:v>8.1523620826404603E-2</c:v>
                </c:pt>
                <c:pt idx="1196">
                  <c:v>8.1455391421017903E-2</c:v>
                </c:pt>
                <c:pt idx="1197">
                  <c:v>8.1452208473470497E-2</c:v>
                </c:pt>
                <c:pt idx="1198">
                  <c:v>8.1383600820058799E-2</c:v>
                </c:pt>
                <c:pt idx="1199">
                  <c:v>8.1220119373863101E-2</c:v>
                </c:pt>
                <c:pt idx="1200">
                  <c:v>8.1140801160704198E-2</c:v>
                </c:pt>
                <c:pt idx="1201">
                  <c:v>8.0907967317660701E-2</c:v>
                </c:pt>
                <c:pt idx="1202">
                  <c:v>8.0851992280230406E-2</c:v>
                </c:pt>
                <c:pt idx="1203">
                  <c:v>8.0737896241331306E-2</c:v>
                </c:pt>
                <c:pt idx="1204">
                  <c:v>8.0480868738487699E-2</c:v>
                </c:pt>
                <c:pt idx="1205">
                  <c:v>8.0393335498388799E-2</c:v>
                </c:pt>
                <c:pt idx="1206">
                  <c:v>7.9974822825133102E-2</c:v>
                </c:pt>
                <c:pt idx="1207">
                  <c:v>7.9823723779158806E-2</c:v>
                </c:pt>
                <c:pt idx="1208">
                  <c:v>7.9498833131953897E-2</c:v>
                </c:pt>
                <c:pt idx="1209">
                  <c:v>7.9396675177121206E-2</c:v>
                </c:pt>
                <c:pt idx="1210">
                  <c:v>7.9354414918275995E-2</c:v>
                </c:pt>
                <c:pt idx="1211">
                  <c:v>7.9093520249541305E-2</c:v>
                </c:pt>
                <c:pt idx="1212">
                  <c:v>7.8983027774321493E-2</c:v>
                </c:pt>
                <c:pt idx="1213">
                  <c:v>7.8659741804185807E-2</c:v>
                </c:pt>
                <c:pt idx="1214">
                  <c:v>7.8382879597760399E-2</c:v>
                </c:pt>
                <c:pt idx="1215">
                  <c:v>7.8355909862923803E-2</c:v>
                </c:pt>
                <c:pt idx="1216">
                  <c:v>7.8318363019465306E-2</c:v>
                </c:pt>
                <c:pt idx="1217">
                  <c:v>7.8216540642990898E-2</c:v>
                </c:pt>
                <c:pt idx="1218">
                  <c:v>7.7975906007671597E-2</c:v>
                </c:pt>
                <c:pt idx="1219">
                  <c:v>7.7745285641040704E-2</c:v>
                </c:pt>
                <c:pt idx="1220">
                  <c:v>7.7155649106215904E-2</c:v>
                </c:pt>
                <c:pt idx="1221">
                  <c:v>7.6999334005112399E-2</c:v>
                </c:pt>
                <c:pt idx="1222">
                  <c:v>7.6430093716386302E-2</c:v>
                </c:pt>
                <c:pt idx="1223">
                  <c:v>7.6046370389680804E-2</c:v>
                </c:pt>
                <c:pt idx="1224">
                  <c:v>7.53686090240656E-2</c:v>
                </c:pt>
                <c:pt idx="1225">
                  <c:v>7.5190364599178994E-2</c:v>
                </c:pt>
                <c:pt idx="1226">
                  <c:v>7.4950657124881401E-2</c:v>
                </c:pt>
                <c:pt idx="1227">
                  <c:v>7.4639690451683602E-2</c:v>
                </c:pt>
                <c:pt idx="1228">
                  <c:v>7.4516374127045995E-2</c:v>
                </c:pt>
                <c:pt idx="1229">
                  <c:v>7.4251377315886796E-2</c:v>
                </c:pt>
                <c:pt idx="1230">
                  <c:v>7.4141245281228493E-2</c:v>
                </c:pt>
                <c:pt idx="1231">
                  <c:v>7.4069314679518605E-2</c:v>
                </c:pt>
                <c:pt idx="1232">
                  <c:v>7.3746846861566601E-2</c:v>
                </c:pt>
                <c:pt idx="1233">
                  <c:v>7.3679671117359097E-2</c:v>
                </c:pt>
                <c:pt idx="1234">
                  <c:v>7.3670973460883707E-2</c:v>
                </c:pt>
                <c:pt idx="1235">
                  <c:v>7.3504086986305298E-2</c:v>
                </c:pt>
                <c:pt idx="1236">
                  <c:v>7.3384986276761904E-2</c:v>
                </c:pt>
                <c:pt idx="1237">
                  <c:v>7.3196630933998794E-2</c:v>
                </c:pt>
                <c:pt idx="1238">
                  <c:v>7.30181130389468E-2</c:v>
                </c:pt>
                <c:pt idx="1239">
                  <c:v>7.2999869407483195E-2</c:v>
                </c:pt>
                <c:pt idx="1240">
                  <c:v>7.2780827559729699E-2</c:v>
                </c:pt>
                <c:pt idx="1241">
                  <c:v>7.2489115662798503E-2</c:v>
                </c:pt>
                <c:pt idx="1242">
                  <c:v>7.22569105224352E-2</c:v>
                </c:pt>
                <c:pt idx="1243">
                  <c:v>7.2253317930793107E-2</c:v>
                </c:pt>
                <c:pt idx="1244">
                  <c:v>7.2069230829268402E-2</c:v>
                </c:pt>
                <c:pt idx="1245">
                  <c:v>7.1873382937676505E-2</c:v>
                </c:pt>
                <c:pt idx="1246">
                  <c:v>7.18024112228242E-2</c:v>
                </c:pt>
                <c:pt idx="1247">
                  <c:v>7.1499228230494094E-2</c:v>
                </c:pt>
                <c:pt idx="1248">
                  <c:v>7.1402550638681297E-2</c:v>
                </c:pt>
                <c:pt idx="1249">
                  <c:v>7.1393066665251997E-2</c:v>
                </c:pt>
                <c:pt idx="1250">
                  <c:v>7.1161795677812403E-2</c:v>
                </c:pt>
                <c:pt idx="1251">
                  <c:v>7.0560404871584395E-2</c:v>
                </c:pt>
                <c:pt idx="1252">
                  <c:v>7.0328327750525804E-2</c:v>
                </c:pt>
                <c:pt idx="1253">
                  <c:v>7.0239263246011499E-2</c:v>
                </c:pt>
                <c:pt idx="1254">
                  <c:v>7.0169506076041693E-2</c:v>
                </c:pt>
                <c:pt idx="1255">
                  <c:v>6.9832476987081102E-2</c:v>
                </c:pt>
                <c:pt idx="1256">
                  <c:v>6.9421569695520893E-2</c:v>
                </c:pt>
                <c:pt idx="1257">
                  <c:v>6.9276790657530604E-2</c:v>
                </c:pt>
                <c:pt idx="1258">
                  <c:v>6.8797233686520201E-2</c:v>
                </c:pt>
                <c:pt idx="1259">
                  <c:v>6.8601057257207804E-2</c:v>
                </c:pt>
                <c:pt idx="1260">
                  <c:v>6.8395512369287204E-2</c:v>
                </c:pt>
                <c:pt idx="1261">
                  <c:v>6.7724001820806706E-2</c:v>
                </c:pt>
                <c:pt idx="1262">
                  <c:v>6.7486807204888505E-2</c:v>
                </c:pt>
                <c:pt idx="1263">
                  <c:v>6.7300250512169701E-2</c:v>
                </c:pt>
                <c:pt idx="1264">
                  <c:v>6.7259747547924104E-2</c:v>
                </c:pt>
                <c:pt idx="1265">
                  <c:v>6.7194311884698696E-2</c:v>
                </c:pt>
                <c:pt idx="1266">
                  <c:v>6.6766099716594404E-2</c:v>
                </c:pt>
                <c:pt idx="1267">
                  <c:v>6.6765906805846195E-2</c:v>
                </c:pt>
                <c:pt idx="1268">
                  <c:v>6.6710119773343596E-2</c:v>
                </c:pt>
                <c:pt idx="1269">
                  <c:v>6.6621050592710604E-2</c:v>
                </c:pt>
                <c:pt idx="1270">
                  <c:v>6.6166576760666507E-2</c:v>
                </c:pt>
                <c:pt idx="1271">
                  <c:v>6.60947062405048E-2</c:v>
                </c:pt>
                <c:pt idx="1272">
                  <c:v>6.6007033436509793E-2</c:v>
                </c:pt>
                <c:pt idx="1273">
                  <c:v>6.5805341149250393E-2</c:v>
                </c:pt>
                <c:pt idx="1274">
                  <c:v>6.5704543478175295E-2</c:v>
                </c:pt>
                <c:pt idx="1275">
                  <c:v>6.5229974302028204E-2</c:v>
                </c:pt>
                <c:pt idx="1276">
                  <c:v>6.5203878406810606E-2</c:v>
                </c:pt>
                <c:pt idx="1277">
                  <c:v>6.4849087753618306E-2</c:v>
                </c:pt>
                <c:pt idx="1278">
                  <c:v>6.4605694341135306E-2</c:v>
                </c:pt>
                <c:pt idx="1279">
                  <c:v>6.4529092644347294E-2</c:v>
                </c:pt>
                <c:pt idx="1280">
                  <c:v>6.4471412996854396E-2</c:v>
                </c:pt>
                <c:pt idx="1281">
                  <c:v>6.4393867046725603E-2</c:v>
                </c:pt>
                <c:pt idx="1282">
                  <c:v>6.4034293213933002E-2</c:v>
                </c:pt>
                <c:pt idx="1283">
                  <c:v>6.38485736421813E-2</c:v>
                </c:pt>
                <c:pt idx="1284">
                  <c:v>6.3811219385492293E-2</c:v>
                </c:pt>
                <c:pt idx="1285">
                  <c:v>6.3757356218893405E-2</c:v>
                </c:pt>
                <c:pt idx="1286">
                  <c:v>6.3240278349405502E-2</c:v>
                </c:pt>
                <c:pt idx="1287">
                  <c:v>6.3194832703707099E-2</c:v>
                </c:pt>
                <c:pt idx="1288">
                  <c:v>6.3113645266047E-2</c:v>
                </c:pt>
                <c:pt idx="1289">
                  <c:v>6.2912173637547003E-2</c:v>
                </c:pt>
                <c:pt idx="1290">
                  <c:v>6.26758188109523E-2</c:v>
                </c:pt>
                <c:pt idx="1291">
                  <c:v>6.2606559777232298E-2</c:v>
                </c:pt>
                <c:pt idx="1292">
                  <c:v>6.2459505127009998E-2</c:v>
                </c:pt>
                <c:pt idx="1293">
                  <c:v>6.2324116870799397E-2</c:v>
                </c:pt>
                <c:pt idx="1294">
                  <c:v>6.2156498559243399E-2</c:v>
                </c:pt>
                <c:pt idx="1295">
                  <c:v>6.2131415073824699E-2</c:v>
                </c:pt>
                <c:pt idx="1296">
                  <c:v>6.2083464314499098E-2</c:v>
                </c:pt>
                <c:pt idx="1297">
                  <c:v>6.1924507511342902E-2</c:v>
                </c:pt>
                <c:pt idx="1298">
                  <c:v>6.1736738192739199E-2</c:v>
                </c:pt>
                <c:pt idx="1299">
                  <c:v>6.16945138016253E-2</c:v>
                </c:pt>
                <c:pt idx="1300">
                  <c:v>6.1633401820854403E-2</c:v>
                </c:pt>
                <c:pt idx="1301">
                  <c:v>6.1566189095100698E-2</c:v>
                </c:pt>
                <c:pt idx="1302">
                  <c:v>6.1079002170163599E-2</c:v>
                </c:pt>
                <c:pt idx="1303">
                  <c:v>6.1062079818262602E-2</c:v>
                </c:pt>
                <c:pt idx="1304">
                  <c:v>6.0681620345940997E-2</c:v>
                </c:pt>
                <c:pt idx="1305">
                  <c:v>6.0550355028792101E-2</c:v>
                </c:pt>
                <c:pt idx="1306">
                  <c:v>6.0376037874732703E-2</c:v>
                </c:pt>
                <c:pt idx="1307">
                  <c:v>5.9824628000805603E-2</c:v>
                </c:pt>
                <c:pt idx="1308">
                  <c:v>5.9801977333454701E-2</c:v>
                </c:pt>
                <c:pt idx="1309">
                  <c:v>5.9744129666398298E-2</c:v>
                </c:pt>
                <c:pt idx="1310">
                  <c:v>5.9019593350788303E-2</c:v>
                </c:pt>
                <c:pt idx="1311">
                  <c:v>5.8971009085929699E-2</c:v>
                </c:pt>
                <c:pt idx="1312">
                  <c:v>5.8897387707082298E-2</c:v>
                </c:pt>
                <c:pt idx="1313">
                  <c:v>5.8563416464009199E-2</c:v>
                </c:pt>
                <c:pt idx="1314">
                  <c:v>5.84316311642398E-2</c:v>
                </c:pt>
                <c:pt idx="1315">
                  <c:v>5.7742941235597298E-2</c:v>
                </c:pt>
                <c:pt idx="1316">
                  <c:v>5.7579184836551098E-2</c:v>
                </c:pt>
                <c:pt idx="1317">
                  <c:v>5.7223226766352699E-2</c:v>
                </c:pt>
                <c:pt idx="1318">
                  <c:v>5.7016226967792599E-2</c:v>
                </c:pt>
                <c:pt idx="1319">
                  <c:v>5.6960975341757598E-2</c:v>
                </c:pt>
                <c:pt idx="1320">
                  <c:v>5.6947689533314499E-2</c:v>
                </c:pt>
                <c:pt idx="1321">
                  <c:v>5.6935513099188803E-2</c:v>
                </c:pt>
                <c:pt idx="1322">
                  <c:v>5.6797443879188503E-2</c:v>
                </c:pt>
                <c:pt idx="1323">
                  <c:v>5.6035602044341201E-2</c:v>
                </c:pt>
                <c:pt idx="1324">
                  <c:v>5.5979664048979201E-2</c:v>
                </c:pt>
                <c:pt idx="1325">
                  <c:v>5.58850556141232E-2</c:v>
                </c:pt>
                <c:pt idx="1326">
                  <c:v>5.5622631930480101E-2</c:v>
                </c:pt>
                <c:pt idx="1327">
                  <c:v>5.5523860415409999E-2</c:v>
                </c:pt>
                <c:pt idx="1328">
                  <c:v>5.5330963586485801E-2</c:v>
                </c:pt>
                <c:pt idx="1329">
                  <c:v>5.5014527544036199E-2</c:v>
                </c:pt>
                <c:pt idx="1330">
                  <c:v>5.4574826125821901E-2</c:v>
                </c:pt>
                <c:pt idx="1331">
                  <c:v>5.4029660730251901E-2</c:v>
                </c:pt>
                <c:pt idx="1332">
                  <c:v>5.3852200424993703E-2</c:v>
                </c:pt>
                <c:pt idx="1333">
                  <c:v>5.3441114294268899E-2</c:v>
                </c:pt>
                <c:pt idx="1334">
                  <c:v>5.3366445285021699E-2</c:v>
                </c:pt>
                <c:pt idx="1335">
                  <c:v>5.3215720101496597E-2</c:v>
                </c:pt>
                <c:pt idx="1336">
                  <c:v>5.2343998585024303E-2</c:v>
                </c:pt>
                <c:pt idx="1337">
                  <c:v>5.22548288456232E-2</c:v>
                </c:pt>
                <c:pt idx="1338">
                  <c:v>5.2106766583177401E-2</c:v>
                </c:pt>
                <c:pt idx="1339">
                  <c:v>5.20800907909265E-2</c:v>
                </c:pt>
                <c:pt idx="1340">
                  <c:v>5.2079575074373802E-2</c:v>
                </c:pt>
                <c:pt idx="1341">
                  <c:v>5.2016522469579399E-2</c:v>
                </c:pt>
                <c:pt idx="1342">
                  <c:v>5.1834129035616502E-2</c:v>
                </c:pt>
                <c:pt idx="1343">
                  <c:v>5.17571502473399E-2</c:v>
                </c:pt>
                <c:pt idx="1344">
                  <c:v>5.1499298049186903E-2</c:v>
                </c:pt>
                <c:pt idx="1345">
                  <c:v>5.1236626123151899E-2</c:v>
                </c:pt>
                <c:pt idx="1346">
                  <c:v>5.0981985194836703E-2</c:v>
                </c:pt>
                <c:pt idx="1347">
                  <c:v>5.0918386760780802E-2</c:v>
                </c:pt>
                <c:pt idx="1348">
                  <c:v>5.07971959710894E-2</c:v>
                </c:pt>
                <c:pt idx="1349">
                  <c:v>5.0690661662089E-2</c:v>
                </c:pt>
                <c:pt idx="1350">
                  <c:v>5.0296651082861098E-2</c:v>
                </c:pt>
                <c:pt idx="1351">
                  <c:v>5.0285494005046498E-2</c:v>
                </c:pt>
                <c:pt idx="1352">
                  <c:v>4.97983347201187E-2</c:v>
                </c:pt>
                <c:pt idx="1353">
                  <c:v>4.9689062909023599E-2</c:v>
                </c:pt>
                <c:pt idx="1354">
                  <c:v>4.96697016933225E-2</c:v>
                </c:pt>
                <c:pt idx="1355">
                  <c:v>4.9395955164926897E-2</c:v>
                </c:pt>
                <c:pt idx="1356">
                  <c:v>4.9027221037410598E-2</c:v>
                </c:pt>
                <c:pt idx="1357">
                  <c:v>4.8579928918271301E-2</c:v>
                </c:pt>
                <c:pt idx="1358">
                  <c:v>4.8343431747746399E-2</c:v>
                </c:pt>
                <c:pt idx="1359">
                  <c:v>4.8002615078259099E-2</c:v>
                </c:pt>
                <c:pt idx="1360">
                  <c:v>4.7910067760953599E-2</c:v>
                </c:pt>
                <c:pt idx="1361">
                  <c:v>4.77125114997905E-2</c:v>
                </c:pt>
                <c:pt idx="1362">
                  <c:v>4.7626393768653297E-2</c:v>
                </c:pt>
                <c:pt idx="1363">
                  <c:v>4.7323857126926397E-2</c:v>
                </c:pt>
                <c:pt idx="1364">
                  <c:v>4.7240012830382198E-2</c:v>
                </c:pt>
                <c:pt idx="1365">
                  <c:v>4.72128236364271E-2</c:v>
                </c:pt>
                <c:pt idx="1366">
                  <c:v>4.7204722961109002E-2</c:v>
                </c:pt>
                <c:pt idx="1367">
                  <c:v>4.6978061725755298E-2</c:v>
                </c:pt>
                <c:pt idx="1368">
                  <c:v>4.6369905061790097E-2</c:v>
                </c:pt>
                <c:pt idx="1369">
                  <c:v>4.6146274249014498E-2</c:v>
                </c:pt>
                <c:pt idx="1370">
                  <c:v>4.6134748829103601E-2</c:v>
                </c:pt>
                <c:pt idx="1371">
                  <c:v>4.5713590247586998E-2</c:v>
                </c:pt>
                <c:pt idx="1372">
                  <c:v>4.5558369166561502E-2</c:v>
                </c:pt>
                <c:pt idx="1373">
                  <c:v>4.5455103433331701E-2</c:v>
                </c:pt>
                <c:pt idx="1374">
                  <c:v>4.5425303328972502E-2</c:v>
                </c:pt>
                <c:pt idx="1375">
                  <c:v>4.52459959202033E-2</c:v>
                </c:pt>
                <c:pt idx="1376">
                  <c:v>4.4912928865280199E-2</c:v>
                </c:pt>
                <c:pt idx="1377">
                  <c:v>4.44271126355636E-2</c:v>
                </c:pt>
                <c:pt idx="1378">
                  <c:v>4.44031229797546E-2</c:v>
                </c:pt>
                <c:pt idx="1379">
                  <c:v>4.3879497809568402E-2</c:v>
                </c:pt>
                <c:pt idx="1380">
                  <c:v>4.3854832511776201E-2</c:v>
                </c:pt>
                <c:pt idx="1381">
                  <c:v>4.3796235542986499E-2</c:v>
                </c:pt>
                <c:pt idx="1382">
                  <c:v>4.34192733039079E-2</c:v>
                </c:pt>
                <c:pt idx="1383">
                  <c:v>4.32983597444212E-2</c:v>
                </c:pt>
                <c:pt idx="1384">
                  <c:v>4.2773572961904198E-2</c:v>
                </c:pt>
                <c:pt idx="1385">
                  <c:v>4.2652229445199502E-2</c:v>
                </c:pt>
                <c:pt idx="1386">
                  <c:v>4.2137521469858302E-2</c:v>
                </c:pt>
                <c:pt idx="1387">
                  <c:v>4.18332917387364E-2</c:v>
                </c:pt>
                <c:pt idx="1388">
                  <c:v>4.13811392084555E-2</c:v>
                </c:pt>
                <c:pt idx="1389">
                  <c:v>4.0978121764210403E-2</c:v>
                </c:pt>
                <c:pt idx="1390">
                  <c:v>4.0693759143699902E-2</c:v>
                </c:pt>
                <c:pt idx="1391">
                  <c:v>4.0684466491972597E-2</c:v>
                </c:pt>
                <c:pt idx="1392">
                  <c:v>4.05636233791433E-2</c:v>
                </c:pt>
                <c:pt idx="1393">
                  <c:v>4.0048602790239703E-2</c:v>
                </c:pt>
                <c:pt idx="1394">
                  <c:v>3.9822983745640902E-2</c:v>
                </c:pt>
                <c:pt idx="1395">
                  <c:v>3.9623699249155098E-2</c:v>
                </c:pt>
                <c:pt idx="1396">
                  <c:v>3.91167302910145E-2</c:v>
                </c:pt>
                <c:pt idx="1397">
                  <c:v>3.8893439316356797E-2</c:v>
                </c:pt>
                <c:pt idx="1398">
                  <c:v>3.8074343252809499E-2</c:v>
                </c:pt>
                <c:pt idx="1399">
                  <c:v>3.78028048074978E-2</c:v>
                </c:pt>
                <c:pt idx="1400">
                  <c:v>3.7643523385101699E-2</c:v>
                </c:pt>
                <c:pt idx="1401">
                  <c:v>3.7326345043355698E-2</c:v>
                </c:pt>
                <c:pt idx="1402">
                  <c:v>3.7326344680630202E-2</c:v>
                </c:pt>
                <c:pt idx="1403">
                  <c:v>3.6711293305368001E-2</c:v>
                </c:pt>
                <c:pt idx="1404">
                  <c:v>3.6572687637344302E-2</c:v>
                </c:pt>
                <c:pt idx="1405">
                  <c:v>3.58840100109497E-2</c:v>
                </c:pt>
                <c:pt idx="1406">
                  <c:v>3.5769598278168398E-2</c:v>
                </c:pt>
                <c:pt idx="1407">
                  <c:v>3.5714821655005002E-2</c:v>
                </c:pt>
                <c:pt idx="1408">
                  <c:v>3.54300103982544E-2</c:v>
                </c:pt>
                <c:pt idx="1409">
                  <c:v>3.4456491216211603E-2</c:v>
                </c:pt>
                <c:pt idx="1410">
                  <c:v>3.4338964300021001E-2</c:v>
                </c:pt>
                <c:pt idx="1411">
                  <c:v>3.3684878388960802E-2</c:v>
                </c:pt>
                <c:pt idx="1412">
                  <c:v>3.3667281127006399E-2</c:v>
                </c:pt>
                <c:pt idx="1413">
                  <c:v>3.3523747672566301E-2</c:v>
                </c:pt>
                <c:pt idx="1414">
                  <c:v>3.3106084860909699E-2</c:v>
                </c:pt>
                <c:pt idx="1415">
                  <c:v>3.2865579305165801E-2</c:v>
                </c:pt>
                <c:pt idx="1416">
                  <c:v>3.2325996481411899E-2</c:v>
                </c:pt>
                <c:pt idx="1417">
                  <c:v>3.15865920633355E-2</c:v>
                </c:pt>
                <c:pt idx="1418">
                  <c:v>3.0842220579841401E-2</c:v>
                </c:pt>
                <c:pt idx="1419">
                  <c:v>3.02139102497864E-2</c:v>
                </c:pt>
                <c:pt idx="1420">
                  <c:v>3.0161479493656801E-2</c:v>
                </c:pt>
                <c:pt idx="1421">
                  <c:v>2.96326160122437E-2</c:v>
                </c:pt>
                <c:pt idx="1422">
                  <c:v>2.9418706657066699E-2</c:v>
                </c:pt>
                <c:pt idx="1423">
                  <c:v>2.9412076895431499E-2</c:v>
                </c:pt>
                <c:pt idx="1424">
                  <c:v>2.9144557068867E-2</c:v>
                </c:pt>
                <c:pt idx="1425">
                  <c:v>2.9037843364058302E-2</c:v>
                </c:pt>
                <c:pt idx="1426">
                  <c:v>2.8398912696797202E-2</c:v>
                </c:pt>
                <c:pt idx="1427">
                  <c:v>2.8298769341554501E-2</c:v>
                </c:pt>
                <c:pt idx="1428">
                  <c:v>2.8155994777764901E-2</c:v>
                </c:pt>
                <c:pt idx="1429">
                  <c:v>2.8064917776899501E-2</c:v>
                </c:pt>
                <c:pt idx="1430">
                  <c:v>2.7784252370094999E-2</c:v>
                </c:pt>
                <c:pt idx="1431">
                  <c:v>2.75791295048869E-2</c:v>
                </c:pt>
                <c:pt idx="1432">
                  <c:v>2.7381382498947799E-2</c:v>
                </c:pt>
                <c:pt idx="1433">
                  <c:v>2.7352882116967198E-2</c:v>
                </c:pt>
                <c:pt idx="1434">
                  <c:v>2.7042544375107801E-2</c:v>
                </c:pt>
                <c:pt idx="1435">
                  <c:v>2.6778413666797E-2</c:v>
                </c:pt>
                <c:pt idx="1436">
                  <c:v>2.6467127193095099E-2</c:v>
                </c:pt>
                <c:pt idx="1437">
                  <c:v>2.5916199616859099E-2</c:v>
                </c:pt>
                <c:pt idx="1438">
                  <c:v>2.5858438625430798E-2</c:v>
                </c:pt>
                <c:pt idx="1439">
                  <c:v>2.53741442828039E-2</c:v>
                </c:pt>
                <c:pt idx="1440">
                  <c:v>2.5300741748789601E-2</c:v>
                </c:pt>
                <c:pt idx="1441">
                  <c:v>2.5002058626641E-2</c:v>
                </c:pt>
                <c:pt idx="1442">
                  <c:v>2.4933315991601701E-2</c:v>
                </c:pt>
                <c:pt idx="1443">
                  <c:v>2.4534206503591501E-2</c:v>
                </c:pt>
                <c:pt idx="1444">
                  <c:v>2.4291682650496801E-2</c:v>
                </c:pt>
                <c:pt idx="1445">
                  <c:v>2.41579035334962E-2</c:v>
                </c:pt>
                <c:pt idx="1446">
                  <c:v>2.3859771682423099E-2</c:v>
                </c:pt>
                <c:pt idx="1447">
                  <c:v>2.3364096773893499E-2</c:v>
                </c:pt>
                <c:pt idx="1448">
                  <c:v>2.3314500854562499E-2</c:v>
                </c:pt>
                <c:pt idx="1449">
                  <c:v>2.2955944211200001E-2</c:v>
                </c:pt>
                <c:pt idx="1450">
                  <c:v>2.2806501472954498E-2</c:v>
                </c:pt>
                <c:pt idx="1451">
                  <c:v>2.2665194901780199E-2</c:v>
                </c:pt>
                <c:pt idx="1452">
                  <c:v>2.21051932679046E-2</c:v>
                </c:pt>
                <c:pt idx="1453">
                  <c:v>2.1299917440456399E-2</c:v>
                </c:pt>
                <c:pt idx="1454">
                  <c:v>2.1162211301280001E-2</c:v>
                </c:pt>
                <c:pt idx="1455">
                  <c:v>2.0953294974668898E-2</c:v>
                </c:pt>
                <c:pt idx="1456">
                  <c:v>2.0485996501535202E-2</c:v>
                </c:pt>
                <c:pt idx="1457">
                  <c:v>1.9427229175787899E-2</c:v>
                </c:pt>
                <c:pt idx="1458">
                  <c:v>1.9225016552264499E-2</c:v>
                </c:pt>
                <c:pt idx="1459">
                  <c:v>1.8832178106280101E-2</c:v>
                </c:pt>
                <c:pt idx="1460">
                  <c:v>1.85375515766972E-2</c:v>
                </c:pt>
                <c:pt idx="1461">
                  <c:v>1.8332960849327E-2</c:v>
                </c:pt>
                <c:pt idx="1462">
                  <c:v>1.7671569051666398E-2</c:v>
                </c:pt>
                <c:pt idx="1463">
                  <c:v>1.7124346818588401E-2</c:v>
                </c:pt>
                <c:pt idx="1464">
                  <c:v>1.6832169744706998E-2</c:v>
                </c:pt>
                <c:pt idx="1465">
                  <c:v>1.6761098699614198E-2</c:v>
                </c:pt>
                <c:pt idx="1466">
                  <c:v>1.6554617886673801E-2</c:v>
                </c:pt>
                <c:pt idx="1467">
                  <c:v>1.63361594240128E-2</c:v>
                </c:pt>
                <c:pt idx="1468">
                  <c:v>1.61858963781434E-2</c:v>
                </c:pt>
                <c:pt idx="1469">
                  <c:v>1.56048889420269E-2</c:v>
                </c:pt>
                <c:pt idx="1470">
                  <c:v>1.4861870094776301E-2</c:v>
                </c:pt>
                <c:pt idx="1471">
                  <c:v>1.4579038144222199E-2</c:v>
                </c:pt>
                <c:pt idx="1472">
                  <c:v>1.43499791994887E-2</c:v>
                </c:pt>
                <c:pt idx="1473">
                  <c:v>1.43409229673549E-2</c:v>
                </c:pt>
                <c:pt idx="1474">
                  <c:v>1.43386886123879E-2</c:v>
                </c:pt>
                <c:pt idx="1475">
                  <c:v>1.4295747190565099E-2</c:v>
                </c:pt>
                <c:pt idx="1476">
                  <c:v>1.41929327734788E-2</c:v>
                </c:pt>
                <c:pt idx="1477">
                  <c:v>1.3610305355213299E-2</c:v>
                </c:pt>
                <c:pt idx="1478">
                  <c:v>1.34907339256411E-2</c:v>
                </c:pt>
                <c:pt idx="1479">
                  <c:v>1.30027033077511E-2</c:v>
                </c:pt>
                <c:pt idx="1480">
                  <c:v>1.1258449689740701E-2</c:v>
                </c:pt>
                <c:pt idx="1481">
                  <c:v>1.1238436642469001E-2</c:v>
                </c:pt>
                <c:pt idx="1482">
                  <c:v>1.1206173178829E-2</c:v>
                </c:pt>
                <c:pt idx="1483">
                  <c:v>1.1058126939345599E-2</c:v>
                </c:pt>
                <c:pt idx="1484">
                  <c:v>1.05532474793487E-2</c:v>
                </c:pt>
                <c:pt idx="1485">
                  <c:v>9.4258152172578807E-3</c:v>
                </c:pt>
                <c:pt idx="1486">
                  <c:v>9.1805414419932792E-3</c:v>
                </c:pt>
                <c:pt idx="1487">
                  <c:v>8.3137919278832399E-3</c:v>
                </c:pt>
                <c:pt idx="1488">
                  <c:v>6.7769631901644402E-3</c:v>
                </c:pt>
                <c:pt idx="1489">
                  <c:v>6.4508727357576101E-3</c:v>
                </c:pt>
                <c:pt idx="1490">
                  <c:v>5.8177936625364701E-3</c:v>
                </c:pt>
                <c:pt idx="1491">
                  <c:v>4.0533862663264001E-3</c:v>
                </c:pt>
                <c:pt idx="1492">
                  <c:v>2.3881260774648101E-3</c:v>
                </c:pt>
                <c:pt idx="1493">
                  <c:v>1.4263122687384101E-3</c:v>
                </c:pt>
              </c:numCache>
            </c:numRef>
          </c:xVal>
          <c:yVal>
            <c:numRef>
              <c:f>[0]!SevCDFValueRange</c:f>
              <c:numCache>
                <c:formatCode>General</c:formatCode>
                <c:ptCount val="1494"/>
                <c:pt idx="0">
                  <c:v>1</c:v>
                </c:pt>
                <c:pt idx="1">
                  <c:v>0.99933065595716197</c:v>
                </c:pt>
                <c:pt idx="2">
                  <c:v>0.99866131191432395</c:v>
                </c:pt>
                <c:pt idx="3">
                  <c:v>0.99799196787148592</c:v>
                </c:pt>
                <c:pt idx="4">
                  <c:v>0.99732262382864789</c:v>
                </c:pt>
                <c:pt idx="5">
                  <c:v>0.99665327978580986</c:v>
                </c:pt>
                <c:pt idx="6">
                  <c:v>0.99598393574297184</c:v>
                </c:pt>
                <c:pt idx="7">
                  <c:v>0.99531459170013392</c:v>
                </c:pt>
                <c:pt idx="8">
                  <c:v>0.99464524765729589</c:v>
                </c:pt>
                <c:pt idx="9">
                  <c:v>0.99397590361445787</c:v>
                </c:pt>
                <c:pt idx="10">
                  <c:v>0.99330655957161984</c:v>
                </c:pt>
                <c:pt idx="11">
                  <c:v>0.99263721552878181</c:v>
                </c:pt>
                <c:pt idx="12">
                  <c:v>0.99196787148594379</c:v>
                </c:pt>
                <c:pt idx="13">
                  <c:v>0.99129852744310576</c:v>
                </c:pt>
                <c:pt idx="14">
                  <c:v>0.99062918340026773</c:v>
                </c:pt>
                <c:pt idx="15">
                  <c:v>0.98995983935742971</c:v>
                </c:pt>
                <c:pt idx="16">
                  <c:v>0.98929049531459168</c:v>
                </c:pt>
                <c:pt idx="17">
                  <c:v>0.98862115127175365</c:v>
                </c:pt>
                <c:pt idx="18">
                  <c:v>0.98795180722891562</c:v>
                </c:pt>
                <c:pt idx="19">
                  <c:v>0.9872824631860776</c:v>
                </c:pt>
                <c:pt idx="20">
                  <c:v>0.98661311914323957</c:v>
                </c:pt>
                <c:pt idx="21">
                  <c:v>0.98594377510040165</c:v>
                </c:pt>
                <c:pt idx="22">
                  <c:v>0.98527443105756363</c:v>
                </c:pt>
                <c:pt idx="23">
                  <c:v>0.9846050870147256</c:v>
                </c:pt>
                <c:pt idx="24">
                  <c:v>0.98393574297188757</c:v>
                </c:pt>
                <c:pt idx="25">
                  <c:v>0.98326639892904955</c:v>
                </c:pt>
                <c:pt idx="26">
                  <c:v>0.98259705488621152</c:v>
                </c:pt>
                <c:pt idx="27">
                  <c:v>0.98192771084337349</c:v>
                </c:pt>
                <c:pt idx="28">
                  <c:v>0.98125836680053546</c:v>
                </c:pt>
                <c:pt idx="29">
                  <c:v>0.98058902275769744</c:v>
                </c:pt>
                <c:pt idx="30">
                  <c:v>0.97991967871485941</c:v>
                </c:pt>
                <c:pt idx="31">
                  <c:v>0.97925033467202138</c:v>
                </c:pt>
                <c:pt idx="32">
                  <c:v>0.97858099062918336</c:v>
                </c:pt>
                <c:pt idx="33">
                  <c:v>0.97791164658634533</c:v>
                </c:pt>
                <c:pt idx="34">
                  <c:v>0.97724230254350741</c:v>
                </c:pt>
                <c:pt idx="35">
                  <c:v>0.97657295850066939</c:v>
                </c:pt>
                <c:pt idx="36">
                  <c:v>0.97590361445783136</c:v>
                </c:pt>
                <c:pt idx="37">
                  <c:v>0.97523427041499333</c:v>
                </c:pt>
                <c:pt idx="38">
                  <c:v>0.9745649263721553</c:v>
                </c:pt>
                <c:pt idx="39">
                  <c:v>0.97389558232931728</c:v>
                </c:pt>
                <c:pt idx="40">
                  <c:v>0.97322623828647925</c:v>
                </c:pt>
                <c:pt idx="41">
                  <c:v>0.97255689424364122</c:v>
                </c:pt>
                <c:pt idx="42">
                  <c:v>0.9718875502008032</c:v>
                </c:pt>
                <c:pt idx="43">
                  <c:v>0.97121820615796517</c:v>
                </c:pt>
                <c:pt idx="44">
                  <c:v>0.97054886211512714</c:v>
                </c:pt>
                <c:pt idx="45">
                  <c:v>0.96987951807228912</c:v>
                </c:pt>
                <c:pt idx="46">
                  <c:v>0.96921017402945109</c:v>
                </c:pt>
                <c:pt idx="47">
                  <c:v>0.96854082998661317</c:v>
                </c:pt>
                <c:pt idx="48">
                  <c:v>0.96787148594377514</c:v>
                </c:pt>
                <c:pt idx="49">
                  <c:v>0.96720214190093712</c:v>
                </c:pt>
                <c:pt idx="50">
                  <c:v>0.96653279785809909</c:v>
                </c:pt>
                <c:pt idx="51">
                  <c:v>0.96586345381526106</c:v>
                </c:pt>
                <c:pt idx="52">
                  <c:v>0.96519410977242304</c:v>
                </c:pt>
                <c:pt idx="53">
                  <c:v>0.96452476572958501</c:v>
                </c:pt>
                <c:pt idx="54">
                  <c:v>0.96385542168674698</c:v>
                </c:pt>
                <c:pt idx="55">
                  <c:v>0.96318607764390896</c:v>
                </c:pt>
                <c:pt idx="56">
                  <c:v>0.96251673360107093</c:v>
                </c:pt>
                <c:pt idx="57">
                  <c:v>0.9618473895582329</c:v>
                </c:pt>
                <c:pt idx="58">
                  <c:v>0.96117804551539487</c:v>
                </c:pt>
                <c:pt idx="59">
                  <c:v>0.96050870147255685</c:v>
                </c:pt>
                <c:pt idx="60">
                  <c:v>0.95983935742971882</c:v>
                </c:pt>
                <c:pt idx="61">
                  <c:v>0.9591700133868809</c:v>
                </c:pt>
                <c:pt idx="62">
                  <c:v>0.95850066934404288</c:v>
                </c:pt>
                <c:pt idx="63">
                  <c:v>0.95783132530120485</c:v>
                </c:pt>
                <c:pt idx="64">
                  <c:v>0.95716198125836682</c:v>
                </c:pt>
                <c:pt idx="65">
                  <c:v>0.9564926372155288</c:v>
                </c:pt>
                <c:pt idx="66">
                  <c:v>0.95582329317269077</c:v>
                </c:pt>
                <c:pt idx="67">
                  <c:v>0.95515394912985274</c:v>
                </c:pt>
                <c:pt idx="68">
                  <c:v>0.95448460508701471</c:v>
                </c:pt>
                <c:pt idx="69">
                  <c:v>0.95381526104417669</c:v>
                </c:pt>
                <c:pt idx="70">
                  <c:v>0.95314591700133866</c:v>
                </c:pt>
                <c:pt idx="71">
                  <c:v>0.95247657295850063</c:v>
                </c:pt>
                <c:pt idx="72">
                  <c:v>0.95180722891566261</c:v>
                </c:pt>
                <c:pt idx="73">
                  <c:v>0.95113788487282458</c:v>
                </c:pt>
                <c:pt idx="74">
                  <c:v>0.95046854082998666</c:v>
                </c:pt>
                <c:pt idx="75">
                  <c:v>0.94979919678714864</c:v>
                </c:pt>
                <c:pt idx="76">
                  <c:v>0.94912985274431061</c:v>
                </c:pt>
                <c:pt idx="77">
                  <c:v>0.94846050870147258</c:v>
                </c:pt>
                <c:pt idx="78">
                  <c:v>0.94779116465863456</c:v>
                </c:pt>
                <c:pt idx="79">
                  <c:v>0.94712182061579653</c:v>
                </c:pt>
                <c:pt idx="80">
                  <c:v>0.9464524765729585</c:v>
                </c:pt>
                <c:pt idx="81">
                  <c:v>0.94578313253012047</c:v>
                </c:pt>
                <c:pt idx="82">
                  <c:v>0.94511378848728245</c:v>
                </c:pt>
                <c:pt idx="83">
                  <c:v>0.94444444444444442</c:v>
                </c:pt>
                <c:pt idx="84">
                  <c:v>0.94377510040160639</c:v>
                </c:pt>
                <c:pt idx="85">
                  <c:v>0.94310575635876837</c:v>
                </c:pt>
                <c:pt idx="86">
                  <c:v>0.94243641231593034</c:v>
                </c:pt>
                <c:pt idx="87">
                  <c:v>0.94176706827309242</c:v>
                </c:pt>
                <c:pt idx="88">
                  <c:v>0.9410977242302544</c:v>
                </c:pt>
                <c:pt idx="89">
                  <c:v>0.94042838018741637</c:v>
                </c:pt>
                <c:pt idx="90">
                  <c:v>0.93975903614457834</c:v>
                </c:pt>
                <c:pt idx="91">
                  <c:v>0.93908969210174031</c:v>
                </c:pt>
                <c:pt idx="92">
                  <c:v>0.93842034805890229</c:v>
                </c:pt>
                <c:pt idx="93">
                  <c:v>0.93775100401606426</c:v>
                </c:pt>
                <c:pt idx="94">
                  <c:v>0.93708165997322623</c:v>
                </c:pt>
                <c:pt idx="95">
                  <c:v>0.93641231593038821</c:v>
                </c:pt>
                <c:pt idx="96">
                  <c:v>0.93574297188755018</c:v>
                </c:pt>
                <c:pt idx="97">
                  <c:v>0.93507362784471215</c:v>
                </c:pt>
                <c:pt idx="98">
                  <c:v>0.93440428380187412</c:v>
                </c:pt>
                <c:pt idx="99">
                  <c:v>0.9337349397590361</c:v>
                </c:pt>
                <c:pt idx="100">
                  <c:v>0.93306559571619807</c:v>
                </c:pt>
                <c:pt idx="101">
                  <c:v>0.93239625167336015</c:v>
                </c:pt>
                <c:pt idx="102">
                  <c:v>0.93172690763052213</c:v>
                </c:pt>
                <c:pt idx="103">
                  <c:v>0.9310575635876841</c:v>
                </c:pt>
                <c:pt idx="104">
                  <c:v>0.93038821954484607</c:v>
                </c:pt>
                <c:pt idx="105">
                  <c:v>0.92971887550200805</c:v>
                </c:pt>
                <c:pt idx="106">
                  <c:v>0.92904953145917002</c:v>
                </c:pt>
                <c:pt idx="107">
                  <c:v>0.92838018741633199</c:v>
                </c:pt>
                <c:pt idx="108">
                  <c:v>0.92771084337349397</c:v>
                </c:pt>
                <c:pt idx="109">
                  <c:v>0.92704149933065594</c:v>
                </c:pt>
                <c:pt idx="110">
                  <c:v>0.92637215528781791</c:v>
                </c:pt>
                <c:pt idx="111">
                  <c:v>0.92570281124497988</c:v>
                </c:pt>
                <c:pt idx="112">
                  <c:v>0.92503346720214186</c:v>
                </c:pt>
                <c:pt idx="113">
                  <c:v>0.92436412315930383</c:v>
                </c:pt>
                <c:pt idx="114">
                  <c:v>0.92369477911646591</c:v>
                </c:pt>
                <c:pt idx="115">
                  <c:v>0.92302543507362789</c:v>
                </c:pt>
                <c:pt idx="116">
                  <c:v>0.92235609103078986</c:v>
                </c:pt>
                <c:pt idx="117">
                  <c:v>0.92168674698795183</c:v>
                </c:pt>
                <c:pt idx="118">
                  <c:v>0.92101740294511381</c:v>
                </c:pt>
                <c:pt idx="119">
                  <c:v>0.92034805890227578</c:v>
                </c:pt>
                <c:pt idx="120">
                  <c:v>0.91967871485943775</c:v>
                </c:pt>
                <c:pt idx="121">
                  <c:v>0.91900937081659972</c:v>
                </c:pt>
                <c:pt idx="122">
                  <c:v>0.9183400267737617</c:v>
                </c:pt>
                <c:pt idx="123">
                  <c:v>0.91767068273092367</c:v>
                </c:pt>
                <c:pt idx="124">
                  <c:v>0.91700133868808564</c:v>
                </c:pt>
                <c:pt idx="125">
                  <c:v>0.91633199464524762</c:v>
                </c:pt>
                <c:pt idx="126">
                  <c:v>0.91566265060240959</c:v>
                </c:pt>
                <c:pt idx="127">
                  <c:v>0.91499330655957167</c:v>
                </c:pt>
                <c:pt idx="128">
                  <c:v>0.91432396251673365</c:v>
                </c:pt>
                <c:pt idx="129">
                  <c:v>0.91365461847389562</c:v>
                </c:pt>
                <c:pt idx="130">
                  <c:v>0.91298527443105759</c:v>
                </c:pt>
                <c:pt idx="131">
                  <c:v>0.91231593038821956</c:v>
                </c:pt>
                <c:pt idx="132">
                  <c:v>0.91164658634538154</c:v>
                </c:pt>
                <c:pt idx="133">
                  <c:v>0.91097724230254351</c:v>
                </c:pt>
                <c:pt idx="134">
                  <c:v>0.91030789825970548</c:v>
                </c:pt>
                <c:pt idx="135">
                  <c:v>0.90963855421686746</c:v>
                </c:pt>
                <c:pt idx="136">
                  <c:v>0.90896921017402943</c:v>
                </c:pt>
                <c:pt idx="137">
                  <c:v>0.9082998661311914</c:v>
                </c:pt>
                <c:pt idx="138">
                  <c:v>0.90763052208835338</c:v>
                </c:pt>
                <c:pt idx="139">
                  <c:v>0.90696117804551535</c:v>
                </c:pt>
                <c:pt idx="140">
                  <c:v>0.90629183400267732</c:v>
                </c:pt>
                <c:pt idx="141">
                  <c:v>0.90562248995983941</c:v>
                </c:pt>
                <c:pt idx="142">
                  <c:v>0.90495314591700138</c:v>
                </c:pt>
                <c:pt idx="143">
                  <c:v>0.90428380187416335</c:v>
                </c:pt>
                <c:pt idx="144">
                  <c:v>0.90361445783132532</c:v>
                </c:pt>
                <c:pt idx="145">
                  <c:v>0.9029451137884873</c:v>
                </c:pt>
                <c:pt idx="146">
                  <c:v>0.90227576974564927</c:v>
                </c:pt>
                <c:pt idx="147">
                  <c:v>0.90160642570281124</c:v>
                </c:pt>
                <c:pt idx="148">
                  <c:v>0.90093708165997322</c:v>
                </c:pt>
                <c:pt idx="149">
                  <c:v>0.90026773761713519</c:v>
                </c:pt>
                <c:pt idx="150">
                  <c:v>0.89959839357429716</c:v>
                </c:pt>
                <c:pt idx="151">
                  <c:v>0.89892904953145913</c:v>
                </c:pt>
                <c:pt idx="152">
                  <c:v>0.89825970548862111</c:v>
                </c:pt>
                <c:pt idx="153">
                  <c:v>0.89759036144578308</c:v>
                </c:pt>
                <c:pt idx="154">
                  <c:v>0.89692101740294516</c:v>
                </c:pt>
                <c:pt idx="155">
                  <c:v>0.89625167336010714</c:v>
                </c:pt>
                <c:pt idx="156">
                  <c:v>0.89558232931726911</c:v>
                </c:pt>
                <c:pt idx="157">
                  <c:v>0.89491298527443108</c:v>
                </c:pt>
                <c:pt idx="158">
                  <c:v>0.89424364123159306</c:v>
                </c:pt>
                <c:pt idx="159">
                  <c:v>0.89357429718875503</c:v>
                </c:pt>
                <c:pt idx="160">
                  <c:v>0.892904953145917</c:v>
                </c:pt>
                <c:pt idx="161">
                  <c:v>0.89223560910307897</c:v>
                </c:pt>
                <c:pt idx="162">
                  <c:v>0.89156626506024095</c:v>
                </c:pt>
                <c:pt idx="163">
                  <c:v>0.89089692101740292</c:v>
                </c:pt>
                <c:pt idx="164">
                  <c:v>0.89022757697456489</c:v>
                </c:pt>
                <c:pt idx="165">
                  <c:v>0.88955823293172687</c:v>
                </c:pt>
                <c:pt idx="166">
                  <c:v>0.88888888888888884</c:v>
                </c:pt>
                <c:pt idx="167">
                  <c:v>0.88821954484605092</c:v>
                </c:pt>
                <c:pt idx="168">
                  <c:v>0.8875502008032129</c:v>
                </c:pt>
                <c:pt idx="169">
                  <c:v>0.88688085676037487</c:v>
                </c:pt>
                <c:pt idx="170">
                  <c:v>0.88621151271753684</c:v>
                </c:pt>
                <c:pt idx="171">
                  <c:v>0.88554216867469882</c:v>
                </c:pt>
                <c:pt idx="172">
                  <c:v>0.88487282463186079</c:v>
                </c:pt>
                <c:pt idx="173">
                  <c:v>0.88420348058902276</c:v>
                </c:pt>
                <c:pt idx="174">
                  <c:v>0.88353413654618473</c:v>
                </c:pt>
                <c:pt idx="175">
                  <c:v>0.88286479250334671</c:v>
                </c:pt>
                <c:pt idx="176">
                  <c:v>0.88219544846050868</c:v>
                </c:pt>
                <c:pt idx="177">
                  <c:v>0.88152610441767065</c:v>
                </c:pt>
                <c:pt idx="178">
                  <c:v>0.88085676037483263</c:v>
                </c:pt>
                <c:pt idx="179">
                  <c:v>0.8801874163319946</c:v>
                </c:pt>
                <c:pt idx="180">
                  <c:v>0.87951807228915657</c:v>
                </c:pt>
                <c:pt idx="181">
                  <c:v>0.87884872824631866</c:v>
                </c:pt>
                <c:pt idx="182">
                  <c:v>0.87817938420348063</c:v>
                </c:pt>
                <c:pt idx="183">
                  <c:v>0.8775100401606426</c:v>
                </c:pt>
                <c:pt idx="184">
                  <c:v>0.87684069611780457</c:v>
                </c:pt>
                <c:pt idx="185">
                  <c:v>0.87617135207496655</c:v>
                </c:pt>
                <c:pt idx="186">
                  <c:v>0.87550200803212852</c:v>
                </c:pt>
                <c:pt idx="187">
                  <c:v>0.87483266398929049</c:v>
                </c:pt>
                <c:pt idx="188">
                  <c:v>0.87416331994645247</c:v>
                </c:pt>
                <c:pt idx="189">
                  <c:v>0.87349397590361444</c:v>
                </c:pt>
                <c:pt idx="190">
                  <c:v>0.87282463186077641</c:v>
                </c:pt>
                <c:pt idx="191">
                  <c:v>0.87215528781793838</c:v>
                </c:pt>
                <c:pt idx="192">
                  <c:v>0.87148594377510036</c:v>
                </c:pt>
                <c:pt idx="193">
                  <c:v>0.87081659973226233</c:v>
                </c:pt>
                <c:pt idx="194">
                  <c:v>0.87014725568942441</c:v>
                </c:pt>
                <c:pt idx="195">
                  <c:v>0.86947791164658639</c:v>
                </c:pt>
                <c:pt idx="196">
                  <c:v>0.86880856760374836</c:v>
                </c:pt>
                <c:pt idx="197">
                  <c:v>0.86813922356091033</c:v>
                </c:pt>
                <c:pt idx="198">
                  <c:v>0.86746987951807231</c:v>
                </c:pt>
                <c:pt idx="199">
                  <c:v>0.86680053547523428</c:v>
                </c:pt>
                <c:pt idx="200">
                  <c:v>0.86613119143239625</c:v>
                </c:pt>
                <c:pt idx="201">
                  <c:v>0.86546184738955823</c:v>
                </c:pt>
                <c:pt idx="202">
                  <c:v>0.8647925033467202</c:v>
                </c:pt>
                <c:pt idx="203">
                  <c:v>0.86412315930388217</c:v>
                </c:pt>
                <c:pt idx="204">
                  <c:v>0.86345381526104414</c:v>
                </c:pt>
                <c:pt idx="205">
                  <c:v>0.86278447121820612</c:v>
                </c:pt>
                <c:pt idx="206">
                  <c:v>0.86211512717536809</c:v>
                </c:pt>
                <c:pt idx="207">
                  <c:v>0.86144578313253017</c:v>
                </c:pt>
                <c:pt idx="208">
                  <c:v>0.86077643908969215</c:v>
                </c:pt>
                <c:pt idx="209">
                  <c:v>0.86010709504685412</c:v>
                </c:pt>
                <c:pt idx="210">
                  <c:v>0.85943775100401609</c:v>
                </c:pt>
                <c:pt idx="211">
                  <c:v>0.85876840696117807</c:v>
                </c:pt>
                <c:pt idx="212">
                  <c:v>0.85809906291834004</c:v>
                </c:pt>
                <c:pt idx="213">
                  <c:v>0.85742971887550201</c:v>
                </c:pt>
                <c:pt idx="214">
                  <c:v>0.85676037483266398</c:v>
                </c:pt>
                <c:pt idx="215">
                  <c:v>0.85609103078982596</c:v>
                </c:pt>
                <c:pt idx="216">
                  <c:v>0.85542168674698793</c:v>
                </c:pt>
                <c:pt idx="217">
                  <c:v>0.8547523427041499</c:v>
                </c:pt>
                <c:pt idx="218">
                  <c:v>0.85408299866131188</c:v>
                </c:pt>
                <c:pt idx="219">
                  <c:v>0.85341365461847385</c:v>
                </c:pt>
                <c:pt idx="220">
                  <c:v>0.85274431057563582</c:v>
                </c:pt>
                <c:pt idx="221">
                  <c:v>0.85207496653279791</c:v>
                </c:pt>
                <c:pt idx="222">
                  <c:v>0.85140562248995988</c:v>
                </c:pt>
                <c:pt idx="223">
                  <c:v>0.85073627844712185</c:v>
                </c:pt>
                <c:pt idx="224">
                  <c:v>0.85006693440428382</c:v>
                </c:pt>
                <c:pt idx="225">
                  <c:v>0.8493975903614458</c:v>
                </c:pt>
                <c:pt idx="226">
                  <c:v>0.84872824631860777</c:v>
                </c:pt>
                <c:pt idx="227">
                  <c:v>0.84805890227576974</c:v>
                </c:pt>
                <c:pt idx="228">
                  <c:v>0.84738955823293172</c:v>
                </c:pt>
                <c:pt idx="229">
                  <c:v>0.84672021419009369</c:v>
                </c:pt>
                <c:pt idx="230">
                  <c:v>0.84605087014725566</c:v>
                </c:pt>
                <c:pt idx="231">
                  <c:v>0.84538152610441764</c:v>
                </c:pt>
                <c:pt idx="232">
                  <c:v>0.84471218206157961</c:v>
                </c:pt>
                <c:pt idx="233">
                  <c:v>0.84404283801874158</c:v>
                </c:pt>
                <c:pt idx="234">
                  <c:v>0.84337349397590367</c:v>
                </c:pt>
                <c:pt idx="235">
                  <c:v>0.84270414993306564</c:v>
                </c:pt>
                <c:pt idx="236">
                  <c:v>0.84203480589022761</c:v>
                </c:pt>
                <c:pt idx="237">
                  <c:v>0.84136546184738958</c:v>
                </c:pt>
                <c:pt idx="238">
                  <c:v>0.84069611780455156</c:v>
                </c:pt>
                <c:pt idx="239">
                  <c:v>0.84002677376171353</c:v>
                </c:pt>
                <c:pt idx="240">
                  <c:v>0.8393574297188755</c:v>
                </c:pt>
                <c:pt idx="241">
                  <c:v>0.83868808567603748</c:v>
                </c:pt>
                <c:pt idx="242">
                  <c:v>0.83801874163319945</c:v>
                </c:pt>
                <c:pt idx="243">
                  <c:v>0.83734939759036142</c:v>
                </c:pt>
                <c:pt idx="244">
                  <c:v>0.83668005354752339</c:v>
                </c:pt>
                <c:pt idx="245">
                  <c:v>0.83601070950468537</c:v>
                </c:pt>
                <c:pt idx="246">
                  <c:v>0.83534136546184734</c:v>
                </c:pt>
                <c:pt idx="247">
                  <c:v>0.83467202141900942</c:v>
                </c:pt>
                <c:pt idx="248">
                  <c:v>0.8340026773761714</c:v>
                </c:pt>
                <c:pt idx="249">
                  <c:v>0.83333333333333337</c:v>
                </c:pt>
                <c:pt idx="250">
                  <c:v>0.83266398929049534</c:v>
                </c:pt>
                <c:pt idx="251">
                  <c:v>0.83199464524765732</c:v>
                </c:pt>
                <c:pt idx="252">
                  <c:v>0.83132530120481929</c:v>
                </c:pt>
                <c:pt idx="253">
                  <c:v>0.83065595716198126</c:v>
                </c:pt>
                <c:pt idx="254">
                  <c:v>0.82998661311914324</c:v>
                </c:pt>
                <c:pt idx="255">
                  <c:v>0.82931726907630521</c:v>
                </c:pt>
                <c:pt idx="256">
                  <c:v>0.82864792503346718</c:v>
                </c:pt>
                <c:pt idx="257">
                  <c:v>0.82797858099062915</c:v>
                </c:pt>
                <c:pt idx="258">
                  <c:v>0.82730923694779113</c:v>
                </c:pt>
                <c:pt idx="259">
                  <c:v>0.8266398929049531</c:v>
                </c:pt>
                <c:pt idx="260">
                  <c:v>0.82597054886211507</c:v>
                </c:pt>
                <c:pt idx="261">
                  <c:v>0.82530120481927716</c:v>
                </c:pt>
                <c:pt idx="262">
                  <c:v>0.82463186077643913</c:v>
                </c:pt>
                <c:pt idx="263">
                  <c:v>0.8239625167336011</c:v>
                </c:pt>
                <c:pt idx="264">
                  <c:v>0.82329317269076308</c:v>
                </c:pt>
                <c:pt idx="265">
                  <c:v>0.82262382864792505</c:v>
                </c:pt>
                <c:pt idx="266">
                  <c:v>0.82195448460508702</c:v>
                </c:pt>
                <c:pt idx="267">
                  <c:v>0.82128514056224899</c:v>
                </c:pt>
                <c:pt idx="268">
                  <c:v>0.82061579651941097</c:v>
                </c:pt>
                <c:pt idx="269">
                  <c:v>0.81994645247657294</c:v>
                </c:pt>
                <c:pt idx="270">
                  <c:v>0.81927710843373491</c:v>
                </c:pt>
                <c:pt idx="271">
                  <c:v>0.81860776439089689</c:v>
                </c:pt>
                <c:pt idx="272">
                  <c:v>0.81793842034805886</c:v>
                </c:pt>
                <c:pt idx="273">
                  <c:v>0.81726907630522083</c:v>
                </c:pt>
                <c:pt idx="274">
                  <c:v>0.81659973226238292</c:v>
                </c:pt>
                <c:pt idx="275">
                  <c:v>0.81593038821954489</c:v>
                </c:pt>
                <c:pt idx="276">
                  <c:v>0.81526104417670686</c:v>
                </c:pt>
                <c:pt idx="277">
                  <c:v>0.81459170013386883</c:v>
                </c:pt>
                <c:pt idx="278">
                  <c:v>0.81392235609103081</c:v>
                </c:pt>
                <c:pt idx="279">
                  <c:v>0.81325301204819278</c:v>
                </c:pt>
                <c:pt idx="280">
                  <c:v>0.81258366800535475</c:v>
                </c:pt>
                <c:pt idx="281">
                  <c:v>0.81191432396251673</c:v>
                </c:pt>
                <c:pt idx="282">
                  <c:v>0.8112449799196787</c:v>
                </c:pt>
                <c:pt idx="283">
                  <c:v>0.81057563587684067</c:v>
                </c:pt>
                <c:pt idx="284">
                  <c:v>0.80990629183400265</c:v>
                </c:pt>
                <c:pt idx="285">
                  <c:v>0.80923694779116462</c:v>
                </c:pt>
                <c:pt idx="286">
                  <c:v>0.80856760374832659</c:v>
                </c:pt>
                <c:pt idx="287">
                  <c:v>0.80789825970548867</c:v>
                </c:pt>
                <c:pt idx="288">
                  <c:v>0.80722891566265065</c:v>
                </c:pt>
                <c:pt idx="289">
                  <c:v>0.80655957161981262</c:v>
                </c:pt>
                <c:pt idx="290">
                  <c:v>0.80589022757697459</c:v>
                </c:pt>
                <c:pt idx="291">
                  <c:v>0.80522088353413657</c:v>
                </c:pt>
                <c:pt idx="292">
                  <c:v>0.80455153949129854</c:v>
                </c:pt>
                <c:pt idx="293">
                  <c:v>0.80388219544846051</c:v>
                </c:pt>
                <c:pt idx="294">
                  <c:v>0.80321285140562249</c:v>
                </c:pt>
                <c:pt idx="295">
                  <c:v>0.80254350736278446</c:v>
                </c:pt>
                <c:pt idx="296">
                  <c:v>0.80187416331994643</c:v>
                </c:pt>
                <c:pt idx="297">
                  <c:v>0.8012048192771084</c:v>
                </c:pt>
                <c:pt idx="298">
                  <c:v>0.80053547523427038</c:v>
                </c:pt>
                <c:pt idx="299">
                  <c:v>0.79986613119143235</c:v>
                </c:pt>
                <c:pt idx="300">
                  <c:v>0.79919678714859432</c:v>
                </c:pt>
                <c:pt idx="301">
                  <c:v>0.79852744310575641</c:v>
                </c:pt>
                <c:pt idx="302">
                  <c:v>0.79785809906291838</c:v>
                </c:pt>
                <c:pt idx="303">
                  <c:v>0.79718875502008035</c:v>
                </c:pt>
                <c:pt idx="304">
                  <c:v>0.79651941097724233</c:v>
                </c:pt>
                <c:pt idx="305">
                  <c:v>0.7958500669344043</c:v>
                </c:pt>
                <c:pt idx="306">
                  <c:v>0.79518072289156627</c:v>
                </c:pt>
                <c:pt idx="307">
                  <c:v>0.79451137884872824</c:v>
                </c:pt>
                <c:pt idx="308">
                  <c:v>0.79384203480589022</c:v>
                </c:pt>
                <c:pt idx="309">
                  <c:v>0.79317269076305219</c:v>
                </c:pt>
                <c:pt idx="310">
                  <c:v>0.79250334672021416</c:v>
                </c:pt>
                <c:pt idx="311">
                  <c:v>0.79183400267737614</c:v>
                </c:pt>
                <c:pt idx="312">
                  <c:v>0.79116465863453811</c:v>
                </c:pt>
                <c:pt idx="313">
                  <c:v>0.79049531459170008</c:v>
                </c:pt>
                <c:pt idx="314">
                  <c:v>0.78982597054886217</c:v>
                </c:pt>
                <c:pt idx="315">
                  <c:v>0.78915662650602414</c:v>
                </c:pt>
                <c:pt idx="316">
                  <c:v>0.78848728246318611</c:v>
                </c:pt>
                <c:pt idx="317">
                  <c:v>0.78781793842034809</c:v>
                </c:pt>
                <c:pt idx="318">
                  <c:v>0.78714859437751006</c:v>
                </c:pt>
                <c:pt idx="319">
                  <c:v>0.78647925033467203</c:v>
                </c:pt>
                <c:pt idx="320">
                  <c:v>0.785809906291834</c:v>
                </c:pt>
                <c:pt idx="321">
                  <c:v>0.78514056224899598</c:v>
                </c:pt>
                <c:pt idx="322">
                  <c:v>0.78447121820615795</c:v>
                </c:pt>
                <c:pt idx="323">
                  <c:v>0.78380187416331992</c:v>
                </c:pt>
                <c:pt idx="324">
                  <c:v>0.7831325301204819</c:v>
                </c:pt>
                <c:pt idx="325">
                  <c:v>0.78246318607764387</c:v>
                </c:pt>
                <c:pt idx="326">
                  <c:v>0.78179384203480584</c:v>
                </c:pt>
                <c:pt idx="327">
                  <c:v>0.78112449799196793</c:v>
                </c:pt>
                <c:pt idx="328">
                  <c:v>0.7804551539491299</c:v>
                </c:pt>
                <c:pt idx="329">
                  <c:v>0.77978580990629187</c:v>
                </c:pt>
                <c:pt idx="330">
                  <c:v>0.77911646586345384</c:v>
                </c:pt>
                <c:pt idx="331">
                  <c:v>0.77844712182061582</c:v>
                </c:pt>
                <c:pt idx="332">
                  <c:v>0.77777777777777779</c:v>
                </c:pt>
                <c:pt idx="333">
                  <c:v>0.77710843373493976</c:v>
                </c:pt>
                <c:pt idx="334">
                  <c:v>0.77643908969210174</c:v>
                </c:pt>
                <c:pt idx="335">
                  <c:v>0.77576974564926371</c:v>
                </c:pt>
                <c:pt idx="336">
                  <c:v>0.77510040160642568</c:v>
                </c:pt>
                <c:pt idx="337">
                  <c:v>0.77443105756358765</c:v>
                </c:pt>
                <c:pt idx="338">
                  <c:v>0.77376171352074963</c:v>
                </c:pt>
                <c:pt idx="339">
                  <c:v>0.7730923694779116</c:v>
                </c:pt>
                <c:pt idx="340">
                  <c:v>0.77242302543507357</c:v>
                </c:pt>
                <c:pt idx="341">
                  <c:v>0.77175368139223566</c:v>
                </c:pt>
                <c:pt idx="342">
                  <c:v>0.77108433734939763</c:v>
                </c:pt>
                <c:pt idx="343">
                  <c:v>0.7704149933065596</c:v>
                </c:pt>
                <c:pt idx="344">
                  <c:v>0.76974564926372158</c:v>
                </c:pt>
                <c:pt idx="345">
                  <c:v>0.76907630522088355</c:v>
                </c:pt>
                <c:pt idx="346">
                  <c:v>0.76840696117804552</c:v>
                </c:pt>
                <c:pt idx="347">
                  <c:v>0.7677376171352075</c:v>
                </c:pt>
                <c:pt idx="348">
                  <c:v>0.76706827309236947</c:v>
                </c:pt>
                <c:pt idx="349">
                  <c:v>0.76639892904953144</c:v>
                </c:pt>
                <c:pt idx="350">
                  <c:v>0.76572958500669341</c:v>
                </c:pt>
                <c:pt idx="351">
                  <c:v>0.76506024096385539</c:v>
                </c:pt>
                <c:pt idx="352">
                  <c:v>0.76439089692101736</c:v>
                </c:pt>
                <c:pt idx="353">
                  <c:v>0.76372155287817933</c:v>
                </c:pt>
                <c:pt idx="354">
                  <c:v>0.76305220883534142</c:v>
                </c:pt>
                <c:pt idx="355">
                  <c:v>0.76238286479250339</c:v>
                </c:pt>
                <c:pt idx="356">
                  <c:v>0.76171352074966536</c:v>
                </c:pt>
                <c:pt idx="357">
                  <c:v>0.76104417670682734</c:v>
                </c:pt>
                <c:pt idx="358">
                  <c:v>0.76037483266398931</c:v>
                </c:pt>
                <c:pt idx="359">
                  <c:v>0.75970548862115128</c:v>
                </c:pt>
                <c:pt idx="360">
                  <c:v>0.75903614457831325</c:v>
                </c:pt>
                <c:pt idx="361">
                  <c:v>0.75836680053547523</c:v>
                </c:pt>
                <c:pt idx="362">
                  <c:v>0.7576974564926372</c:v>
                </c:pt>
                <c:pt idx="363">
                  <c:v>0.75702811244979917</c:v>
                </c:pt>
                <c:pt idx="364">
                  <c:v>0.75635876840696115</c:v>
                </c:pt>
                <c:pt idx="365">
                  <c:v>0.75568942436412312</c:v>
                </c:pt>
                <c:pt idx="366">
                  <c:v>0.75502008032128509</c:v>
                </c:pt>
                <c:pt idx="367">
                  <c:v>0.75435073627844718</c:v>
                </c:pt>
                <c:pt idx="368">
                  <c:v>0.75368139223560915</c:v>
                </c:pt>
                <c:pt idx="369">
                  <c:v>0.75301204819277112</c:v>
                </c:pt>
                <c:pt idx="370">
                  <c:v>0.75234270414993309</c:v>
                </c:pt>
                <c:pt idx="371">
                  <c:v>0.75167336010709507</c:v>
                </c:pt>
                <c:pt idx="372">
                  <c:v>0.75100401606425704</c:v>
                </c:pt>
                <c:pt idx="373">
                  <c:v>0.75033467202141901</c:v>
                </c:pt>
                <c:pt idx="374">
                  <c:v>0.74966532797858099</c:v>
                </c:pt>
                <c:pt idx="375">
                  <c:v>0.74899598393574296</c:v>
                </c:pt>
                <c:pt idx="376">
                  <c:v>0.74832663989290493</c:v>
                </c:pt>
                <c:pt idx="377">
                  <c:v>0.74765729585006691</c:v>
                </c:pt>
                <c:pt idx="378">
                  <c:v>0.74698795180722888</c:v>
                </c:pt>
                <c:pt idx="379">
                  <c:v>0.74631860776439085</c:v>
                </c:pt>
                <c:pt idx="380">
                  <c:v>0.74564926372155282</c:v>
                </c:pt>
                <c:pt idx="381">
                  <c:v>0.74497991967871491</c:v>
                </c:pt>
                <c:pt idx="382">
                  <c:v>0.74431057563587688</c:v>
                </c:pt>
                <c:pt idx="383">
                  <c:v>0.74364123159303885</c:v>
                </c:pt>
                <c:pt idx="384">
                  <c:v>0.74297188755020083</c:v>
                </c:pt>
                <c:pt idx="385">
                  <c:v>0.7423025435073628</c:v>
                </c:pt>
                <c:pt idx="386">
                  <c:v>0.74163319946452477</c:v>
                </c:pt>
                <c:pt idx="387">
                  <c:v>0.74096385542168675</c:v>
                </c:pt>
                <c:pt idx="388">
                  <c:v>0.74029451137884872</c:v>
                </c:pt>
                <c:pt idx="389">
                  <c:v>0.73962516733601069</c:v>
                </c:pt>
                <c:pt idx="390">
                  <c:v>0.73895582329317266</c:v>
                </c:pt>
                <c:pt idx="391">
                  <c:v>0.73828647925033464</c:v>
                </c:pt>
                <c:pt idx="392">
                  <c:v>0.73761713520749661</c:v>
                </c:pt>
                <c:pt idx="393">
                  <c:v>0.73694779116465858</c:v>
                </c:pt>
                <c:pt idx="394">
                  <c:v>0.73627844712182067</c:v>
                </c:pt>
                <c:pt idx="395">
                  <c:v>0.73560910307898264</c:v>
                </c:pt>
                <c:pt idx="396">
                  <c:v>0.73493975903614461</c:v>
                </c:pt>
                <c:pt idx="397">
                  <c:v>0.73427041499330659</c:v>
                </c:pt>
                <c:pt idx="398">
                  <c:v>0.73360107095046856</c:v>
                </c:pt>
                <c:pt idx="399">
                  <c:v>0.73293172690763053</c:v>
                </c:pt>
                <c:pt idx="400">
                  <c:v>0.7322623828647925</c:v>
                </c:pt>
                <c:pt idx="401">
                  <c:v>0.73159303882195448</c:v>
                </c:pt>
                <c:pt idx="402">
                  <c:v>0.73092369477911645</c:v>
                </c:pt>
                <c:pt idx="403">
                  <c:v>0.73025435073627842</c:v>
                </c:pt>
                <c:pt idx="404">
                  <c:v>0.7295850066934404</c:v>
                </c:pt>
                <c:pt idx="405">
                  <c:v>0.72891566265060237</c:v>
                </c:pt>
                <c:pt idx="406">
                  <c:v>0.72824631860776434</c:v>
                </c:pt>
                <c:pt idx="407">
                  <c:v>0.72757697456492643</c:v>
                </c:pt>
                <c:pt idx="408">
                  <c:v>0.7269076305220884</c:v>
                </c:pt>
                <c:pt idx="409">
                  <c:v>0.72623828647925037</c:v>
                </c:pt>
                <c:pt idx="410">
                  <c:v>0.72556894243641235</c:v>
                </c:pt>
                <c:pt idx="411">
                  <c:v>0.72489959839357432</c:v>
                </c:pt>
                <c:pt idx="412">
                  <c:v>0.72423025435073629</c:v>
                </c:pt>
                <c:pt idx="413">
                  <c:v>0.72356091030789826</c:v>
                </c:pt>
                <c:pt idx="414">
                  <c:v>0.72289156626506024</c:v>
                </c:pt>
                <c:pt idx="415">
                  <c:v>0.72222222222222221</c:v>
                </c:pt>
                <c:pt idx="416">
                  <c:v>0.72155287817938418</c:v>
                </c:pt>
                <c:pt idx="417">
                  <c:v>0.72088353413654616</c:v>
                </c:pt>
                <c:pt idx="418">
                  <c:v>0.72021419009370813</c:v>
                </c:pt>
                <c:pt idx="419">
                  <c:v>0.7195448460508701</c:v>
                </c:pt>
                <c:pt idx="420">
                  <c:v>0.71887550200803207</c:v>
                </c:pt>
                <c:pt idx="421">
                  <c:v>0.71820615796519416</c:v>
                </c:pt>
                <c:pt idx="422">
                  <c:v>0.71753681392235613</c:v>
                </c:pt>
                <c:pt idx="423">
                  <c:v>0.7168674698795181</c:v>
                </c:pt>
                <c:pt idx="424">
                  <c:v>0.71619812583668008</c:v>
                </c:pt>
                <c:pt idx="425">
                  <c:v>0.71552878179384205</c:v>
                </c:pt>
                <c:pt idx="426">
                  <c:v>0.71485943775100402</c:v>
                </c:pt>
                <c:pt idx="427">
                  <c:v>0.714190093708166</c:v>
                </c:pt>
                <c:pt idx="428">
                  <c:v>0.71352074966532797</c:v>
                </c:pt>
                <c:pt idx="429">
                  <c:v>0.71285140562248994</c:v>
                </c:pt>
                <c:pt idx="430">
                  <c:v>0.71218206157965191</c:v>
                </c:pt>
                <c:pt idx="431">
                  <c:v>0.71151271753681389</c:v>
                </c:pt>
                <c:pt idx="432">
                  <c:v>0.71084337349397586</c:v>
                </c:pt>
                <c:pt idx="433">
                  <c:v>0.71017402945113783</c:v>
                </c:pt>
                <c:pt idx="434">
                  <c:v>0.70950468540829992</c:v>
                </c:pt>
                <c:pt idx="435">
                  <c:v>0.70883534136546189</c:v>
                </c:pt>
                <c:pt idx="436">
                  <c:v>0.70816599732262386</c:v>
                </c:pt>
                <c:pt idx="437">
                  <c:v>0.70749665327978584</c:v>
                </c:pt>
                <c:pt idx="438">
                  <c:v>0.70682730923694781</c:v>
                </c:pt>
                <c:pt idx="439">
                  <c:v>0.70615796519410978</c:v>
                </c:pt>
                <c:pt idx="440">
                  <c:v>0.70548862115127176</c:v>
                </c:pt>
                <c:pt idx="441">
                  <c:v>0.70481927710843373</c:v>
                </c:pt>
                <c:pt idx="442">
                  <c:v>0.7041499330655957</c:v>
                </c:pt>
                <c:pt idx="443">
                  <c:v>0.70348058902275767</c:v>
                </c:pt>
                <c:pt idx="444">
                  <c:v>0.70281124497991965</c:v>
                </c:pt>
                <c:pt idx="445">
                  <c:v>0.70214190093708162</c:v>
                </c:pt>
                <c:pt idx="446">
                  <c:v>0.70147255689424359</c:v>
                </c:pt>
                <c:pt idx="447">
                  <c:v>0.70080321285140568</c:v>
                </c:pt>
                <c:pt idx="448">
                  <c:v>0.70013386880856765</c:v>
                </c:pt>
                <c:pt idx="449">
                  <c:v>0.69946452476572962</c:v>
                </c:pt>
                <c:pt idx="450">
                  <c:v>0.6987951807228916</c:v>
                </c:pt>
                <c:pt idx="451">
                  <c:v>0.69812583668005357</c:v>
                </c:pt>
                <c:pt idx="452">
                  <c:v>0.69745649263721554</c:v>
                </c:pt>
                <c:pt idx="453">
                  <c:v>0.69678714859437751</c:v>
                </c:pt>
                <c:pt idx="454">
                  <c:v>0.69611780455153949</c:v>
                </c:pt>
                <c:pt idx="455">
                  <c:v>0.69544846050870146</c:v>
                </c:pt>
                <c:pt idx="456">
                  <c:v>0.69477911646586343</c:v>
                </c:pt>
                <c:pt idx="457">
                  <c:v>0.69410977242302541</c:v>
                </c:pt>
                <c:pt idx="458">
                  <c:v>0.69344042838018738</c:v>
                </c:pt>
                <c:pt idx="459">
                  <c:v>0.69277108433734935</c:v>
                </c:pt>
                <c:pt idx="460">
                  <c:v>0.69210174029451133</c:v>
                </c:pt>
                <c:pt idx="461">
                  <c:v>0.69143239625167341</c:v>
                </c:pt>
                <c:pt idx="462">
                  <c:v>0.69076305220883538</c:v>
                </c:pt>
                <c:pt idx="463">
                  <c:v>0.69009370816599735</c:v>
                </c:pt>
                <c:pt idx="464">
                  <c:v>0.68942436412315933</c:v>
                </c:pt>
                <c:pt idx="465">
                  <c:v>0.6887550200803213</c:v>
                </c:pt>
                <c:pt idx="466">
                  <c:v>0.68808567603748327</c:v>
                </c:pt>
                <c:pt idx="467">
                  <c:v>0.68741633199464525</c:v>
                </c:pt>
                <c:pt idx="468">
                  <c:v>0.68674698795180722</c:v>
                </c:pt>
                <c:pt idx="469">
                  <c:v>0.68607764390896919</c:v>
                </c:pt>
                <c:pt idx="470">
                  <c:v>0.68540829986613117</c:v>
                </c:pt>
                <c:pt idx="471">
                  <c:v>0.68473895582329314</c:v>
                </c:pt>
                <c:pt idx="472">
                  <c:v>0.68406961178045511</c:v>
                </c:pt>
                <c:pt idx="473">
                  <c:v>0.68340026773761708</c:v>
                </c:pt>
                <c:pt idx="474">
                  <c:v>0.68273092369477917</c:v>
                </c:pt>
                <c:pt idx="475">
                  <c:v>0.68206157965194114</c:v>
                </c:pt>
                <c:pt idx="476">
                  <c:v>0.68139223560910311</c:v>
                </c:pt>
                <c:pt idx="477">
                  <c:v>0.68072289156626509</c:v>
                </c:pt>
                <c:pt idx="478">
                  <c:v>0.68005354752342706</c:v>
                </c:pt>
                <c:pt idx="479">
                  <c:v>0.67938420348058903</c:v>
                </c:pt>
                <c:pt idx="480">
                  <c:v>0.67871485943775101</c:v>
                </c:pt>
                <c:pt idx="481">
                  <c:v>0.67804551539491298</c:v>
                </c:pt>
                <c:pt idx="482">
                  <c:v>0.67737617135207495</c:v>
                </c:pt>
                <c:pt idx="483">
                  <c:v>0.67670682730923692</c:v>
                </c:pt>
                <c:pt idx="484">
                  <c:v>0.6760374832663989</c:v>
                </c:pt>
                <c:pt idx="485">
                  <c:v>0.67536813922356087</c:v>
                </c:pt>
                <c:pt idx="486">
                  <c:v>0.67469879518072284</c:v>
                </c:pt>
                <c:pt idx="487">
                  <c:v>0.67402945113788493</c:v>
                </c:pt>
                <c:pt idx="488">
                  <c:v>0.6733601070950469</c:v>
                </c:pt>
                <c:pt idx="489">
                  <c:v>0.67269076305220887</c:v>
                </c:pt>
                <c:pt idx="490">
                  <c:v>0.67202141900937085</c:v>
                </c:pt>
                <c:pt idx="491">
                  <c:v>0.67135207496653282</c:v>
                </c:pt>
                <c:pt idx="492">
                  <c:v>0.67068273092369479</c:v>
                </c:pt>
                <c:pt idx="493">
                  <c:v>0.67001338688085676</c:v>
                </c:pt>
                <c:pt idx="494">
                  <c:v>0.66934404283801874</c:v>
                </c:pt>
                <c:pt idx="495">
                  <c:v>0.66867469879518071</c:v>
                </c:pt>
                <c:pt idx="496">
                  <c:v>0.66800535475234268</c:v>
                </c:pt>
                <c:pt idx="497">
                  <c:v>0.66733601070950466</c:v>
                </c:pt>
                <c:pt idx="498">
                  <c:v>0.66666666666666663</c:v>
                </c:pt>
                <c:pt idx="499">
                  <c:v>0.6659973226238286</c:v>
                </c:pt>
                <c:pt idx="500">
                  <c:v>0.66532797858099058</c:v>
                </c:pt>
                <c:pt idx="501">
                  <c:v>0.66465863453815266</c:v>
                </c:pt>
                <c:pt idx="502">
                  <c:v>0.66398929049531463</c:v>
                </c:pt>
                <c:pt idx="503">
                  <c:v>0.66331994645247661</c:v>
                </c:pt>
                <c:pt idx="504">
                  <c:v>0.66265060240963858</c:v>
                </c:pt>
                <c:pt idx="505">
                  <c:v>0.66198125836680055</c:v>
                </c:pt>
                <c:pt idx="506">
                  <c:v>0.66131191432396252</c:v>
                </c:pt>
                <c:pt idx="507">
                  <c:v>0.6606425702811245</c:v>
                </c:pt>
                <c:pt idx="508">
                  <c:v>0.65997322623828647</c:v>
                </c:pt>
                <c:pt idx="509">
                  <c:v>0.65930388219544844</c:v>
                </c:pt>
                <c:pt idx="510">
                  <c:v>0.65863453815261042</c:v>
                </c:pt>
                <c:pt idx="511">
                  <c:v>0.65796519410977239</c:v>
                </c:pt>
                <c:pt idx="512">
                  <c:v>0.65729585006693436</c:v>
                </c:pt>
                <c:pt idx="513">
                  <c:v>0.65662650602409633</c:v>
                </c:pt>
                <c:pt idx="514">
                  <c:v>0.65595716198125842</c:v>
                </c:pt>
                <c:pt idx="515">
                  <c:v>0.65528781793842039</c:v>
                </c:pt>
                <c:pt idx="516">
                  <c:v>0.65461847389558236</c:v>
                </c:pt>
                <c:pt idx="517">
                  <c:v>0.65394912985274434</c:v>
                </c:pt>
                <c:pt idx="518">
                  <c:v>0.65327978580990631</c:v>
                </c:pt>
                <c:pt idx="519">
                  <c:v>0.65261044176706828</c:v>
                </c:pt>
                <c:pt idx="520">
                  <c:v>0.65194109772423026</c:v>
                </c:pt>
                <c:pt idx="521">
                  <c:v>0.65127175368139223</c:v>
                </c:pt>
                <c:pt idx="522">
                  <c:v>0.6506024096385542</c:v>
                </c:pt>
                <c:pt idx="523">
                  <c:v>0.64993306559571618</c:v>
                </c:pt>
                <c:pt idx="524">
                  <c:v>0.64926372155287815</c:v>
                </c:pt>
                <c:pt idx="525">
                  <c:v>0.64859437751004012</c:v>
                </c:pt>
                <c:pt idx="526">
                  <c:v>0.64792503346720209</c:v>
                </c:pt>
                <c:pt idx="527">
                  <c:v>0.64725568942436418</c:v>
                </c:pt>
                <c:pt idx="528">
                  <c:v>0.64658634538152615</c:v>
                </c:pt>
                <c:pt idx="529">
                  <c:v>0.64591700133868812</c:v>
                </c:pt>
                <c:pt idx="530">
                  <c:v>0.6452476572958501</c:v>
                </c:pt>
                <c:pt idx="531">
                  <c:v>0.64457831325301207</c:v>
                </c:pt>
                <c:pt idx="532">
                  <c:v>0.64390896921017404</c:v>
                </c:pt>
                <c:pt idx="533">
                  <c:v>0.64323962516733602</c:v>
                </c:pt>
                <c:pt idx="534">
                  <c:v>0.64257028112449799</c:v>
                </c:pt>
                <c:pt idx="535">
                  <c:v>0.64190093708165996</c:v>
                </c:pt>
                <c:pt idx="536">
                  <c:v>0.64123159303882193</c:v>
                </c:pt>
                <c:pt idx="537">
                  <c:v>0.64056224899598391</c:v>
                </c:pt>
                <c:pt idx="538">
                  <c:v>0.63989290495314588</c:v>
                </c:pt>
                <c:pt idx="539">
                  <c:v>0.63922356091030785</c:v>
                </c:pt>
                <c:pt idx="540">
                  <c:v>0.63855421686746983</c:v>
                </c:pt>
                <c:pt idx="541">
                  <c:v>0.63788487282463191</c:v>
                </c:pt>
                <c:pt idx="542">
                  <c:v>0.63721552878179388</c:v>
                </c:pt>
                <c:pt idx="543">
                  <c:v>0.63654618473895586</c:v>
                </c:pt>
                <c:pt idx="544">
                  <c:v>0.63587684069611783</c:v>
                </c:pt>
                <c:pt idx="545">
                  <c:v>0.6352074966532798</c:v>
                </c:pt>
                <c:pt idx="546">
                  <c:v>0.63453815261044177</c:v>
                </c:pt>
                <c:pt idx="547">
                  <c:v>0.63386880856760375</c:v>
                </c:pt>
                <c:pt idx="548">
                  <c:v>0.63319946452476572</c:v>
                </c:pt>
                <c:pt idx="549">
                  <c:v>0.63253012048192769</c:v>
                </c:pt>
                <c:pt idx="550">
                  <c:v>0.63186077643908967</c:v>
                </c:pt>
                <c:pt idx="551">
                  <c:v>0.63119143239625164</c:v>
                </c:pt>
                <c:pt idx="552">
                  <c:v>0.63052208835341361</c:v>
                </c:pt>
                <c:pt idx="553">
                  <c:v>0.62985274431057559</c:v>
                </c:pt>
                <c:pt idx="554">
                  <c:v>0.62918340026773767</c:v>
                </c:pt>
                <c:pt idx="555">
                  <c:v>0.62851405622489964</c:v>
                </c:pt>
                <c:pt idx="556">
                  <c:v>0.62784471218206162</c:v>
                </c:pt>
                <c:pt idx="557">
                  <c:v>0.62717536813922359</c:v>
                </c:pt>
                <c:pt idx="558">
                  <c:v>0.62650602409638556</c:v>
                </c:pt>
                <c:pt idx="559">
                  <c:v>0.62583668005354753</c:v>
                </c:pt>
                <c:pt idx="560">
                  <c:v>0.62516733601070951</c:v>
                </c:pt>
                <c:pt idx="561">
                  <c:v>0.62449799196787148</c:v>
                </c:pt>
                <c:pt idx="562">
                  <c:v>0.62382864792503345</c:v>
                </c:pt>
                <c:pt idx="563">
                  <c:v>0.62315930388219543</c:v>
                </c:pt>
                <c:pt idx="564">
                  <c:v>0.6224899598393574</c:v>
                </c:pt>
                <c:pt idx="565">
                  <c:v>0.62182061579651937</c:v>
                </c:pt>
                <c:pt idx="566">
                  <c:v>0.62115127175368134</c:v>
                </c:pt>
                <c:pt idx="567">
                  <c:v>0.62048192771084343</c:v>
                </c:pt>
                <c:pt idx="568">
                  <c:v>0.6198125836680054</c:v>
                </c:pt>
                <c:pt idx="569">
                  <c:v>0.61914323962516737</c:v>
                </c:pt>
                <c:pt idx="570">
                  <c:v>0.61847389558232935</c:v>
                </c:pt>
                <c:pt idx="571">
                  <c:v>0.61780455153949132</c:v>
                </c:pt>
                <c:pt idx="572">
                  <c:v>0.61713520749665329</c:v>
                </c:pt>
                <c:pt idx="573">
                  <c:v>0.61646586345381527</c:v>
                </c:pt>
                <c:pt idx="574">
                  <c:v>0.61579651941097724</c:v>
                </c:pt>
                <c:pt idx="575">
                  <c:v>0.61512717536813921</c:v>
                </c:pt>
                <c:pt idx="576">
                  <c:v>0.61445783132530118</c:v>
                </c:pt>
                <c:pt idx="577">
                  <c:v>0.61378848728246316</c:v>
                </c:pt>
                <c:pt idx="578">
                  <c:v>0.61311914323962513</c:v>
                </c:pt>
                <c:pt idx="579">
                  <c:v>0.6124497991967871</c:v>
                </c:pt>
                <c:pt idx="580">
                  <c:v>0.61178045515394908</c:v>
                </c:pt>
                <c:pt idx="581">
                  <c:v>0.61111111111111116</c:v>
                </c:pt>
                <c:pt idx="582">
                  <c:v>0.61044176706827313</c:v>
                </c:pt>
                <c:pt idx="583">
                  <c:v>0.60977242302543511</c:v>
                </c:pt>
                <c:pt idx="584">
                  <c:v>0.60910307898259708</c:v>
                </c:pt>
                <c:pt idx="585">
                  <c:v>0.60843373493975905</c:v>
                </c:pt>
                <c:pt idx="586">
                  <c:v>0.60776439089692103</c:v>
                </c:pt>
                <c:pt idx="587">
                  <c:v>0.607095046854083</c:v>
                </c:pt>
                <c:pt idx="588">
                  <c:v>0.60642570281124497</c:v>
                </c:pt>
                <c:pt idx="589">
                  <c:v>0.60575635876840694</c:v>
                </c:pt>
                <c:pt idx="590">
                  <c:v>0.60508701472556892</c:v>
                </c:pt>
                <c:pt idx="591">
                  <c:v>0.60441767068273089</c:v>
                </c:pt>
                <c:pt idx="592">
                  <c:v>0.60374832663989286</c:v>
                </c:pt>
                <c:pt idx="593">
                  <c:v>0.60307898259705484</c:v>
                </c:pt>
                <c:pt idx="594">
                  <c:v>0.60240963855421692</c:v>
                </c:pt>
                <c:pt idx="595">
                  <c:v>0.60174029451137889</c:v>
                </c:pt>
                <c:pt idx="596">
                  <c:v>0.60107095046854087</c:v>
                </c:pt>
                <c:pt idx="597">
                  <c:v>0.60040160642570284</c:v>
                </c:pt>
                <c:pt idx="598">
                  <c:v>0.59973226238286481</c:v>
                </c:pt>
                <c:pt idx="599">
                  <c:v>0.59906291834002678</c:v>
                </c:pt>
                <c:pt idx="600">
                  <c:v>0.59839357429718876</c:v>
                </c:pt>
                <c:pt idx="601">
                  <c:v>0.59772423025435073</c:v>
                </c:pt>
                <c:pt idx="602">
                  <c:v>0.5970548862115127</c:v>
                </c:pt>
                <c:pt idx="603">
                  <c:v>0.59638554216867468</c:v>
                </c:pt>
                <c:pt idx="604">
                  <c:v>0.59571619812583665</c:v>
                </c:pt>
                <c:pt idx="605">
                  <c:v>0.59504685408299862</c:v>
                </c:pt>
                <c:pt idx="606">
                  <c:v>0.59437751004016059</c:v>
                </c:pt>
                <c:pt idx="607">
                  <c:v>0.59370816599732268</c:v>
                </c:pt>
                <c:pt idx="608">
                  <c:v>0.59303882195448465</c:v>
                </c:pt>
                <c:pt idx="609">
                  <c:v>0.59236947791164662</c:v>
                </c:pt>
                <c:pt idx="610">
                  <c:v>0.5917001338688086</c:v>
                </c:pt>
                <c:pt idx="611">
                  <c:v>0.59103078982597057</c:v>
                </c:pt>
                <c:pt idx="612">
                  <c:v>0.59036144578313254</c:v>
                </c:pt>
                <c:pt idx="613">
                  <c:v>0.58969210174029452</c:v>
                </c:pt>
                <c:pt idx="614">
                  <c:v>0.58902275769745649</c:v>
                </c:pt>
                <c:pt idx="615">
                  <c:v>0.58835341365461846</c:v>
                </c:pt>
                <c:pt idx="616">
                  <c:v>0.58768406961178044</c:v>
                </c:pt>
                <c:pt idx="617">
                  <c:v>0.58701472556894241</c:v>
                </c:pt>
                <c:pt idx="618">
                  <c:v>0.58634538152610438</c:v>
                </c:pt>
                <c:pt idx="619">
                  <c:v>0.58567603748326635</c:v>
                </c:pt>
                <c:pt idx="620">
                  <c:v>0.58500669344042833</c:v>
                </c:pt>
                <c:pt idx="621">
                  <c:v>0.58433734939759041</c:v>
                </c:pt>
                <c:pt idx="622">
                  <c:v>0.58366800535475238</c:v>
                </c:pt>
                <c:pt idx="623">
                  <c:v>0.58299866131191436</c:v>
                </c:pt>
                <c:pt idx="624">
                  <c:v>0.58232931726907633</c:v>
                </c:pt>
                <c:pt idx="625">
                  <c:v>0.5816599732262383</c:v>
                </c:pt>
                <c:pt idx="626">
                  <c:v>0.58099062918340028</c:v>
                </c:pt>
                <c:pt idx="627">
                  <c:v>0.58032128514056225</c:v>
                </c:pt>
                <c:pt idx="628">
                  <c:v>0.57965194109772422</c:v>
                </c:pt>
                <c:pt idx="629">
                  <c:v>0.57898259705488619</c:v>
                </c:pt>
                <c:pt idx="630">
                  <c:v>0.57831325301204817</c:v>
                </c:pt>
                <c:pt idx="631">
                  <c:v>0.57764390896921014</c:v>
                </c:pt>
                <c:pt idx="632">
                  <c:v>0.57697456492637211</c:v>
                </c:pt>
                <c:pt idx="633">
                  <c:v>0.57630522088353409</c:v>
                </c:pt>
                <c:pt idx="634">
                  <c:v>0.57563587684069617</c:v>
                </c:pt>
                <c:pt idx="635">
                  <c:v>0.57496653279785814</c:v>
                </c:pt>
                <c:pt idx="636">
                  <c:v>0.57429718875502012</c:v>
                </c:pt>
                <c:pt idx="637">
                  <c:v>0.57362784471218209</c:v>
                </c:pt>
                <c:pt idx="638">
                  <c:v>0.57295850066934406</c:v>
                </c:pt>
                <c:pt idx="639">
                  <c:v>0.57228915662650603</c:v>
                </c:pt>
                <c:pt idx="640">
                  <c:v>0.57161981258366801</c:v>
                </c:pt>
                <c:pt idx="641">
                  <c:v>0.57095046854082998</c:v>
                </c:pt>
                <c:pt idx="642">
                  <c:v>0.57028112449799195</c:v>
                </c:pt>
                <c:pt idx="643">
                  <c:v>0.56961178045515393</c:v>
                </c:pt>
                <c:pt idx="644">
                  <c:v>0.5689424364123159</c:v>
                </c:pt>
                <c:pt idx="645">
                  <c:v>0.56827309236947787</c:v>
                </c:pt>
                <c:pt idx="646">
                  <c:v>0.56760374832663985</c:v>
                </c:pt>
                <c:pt idx="647">
                  <c:v>0.56693440428380193</c:v>
                </c:pt>
                <c:pt idx="648">
                  <c:v>0.5662650602409639</c:v>
                </c:pt>
                <c:pt idx="649">
                  <c:v>0.56559571619812588</c:v>
                </c:pt>
                <c:pt idx="650">
                  <c:v>0.56492637215528785</c:v>
                </c:pt>
                <c:pt idx="651">
                  <c:v>0.56425702811244982</c:v>
                </c:pt>
                <c:pt idx="652">
                  <c:v>0.56358768406961179</c:v>
                </c:pt>
                <c:pt idx="653">
                  <c:v>0.56291834002677377</c:v>
                </c:pt>
                <c:pt idx="654">
                  <c:v>0.56224899598393574</c:v>
                </c:pt>
                <c:pt idx="655">
                  <c:v>0.56157965194109771</c:v>
                </c:pt>
                <c:pt idx="656">
                  <c:v>0.56091030789825969</c:v>
                </c:pt>
                <c:pt idx="657">
                  <c:v>0.56024096385542166</c:v>
                </c:pt>
                <c:pt idx="658">
                  <c:v>0.55957161981258363</c:v>
                </c:pt>
                <c:pt idx="659">
                  <c:v>0.5589022757697456</c:v>
                </c:pt>
                <c:pt idx="660">
                  <c:v>0.55823293172690758</c:v>
                </c:pt>
                <c:pt idx="661">
                  <c:v>0.55756358768406966</c:v>
                </c:pt>
                <c:pt idx="662">
                  <c:v>0.55689424364123163</c:v>
                </c:pt>
                <c:pt idx="663">
                  <c:v>0.55622489959839361</c:v>
                </c:pt>
                <c:pt idx="664">
                  <c:v>0.55555555555555558</c:v>
                </c:pt>
                <c:pt idx="665">
                  <c:v>0.55488621151271755</c:v>
                </c:pt>
                <c:pt idx="666">
                  <c:v>0.55421686746987953</c:v>
                </c:pt>
                <c:pt idx="667">
                  <c:v>0.5535475234270415</c:v>
                </c:pt>
                <c:pt idx="668">
                  <c:v>0.55287817938420347</c:v>
                </c:pt>
                <c:pt idx="669">
                  <c:v>0.55220883534136544</c:v>
                </c:pt>
                <c:pt idx="670">
                  <c:v>0.55153949129852742</c:v>
                </c:pt>
                <c:pt idx="671">
                  <c:v>0.55087014725568939</c:v>
                </c:pt>
                <c:pt idx="672">
                  <c:v>0.55020080321285136</c:v>
                </c:pt>
                <c:pt idx="673">
                  <c:v>0.54953145917001334</c:v>
                </c:pt>
                <c:pt idx="674">
                  <c:v>0.54886211512717542</c:v>
                </c:pt>
                <c:pt idx="675">
                  <c:v>0.54819277108433739</c:v>
                </c:pt>
                <c:pt idx="676">
                  <c:v>0.54752342704149937</c:v>
                </c:pt>
                <c:pt idx="677">
                  <c:v>0.54685408299866134</c:v>
                </c:pt>
                <c:pt idx="678">
                  <c:v>0.54618473895582331</c:v>
                </c:pt>
                <c:pt idx="679">
                  <c:v>0.54551539491298529</c:v>
                </c:pt>
                <c:pt idx="680">
                  <c:v>0.54484605087014726</c:v>
                </c:pt>
                <c:pt idx="681">
                  <c:v>0.54417670682730923</c:v>
                </c:pt>
                <c:pt idx="682">
                  <c:v>0.5435073627844712</c:v>
                </c:pt>
                <c:pt idx="683">
                  <c:v>0.54283801874163318</c:v>
                </c:pt>
                <c:pt idx="684">
                  <c:v>0.54216867469879515</c:v>
                </c:pt>
                <c:pt idx="685">
                  <c:v>0.54149933065595712</c:v>
                </c:pt>
                <c:pt idx="686">
                  <c:v>0.5408299866131191</c:v>
                </c:pt>
                <c:pt idx="687">
                  <c:v>0.54016064257028118</c:v>
                </c:pt>
                <c:pt idx="688">
                  <c:v>0.53949129852744315</c:v>
                </c:pt>
                <c:pt idx="689">
                  <c:v>0.53882195448460513</c:v>
                </c:pt>
                <c:pt idx="690">
                  <c:v>0.5381526104417671</c:v>
                </c:pt>
                <c:pt idx="691">
                  <c:v>0.53748326639892907</c:v>
                </c:pt>
                <c:pt idx="692">
                  <c:v>0.53681392235609104</c:v>
                </c:pt>
                <c:pt idx="693">
                  <c:v>0.53614457831325302</c:v>
                </c:pt>
                <c:pt idx="694">
                  <c:v>0.53547523427041499</c:v>
                </c:pt>
                <c:pt idx="695">
                  <c:v>0.53480589022757696</c:v>
                </c:pt>
                <c:pt idx="696">
                  <c:v>0.53413654618473894</c:v>
                </c:pt>
                <c:pt idx="697">
                  <c:v>0.53346720214190091</c:v>
                </c:pt>
                <c:pt idx="698">
                  <c:v>0.53279785809906288</c:v>
                </c:pt>
                <c:pt idx="699">
                  <c:v>0.53212851405622486</c:v>
                </c:pt>
                <c:pt idx="700">
                  <c:v>0.53145917001338683</c:v>
                </c:pt>
                <c:pt idx="701">
                  <c:v>0.53078982597054891</c:v>
                </c:pt>
                <c:pt idx="702">
                  <c:v>0.53012048192771088</c:v>
                </c:pt>
                <c:pt idx="703">
                  <c:v>0.52945113788487286</c:v>
                </c:pt>
                <c:pt idx="704">
                  <c:v>0.52878179384203483</c:v>
                </c:pt>
                <c:pt idx="705">
                  <c:v>0.5281124497991968</c:v>
                </c:pt>
                <c:pt idx="706">
                  <c:v>0.52744310575635878</c:v>
                </c:pt>
                <c:pt idx="707">
                  <c:v>0.52677376171352075</c:v>
                </c:pt>
                <c:pt idx="708">
                  <c:v>0.52610441767068272</c:v>
                </c:pt>
                <c:pt idx="709">
                  <c:v>0.5254350736278447</c:v>
                </c:pt>
                <c:pt idx="710">
                  <c:v>0.52476572958500667</c:v>
                </c:pt>
                <c:pt idx="711">
                  <c:v>0.52409638554216864</c:v>
                </c:pt>
                <c:pt idx="712">
                  <c:v>0.52342704149933061</c:v>
                </c:pt>
                <c:pt idx="713">
                  <c:v>0.52275769745649259</c:v>
                </c:pt>
                <c:pt idx="714">
                  <c:v>0.52208835341365467</c:v>
                </c:pt>
                <c:pt idx="715">
                  <c:v>0.52141900937081664</c:v>
                </c:pt>
                <c:pt idx="716">
                  <c:v>0.52074966532797862</c:v>
                </c:pt>
                <c:pt idx="717">
                  <c:v>0.52008032128514059</c:v>
                </c:pt>
                <c:pt idx="718">
                  <c:v>0.51941097724230256</c:v>
                </c:pt>
                <c:pt idx="719">
                  <c:v>0.51874163319946454</c:v>
                </c:pt>
                <c:pt idx="720">
                  <c:v>0.51807228915662651</c:v>
                </c:pt>
                <c:pt idx="721">
                  <c:v>0.51740294511378848</c:v>
                </c:pt>
                <c:pt idx="722">
                  <c:v>0.51673360107095045</c:v>
                </c:pt>
                <c:pt idx="723">
                  <c:v>0.51606425702811243</c:v>
                </c:pt>
                <c:pt idx="724">
                  <c:v>0.5153949129852744</c:v>
                </c:pt>
                <c:pt idx="725">
                  <c:v>0.51472556894243637</c:v>
                </c:pt>
                <c:pt idx="726">
                  <c:v>0.51405622489959835</c:v>
                </c:pt>
                <c:pt idx="727">
                  <c:v>0.51338688085676043</c:v>
                </c:pt>
                <c:pt idx="728">
                  <c:v>0.5127175368139224</c:v>
                </c:pt>
                <c:pt idx="729">
                  <c:v>0.51204819277108438</c:v>
                </c:pt>
                <c:pt idx="730">
                  <c:v>0.51137884872824635</c:v>
                </c:pt>
                <c:pt idx="731">
                  <c:v>0.51070950468540832</c:v>
                </c:pt>
                <c:pt idx="732">
                  <c:v>0.51004016064257029</c:v>
                </c:pt>
                <c:pt idx="733">
                  <c:v>0.50937081659973227</c:v>
                </c:pt>
                <c:pt idx="734">
                  <c:v>0.50870147255689424</c:v>
                </c:pt>
                <c:pt idx="735">
                  <c:v>0.50803212851405621</c:v>
                </c:pt>
                <c:pt idx="736">
                  <c:v>0.50736278447121819</c:v>
                </c:pt>
                <c:pt idx="737">
                  <c:v>0.50669344042838016</c:v>
                </c:pt>
                <c:pt idx="738">
                  <c:v>0.50602409638554213</c:v>
                </c:pt>
                <c:pt idx="739">
                  <c:v>0.50535475234270411</c:v>
                </c:pt>
                <c:pt idx="740">
                  <c:v>0.50468540829986608</c:v>
                </c:pt>
                <c:pt idx="741">
                  <c:v>0.50401606425702816</c:v>
                </c:pt>
                <c:pt idx="742">
                  <c:v>0.50334672021419014</c:v>
                </c:pt>
                <c:pt idx="743">
                  <c:v>0.50267737617135211</c:v>
                </c:pt>
                <c:pt idx="744">
                  <c:v>0.50200803212851408</c:v>
                </c:pt>
                <c:pt idx="745">
                  <c:v>0.50133868808567605</c:v>
                </c:pt>
                <c:pt idx="746">
                  <c:v>0.50066934404283803</c:v>
                </c:pt>
                <c:pt idx="747">
                  <c:v>0.5</c:v>
                </c:pt>
                <c:pt idx="748">
                  <c:v>0.49933065595716197</c:v>
                </c:pt>
                <c:pt idx="749">
                  <c:v>0.49866131191432395</c:v>
                </c:pt>
                <c:pt idx="750">
                  <c:v>0.49799196787148592</c:v>
                </c:pt>
                <c:pt idx="751">
                  <c:v>0.49732262382864795</c:v>
                </c:pt>
                <c:pt idx="752">
                  <c:v>0.49665327978580992</c:v>
                </c:pt>
                <c:pt idx="753">
                  <c:v>0.49598393574297189</c:v>
                </c:pt>
                <c:pt idx="754">
                  <c:v>0.49531459170013387</c:v>
                </c:pt>
                <c:pt idx="755">
                  <c:v>0.49464524765729584</c:v>
                </c:pt>
                <c:pt idx="756">
                  <c:v>0.49397590361445781</c:v>
                </c:pt>
                <c:pt idx="757">
                  <c:v>0.49330655957161978</c:v>
                </c:pt>
                <c:pt idx="758">
                  <c:v>0.49263721552878181</c:v>
                </c:pt>
                <c:pt idx="759">
                  <c:v>0.49196787148594379</c:v>
                </c:pt>
                <c:pt idx="760">
                  <c:v>0.49129852744310576</c:v>
                </c:pt>
                <c:pt idx="761">
                  <c:v>0.49062918340026773</c:v>
                </c:pt>
                <c:pt idx="762">
                  <c:v>0.48995983935742971</c:v>
                </c:pt>
                <c:pt idx="763">
                  <c:v>0.48929049531459168</c:v>
                </c:pt>
                <c:pt idx="764">
                  <c:v>0.48862115127175371</c:v>
                </c:pt>
                <c:pt idx="765">
                  <c:v>0.48795180722891568</c:v>
                </c:pt>
                <c:pt idx="766">
                  <c:v>0.48728246318607765</c:v>
                </c:pt>
                <c:pt idx="767">
                  <c:v>0.48661311914323963</c:v>
                </c:pt>
                <c:pt idx="768">
                  <c:v>0.4859437751004016</c:v>
                </c:pt>
                <c:pt idx="769">
                  <c:v>0.48527443105756357</c:v>
                </c:pt>
                <c:pt idx="770">
                  <c:v>0.48460508701472554</c:v>
                </c:pt>
                <c:pt idx="771">
                  <c:v>0.48393574297188757</c:v>
                </c:pt>
                <c:pt idx="772">
                  <c:v>0.48326639892904955</c:v>
                </c:pt>
                <c:pt idx="773">
                  <c:v>0.48259705488621152</c:v>
                </c:pt>
                <c:pt idx="774">
                  <c:v>0.48192771084337349</c:v>
                </c:pt>
                <c:pt idx="775">
                  <c:v>0.48125836680053546</c:v>
                </c:pt>
                <c:pt idx="776">
                  <c:v>0.48058902275769744</c:v>
                </c:pt>
                <c:pt idx="777">
                  <c:v>0.47991967871485941</c:v>
                </c:pt>
                <c:pt idx="778">
                  <c:v>0.47925033467202144</c:v>
                </c:pt>
                <c:pt idx="779">
                  <c:v>0.47858099062918341</c:v>
                </c:pt>
                <c:pt idx="780">
                  <c:v>0.47791164658634538</c:v>
                </c:pt>
                <c:pt idx="781">
                  <c:v>0.47724230254350736</c:v>
                </c:pt>
                <c:pt idx="782">
                  <c:v>0.47657295850066933</c:v>
                </c:pt>
                <c:pt idx="783">
                  <c:v>0.4759036144578313</c:v>
                </c:pt>
                <c:pt idx="784">
                  <c:v>0.47523427041499333</c:v>
                </c:pt>
                <c:pt idx="785">
                  <c:v>0.4745649263721553</c:v>
                </c:pt>
                <c:pt idx="786">
                  <c:v>0.47389558232931728</c:v>
                </c:pt>
                <c:pt idx="787">
                  <c:v>0.47322623828647925</c:v>
                </c:pt>
                <c:pt idx="788">
                  <c:v>0.47255689424364122</c:v>
                </c:pt>
                <c:pt idx="789">
                  <c:v>0.4718875502008032</c:v>
                </c:pt>
                <c:pt idx="790">
                  <c:v>0.47121820615796517</c:v>
                </c:pt>
                <c:pt idx="791">
                  <c:v>0.4705488621151272</c:v>
                </c:pt>
                <c:pt idx="792">
                  <c:v>0.46987951807228917</c:v>
                </c:pt>
                <c:pt idx="793">
                  <c:v>0.46921017402945114</c:v>
                </c:pt>
                <c:pt idx="794">
                  <c:v>0.46854082998661312</c:v>
                </c:pt>
                <c:pt idx="795">
                  <c:v>0.46787148594377509</c:v>
                </c:pt>
                <c:pt idx="796">
                  <c:v>0.46720214190093706</c:v>
                </c:pt>
                <c:pt idx="797">
                  <c:v>0.46653279785809904</c:v>
                </c:pt>
                <c:pt idx="798">
                  <c:v>0.46586345381526106</c:v>
                </c:pt>
                <c:pt idx="799">
                  <c:v>0.46519410977242304</c:v>
                </c:pt>
                <c:pt idx="800">
                  <c:v>0.46452476572958501</c:v>
                </c:pt>
                <c:pt idx="801">
                  <c:v>0.46385542168674698</c:v>
                </c:pt>
                <c:pt idx="802">
                  <c:v>0.46318607764390896</c:v>
                </c:pt>
                <c:pt idx="803">
                  <c:v>0.46251673360107093</c:v>
                </c:pt>
                <c:pt idx="804">
                  <c:v>0.46184738955823296</c:v>
                </c:pt>
                <c:pt idx="805">
                  <c:v>0.46117804551539493</c:v>
                </c:pt>
                <c:pt idx="806">
                  <c:v>0.4605087014725569</c:v>
                </c:pt>
                <c:pt idx="807">
                  <c:v>0.45983935742971888</c:v>
                </c:pt>
                <c:pt idx="808">
                  <c:v>0.45917001338688085</c:v>
                </c:pt>
                <c:pt idx="809">
                  <c:v>0.45850066934404282</c:v>
                </c:pt>
                <c:pt idx="810">
                  <c:v>0.45783132530120479</c:v>
                </c:pt>
                <c:pt idx="811">
                  <c:v>0.45716198125836682</c:v>
                </c:pt>
                <c:pt idx="812">
                  <c:v>0.4564926372155288</c:v>
                </c:pt>
                <c:pt idx="813">
                  <c:v>0.45582329317269077</c:v>
                </c:pt>
                <c:pt idx="814">
                  <c:v>0.45515394912985274</c:v>
                </c:pt>
                <c:pt idx="815">
                  <c:v>0.45448460508701471</c:v>
                </c:pt>
                <c:pt idx="816">
                  <c:v>0.45381526104417669</c:v>
                </c:pt>
                <c:pt idx="817">
                  <c:v>0.45314591700133866</c:v>
                </c:pt>
                <c:pt idx="818">
                  <c:v>0.45247657295850069</c:v>
                </c:pt>
                <c:pt idx="819">
                  <c:v>0.45180722891566266</c:v>
                </c:pt>
                <c:pt idx="820">
                  <c:v>0.45113788487282463</c:v>
                </c:pt>
                <c:pt idx="821">
                  <c:v>0.45046854082998661</c:v>
                </c:pt>
                <c:pt idx="822">
                  <c:v>0.44979919678714858</c:v>
                </c:pt>
                <c:pt idx="823">
                  <c:v>0.44912985274431055</c:v>
                </c:pt>
                <c:pt idx="824">
                  <c:v>0.44846050870147258</c:v>
                </c:pt>
                <c:pt idx="825">
                  <c:v>0.44779116465863456</c:v>
                </c:pt>
                <c:pt idx="826">
                  <c:v>0.44712182061579653</c:v>
                </c:pt>
                <c:pt idx="827">
                  <c:v>0.4464524765729585</c:v>
                </c:pt>
                <c:pt idx="828">
                  <c:v>0.44578313253012047</c:v>
                </c:pt>
                <c:pt idx="829">
                  <c:v>0.44511378848728245</c:v>
                </c:pt>
                <c:pt idx="830">
                  <c:v>0.44444444444444442</c:v>
                </c:pt>
                <c:pt idx="831">
                  <c:v>0.44377510040160645</c:v>
                </c:pt>
                <c:pt idx="832">
                  <c:v>0.44310575635876842</c:v>
                </c:pt>
                <c:pt idx="833">
                  <c:v>0.44243641231593039</c:v>
                </c:pt>
                <c:pt idx="834">
                  <c:v>0.44176706827309237</c:v>
                </c:pt>
                <c:pt idx="835">
                  <c:v>0.44109772423025434</c:v>
                </c:pt>
                <c:pt idx="836">
                  <c:v>0.44042838018741631</c:v>
                </c:pt>
                <c:pt idx="837">
                  <c:v>0.43975903614457829</c:v>
                </c:pt>
                <c:pt idx="838">
                  <c:v>0.43908969210174031</c:v>
                </c:pt>
                <c:pt idx="839">
                  <c:v>0.43842034805890229</c:v>
                </c:pt>
                <c:pt idx="840">
                  <c:v>0.43775100401606426</c:v>
                </c:pt>
                <c:pt idx="841">
                  <c:v>0.43708165997322623</c:v>
                </c:pt>
                <c:pt idx="842">
                  <c:v>0.43641231593038821</c:v>
                </c:pt>
                <c:pt idx="843">
                  <c:v>0.43574297188755018</c:v>
                </c:pt>
                <c:pt idx="844">
                  <c:v>0.43507362784471221</c:v>
                </c:pt>
                <c:pt idx="845">
                  <c:v>0.43440428380187418</c:v>
                </c:pt>
                <c:pt idx="846">
                  <c:v>0.43373493975903615</c:v>
                </c:pt>
                <c:pt idx="847">
                  <c:v>0.43306559571619813</c:v>
                </c:pt>
                <c:pt idx="848">
                  <c:v>0.4323962516733601</c:v>
                </c:pt>
                <c:pt idx="849">
                  <c:v>0.43172690763052207</c:v>
                </c:pt>
                <c:pt idx="850">
                  <c:v>0.43105756358768405</c:v>
                </c:pt>
                <c:pt idx="851">
                  <c:v>0.43038821954484607</c:v>
                </c:pt>
                <c:pt idx="852">
                  <c:v>0.42971887550200805</c:v>
                </c:pt>
                <c:pt idx="853">
                  <c:v>0.42904953145917002</c:v>
                </c:pt>
                <c:pt idx="854">
                  <c:v>0.42838018741633199</c:v>
                </c:pt>
                <c:pt idx="855">
                  <c:v>0.42771084337349397</c:v>
                </c:pt>
                <c:pt idx="856">
                  <c:v>0.42704149933065594</c:v>
                </c:pt>
                <c:pt idx="857">
                  <c:v>0.42637215528781791</c:v>
                </c:pt>
                <c:pt idx="858">
                  <c:v>0.42570281124497994</c:v>
                </c:pt>
                <c:pt idx="859">
                  <c:v>0.42503346720214191</c:v>
                </c:pt>
                <c:pt idx="860">
                  <c:v>0.42436412315930389</c:v>
                </c:pt>
                <c:pt idx="861">
                  <c:v>0.42369477911646586</c:v>
                </c:pt>
                <c:pt idx="862">
                  <c:v>0.42302543507362783</c:v>
                </c:pt>
                <c:pt idx="863">
                  <c:v>0.4223560910307898</c:v>
                </c:pt>
                <c:pt idx="864">
                  <c:v>0.42168674698795183</c:v>
                </c:pt>
                <c:pt idx="865">
                  <c:v>0.42101740294511381</c:v>
                </c:pt>
                <c:pt idx="866">
                  <c:v>0.42034805890227578</c:v>
                </c:pt>
                <c:pt idx="867">
                  <c:v>0.41967871485943775</c:v>
                </c:pt>
                <c:pt idx="868">
                  <c:v>0.41900937081659972</c:v>
                </c:pt>
                <c:pt idx="869">
                  <c:v>0.4183400267737617</c:v>
                </c:pt>
                <c:pt idx="870">
                  <c:v>0.41767068273092367</c:v>
                </c:pt>
                <c:pt idx="871">
                  <c:v>0.4170013386880857</c:v>
                </c:pt>
                <c:pt idx="872">
                  <c:v>0.41633199464524767</c:v>
                </c:pt>
                <c:pt idx="873">
                  <c:v>0.41566265060240964</c:v>
                </c:pt>
                <c:pt idx="874">
                  <c:v>0.41499330655957162</c:v>
                </c:pt>
                <c:pt idx="875">
                  <c:v>0.41432396251673359</c:v>
                </c:pt>
                <c:pt idx="876">
                  <c:v>0.41365461847389556</c:v>
                </c:pt>
                <c:pt idx="877">
                  <c:v>0.41298527443105754</c:v>
                </c:pt>
                <c:pt idx="878">
                  <c:v>0.41231593038821956</c:v>
                </c:pt>
                <c:pt idx="879">
                  <c:v>0.41164658634538154</c:v>
                </c:pt>
                <c:pt idx="880">
                  <c:v>0.41097724230254351</c:v>
                </c:pt>
                <c:pt idx="881">
                  <c:v>0.41030789825970548</c:v>
                </c:pt>
                <c:pt idx="882">
                  <c:v>0.40963855421686746</c:v>
                </c:pt>
                <c:pt idx="883">
                  <c:v>0.40896921017402943</c:v>
                </c:pt>
                <c:pt idx="884">
                  <c:v>0.40829986613119146</c:v>
                </c:pt>
                <c:pt idx="885">
                  <c:v>0.40763052208835343</c:v>
                </c:pt>
                <c:pt idx="886">
                  <c:v>0.4069611780455154</c:v>
                </c:pt>
                <c:pt idx="887">
                  <c:v>0.40629183400267738</c:v>
                </c:pt>
                <c:pt idx="888">
                  <c:v>0.40562248995983935</c:v>
                </c:pt>
                <c:pt idx="889">
                  <c:v>0.40495314591700132</c:v>
                </c:pt>
                <c:pt idx="890">
                  <c:v>0.4042838018741633</c:v>
                </c:pt>
                <c:pt idx="891">
                  <c:v>0.40361445783132532</c:v>
                </c:pt>
                <c:pt idx="892">
                  <c:v>0.4029451137884873</c:v>
                </c:pt>
                <c:pt idx="893">
                  <c:v>0.40227576974564927</c:v>
                </c:pt>
                <c:pt idx="894">
                  <c:v>0.40160642570281124</c:v>
                </c:pt>
                <c:pt idx="895">
                  <c:v>0.40093708165997322</c:v>
                </c:pt>
                <c:pt idx="896">
                  <c:v>0.40026773761713519</c:v>
                </c:pt>
                <c:pt idx="897">
                  <c:v>0.39959839357429716</c:v>
                </c:pt>
                <c:pt idx="898">
                  <c:v>0.39892904953145919</c:v>
                </c:pt>
                <c:pt idx="899">
                  <c:v>0.39825970548862116</c:v>
                </c:pt>
                <c:pt idx="900">
                  <c:v>0.39759036144578314</c:v>
                </c:pt>
                <c:pt idx="901">
                  <c:v>0.39692101740294511</c:v>
                </c:pt>
                <c:pt idx="902">
                  <c:v>0.39625167336010708</c:v>
                </c:pt>
                <c:pt idx="903">
                  <c:v>0.39558232931726905</c:v>
                </c:pt>
                <c:pt idx="904">
                  <c:v>0.39491298527443108</c:v>
                </c:pt>
                <c:pt idx="905">
                  <c:v>0.39424364123159306</c:v>
                </c:pt>
                <c:pt idx="906">
                  <c:v>0.39357429718875503</c:v>
                </c:pt>
                <c:pt idx="907">
                  <c:v>0.392904953145917</c:v>
                </c:pt>
                <c:pt idx="908">
                  <c:v>0.39223560910307897</c:v>
                </c:pt>
                <c:pt idx="909">
                  <c:v>0.39156626506024095</c:v>
                </c:pt>
                <c:pt idx="910">
                  <c:v>0.39089692101740292</c:v>
                </c:pt>
                <c:pt idx="911">
                  <c:v>0.39022757697456495</c:v>
                </c:pt>
                <c:pt idx="912">
                  <c:v>0.38955823293172692</c:v>
                </c:pt>
                <c:pt idx="913">
                  <c:v>0.3888888888888889</c:v>
                </c:pt>
                <c:pt idx="914">
                  <c:v>0.38821954484605087</c:v>
                </c:pt>
                <c:pt idx="915">
                  <c:v>0.38755020080321284</c:v>
                </c:pt>
                <c:pt idx="916">
                  <c:v>0.38688085676037481</c:v>
                </c:pt>
                <c:pt idx="917">
                  <c:v>0.38621151271753679</c:v>
                </c:pt>
                <c:pt idx="918">
                  <c:v>0.38554216867469882</c:v>
                </c:pt>
                <c:pt idx="919">
                  <c:v>0.38487282463186079</c:v>
                </c:pt>
                <c:pt idx="920">
                  <c:v>0.38420348058902276</c:v>
                </c:pt>
                <c:pt idx="921">
                  <c:v>0.38353413654618473</c:v>
                </c:pt>
                <c:pt idx="922">
                  <c:v>0.38286479250334671</c:v>
                </c:pt>
                <c:pt idx="923">
                  <c:v>0.38219544846050868</c:v>
                </c:pt>
                <c:pt idx="924">
                  <c:v>0.38152610441767071</c:v>
                </c:pt>
                <c:pt idx="925">
                  <c:v>0.38085676037483268</c:v>
                </c:pt>
                <c:pt idx="926">
                  <c:v>0.38018741633199465</c:v>
                </c:pt>
                <c:pt idx="927">
                  <c:v>0.37951807228915663</c:v>
                </c:pt>
                <c:pt idx="928">
                  <c:v>0.3788487282463186</c:v>
                </c:pt>
                <c:pt idx="929">
                  <c:v>0.37817938420348057</c:v>
                </c:pt>
                <c:pt idx="930">
                  <c:v>0.37751004016064255</c:v>
                </c:pt>
                <c:pt idx="931">
                  <c:v>0.37684069611780457</c:v>
                </c:pt>
                <c:pt idx="932">
                  <c:v>0.37617135207496655</c:v>
                </c:pt>
                <c:pt idx="933">
                  <c:v>0.37550200803212852</c:v>
                </c:pt>
                <c:pt idx="934">
                  <c:v>0.37483266398929049</c:v>
                </c:pt>
                <c:pt idx="935">
                  <c:v>0.37416331994645247</c:v>
                </c:pt>
                <c:pt idx="936">
                  <c:v>0.37349397590361444</c:v>
                </c:pt>
                <c:pt idx="937">
                  <c:v>0.37282463186077641</c:v>
                </c:pt>
                <c:pt idx="938">
                  <c:v>0.37215528781793844</c:v>
                </c:pt>
                <c:pt idx="939">
                  <c:v>0.37148594377510041</c:v>
                </c:pt>
                <c:pt idx="940">
                  <c:v>0.37081659973226239</c:v>
                </c:pt>
                <c:pt idx="941">
                  <c:v>0.37014725568942436</c:v>
                </c:pt>
                <c:pt idx="942">
                  <c:v>0.36947791164658633</c:v>
                </c:pt>
                <c:pt idx="943">
                  <c:v>0.36880856760374831</c:v>
                </c:pt>
                <c:pt idx="944">
                  <c:v>0.36813922356091033</c:v>
                </c:pt>
                <c:pt idx="945">
                  <c:v>0.36746987951807231</c:v>
                </c:pt>
                <c:pt idx="946">
                  <c:v>0.36680053547523428</c:v>
                </c:pt>
                <c:pt idx="947">
                  <c:v>0.36613119143239625</c:v>
                </c:pt>
                <c:pt idx="948">
                  <c:v>0.36546184738955823</c:v>
                </c:pt>
                <c:pt idx="949">
                  <c:v>0.3647925033467202</c:v>
                </c:pt>
                <c:pt idx="950">
                  <c:v>0.36412315930388217</c:v>
                </c:pt>
                <c:pt idx="951">
                  <c:v>0.3634538152610442</c:v>
                </c:pt>
                <c:pt idx="952">
                  <c:v>0.36278447121820617</c:v>
                </c:pt>
                <c:pt idx="953">
                  <c:v>0.36211512717536815</c:v>
                </c:pt>
                <c:pt idx="954">
                  <c:v>0.36144578313253012</c:v>
                </c:pt>
                <c:pt idx="955">
                  <c:v>0.36077643908969209</c:v>
                </c:pt>
                <c:pt idx="956">
                  <c:v>0.36010709504685406</c:v>
                </c:pt>
                <c:pt idx="957">
                  <c:v>0.35943775100401604</c:v>
                </c:pt>
                <c:pt idx="958">
                  <c:v>0.35876840696117807</c:v>
                </c:pt>
                <c:pt idx="959">
                  <c:v>0.35809906291834004</c:v>
                </c:pt>
                <c:pt idx="960">
                  <c:v>0.35742971887550201</c:v>
                </c:pt>
                <c:pt idx="961">
                  <c:v>0.35676037483266398</c:v>
                </c:pt>
                <c:pt idx="962">
                  <c:v>0.35609103078982596</c:v>
                </c:pt>
                <c:pt idx="963">
                  <c:v>0.35542168674698793</c:v>
                </c:pt>
                <c:pt idx="964">
                  <c:v>0.35475234270414996</c:v>
                </c:pt>
                <c:pt idx="965">
                  <c:v>0.35408299866131193</c:v>
                </c:pt>
                <c:pt idx="966">
                  <c:v>0.3534136546184739</c:v>
                </c:pt>
                <c:pt idx="967">
                  <c:v>0.35274431057563588</c:v>
                </c:pt>
                <c:pt idx="968">
                  <c:v>0.35207496653279785</c:v>
                </c:pt>
                <c:pt idx="969">
                  <c:v>0.35140562248995982</c:v>
                </c:pt>
                <c:pt idx="970">
                  <c:v>0.3507362784471218</c:v>
                </c:pt>
                <c:pt idx="971">
                  <c:v>0.35006693440428382</c:v>
                </c:pt>
                <c:pt idx="972">
                  <c:v>0.3493975903614458</c:v>
                </c:pt>
                <c:pt idx="973">
                  <c:v>0.34872824631860777</c:v>
                </c:pt>
                <c:pt idx="974">
                  <c:v>0.34805890227576974</c:v>
                </c:pt>
                <c:pt idx="975">
                  <c:v>0.34738955823293172</c:v>
                </c:pt>
                <c:pt idx="976">
                  <c:v>0.34672021419009369</c:v>
                </c:pt>
                <c:pt idx="977">
                  <c:v>0.34605087014725566</c:v>
                </c:pt>
                <c:pt idx="978">
                  <c:v>0.34538152610441769</c:v>
                </c:pt>
                <c:pt idx="979">
                  <c:v>0.34471218206157966</c:v>
                </c:pt>
                <c:pt idx="980">
                  <c:v>0.34404283801874164</c:v>
                </c:pt>
                <c:pt idx="981">
                  <c:v>0.34337349397590361</c:v>
                </c:pt>
                <c:pt idx="982">
                  <c:v>0.34270414993306558</c:v>
                </c:pt>
                <c:pt idx="983">
                  <c:v>0.34203480589022756</c:v>
                </c:pt>
                <c:pt idx="984">
                  <c:v>0.34136546184738958</c:v>
                </c:pt>
                <c:pt idx="985">
                  <c:v>0.34069611780455156</c:v>
                </c:pt>
                <c:pt idx="986">
                  <c:v>0.34002677376171353</c:v>
                </c:pt>
                <c:pt idx="987">
                  <c:v>0.3393574297188755</c:v>
                </c:pt>
                <c:pt idx="988">
                  <c:v>0.33868808567603748</c:v>
                </c:pt>
                <c:pt idx="989">
                  <c:v>0.33801874163319945</c:v>
                </c:pt>
                <c:pt idx="990">
                  <c:v>0.33734939759036142</c:v>
                </c:pt>
                <c:pt idx="991">
                  <c:v>0.33668005354752345</c:v>
                </c:pt>
                <c:pt idx="992">
                  <c:v>0.33601070950468542</c:v>
                </c:pt>
                <c:pt idx="993">
                  <c:v>0.3353413654618474</c:v>
                </c:pt>
                <c:pt idx="994">
                  <c:v>0.33467202141900937</c:v>
                </c:pt>
                <c:pt idx="995">
                  <c:v>0.33400267737617134</c:v>
                </c:pt>
                <c:pt idx="996">
                  <c:v>0.33333333333333331</c:v>
                </c:pt>
                <c:pt idx="997">
                  <c:v>0.33266398929049529</c:v>
                </c:pt>
                <c:pt idx="998">
                  <c:v>0.33199464524765732</c:v>
                </c:pt>
                <c:pt idx="999">
                  <c:v>0.33132530120481929</c:v>
                </c:pt>
                <c:pt idx="1000">
                  <c:v>0.33065595716198126</c:v>
                </c:pt>
                <c:pt idx="1001">
                  <c:v>0.32998661311914324</c:v>
                </c:pt>
                <c:pt idx="1002">
                  <c:v>0.32931726907630521</c:v>
                </c:pt>
                <c:pt idx="1003">
                  <c:v>0.32864792503346718</c:v>
                </c:pt>
                <c:pt idx="1004">
                  <c:v>0.32797858099062921</c:v>
                </c:pt>
                <c:pt idx="1005">
                  <c:v>0.32730923694779118</c:v>
                </c:pt>
                <c:pt idx="1006">
                  <c:v>0.32663989290495316</c:v>
                </c:pt>
                <c:pt idx="1007">
                  <c:v>0.32597054886211513</c:v>
                </c:pt>
                <c:pt idx="1008">
                  <c:v>0.3253012048192771</c:v>
                </c:pt>
                <c:pt idx="1009">
                  <c:v>0.32463186077643907</c:v>
                </c:pt>
                <c:pt idx="1010">
                  <c:v>0.32396251673360105</c:v>
                </c:pt>
                <c:pt idx="1011">
                  <c:v>0.32329317269076308</c:v>
                </c:pt>
                <c:pt idx="1012">
                  <c:v>0.32262382864792505</c:v>
                </c:pt>
                <c:pt idx="1013">
                  <c:v>0.32195448460508702</c:v>
                </c:pt>
                <c:pt idx="1014">
                  <c:v>0.32128514056224899</c:v>
                </c:pt>
                <c:pt idx="1015">
                  <c:v>0.32061579651941097</c:v>
                </c:pt>
                <c:pt idx="1016">
                  <c:v>0.31994645247657294</c:v>
                </c:pt>
                <c:pt idx="1017">
                  <c:v>0.31927710843373491</c:v>
                </c:pt>
                <c:pt idx="1018">
                  <c:v>0.31860776439089694</c:v>
                </c:pt>
                <c:pt idx="1019">
                  <c:v>0.31793842034805891</c:v>
                </c:pt>
                <c:pt idx="1020">
                  <c:v>0.31726907630522089</c:v>
                </c:pt>
                <c:pt idx="1021">
                  <c:v>0.31659973226238286</c:v>
                </c:pt>
                <c:pt idx="1022">
                  <c:v>0.31593038821954483</c:v>
                </c:pt>
                <c:pt idx="1023">
                  <c:v>0.31526104417670681</c:v>
                </c:pt>
                <c:pt idx="1024">
                  <c:v>0.31459170013386883</c:v>
                </c:pt>
                <c:pt idx="1025">
                  <c:v>0.31392235609103081</c:v>
                </c:pt>
                <c:pt idx="1026">
                  <c:v>0.31325301204819278</c:v>
                </c:pt>
                <c:pt idx="1027">
                  <c:v>0.31258366800535475</c:v>
                </c:pt>
                <c:pt idx="1028">
                  <c:v>0.31191432396251673</c:v>
                </c:pt>
                <c:pt idx="1029">
                  <c:v>0.3112449799196787</c:v>
                </c:pt>
                <c:pt idx="1030">
                  <c:v>0.31057563587684067</c:v>
                </c:pt>
                <c:pt idx="1031">
                  <c:v>0.3099062918340027</c:v>
                </c:pt>
                <c:pt idx="1032">
                  <c:v>0.30923694779116467</c:v>
                </c:pt>
                <c:pt idx="1033">
                  <c:v>0.30856760374832665</c:v>
                </c:pt>
                <c:pt idx="1034">
                  <c:v>0.30789825970548862</c:v>
                </c:pt>
                <c:pt idx="1035">
                  <c:v>0.30722891566265059</c:v>
                </c:pt>
                <c:pt idx="1036">
                  <c:v>0.30655957161981257</c:v>
                </c:pt>
                <c:pt idx="1037">
                  <c:v>0.30589022757697454</c:v>
                </c:pt>
                <c:pt idx="1038">
                  <c:v>0.30522088353413657</c:v>
                </c:pt>
                <c:pt idx="1039">
                  <c:v>0.30455153949129854</c:v>
                </c:pt>
                <c:pt idx="1040">
                  <c:v>0.30388219544846051</c:v>
                </c:pt>
                <c:pt idx="1041">
                  <c:v>0.30321285140562249</c:v>
                </c:pt>
                <c:pt idx="1042">
                  <c:v>0.30254350736278446</c:v>
                </c:pt>
                <c:pt idx="1043">
                  <c:v>0.30187416331994643</c:v>
                </c:pt>
                <c:pt idx="1044">
                  <c:v>0.30120481927710846</c:v>
                </c:pt>
                <c:pt idx="1045">
                  <c:v>0.30053547523427043</c:v>
                </c:pt>
                <c:pt idx="1046">
                  <c:v>0.29986613119143241</c:v>
                </c:pt>
                <c:pt idx="1047">
                  <c:v>0.29919678714859438</c:v>
                </c:pt>
                <c:pt idx="1048">
                  <c:v>0.29852744310575635</c:v>
                </c:pt>
                <c:pt idx="1049">
                  <c:v>0.29785809906291832</c:v>
                </c:pt>
                <c:pt idx="1050">
                  <c:v>0.2971887550200803</c:v>
                </c:pt>
                <c:pt idx="1051">
                  <c:v>0.29651941097724233</c:v>
                </c:pt>
                <c:pt idx="1052">
                  <c:v>0.2958500669344043</c:v>
                </c:pt>
                <c:pt idx="1053">
                  <c:v>0.29518072289156627</c:v>
                </c:pt>
                <c:pt idx="1054">
                  <c:v>0.29451137884872824</c:v>
                </c:pt>
                <c:pt idx="1055">
                  <c:v>0.29384203480589022</c:v>
                </c:pt>
                <c:pt idx="1056">
                  <c:v>0.29317269076305219</c:v>
                </c:pt>
                <c:pt idx="1057">
                  <c:v>0.29250334672021416</c:v>
                </c:pt>
                <c:pt idx="1058">
                  <c:v>0.29183400267737619</c:v>
                </c:pt>
                <c:pt idx="1059">
                  <c:v>0.29116465863453816</c:v>
                </c:pt>
                <c:pt idx="1060">
                  <c:v>0.29049531459170014</c:v>
                </c:pt>
                <c:pt idx="1061">
                  <c:v>0.28982597054886211</c:v>
                </c:pt>
                <c:pt idx="1062">
                  <c:v>0.28915662650602408</c:v>
                </c:pt>
                <c:pt idx="1063">
                  <c:v>0.28848728246318606</c:v>
                </c:pt>
                <c:pt idx="1064">
                  <c:v>0.28781793842034809</c:v>
                </c:pt>
                <c:pt idx="1065">
                  <c:v>0.28714859437751006</c:v>
                </c:pt>
                <c:pt idx="1066">
                  <c:v>0.28647925033467203</c:v>
                </c:pt>
                <c:pt idx="1067">
                  <c:v>0.285809906291834</c:v>
                </c:pt>
                <c:pt idx="1068">
                  <c:v>0.28514056224899598</c:v>
                </c:pt>
                <c:pt idx="1069">
                  <c:v>0.28447121820615795</c:v>
                </c:pt>
                <c:pt idx="1070">
                  <c:v>0.28380187416331992</c:v>
                </c:pt>
                <c:pt idx="1071">
                  <c:v>0.28313253012048195</c:v>
                </c:pt>
                <c:pt idx="1072">
                  <c:v>0.28246318607764392</c:v>
                </c:pt>
                <c:pt idx="1073">
                  <c:v>0.2817938420348059</c:v>
                </c:pt>
                <c:pt idx="1074">
                  <c:v>0.28112449799196787</c:v>
                </c:pt>
                <c:pt idx="1075">
                  <c:v>0.28045515394912984</c:v>
                </c:pt>
                <c:pt idx="1076">
                  <c:v>0.27978580990629182</c:v>
                </c:pt>
                <c:pt idx="1077">
                  <c:v>0.27911646586345379</c:v>
                </c:pt>
                <c:pt idx="1078">
                  <c:v>0.27844712182061582</c:v>
                </c:pt>
                <c:pt idx="1079">
                  <c:v>0.27777777777777779</c:v>
                </c:pt>
                <c:pt idx="1080">
                  <c:v>0.27710843373493976</c:v>
                </c:pt>
                <c:pt idx="1081">
                  <c:v>0.27643908969210174</c:v>
                </c:pt>
                <c:pt idx="1082">
                  <c:v>0.27576974564926371</c:v>
                </c:pt>
                <c:pt idx="1083">
                  <c:v>0.27510040160642568</c:v>
                </c:pt>
                <c:pt idx="1084">
                  <c:v>0.27443105756358771</c:v>
                </c:pt>
                <c:pt idx="1085">
                  <c:v>0.27376171352074968</c:v>
                </c:pt>
                <c:pt idx="1086">
                  <c:v>0.27309236947791166</c:v>
                </c:pt>
                <c:pt idx="1087">
                  <c:v>0.27242302543507363</c:v>
                </c:pt>
                <c:pt idx="1088">
                  <c:v>0.2717536813922356</c:v>
                </c:pt>
                <c:pt idx="1089">
                  <c:v>0.27108433734939757</c:v>
                </c:pt>
                <c:pt idx="1090">
                  <c:v>0.27041499330655955</c:v>
                </c:pt>
                <c:pt idx="1091">
                  <c:v>0.26974564926372158</c:v>
                </c:pt>
                <c:pt idx="1092">
                  <c:v>0.26907630522088355</c:v>
                </c:pt>
                <c:pt idx="1093">
                  <c:v>0.26840696117804552</c:v>
                </c:pt>
                <c:pt idx="1094">
                  <c:v>0.2677376171352075</c:v>
                </c:pt>
                <c:pt idx="1095">
                  <c:v>0.26706827309236947</c:v>
                </c:pt>
                <c:pt idx="1096">
                  <c:v>0.26639892904953144</c:v>
                </c:pt>
                <c:pt idx="1097">
                  <c:v>0.26572958500669341</c:v>
                </c:pt>
                <c:pt idx="1098">
                  <c:v>0.26506024096385544</c:v>
                </c:pt>
                <c:pt idx="1099">
                  <c:v>0.26439089692101742</c:v>
                </c:pt>
                <c:pt idx="1100">
                  <c:v>0.26372155287817939</c:v>
                </c:pt>
                <c:pt idx="1101">
                  <c:v>0.26305220883534136</c:v>
                </c:pt>
                <c:pt idx="1102">
                  <c:v>0.26238286479250333</c:v>
                </c:pt>
                <c:pt idx="1103">
                  <c:v>0.26171352074966531</c:v>
                </c:pt>
                <c:pt idx="1104">
                  <c:v>0.26104417670682734</c:v>
                </c:pt>
                <c:pt idx="1105">
                  <c:v>0.26037483266398931</c:v>
                </c:pt>
                <c:pt idx="1106">
                  <c:v>0.25970548862115128</c:v>
                </c:pt>
                <c:pt idx="1107">
                  <c:v>0.25903614457831325</c:v>
                </c:pt>
                <c:pt idx="1108">
                  <c:v>0.25836680053547523</c:v>
                </c:pt>
                <c:pt idx="1109">
                  <c:v>0.2576974564926372</c:v>
                </c:pt>
                <c:pt idx="1110">
                  <c:v>0.25702811244979917</c:v>
                </c:pt>
                <c:pt idx="1111">
                  <c:v>0.2563587684069612</c:v>
                </c:pt>
                <c:pt idx="1112">
                  <c:v>0.25568942436412317</c:v>
                </c:pt>
                <c:pt idx="1113">
                  <c:v>0.25502008032128515</c:v>
                </c:pt>
                <c:pt idx="1114">
                  <c:v>0.25435073627844712</c:v>
                </c:pt>
                <c:pt idx="1115">
                  <c:v>0.25368139223560909</c:v>
                </c:pt>
                <c:pt idx="1116">
                  <c:v>0.25301204819277107</c:v>
                </c:pt>
                <c:pt idx="1117">
                  <c:v>0.25234270414993304</c:v>
                </c:pt>
                <c:pt idx="1118">
                  <c:v>0.25167336010709507</c:v>
                </c:pt>
                <c:pt idx="1119">
                  <c:v>0.25100401606425704</c:v>
                </c:pt>
                <c:pt idx="1120">
                  <c:v>0.25033467202141901</c:v>
                </c:pt>
                <c:pt idx="1121">
                  <c:v>0.24966532797858099</c:v>
                </c:pt>
                <c:pt idx="1122">
                  <c:v>0.24899598393574296</c:v>
                </c:pt>
                <c:pt idx="1123">
                  <c:v>0.24832663989290496</c:v>
                </c:pt>
                <c:pt idx="1124">
                  <c:v>0.24765729585006693</c:v>
                </c:pt>
                <c:pt idx="1125">
                  <c:v>0.24698795180722891</c:v>
                </c:pt>
                <c:pt idx="1126">
                  <c:v>0.24631860776439091</c:v>
                </c:pt>
                <c:pt idx="1127">
                  <c:v>0.24564926372155288</c:v>
                </c:pt>
                <c:pt idx="1128">
                  <c:v>0.24497991967871485</c:v>
                </c:pt>
                <c:pt idx="1129">
                  <c:v>0.24431057563587685</c:v>
                </c:pt>
                <c:pt idx="1130">
                  <c:v>0.24364123159303883</c:v>
                </c:pt>
                <c:pt idx="1131">
                  <c:v>0.2429718875502008</c:v>
                </c:pt>
                <c:pt idx="1132">
                  <c:v>0.24230254350736277</c:v>
                </c:pt>
                <c:pt idx="1133">
                  <c:v>0.24163319946452477</c:v>
                </c:pt>
                <c:pt idx="1134">
                  <c:v>0.24096385542168675</c:v>
                </c:pt>
                <c:pt idx="1135">
                  <c:v>0.24029451137884872</c:v>
                </c:pt>
                <c:pt idx="1136">
                  <c:v>0.23962516733601072</c:v>
                </c:pt>
                <c:pt idx="1137">
                  <c:v>0.23895582329317269</c:v>
                </c:pt>
                <c:pt idx="1138">
                  <c:v>0.23828647925033467</c:v>
                </c:pt>
                <c:pt idx="1139">
                  <c:v>0.23761713520749667</c:v>
                </c:pt>
                <c:pt idx="1140">
                  <c:v>0.23694779116465864</c:v>
                </c:pt>
                <c:pt idx="1141">
                  <c:v>0.23627844712182061</c:v>
                </c:pt>
                <c:pt idx="1142">
                  <c:v>0.23560910307898258</c:v>
                </c:pt>
                <c:pt idx="1143">
                  <c:v>0.23493975903614459</c:v>
                </c:pt>
                <c:pt idx="1144">
                  <c:v>0.23427041499330656</c:v>
                </c:pt>
                <c:pt idx="1145">
                  <c:v>0.23360107095046853</c:v>
                </c:pt>
                <c:pt idx="1146">
                  <c:v>0.23293172690763053</c:v>
                </c:pt>
                <c:pt idx="1147">
                  <c:v>0.2322623828647925</c:v>
                </c:pt>
                <c:pt idx="1148">
                  <c:v>0.23159303882195448</c:v>
                </c:pt>
                <c:pt idx="1149">
                  <c:v>0.23092369477911648</c:v>
                </c:pt>
                <c:pt idx="1150">
                  <c:v>0.23025435073627845</c:v>
                </c:pt>
                <c:pt idx="1151">
                  <c:v>0.22958500669344042</c:v>
                </c:pt>
                <c:pt idx="1152">
                  <c:v>0.2289156626506024</c:v>
                </c:pt>
                <c:pt idx="1153">
                  <c:v>0.2282463186077644</c:v>
                </c:pt>
                <c:pt idx="1154">
                  <c:v>0.22757697456492637</c:v>
                </c:pt>
                <c:pt idx="1155">
                  <c:v>0.22690763052208834</c:v>
                </c:pt>
                <c:pt idx="1156">
                  <c:v>0.22623828647925034</c:v>
                </c:pt>
                <c:pt idx="1157">
                  <c:v>0.22556894243641232</c:v>
                </c:pt>
                <c:pt idx="1158">
                  <c:v>0.22489959839357429</c:v>
                </c:pt>
                <c:pt idx="1159">
                  <c:v>0.22423025435073629</c:v>
                </c:pt>
                <c:pt idx="1160">
                  <c:v>0.22356091030789826</c:v>
                </c:pt>
                <c:pt idx="1161">
                  <c:v>0.22289156626506024</c:v>
                </c:pt>
                <c:pt idx="1162">
                  <c:v>0.22222222222222221</c:v>
                </c:pt>
                <c:pt idx="1163">
                  <c:v>0.22155287817938421</c:v>
                </c:pt>
                <c:pt idx="1164">
                  <c:v>0.22088353413654618</c:v>
                </c:pt>
                <c:pt idx="1165">
                  <c:v>0.22021419009370816</c:v>
                </c:pt>
                <c:pt idx="1166">
                  <c:v>0.21954484605087016</c:v>
                </c:pt>
                <c:pt idx="1167">
                  <c:v>0.21887550200803213</c:v>
                </c:pt>
                <c:pt idx="1168">
                  <c:v>0.2182061579651941</c:v>
                </c:pt>
                <c:pt idx="1169">
                  <c:v>0.2175368139223561</c:v>
                </c:pt>
                <c:pt idx="1170">
                  <c:v>0.21686746987951808</c:v>
                </c:pt>
                <c:pt idx="1171">
                  <c:v>0.21619812583668005</c:v>
                </c:pt>
                <c:pt idx="1172">
                  <c:v>0.21552878179384202</c:v>
                </c:pt>
                <c:pt idx="1173">
                  <c:v>0.21485943775100402</c:v>
                </c:pt>
                <c:pt idx="1174">
                  <c:v>0.214190093708166</c:v>
                </c:pt>
                <c:pt idx="1175">
                  <c:v>0.21352074966532797</c:v>
                </c:pt>
                <c:pt idx="1176">
                  <c:v>0.21285140562248997</c:v>
                </c:pt>
                <c:pt idx="1177">
                  <c:v>0.21218206157965194</c:v>
                </c:pt>
                <c:pt idx="1178">
                  <c:v>0.21151271753681392</c:v>
                </c:pt>
                <c:pt idx="1179">
                  <c:v>0.21084337349397592</c:v>
                </c:pt>
                <c:pt idx="1180">
                  <c:v>0.21017402945113789</c:v>
                </c:pt>
                <c:pt idx="1181">
                  <c:v>0.20950468540829986</c:v>
                </c:pt>
                <c:pt idx="1182">
                  <c:v>0.20883534136546184</c:v>
                </c:pt>
                <c:pt idx="1183">
                  <c:v>0.20816599732262384</c:v>
                </c:pt>
                <c:pt idx="1184">
                  <c:v>0.20749665327978581</c:v>
                </c:pt>
                <c:pt idx="1185">
                  <c:v>0.20682730923694778</c:v>
                </c:pt>
                <c:pt idx="1186">
                  <c:v>0.20615796519410978</c:v>
                </c:pt>
                <c:pt idx="1187">
                  <c:v>0.20548862115127176</c:v>
                </c:pt>
                <c:pt idx="1188">
                  <c:v>0.20481927710843373</c:v>
                </c:pt>
                <c:pt idx="1189">
                  <c:v>0.20414993306559573</c:v>
                </c:pt>
                <c:pt idx="1190">
                  <c:v>0.2034805890227577</c:v>
                </c:pt>
                <c:pt idx="1191">
                  <c:v>0.20281124497991967</c:v>
                </c:pt>
                <c:pt idx="1192">
                  <c:v>0.20214190093708165</c:v>
                </c:pt>
                <c:pt idx="1193">
                  <c:v>0.20147255689424365</c:v>
                </c:pt>
                <c:pt idx="1194">
                  <c:v>0.20080321285140562</c:v>
                </c:pt>
                <c:pt idx="1195">
                  <c:v>0.20013386880856759</c:v>
                </c:pt>
                <c:pt idx="1196">
                  <c:v>0.1994645247657296</c:v>
                </c:pt>
                <c:pt idx="1197">
                  <c:v>0.19879518072289157</c:v>
                </c:pt>
                <c:pt idx="1198">
                  <c:v>0.19812583668005354</c:v>
                </c:pt>
                <c:pt idx="1199">
                  <c:v>0.19745649263721554</c:v>
                </c:pt>
                <c:pt idx="1200">
                  <c:v>0.19678714859437751</c:v>
                </c:pt>
                <c:pt idx="1201">
                  <c:v>0.19611780455153949</c:v>
                </c:pt>
                <c:pt idx="1202">
                  <c:v>0.19544846050870146</c:v>
                </c:pt>
                <c:pt idx="1203">
                  <c:v>0.19477911646586346</c:v>
                </c:pt>
                <c:pt idx="1204">
                  <c:v>0.19410977242302543</c:v>
                </c:pt>
                <c:pt idx="1205">
                  <c:v>0.19344042838018741</c:v>
                </c:pt>
                <c:pt idx="1206">
                  <c:v>0.19277108433734941</c:v>
                </c:pt>
                <c:pt idx="1207">
                  <c:v>0.19210174029451138</c:v>
                </c:pt>
                <c:pt idx="1208">
                  <c:v>0.19143239625167335</c:v>
                </c:pt>
                <c:pt idx="1209">
                  <c:v>0.19076305220883535</c:v>
                </c:pt>
                <c:pt idx="1210">
                  <c:v>0.19009370816599733</c:v>
                </c:pt>
                <c:pt idx="1211">
                  <c:v>0.1894243641231593</c:v>
                </c:pt>
                <c:pt idx="1212">
                  <c:v>0.18875502008032127</c:v>
                </c:pt>
                <c:pt idx="1213">
                  <c:v>0.18808567603748327</c:v>
                </c:pt>
                <c:pt idx="1214">
                  <c:v>0.18741633199464525</c:v>
                </c:pt>
                <c:pt idx="1215">
                  <c:v>0.18674698795180722</c:v>
                </c:pt>
                <c:pt idx="1216">
                  <c:v>0.18607764390896922</c:v>
                </c:pt>
                <c:pt idx="1217">
                  <c:v>0.18540829986613119</c:v>
                </c:pt>
                <c:pt idx="1218">
                  <c:v>0.18473895582329317</c:v>
                </c:pt>
                <c:pt idx="1219">
                  <c:v>0.18406961178045517</c:v>
                </c:pt>
                <c:pt idx="1220">
                  <c:v>0.18340026773761714</c:v>
                </c:pt>
                <c:pt idx="1221">
                  <c:v>0.18273092369477911</c:v>
                </c:pt>
                <c:pt idx="1222">
                  <c:v>0.18206157965194109</c:v>
                </c:pt>
                <c:pt idx="1223">
                  <c:v>0.18139223560910309</c:v>
                </c:pt>
                <c:pt idx="1224">
                  <c:v>0.18072289156626506</c:v>
                </c:pt>
                <c:pt idx="1225">
                  <c:v>0.18005354752342703</c:v>
                </c:pt>
                <c:pt idx="1226">
                  <c:v>0.17938420348058903</c:v>
                </c:pt>
                <c:pt idx="1227">
                  <c:v>0.17871485943775101</c:v>
                </c:pt>
                <c:pt idx="1228">
                  <c:v>0.17804551539491298</c:v>
                </c:pt>
                <c:pt idx="1229">
                  <c:v>0.17737617135207498</c:v>
                </c:pt>
                <c:pt idx="1230">
                  <c:v>0.17670682730923695</c:v>
                </c:pt>
                <c:pt idx="1231">
                  <c:v>0.17603748326639893</c:v>
                </c:pt>
                <c:pt idx="1232">
                  <c:v>0.1753681392235609</c:v>
                </c:pt>
                <c:pt idx="1233">
                  <c:v>0.1746987951807229</c:v>
                </c:pt>
                <c:pt idx="1234">
                  <c:v>0.17402945113788487</c:v>
                </c:pt>
                <c:pt idx="1235">
                  <c:v>0.17336010709504684</c:v>
                </c:pt>
                <c:pt idx="1236">
                  <c:v>0.17269076305220885</c:v>
                </c:pt>
                <c:pt idx="1237">
                  <c:v>0.17202141900937082</c:v>
                </c:pt>
                <c:pt idx="1238">
                  <c:v>0.17135207496653279</c:v>
                </c:pt>
                <c:pt idx="1239">
                  <c:v>0.17068273092369479</c:v>
                </c:pt>
                <c:pt idx="1240">
                  <c:v>0.17001338688085676</c:v>
                </c:pt>
                <c:pt idx="1241">
                  <c:v>0.16934404283801874</c:v>
                </c:pt>
                <c:pt idx="1242">
                  <c:v>0.16867469879518071</c:v>
                </c:pt>
                <c:pt idx="1243">
                  <c:v>0.16800535475234271</c:v>
                </c:pt>
                <c:pt idx="1244">
                  <c:v>0.16733601070950468</c:v>
                </c:pt>
                <c:pt idx="1245">
                  <c:v>0.16666666666666666</c:v>
                </c:pt>
                <c:pt idx="1246">
                  <c:v>0.16599732262382866</c:v>
                </c:pt>
                <c:pt idx="1247">
                  <c:v>0.16532797858099063</c:v>
                </c:pt>
                <c:pt idx="1248">
                  <c:v>0.1646586345381526</c:v>
                </c:pt>
                <c:pt idx="1249">
                  <c:v>0.1639892904953146</c:v>
                </c:pt>
                <c:pt idx="1250">
                  <c:v>0.16331994645247658</c:v>
                </c:pt>
                <c:pt idx="1251">
                  <c:v>0.16265060240963855</c:v>
                </c:pt>
                <c:pt idx="1252">
                  <c:v>0.16198125836680052</c:v>
                </c:pt>
                <c:pt idx="1253">
                  <c:v>0.16131191432396252</c:v>
                </c:pt>
                <c:pt idx="1254">
                  <c:v>0.1606425702811245</c:v>
                </c:pt>
                <c:pt idx="1255">
                  <c:v>0.15997322623828647</c:v>
                </c:pt>
                <c:pt idx="1256">
                  <c:v>0.15930388219544847</c:v>
                </c:pt>
                <c:pt idx="1257">
                  <c:v>0.15863453815261044</c:v>
                </c:pt>
                <c:pt idx="1258">
                  <c:v>0.15796519410977242</c:v>
                </c:pt>
                <c:pt idx="1259">
                  <c:v>0.15729585006693442</c:v>
                </c:pt>
                <c:pt idx="1260">
                  <c:v>0.15662650602409639</c:v>
                </c:pt>
                <c:pt idx="1261">
                  <c:v>0.15595716198125836</c:v>
                </c:pt>
                <c:pt idx="1262">
                  <c:v>0.15528781793842034</c:v>
                </c:pt>
                <c:pt idx="1263">
                  <c:v>0.15461847389558234</c:v>
                </c:pt>
                <c:pt idx="1264">
                  <c:v>0.15394912985274431</c:v>
                </c:pt>
                <c:pt idx="1265">
                  <c:v>0.15327978580990628</c:v>
                </c:pt>
                <c:pt idx="1266">
                  <c:v>0.15261044176706828</c:v>
                </c:pt>
                <c:pt idx="1267">
                  <c:v>0.15194109772423026</c:v>
                </c:pt>
                <c:pt idx="1268">
                  <c:v>0.15127175368139223</c:v>
                </c:pt>
                <c:pt idx="1269">
                  <c:v>0.15060240963855423</c:v>
                </c:pt>
                <c:pt idx="1270">
                  <c:v>0.1499330655957162</c:v>
                </c:pt>
                <c:pt idx="1271">
                  <c:v>0.14926372155287818</c:v>
                </c:pt>
                <c:pt idx="1272">
                  <c:v>0.14859437751004015</c:v>
                </c:pt>
                <c:pt idx="1273">
                  <c:v>0.14792503346720215</c:v>
                </c:pt>
                <c:pt idx="1274">
                  <c:v>0.14725568942436412</c:v>
                </c:pt>
                <c:pt idx="1275">
                  <c:v>0.1465863453815261</c:v>
                </c:pt>
                <c:pt idx="1276">
                  <c:v>0.1459170013386881</c:v>
                </c:pt>
                <c:pt idx="1277">
                  <c:v>0.14524765729585007</c:v>
                </c:pt>
                <c:pt idx="1278">
                  <c:v>0.14457831325301204</c:v>
                </c:pt>
                <c:pt idx="1279">
                  <c:v>0.14390896921017404</c:v>
                </c:pt>
                <c:pt idx="1280">
                  <c:v>0.14323962516733602</c:v>
                </c:pt>
                <c:pt idx="1281">
                  <c:v>0.14257028112449799</c:v>
                </c:pt>
                <c:pt idx="1282">
                  <c:v>0.14190093708165996</c:v>
                </c:pt>
                <c:pt idx="1283">
                  <c:v>0.14123159303882196</c:v>
                </c:pt>
                <c:pt idx="1284">
                  <c:v>0.14056224899598393</c:v>
                </c:pt>
                <c:pt idx="1285">
                  <c:v>0.13989290495314591</c:v>
                </c:pt>
                <c:pt idx="1286">
                  <c:v>0.13922356091030791</c:v>
                </c:pt>
                <c:pt idx="1287">
                  <c:v>0.13855421686746988</c:v>
                </c:pt>
                <c:pt idx="1288">
                  <c:v>0.13788487282463185</c:v>
                </c:pt>
                <c:pt idx="1289">
                  <c:v>0.13721552878179386</c:v>
                </c:pt>
                <c:pt idx="1290">
                  <c:v>0.13654618473895583</c:v>
                </c:pt>
                <c:pt idx="1291">
                  <c:v>0.1358768406961178</c:v>
                </c:pt>
                <c:pt idx="1292">
                  <c:v>0.13520749665327977</c:v>
                </c:pt>
                <c:pt idx="1293">
                  <c:v>0.13453815261044177</c:v>
                </c:pt>
                <c:pt idx="1294">
                  <c:v>0.13386880856760375</c:v>
                </c:pt>
                <c:pt idx="1295">
                  <c:v>0.13319946452476572</c:v>
                </c:pt>
                <c:pt idx="1296">
                  <c:v>0.13253012048192772</c:v>
                </c:pt>
                <c:pt idx="1297">
                  <c:v>0.13186077643908969</c:v>
                </c:pt>
                <c:pt idx="1298">
                  <c:v>0.13119143239625167</c:v>
                </c:pt>
                <c:pt idx="1299">
                  <c:v>0.13052208835341367</c:v>
                </c:pt>
                <c:pt idx="1300">
                  <c:v>0.12985274431057564</c:v>
                </c:pt>
                <c:pt idx="1301">
                  <c:v>0.12918340026773761</c:v>
                </c:pt>
                <c:pt idx="1302">
                  <c:v>0.12851405622489959</c:v>
                </c:pt>
                <c:pt idx="1303">
                  <c:v>0.12784471218206159</c:v>
                </c:pt>
                <c:pt idx="1304">
                  <c:v>0.12717536813922356</c:v>
                </c:pt>
                <c:pt idx="1305">
                  <c:v>0.12650602409638553</c:v>
                </c:pt>
                <c:pt idx="1306">
                  <c:v>0.12583668005354753</c:v>
                </c:pt>
                <c:pt idx="1307">
                  <c:v>0.12516733601070951</c:v>
                </c:pt>
                <c:pt idx="1308">
                  <c:v>0.12449799196787148</c:v>
                </c:pt>
                <c:pt idx="1309">
                  <c:v>0.12382864792503347</c:v>
                </c:pt>
                <c:pt idx="1310">
                  <c:v>0.12315930388219545</c:v>
                </c:pt>
                <c:pt idx="1311">
                  <c:v>0.12248995983935743</c:v>
                </c:pt>
                <c:pt idx="1312">
                  <c:v>0.12182061579651941</c:v>
                </c:pt>
                <c:pt idx="1313">
                  <c:v>0.12115127175368139</c:v>
                </c:pt>
                <c:pt idx="1314">
                  <c:v>0.12048192771084337</c:v>
                </c:pt>
                <c:pt idx="1315">
                  <c:v>0.11981258366800536</c:v>
                </c:pt>
                <c:pt idx="1316">
                  <c:v>0.11914323962516733</c:v>
                </c:pt>
                <c:pt idx="1317">
                  <c:v>0.11847389558232932</c:v>
                </c:pt>
                <c:pt idx="1318">
                  <c:v>0.11780455153949129</c:v>
                </c:pt>
                <c:pt idx="1319">
                  <c:v>0.11713520749665328</c:v>
                </c:pt>
                <c:pt idx="1320">
                  <c:v>0.11646586345381527</c:v>
                </c:pt>
                <c:pt idx="1321">
                  <c:v>0.11579651941097724</c:v>
                </c:pt>
                <c:pt idx="1322">
                  <c:v>0.11512717536813923</c:v>
                </c:pt>
                <c:pt idx="1323">
                  <c:v>0.1144578313253012</c:v>
                </c:pt>
                <c:pt idx="1324">
                  <c:v>0.11378848728246319</c:v>
                </c:pt>
                <c:pt idx="1325">
                  <c:v>0.11311914323962517</c:v>
                </c:pt>
                <c:pt idx="1326">
                  <c:v>0.11244979919678715</c:v>
                </c:pt>
                <c:pt idx="1327">
                  <c:v>0.11178045515394913</c:v>
                </c:pt>
                <c:pt idx="1328">
                  <c:v>0.1111111111111111</c:v>
                </c:pt>
                <c:pt idx="1329">
                  <c:v>0.11044176706827309</c:v>
                </c:pt>
                <c:pt idx="1330">
                  <c:v>0.10977242302543508</c:v>
                </c:pt>
                <c:pt idx="1331">
                  <c:v>0.10910307898259705</c:v>
                </c:pt>
                <c:pt idx="1332">
                  <c:v>0.10843373493975904</c:v>
                </c:pt>
                <c:pt idx="1333">
                  <c:v>0.10776439089692101</c:v>
                </c:pt>
                <c:pt idx="1334">
                  <c:v>0.107095046854083</c:v>
                </c:pt>
                <c:pt idx="1335">
                  <c:v>0.10642570281124498</c:v>
                </c:pt>
                <c:pt idx="1336">
                  <c:v>0.10575635876840696</c:v>
                </c:pt>
                <c:pt idx="1337">
                  <c:v>0.10508701472556894</c:v>
                </c:pt>
                <c:pt idx="1338">
                  <c:v>0.10441767068273092</c:v>
                </c:pt>
                <c:pt idx="1339">
                  <c:v>0.1037483266398929</c:v>
                </c:pt>
                <c:pt idx="1340">
                  <c:v>0.10307898259705489</c:v>
                </c:pt>
                <c:pt idx="1341">
                  <c:v>0.10240963855421686</c:v>
                </c:pt>
                <c:pt idx="1342">
                  <c:v>0.10174029451137885</c:v>
                </c:pt>
                <c:pt idx="1343">
                  <c:v>0.10107095046854082</c:v>
                </c:pt>
                <c:pt idx="1344">
                  <c:v>0.10040160642570281</c:v>
                </c:pt>
                <c:pt idx="1345">
                  <c:v>9.9732262382864798E-2</c:v>
                </c:pt>
                <c:pt idx="1346">
                  <c:v>9.906291834002677E-2</c:v>
                </c:pt>
                <c:pt idx="1347">
                  <c:v>9.8393574297188757E-2</c:v>
                </c:pt>
                <c:pt idx="1348">
                  <c:v>9.772423025435073E-2</c:v>
                </c:pt>
                <c:pt idx="1349">
                  <c:v>9.7054886211512717E-2</c:v>
                </c:pt>
                <c:pt idx="1350">
                  <c:v>9.6385542168674704E-2</c:v>
                </c:pt>
                <c:pt idx="1351">
                  <c:v>9.5716198125836677E-2</c:v>
                </c:pt>
                <c:pt idx="1352">
                  <c:v>9.5046854082998664E-2</c:v>
                </c:pt>
                <c:pt idx="1353">
                  <c:v>9.4377510040160636E-2</c:v>
                </c:pt>
                <c:pt idx="1354">
                  <c:v>9.3708165997322623E-2</c:v>
                </c:pt>
                <c:pt idx="1355">
                  <c:v>9.303882195448461E-2</c:v>
                </c:pt>
                <c:pt idx="1356">
                  <c:v>9.2369477911646583E-2</c:v>
                </c:pt>
                <c:pt idx="1357">
                  <c:v>9.170013386880857E-2</c:v>
                </c:pt>
                <c:pt idx="1358">
                  <c:v>9.1030789825970543E-2</c:v>
                </c:pt>
                <c:pt idx="1359">
                  <c:v>9.036144578313253E-2</c:v>
                </c:pt>
                <c:pt idx="1360">
                  <c:v>8.9692101740294516E-2</c:v>
                </c:pt>
                <c:pt idx="1361">
                  <c:v>8.9022757697456489E-2</c:v>
                </c:pt>
                <c:pt idx="1362">
                  <c:v>8.8353413654618476E-2</c:v>
                </c:pt>
                <c:pt idx="1363">
                  <c:v>8.7684069611780449E-2</c:v>
                </c:pt>
                <c:pt idx="1364">
                  <c:v>8.7014725568942436E-2</c:v>
                </c:pt>
                <c:pt idx="1365">
                  <c:v>8.6345381526104423E-2</c:v>
                </c:pt>
                <c:pt idx="1366">
                  <c:v>8.5676037483266396E-2</c:v>
                </c:pt>
                <c:pt idx="1367">
                  <c:v>8.5006693440428382E-2</c:v>
                </c:pt>
                <c:pt idx="1368">
                  <c:v>8.4337349397590355E-2</c:v>
                </c:pt>
                <c:pt idx="1369">
                  <c:v>8.3668005354752342E-2</c:v>
                </c:pt>
                <c:pt idx="1370">
                  <c:v>8.2998661311914329E-2</c:v>
                </c:pt>
                <c:pt idx="1371">
                  <c:v>8.2329317269076302E-2</c:v>
                </c:pt>
                <c:pt idx="1372">
                  <c:v>8.1659973226238289E-2</c:v>
                </c:pt>
                <c:pt idx="1373">
                  <c:v>8.0990629183400262E-2</c:v>
                </c:pt>
                <c:pt idx="1374">
                  <c:v>8.0321285140562249E-2</c:v>
                </c:pt>
                <c:pt idx="1375">
                  <c:v>7.9651941097724235E-2</c:v>
                </c:pt>
                <c:pt idx="1376">
                  <c:v>7.8982597054886208E-2</c:v>
                </c:pt>
                <c:pt idx="1377">
                  <c:v>7.8313253012048195E-2</c:v>
                </c:pt>
                <c:pt idx="1378">
                  <c:v>7.7643908969210168E-2</c:v>
                </c:pt>
                <c:pt idx="1379">
                  <c:v>7.6974564926372155E-2</c:v>
                </c:pt>
                <c:pt idx="1380">
                  <c:v>7.6305220883534142E-2</c:v>
                </c:pt>
                <c:pt idx="1381">
                  <c:v>7.5635876840696115E-2</c:v>
                </c:pt>
                <c:pt idx="1382">
                  <c:v>7.4966532797858101E-2</c:v>
                </c:pt>
                <c:pt idx="1383">
                  <c:v>7.4297188755020074E-2</c:v>
                </c:pt>
                <c:pt idx="1384">
                  <c:v>7.3627844712182061E-2</c:v>
                </c:pt>
                <c:pt idx="1385">
                  <c:v>7.2958500669344048E-2</c:v>
                </c:pt>
                <c:pt idx="1386">
                  <c:v>7.2289156626506021E-2</c:v>
                </c:pt>
                <c:pt idx="1387">
                  <c:v>7.1619812583668008E-2</c:v>
                </c:pt>
                <c:pt idx="1388">
                  <c:v>7.0950468540829981E-2</c:v>
                </c:pt>
                <c:pt idx="1389">
                  <c:v>7.0281124497991967E-2</c:v>
                </c:pt>
                <c:pt idx="1390">
                  <c:v>6.9611780455153954E-2</c:v>
                </c:pt>
                <c:pt idx="1391">
                  <c:v>6.8942436412315927E-2</c:v>
                </c:pt>
                <c:pt idx="1392">
                  <c:v>6.8273092369477914E-2</c:v>
                </c:pt>
                <c:pt idx="1393">
                  <c:v>6.7603748326639887E-2</c:v>
                </c:pt>
                <c:pt idx="1394">
                  <c:v>6.6934404283801874E-2</c:v>
                </c:pt>
                <c:pt idx="1395">
                  <c:v>6.6265060240963861E-2</c:v>
                </c:pt>
                <c:pt idx="1396">
                  <c:v>6.5595716198125834E-2</c:v>
                </c:pt>
                <c:pt idx="1397">
                  <c:v>6.492637215528782E-2</c:v>
                </c:pt>
                <c:pt idx="1398">
                  <c:v>6.4257028112449793E-2</c:v>
                </c:pt>
                <c:pt idx="1399">
                  <c:v>6.358768406961178E-2</c:v>
                </c:pt>
                <c:pt idx="1400">
                  <c:v>6.2918340026773767E-2</c:v>
                </c:pt>
                <c:pt idx="1401">
                  <c:v>6.224899598393574E-2</c:v>
                </c:pt>
                <c:pt idx="1402">
                  <c:v>6.1579651941097727E-2</c:v>
                </c:pt>
                <c:pt idx="1403">
                  <c:v>6.0910307898259707E-2</c:v>
                </c:pt>
                <c:pt idx="1404">
                  <c:v>6.0240963855421686E-2</c:v>
                </c:pt>
                <c:pt idx="1405">
                  <c:v>5.9571619812583666E-2</c:v>
                </c:pt>
                <c:pt idx="1406">
                  <c:v>5.8902275769745646E-2</c:v>
                </c:pt>
                <c:pt idx="1407">
                  <c:v>5.8232931726907633E-2</c:v>
                </c:pt>
                <c:pt idx="1408">
                  <c:v>5.7563587684069613E-2</c:v>
                </c:pt>
                <c:pt idx="1409">
                  <c:v>5.6894243641231593E-2</c:v>
                </c:pt>
                <c:pt idx="1410">
                  <c:v>5.6224899598393573E-2</c:v>
                </c:pt>
                <c:pt idx="1411">
                  <c:v>5.5555555555555552E-2</c:v>
                </c:pt>
                <c:pt idx="1412">
                  <c:v>5.4886211512717539E-2</c:v>
                </c:pt>
                <c:pt idx="1413">
                  <c:v>5.4216867469879519E-2</c:v>
                </c:pt>
                <c:pt idx="1414">
                  <c:v>5.3547523427041499E-2</c:v>
                </c:pt>
                <c:pt idx="1415">
                  <c:v>5.2878179384203479E-2</c:v>
                </c:pt>
                <c:pt idx="1416">
                  <c:v>5.2208835341365459E-2</c:v>
                </c:pt>
                <c:pt idx="1417">
                  <c:v>5.1539491298527446E-2</c:v>
                </c:pt>
                <c:pt idx="1418">
                  <c:v>5.0870147255689425E-2</c:v>
                </c:pt>
                <c:pt idx="1419">
                  <c:v>5.0200803212851405E-2</c:v>
                </c:pt>
                <c:pt idx="1420">
                  <c:v>4.9531459170013385E-2</c:v>
                </c:pt>
                <c:pt idx="1421">
                  <c:v>4.8862115127175365E-2</c:v>
                </c:pt>
                <c:pt idx="1422">
                  <c:v>4.8192771084337352E-2</c:v>
                </c:pt>
                <c:pt idx="1423">
                  <c:v>4.7523427041499332E-2</c:v>
                </c:pt>
                <c:pt idx="1424">
                  <c:v>4.6854082998661312E-2</c:v>
                </c:pt>
                <c:pt idx="1425">
                  <c:v>4.6184738955823292E-2</c:v>
                </c:pt>
                <c:pt idx="1426">
                  <c:v>4.5515394912985271E-2</c:v>
                </c:pt>
                <c:pt idx="1427">
                  <c:v>4.4846050870147258E-2</c:v>
                </c:pt>
                <c:pt idx="1428">
                  <c:v>4.4176706827309238E-2</c:v>
                </c:pt>
                <c:pt idx="1429">
                  <c:v>4.3507362784471218E-2</c:v>
                </c:pt>
                <c:pt idx="1430">
                  <c:v>4.2838018741633198E-2</c:v>
                </c:pt>
                <c:pt idx="1431">
                  <c:v>4.2168674698795178E-2</c:v>
                </c:pt>
                <c:pt idx="1432">
                  <c:v>4.1499330655957165E-2</c:v>
                </c:pt>
                <c:pt idx="1433">
                  <c:v>4.0829986613119144E-2</c:v>
                </c:pt>
                <c:pt idx="1434">
                  <c:v>4.0160642570281124E-2</c:v>
                </c:pt>
                <c:pt idx="1435">
                  <c:v>3.9491298527443104E-2</c:v>
                </c:pt>
                <c:pt idx="1436">
                  <c:v>3.8821954484605084E-2</c:v>
                </c:pt>
                <c:pt idx="1437">
                  <c:v>3.8152610441767071E-2</c:v>
                </c:pt>
                <c:pt idx="1438">
                  <c:v>3.7483266398929051E-2</c:v>
                </c:pt>
                <c:pt idx="1439">
                  <c:v>3.6813922356091031E-2</c:v>
                </c:pt>
                <c:pt idx="1440">
                  <c:v>3.614457831325301E-2</c:v>
                </c:pt>
                <c:pt idx="1441">
                  <c:v>3.547523427041499E-2</c:v>
                </c:pt>
                <c:pt idx="1442">
                  <c:v>3.4805890227576977E-2</c:v>
                </c:pt>
                <c:pt idx="1443">
                  <c:v>3.4136546184738957E-2</c:v>
                </c:pt>
                <c:pt idx="1444">
                  <c:v>3.3467202141900937E-2</c:v>
                </c:pt>
                <c:pt idx="1445">
                  <c:v>3.2797858099062917E-2</c:v>
                </c:pt>
                <c:pt idx="1446">
                  <c:v>3.2128514056224897E-2</c:v>
                </c:pt>
                <c:pt idx="1447">
                  <c:v>3.1459170013386883E-2</c:v>
                </c:pt>
                <c:pt idx="1448">
                  <c:v>3.0789825970548863E-2</c:v>
                </c:pt>
                <c:pt idx="1449">
                  <c:v>3.0120481927710843E-2</c:v>
                </c:pt>
                <c:pt idx="1450">
                  <c:v>2.9451137884872823E-2</c:v>
                </c:pt>
                <c:pt idx="1451">
                  <c:v>2.8781793842034806E-2</c:v>
                </c:pt>
                <c:pt idx="1452">
                  <c:v>2.8112449799196786E-2</c:v>
                </c:pt>
                <c:pt idx="1453">
                  <c:v>2.744310575635877E-2</c:v>
                </c:pt>
                <c:pt idx="1454">
                  <c:v>2.677376171352075E-2</c:v>
                </c:pt>
                <c:pt idx="1455">
                  <c:v>2.6104417670682729E-2</c:v>
                </c:pt>
                <c:pt idx="1456">
                  <c:v>2.5435073627844713E-2</c:v>
                </c:pt>
                <c:pt idx="1457">
                  <c:v>2.4765729585006693E-2</c:v>
                </c:pt>
                <c:pt idx="1458">
                  <c:v>2.4096385542168676E-2</c:v>
                </c:pt>
                <c:pt idx="1459">
                  <c:v>2.3427041499330656E-2</c:v>
                </c:pt>
                <c:pt idx="1460">
                  <c:v>2.2757697456492636E-2</c:v>
                </c:pt>
                <c:pt idx="1461">
                  <c:v>2.2088353413654619E-2</c:v>
                </c:pt>
                <c:pt idx="1462">
                  <c:v>2.1419009370816599E-2</c:v>
                </c:pt>
                <c:pt idx="1463">
                  <c:v>2.0749665327978582E-2</c:v>
                </c:pt>
                <c:pt idx="1464">
                  <c:v>2.0080321285140562E-2</c:v>
                </c:pt>
                <c:pt idx="1465">
                  <c:v>1.9410977242302542E-2</c:v>
                </c:pt>
                <c:pt idx="1466">
                  <c:v>1.8741633199464525E-2</c:v>
                </c:pt>
                <c:pt idx="1467">
                  <c:v>1.8072289156626505E-2</c:v>
                </c:pt>
                <c:pt idx="1468">
                  <c:v>1.7402945113788489E-2</c:v>
                </c:pt>
                <c:pt idx="1469">
                  <c:v>1.6733601070950468E-2</c:v>
                </c:pt>
                <c:pt idx="1470">
                  <c:v>1.6064257028112448E-2</c:v>
                </c:pt>
                <c:pt idx="1471">
                  <c:v>1.5394912985274432E-2</c:v>
                </c:pt>
                <c:pt idx="1472">
                  <c:v>1.4725568942436412E-2</c:v>
                </c:pt>
                <c:pt idx="1473">
                  <c:v>1.4056224899598393E-2</c:v>
                </c:pt>
                <c:pt idx="1474">
                  <c:v>1.3386880856760375E-2</c:v>
                </c:pt>
                <c:pt idx="1475">
                  <c:v>1.2717536813922356E-2</c:v>
                </c:pt>
                <c:pt idx="1476">
                  <c:v>1.2048192771084338E-2</c:v>
                </c:pt>
                <c:pt idx="1477">
                  <c:v>1.1378848728246318E-2</c:v>
                </c:pt>
                <c:pt idx="1478">
                  <c:v>1.0709504685408299E-2</c:v>
                </c:pt>
                <c:pt idx="1479">
                  <c:v>1.0040160642570281E-2</c:v>
                </c:pt>
                <c:pt idx="1480">
                  <c:v>9.3708165997322627E-3</c:v>
                </c:pt>
                <c:pt idx="1481">
                  <c:v>8.7014725568942443E-3</c:v>
                </c:pt>
                <c:pt idx="1482">
                  <c:v>8.0321285140562242E-3</c:v>
                </c:pt>
                <c:pt idx="1483">
                  <c:v>7.3627844712182058E-3</c:v>
                </c:pt>
                <c:pt idx="1484">
                  <c:v>6.6934404283801874E-3</c:v>
                </c:pt>
                <c:pt idx="1485">
                  <c:v>6.024096385542169E-3</c:v>
                </c:pt>
                <c:pt idx="1486">
                  <c:v>5.3547523427041497E-3</c:v>
                </c:pt>
                <c:pt idx="1487">
                  <c:v>4.6854082998661313E-3</c:v>
                </c:pt>
                <c:pt idx="1488">
                  <c:v>4.0160642570281121E-3</c:v>
                </c:pt>
                <c:pt idx="1489">
                  <c:v>3.3467202141900937E-3</c:v>
                </c:pt>
                <c:pt idx="1490">
                  <c:v>2.6773761713520749E-3</c:v>
                </c:pt>
                <c:pt idx="1491">
                  <c:v>2.008032128514056E-3</c:v>
                </c:pt>
                <c:pt idx="1492">
                  <c:v>1.3386880856760374E-3</c:v>
                </c:pt>
                <c:pt idx="1493">
                  <c:v>6.6934404283801872E-4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9-3442-9064-D22835E9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0.8525992851900380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Claim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[ClaimsAnalysis.xlsm]PolicyLosses!ClaimFrequencyDistribution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Claim Frequency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PolicyLosses!$H$4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PolicyLosses!$G$5:$G$16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5</c:v>
                </c:pt>
                <c:pt idx="9">
                  <c:v>7</c:v>
                </c:pt>
                <c:pt idx="10">
                  <c:v>6</c:v>
                </c:pt>
              </c:strCache>
            </c:strRef>
          </c:cat>
          <c:val>
            <c:numRef>
              <c:f>PolicyLosses!$H$5:$H$16</c:f>
              <c:numCache>
                <c:formatCode>General</c:formatCode>
                <c:ptCount val="11"/>
                <c:pt idx="0">
                  <c:v>17</c:v>
                </c:pt>
                <c:pt idx="1">
                  <c:v>77</c:v>
                </c:pt>
                <c:pt idx="2">
                  <c:v>131</c:v>
                </c:pt>
                <c:pt idx="3">
                  <c:v>101</c:v>
                </c:pt>
                <c:pt idx="4">
                  <c:v>88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46</c:v>
                </c:pt>
                <c:pt idx="9">
                  <c:v>17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D-6E4A-A43B-9C777FEE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1702675455"/>
        <c:axId val="1640654111"/>
      </c:barChart>
      <c:catAx>
        <c:axId val="1702675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 of Claims Per Policy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654111"/>
        <c:crosses val="autoZero"/>
        <c:auto val="1"/>
        <c:lblAlgn val="ctr"/>
        <c:lblOffset val="100"/>
        <c:noMultiLvlLbl val="0"/>
      </c:catAx>
      <c:valAx>
        <c:axId val="164065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Number</a:t>
                </a:r>
                <a:r>
                  <a:rPr lang="en-US" sz="1200" baseline="0"/>
                  <a:t> of Policies</a:t>
                </a:r>
                <a:endParaRPr lang="en-US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75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CDF of Policy Loss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PolicyLossCDF!$C$1</c:f>
              <c:strCache>
                <c:ptCount val="1"/>
                <c:pt idx="0">
                  <c:v>CDF(Loss)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PolicyLossCDF!$B$2:$B$445</c:f>
              <c:numCache>
                <c:formatCode>General</c:formatCode>
                <c:ptCount val="444"/>
                <c:pt idx="0">
                  <c:v>2.2858983383904823</c:v>
                </c:pt>
                <c:pt idx="1">
                  <c:v>2.2536601643732315</c:v>
                </c:pt>
                <c:pt idx="2">
                  <c:v>2.2112996940858958</c:v>
                </c:pt>
                <c:pt idx="3">
                  <c:v>2.1256032557003501</c:v>
                </c:pt>
                <c:pt idx="4">
                  <c:v>2.1124069687071474</c:v>
                </c:pt>
                <c:pt idx="5">
                  <c:v>2.0267569174565505</c:v>
                </c:pt>
                <c:pt idx="6">
                  <c:v>1.7379629134568175</c:v>
                </c:pt>
                <c:pt idx="7">
                  <c:v>1.6945855229479467</c:v>
                </c:pt>
                <c:pt idx="8">
                  <c:v>1.6479686047033886</c:v>
                </c:pt>
                <c:pt idx="9">
                  <c:v>1.6330846598433548</c:v>
                </c:pt>
                <c:pt idx="10">
                  <c:v>1.6252849497197508</c:v>
                </c:pt>
                <c:pt idx="11">
                  <c:v>1.6110769565108201</c:v>
                </c:pt>
                <c:pt idx="12">
                  <c:v>1.5943319147350208</c:v>
                </c:pt>
                <c:pt idx="13">
                  <c:v>1.5757026712783704</c:v>
                </c:pt>
                <c:pt idx="14">
                  <c:v>1.515795803138287</c:v>
                </c:pt>
                <c:pt idx="15">
                  <c:v>1.5026562994728645</c:v>
                </c:pt>
                <c:pt idx="16">
                  <c:v>1.4997184352180317</c:v>
                </c:pt>
                <c:pt idx="17">
                  <c:v>1.4723899013730439</c:v>
                </c:pt>
                <c:pt idx="18">
                  <c:v>1.381998552495439</c:v>
                </c:pt>
                <c:pt idx="19">
                  <c:v>1.3738821187977481</c:v>
                </c:pt>
                <c:pt idx="20">
                  <c:v>1.3531498727093387</c:v>
                </c:pt>
                <c:pt idx="21">
                  <c:v>1.341157968360795</c:v>
                </c:pt>
                <c:pt idx="22">
                  <c:v>1.3405845095849651</c:v>
                </c:pt>
                <c:pt idx="23">
                  <c:v>1.3339464274328705</c:v>
                </c:pt>
                <c:pt idx="24">
                  <c:v>1.3304982337654634</c:v>
                </c:pt>
                <c:pt idx="25">
                  <c:v>1.326031501733439</c:v>
                </c:pt>
                <c:pt idx="26">
                  <c:v>1.310156260213498</c:v>
                </c:pt>
                <c:pt idx="27">
                  <c:v>1.30964489905059</c:v>
                </c:pt>
                <c:pt idx="28">
                  <c:v>1.307248158964228</c:v>
                </c:pt>
                <c:pt idx="29">
                  <c:v>1.2854105523724146</c:v>
                </c:pt>
                <c:pt idx="30">
                  <c:v>1.2666712538740201</c:v>
                </c:pt>
                <c:pt idx="31">
                  <c:v>1.2622682755485499</c:v>
                </c:pt>
                <c:pt idx="32">
                  <c:v>1.2426944099897121</c:v>
                </c:pt>
                <c:pt idx="33">
                  <c:v>1.2384983402184715</c:v>
                </c:pt>
                <c:pt idx="34">
                  <c:v>1.2266118120578102</c:v>
                </c:pt>
                <c:pt idx="35">
                  <c:v>1.2207082342447737</c:v>
                </c:pt>
                <c:pt idx="36">
                  <c:v>1.2100587939907503</c:v>
                </c:pt>
                <c:pt idx="37">
                  <c:v>1.1975901597106091</c:v>
                </c:pt>
                <c:pt idx="38">
                  <c:v>1.1926241046167601</c:v>
                </c:pt>
                <c:pt idx="39">
                  <c:v>1.1912124537925701</c:v>
                </c:pt>
                <c:pt idx="40">
                  <c:v>1.1714802372329474</c:v>
                </c:pt>
                <c:pt idx="41">
                  <c:v>1.1631630277849949</c:v>
                </c:pt>
                <c:pt idx="42">
                  <c:v>1.160018785590869</c:v>
                </c:pt>
                <c:pt idx="43">
                  <c:v>1.1480318177053122</c:v>
                </c:pt>
                <c:pt idx="44">
                  <c:v>1.1345346068998701</c:v>
                </c:pt>
                <c:pt idx="45">
                  <c:v>1.128573265769746</c:v>
                </c:pt>
                <c:pt idx="46">
                  <c:v>1.126339479271087</c:v>
                </c:pt>
                <c:pt idx="47">
                  <c:v>1.1246426960731322</c:v>
                </c:pt>
                <c:pt idx="48">
                  <c:v>1.1150804484874235</c:v>
                </c:pt>
                <c:pt idx="49">
                  <c:v>1.1113528551802518</c:v>
                </c:pt>
                <c:pt idx="50">
                  <c:v>1.1080445219063029</c:v>
                </c:pt>
                <c:pt idx="51">
                  <c:v>1.0977898893690343</c:v>
                </c:pt>
                <c:pt idx="52">
                  <c:v>1.0967924877891908</c:v>
                </c:pt>
                <c:pt idx="53">
                  <c:v>1.0938215491465224</c:v>
                </c:pt>
                <c:pt idx="54">
                  <c:v>1.0882647499374478</c:v>
                </c:pt>
                <c:pt idx="55">
                  <c:v>1.0705461934158453</c:v>
                </c:pt>
                <c:pt idx="56">
                  <c:v>1.0688690938153487</c:v>
                </c:pt>
                <c:pt idx="57">
                  <c:v>1.0669212399143031</c:v>
                </c:pt>
                <c:pt idx="58">
                  <c:v>1.06089882822169</c:v>
                </c:pt>
                <c:pt idx="59">
                  <c:v>1.0542789978263045</c:v>
                </c:pt>
                <c:pt idx="60">
                  <c:v>1.0524446937682126</c:v>
                </c:pt>
                <c:pt idx="61">
                  <c:v>1.0485134402233229</c:v>
                </c:pt>
                <c:pt idx="62">
                  <c:v>1.0411040940846177</c:v>
                </c:pt>
                <c:pt idx="63">
                  <c:v>1.0396888701678928</c:v>
                </c:pt>
                <c:pt idx="64">
                  <c:v>1.035876715616149</c:v>
                </c:pt>
                <c:pt idx="65">
                  <c:v>1.020124388679811</c:v>
                </c:pt>
                <c:pt idx="66">
                  <c:v>1.0116480751680585</c:v>
                </c:pt>
                <c:pt idx="67">
                  <c:v>1.0099307200368481</c:v>
                </c:pt>
                <c:pt idx="68">
                  <c:v>0.99672983141034699</c:v>
                </c:pt>
                <c:pt idx="69">
                  <c:v>0.99328871580661682</c:v>
                </c:pt>
                <c:pt idx="70">
                  <c:v>0.99181248943209499</c:v>
                </c:pt>
                <c:pt idx="71">
                  <c:v>0.98344419129201666</c:v>
                </c:pt>
                <c:pt idx="72">
                  <c:v>0.97954017654871184</c:v>
                </c:pt>
                <c:pt idx="73">
                  <c:v>0.97425904807925301</c:v>
                </c:pt>
                <c:pt idx="74">
                  <c:v>0.96605175782919983</c:v>
                </c:pt>
                <c:pt idx="75">
                  <c:v>0.96587721584346387</c:v>
                </c:pt>
                <c:pt idx="76">
                  <c:v>0.96171332565365597</c:v>
                </c:pt>
                <c:pt idx="77">
                  <c:v>0.95768070714789699</c:v>
                </c:pt>
                <c:pt idx="78">
                  <c:v>0.95026105556367901</c:v>
                </c:pt>
                <c:pt idx="79">
                  <c:v>0.94053342075007096</c:v>
                </c:pt>
                <c:pt idx="80">
                  <c:v>0.93557722935471044</c:v>
                </c:pt>
                <c:pt idx="81">
                  <c:v>0.93275897106052397</c:v>
                </c:pt>
                <c:pt idx="82">
                  <c:v>0.92174618575297707</c:v>
                </c:pt>
                <c:pt idx="83">
                  <c:v>0.92169250484306797</c:v>
                </c:pt>
                <c:pt idx="84">
                  <c:v>0.92132681157361107</c:v>
                </c:pt>
                <c:pt idx="85">
                  <c:v>0.91315458259101101</c:v>
                </c:pt>
                <c:pt idx="86">
                  <c:v>0.91115173951974504</c:v>
                </c:pt>
                <c:pt idx="87">
                  <c:v>0.90955824595450563</c:v>
                </c:pt>
                <c:pt idx="88">
                  <c:v>0.90135507720184072</c:v>
                </c:pt>
                <c:pt idx="89">
                  <c:v>0.90071665247438226</c:v>
                </c:pt>
                <c:pt idx="90">
                  <c:v>0.89338061234017541</c:v>
                </c:pt>
                <c:pt idx="91">
                  <c:v>0.89211558101401334</c:v>
                </c:pt>
                <c:pt idx="92">
                  <c:v>0.88999475187255994</c:v>
                </c:pt>
                <c:pt idx="93">
                  <c:v>0.88716224911554686</c:v>
                </c:pt>
                <c:pt idx="94">
                  <c:v>0.88585084308238105</c:v>
                </c:pt>
                <c:pt idx="95">
                  <c:v>0.88158972211448305</c:v>
                </c:pt>
                <c:pt idx="96">
                  <c:v>0.87913614515180094</c:v>
                </c:pt>
                <c:pt idx="97">
                  <c:v>0.87769347536742859</c:v>
                </c:pt>
                <c:pt idx="98">
                  <c:v>0.87762838768888618</c:v>
                </c:pt>
                <c:pt idx="99">
                  <c:v>0.87049980082130596</c:v>
                </c:pt>
                <c:pt idx="100">
                  <c:v>0.86185822194768547</c:v>
                </c:pt>
                <c:pt idx="101">
                  <c:v>0.8590043683558839</c:v>
                </c:pt>
                <c:pt idx="102">
                  <c:v>0.85121266033949405</c:v>
                </c:pt>
                <c:pt idx="103">
                  <c:v>0.85098538904728827</c:v>
                </c:pt>
                <c:pt idx="104">
                  <c:v>0.8496592083883715</c:v>
                </c:pt>
                <c:pt idx="105">
                  <c:v>0.833578371267097</c:v>
                </c:pt>
                <c:pt idx="106">
                  <c:v>0.82914799341044998</c:v>
                </c:pt>
                <c:pt idx="107">
                  <c:v>0.82731998662758943</c:v>
                </c:pt>
                <c:pt idx="108">
                  <c:v>0.81849109819667532</c:v>
                </c:pt>
                <c:pt idx="109">
                  <c:v>0.81440322619557537</c:v>
                </c:pt>
                <c:pt idx="110">
                  <c:v>0.81087331719093203</c:v>
                </c:pt>
                <c:pt idx="111">
                  <c:v>0.80891826608395101</c:v>
                </c:pt>
                <c:pt idx="112">
                  <c:v>0.80868116917083666</c:v>
                </c:pt>
                <c:pt idx="113">
                  <c:v>0.80759266570291321</c:v>
                </c:pt>
                <c:pt idx="114">
                  <c:v>0.80599769899941953</c:v>
                </c:pt>
                <c:pt idx="115">
                  <c:v>0.80315177633396662</c:v>
                </c:pt>
                <c:pt idx="116">
                  <c:v>0.80201945811933895</c:v>
                </c:pt>
                <c:pt idx="117">
                  <c:v>0.79828483136654249</c:v>
                </c:pt>
                <c:pt idx="118">
                  <c:v>0.79475669297872598</c:v>
                </c:pt>
                <c:pt idx="119">
                  <c:v>0.79350954374308502</c:v>
                </c:pt>
                <c:pt idx="120">
                  <c:v>0.78969309604143301</c:v>
                </c:pt>
                <c:pt idx="121">
                  <c:v>0.78924770870088901</c:v>
                </c:pt>
                <c:pt idx="122">
                  <c:v>0.78914666665566124</c:v>
                </c:pt>
                <c:pt idx="123">
                  <c:v>0.78832172301439796</c:v>
                </c:pt>
                <c:pt idx="124">
                  <c:v>0.78717189266888066</c:v>
                </c:pt>
                <c:pt idx="125">
                  <c:v>0.77867462821236655</c:v>
                </c:pt>
                <c:pt idx="126">
                  <c:v>0.77700264223326598</c:v>
                </c:pt>
                <c:pt idx="127">
                  <c:v>0.77634256378548505</c:v>
                </c:pt>
                <c:pt idx="128">
                  <c:v>0.77473610516709146</c:v>
                </c:pt>
                <c:pt idx="129">
                  <c:v>0.77451569319853142</c:v>
                </c:pt>
                <c:pt idx="130">
                  <c:v>0.77408225024728994</c:v>
                </c:pt>
                <c:pt idx="131">
                  <c:v>0.77132028471535807</c:v>
                </c:pt>
                <c:pt idx="132">
                  <c:v>0.76845575824915402</c:v>
                </c:pt>
                <c:pt idx="133">
                  <c:v>0.76748467299245393</c:v>
                </c:pt>
                <c:pt idx="134">
                  <c:v>0.76380181286910664</c:v>
                </c:pt>
                <c:pt idx="135">
                  <c:v>0.75964071045201287</c:v>
                </c:pt>
                <c:pt idx="136">
                  <c:v>0.7573711020642</c:v>
                </c:pt>
                <c:pt idx="137">
                  <c:v>0.75486904105151009</c:v>
                </c:pt>
                <c:pt idx="138">
                  <c:v>0.74959952960032661</c:v>
                </c:pt>
                <c:pt idx="139">
                  <c:v>0.74923483388686296</c:v>
                </c:pt>
                <c:pt idx="140">
                  <c:v>0.74426351686616199</c:v>
                </c:pt>
                <c:pt idx="141">
                  <c:v>0.73915203269860963</c:v>
                </c:pt>
                <c:pt idx="142">
                  <c:v>0.73802718281752699</c:v>
                </c:pt>
                <c:pt idx="143">
                  <c:v>0.73627968405281807</c:v>
                </c:pt>
                <c:pt idx="144">
                  <c:v>0.73177498304380795</c:v>
                </c:pt>
                <c:pt idx="145">
                  <c:v>0.73079001382540998</c:v>
                </c:pt>
                <c:pt idx="146">
                  <c:v>0.72700351502490201</c:v>
                </c:pt>
                <c:pt idx="147">
                  <c:v>0.72500075590138402</c:v>
                </c:pt>
                <c:pt idx="148">
                  <c:v>0.72221044199949025</c:v>
                </c:pt>
                <c:pt idx="149">
                  <c:v>0.72070726967401622</c:v>
                </c:pt>
                <c:pt idx="150">
                  <c:v>0.70955482862985408</c:v>
                </c:pt>
                <c:pt idx="151">
                  <c:v>0.70836588431177994</c:v>
                </c:pt>
                <c:pt idx="152">
                  <c:v>0.70047156568720526</c:v>
                </c:pt>
                <c:pt idx="153">
                  <c:v>0.69956726847558504</c:v>
                </c:pt>
                <c:pt idx="154">
                  <c:v>0.69623335578451995</c:v>
                </c:pt>
                <c:pt idx="155">
                  <c:v>0.69366161276899607</c:v>
                </c:pt>
                <c:pt idx="156">
                  <c:v>0.69337129715305057</c:v>
                </c:pt>
                <c:pt idx="157">
                  <c:v>0.69277853953398494</c:v>
                </c:pt>
                <c:pt idx="158">
                  <c:v>0.69192713560784747</c:v>
                </c:pt>
                <c:pt idx="159">
                  <c:v>0.69053180087943367</c:v>
                </c:pt>
                <c:pt idx="160">
                  <c:v>0.68548495431164502</c:v>
                </c:pt>
                <c:pt idx="161">
                  <c:v>0.68426525204274957</c:v>
                </c:pt>
                <c:pt idx="162">
                  <c:v>0.68356211179057824</c:v>
                </c:pt>
                <c:pt idx="163">
                  <c:v>0.68169622690140785</c:v>
                </c:pt>
                <c:pt idx="164">
                  <c:v>0.67182473785528507</c:v>
                </c:pt>
                <c:pt idx="165">
                  <c:v>0.6716922265864731</c:v>
                </c:pt>
                <c:pt idx="166">
                  <c:v>0.67035519664873555</c:v>
                </c:pt>
                <c:pt idx="167">
                  <c:v>0.66681977748846577</c:v>
                </c:pt>
                <c:pt idx="168">
                  <c:v>0.66222205598371042</c:v>
                </c:pt>
                <c:pt idx="169">
                  <c:v>0.66197932973237994</c:v>
                </c:pt>
                <c:pt idx="170">
                  <c:v>0.66183095044131024</c:v>
                </c:pt>
                <c:pt idx="171">
                  <c:v>0.661181072631426</c:v>
                </c:pt>
                <c:pt idx="172">
                  <c:v>0.66100735773677199</c:v>
                </c:pt>
                <c:pt idx="173">
                  <c:v>0.65963161515641577</c:v>
                </c:pt>
                <c:pt idx="174">
                  <c:v>0.65885698593195197</c:v>
                </c:pt>
                <c:pt idx="175">
                  <c:v>0.65869473377136356</c:v>
                </c:pt>
                <c:pt idx="176">
                  <c:v>0.65463864740419875</c:v>
                </c:pt>
                <c:pt idx="177">
                  <c:v>0.64786277515982726</c:v>
                </c:pt>
                <c:pt idx="178">
                  <c:v>0.64710792701709086</c:v>
                </c:pt>
                <c:pt idx="179">
                  <c:v>0.64098713734317425</c:v>
                </c:pt>
                <c:pt idx="180">
                  <c:v>0.63980578967184698</c:v>
                </c:pt>
                <c:pt idx="181">
                  <c:v>0.63751655741987345</c:v>
                </c:pt>
                <c:pt idx="182">
                  <c:v>0.63572474793357803</c:v>
                </c:pt>
                <c:pt idx="183">
                  <c:v>0.63187691270058799</c:v>
                </c:pt>
                <c:pt idx="184">
                  <c:v>0.63125875789197683</c:v>
                </c:pt>
                <c:pt idx="185">
                  <c:v>0.63061302373876471</c:v>
                </c:pt>
                <c:pt idx="186">
                  <c:v>0.62877852335461504</c:v>
                </c:pt>
                <c:pt idx="187">
                  <c:v>0.62840640451805596</c:v>
                </c:pt>
                <c:pt idx="188">
                  <c:v>0.6270438961541317</c:v>
                </c:pt>
                <c:pt idx="189">
                  <c:v>0.62567413356525003</c:v>
                </c:pt>
                <c:pt idx="190">
                  <c:v>0.62312922698398598</c:v>
                </c:pt>
                <c:pt idx="191">
                  <c:v>0.62210020438254898</c:v>
                </c:pt>
                <c:pt idx="192">
                  <c:v>0.62102765979159824</c:v>
                </c:pt>
                <c:pt idx="193">
                  <c:v>0.62050760250220893</c:v>
                </c:pt>
                <c:pt idx="194">
                  <c:v>0.62032176020109708</c:v>
                </c:pt>
                <c:pt idx="195">
                  <c:v>0.62010547776504676</c:v>
                </c:pt>
                <c:pt idx="196">
                  <c:v>0.61788769725063375</c:v>
                </c:pt>
                <c:pt idx="197">
                  <c:v>0.61668710071480193</c:v>
                </c:pt>
                <c:pt idx="198">
                  <c:v>0.61226593879036295</c:v>
                </c:pt>
                <c:pt idx="199">
                  <c:v>0.6110865963329476</c:v>
                </c:pt>
                <c:pt idx="200">
                  <c:v>0.61098905150762861</c:v>
                </c:pt>
                <c:pt idx="201">
                  <c:v>0.61046691491778771</c:v>
                </c:pt>
                <c:pt idx="202">
                  <c:v>0.61024260565266097</c:v>
                </c:pt>
                <c:pt idx="203">
                  <c:v>0.609600011915166</c:v>
                </c:pt>
                <c:pt idx="204">
                  <c:v>0.60946959994247696</c:v>
                </c:pt>
                <c:pt idx="205">
                  <c:v>0.60851585569345246</c:v>
                </c:pt>
                <c:pt idx="206">
                  <c:v>0.60829045968845308</c:v>
                </c:pt>
                <c:pt idx="207">
                  <c:v>0.60615708031000004</c:v>
                </c:pt>
                <c:pt idx="208">
                  <c:v>0.60598740940455398</c:v>
                </c:pt>
                <c:pt idx="209">
                  <c:v>0.60301120675634001</c:v>
                </c:pt>
                <c:pt idx="210">
                  <c:v>0.60226730205224266</c:v>
                </c:pt>
                <c:pt idx="211">
                  <c:v>0.60221065543561603</c:v>
                </c:pt>
                <c:pt idx="212">
                  <c:v>0.60146067688030902</c:v>
                </c:pt>
                <c:pt idx="213">
                  <c:v>0.60144642542210669</c:v>
                </c:pt>
                <c:pt idx="214">
                  <c:v>0.59619264264678073</c:v>
                </c:pt>
                <c:pt idx="215">
                  <c:v>0.59380130902954398</c:v>
                </c:pt>
                <c:pt idx="216">
                  <c:v>0.58962812591222802</c:v>
                </c:pt>
                <c:pt idx="217">
                  <c:v>0.58435879655077905</c:v>
                </c:pt>
                <c:pt idx="218">
                  <c:v>0.5828619780062626</c:v>
                </c:pt>
                <c:pt idx="219">
                  <c:v>0.58183504983048462</c:v>
                </c:pt>
                <c:pt idx="220">
                  <c:v>0.57971046251840685</c:v>
                </c:pt>
                <c:pt idx="221">
                  <c:v>0.57961171921274901</c:v>
                </c:pt>
                <c:pt idx="222">
                  <c:v>0.5750374754523131</c:v>
                </c:pt>
                <c:pt idx="223">
                  <c:v>0.57315893894064951</c:v>
                </c:pt>
                <c:pt idx="224">
                  <c:v>0.56702717796654833</c:v>
                </c:pt>
                <c:pt idx="225">
                  <c:v>0.56638848144094689</c:v>
                </c:pt>
                <c:pt idx="226">
                  <c:v>0.56447672403734805</c:v>
                </c:pt>
                <c:pt idx="227">
                  <c:v>0.56393447227819904</c:v>
                </c:pt>
                <c:pt idx="228">
                  <c:v>0.56256393277049399</c:v>
                </c:pt>
                <c:pt idx="229">
                  <c:v>0.55917799634625609</c:v>
                </c:pt>
                <c:pt idx="230">
                  <c:v>0.55573063569468295</c:v>
                </c:pt>
                <c:pt idx="231">
                  <c:v>0.55531036353541752</c:v>
                </c:pt>
                <c:pt idx="232">
                  <c:v>0.55468252292336229</c:v>
                </c:pt>
                <c:pt idx="233">
                  <c:v>0.5537087645009322</c:v>
                </c:pt>
                <c:pt idx="234">
                  <c:v>0.55238049942839196</c:v>
                </c:pt>
                <c:pt idx="235">
                  <c:v>0.55072014847268003</c:v>
                </c:pt>
                <c:pt idx="236">
                  <c:v>0.54825729905312293</c:v>
                </c:pt>
                <c:pt idx="237">
                  <c:v>0.54635552120703501</c:v>
                </c:pt>
                <c:pt idx="238">
                  <c:v>0.54263270815229181</c:v>
                </c:pt>
                <c:pt idx="239">
                  <c:v>0.54028464829180645</c:v>
                </c:pt>
                <c:pt idx="240">
                  <c:v>0.53763166011132701</c:v>
                </c:pt>
                <c:pt idx="241">
                  <c:v>0.53272926070074289</c:v>
                </c:pt>
                <c:pt idx="242">
                  <c:v>0.53264092182608602</c:v>
                </c:pt>
                <c:pt idx="243">
                  <c:v>0.5276087556809359</c:v>
                </c:pt>
                <c:pt idx="244">
                  <c:v>0.52531983050426401</c:v>
                </c:pt>
                <c:pt idx="245">
                  <c:v>0.52403374874574593</c:v>
                </c:pt>
                <c:pt idx="246">
                  <c:v>0.52321740040531628</c:v>
                </c:pt>
                <c:pt idx="247">
                  <c:v>0.51496971353610321</c:v>
                </c:pt>
                <c:pt idx="248">
                  <c:v>0.5143705680326579</c:v>
                </c:pt>
                <c:pt idx="249">
                  <c:v>0.51230313247678805</c:v>
                </c:pt>
                <c:pt idx="250">
                  <c:v>0.51021378678213303</c:v>
                </c:pt>
                <c:pt idx="251">
                  <c:v>0.50582206902538895</c:v>
                </c:pt>
                <c:pt idx="252">
                  <c:v>0.50550500753960104</c:v>
                </c:pt>
                <c:pt idx="253">
                  <c:v>0.50495946639886102</c:v>
                </c:pt>
                <c:pt idx="254">
                  <c:v>0.50455354879896763</c:v>
                </c:pt>
                <c:pt idx="255">
                  <c:v>0.50371341154777105</c:v>
                </c:pt>
                <c:pt idx="256">
                  <c:v>0.50266425419821903</c:v>
                </c:pt>
                <c:pt idx="257">
                  <c:v>0.50248792343985682</c:v>
                </c:pt>
                <c:pt idx="258">
                  <c:v>0.5000613097937554</c:v>
                </c:pt>
                <c:pt idx="259">
                  <c:v>0.49891339344268698</c:v>
                </c:pt>
                <c:pt idx="260">
                  <c:v>0.49887438300803599</c:v>
                </c:pt>
                <c:pt idx="261">
                  <c:v>0.49507324754382198</c:v>
                </c:pt>
                <c:pt idx="262">
                  <c:v>0.49472060518172228</c:v>
                </c:pt>
                <c:pt idx="263">
                  <c:v>0.49417647360488004</c:v>
                </c:pt>
                <c:pt idx="264">
                  <c:v>0.4885494247485187</c:v>
                </c:pt>
                <c:pt idx="265">
                  <c:v>0.488216921880535</c:v>
                </c:pt>
                <c:pt idx="266">
                  <c:v>0.48801948204314649</c:v>
                </c:pt>
                <c:pt idx="267">
                  <c:v>0.48527330493733456</c:v>
                </c:pt>
                <c:pt idx="268">
                  <c:v>0.48304228423523199</c:v>
                </c:pt>
                <c:pt idx="269">
                  <c:v>0.48214858663488602</c:v>
                </c:pt>
                <c:pt idx="270">
                  <c:v>0.48189760324390096</c:v>
                </c:pt>
                <c:pt idx="271">
                  <c:v>0.48058005369250401</c:v>
                </c:pt>
                <c:pt idx="272">
                  <c:v>0.47767874253847054</c:v>
                </c:pt>
                <c:pt idx="273">
                  <c:v>0.47699073165701</c:v>
                </c:pt>
                <c:pt idx="274">
                  <c:v>0.47574249451436534</c:v>
                </c:pt>
                <c:pt idx="275">
                  <c:v>0.47555595608419399</c:v>
                </c:pt>
                <c:pt idx="276">
                  <c:v>0.47275936652905404</c:v>
                </c:pt>
                <c:pt idx="277">
                  <c:v>0.47204330944526396</c:v>
                </c:pt>
                <c:pt idx="278">
                  <c:v>0.47177099400386158</c:v>
                </c:pt>
                <c:pt idx="279">
                  <c:v>0.47173794950453773</c:v>
                </c:pt>
                <c:pt idx="280">
                  <c:v>0.46417787726588239</c:v>
                </c:pt>
                <c:pt idx="281">
                  <c:v>0.45885730603647329</c:v>
                </c:pt>
                <c:pt idx="282">
                  <c:v>0.45448310890690802</c:v>
                </c:pt>
                <c:pt idx="283">
                  <c:v>0.454450884658536</c:v>
                </c:pt>
                <c:pt idx="284">
                  <c:v>0.45374898089665905</c:v>
                </c:pt>
                <c:pt idx="285">
                  <c:v>0.4534367519816862</c:v>
                </c:pt>
                <c:pt idx="286">
                  <c:v>0.451322570195622</c:v>
                </c:pt>
                <c:pt idx="287">
                  <c:v>0.45118613958014586</c:v>
                </c:pt>
                <c:pt idx="288">
                  <c:v>0.44954356126012296</c:v>
                </c:pt>
                <c:pt idx="289">
                  <c:v>0.44929185232890306</c:v>
                </c:pt>
                <c:pt idx="290">
                  <c:v>0.44876204951330634</c:v>
                </c:pt>
                <c:pt idx="291">
                  <c:v>0.44756149880529117</c:v>
                </c:pt>
                <c:pt idx="292">
                  <c:v>0.44735450710884</c:v>
                </c:pt>
                <c:pt idx="293">
                  <c:v>0.44660986536345632</c:v>
                </c:pt>
                <c:pt idx="294">
                  <c:v>0.444781419645077</c:v>
                </c:pt>
                <c:pt idx="295">
                  <c:v>0.44241147759864574</c:v>
                </c:pt>
                <c:pt idx="296">
                  <c:v>0.44017991142231028</c:v>
                </c:pt>
                <c:pt idx="297">
                  <c:v>0.43680670500263169</c:v>
                </c:pt>
                <c:pt idx="298">
                  <c:v>0.43570368010849203</c:v>
                </c:pt>
                <c:pt idx="299">
                  <c:v>0.43442498549062725</c:v>
                </c:pt>
                <c:pt idx="300">
                  <c:v>0.42711281523849898</c:v>
                </c:pt>
                <c:pt idx="301">
                  <c:v>0.42441984360962898</c:v>
                </c:pt>
                <c:pt idx="302">
                  <c:v>0.42372673570428798</c:v>
                </c:pt>
                <c:pt idx="303">
                  <c:v>0.42312156739695983</c:v>
                </c:pt>
                <c:pt idx="304">
                  <c:v>0.42115029100936391</c:v>
                </c:pt>
                <c:pt idx="305">
                  <c:v>0.4155571908333987</c:v>
                </c:pt>
                <c:pt idx="306">
                  <c:v>0.4147814621790904</c:v>
                </c:pt>
                <c:pt idx="307">
                  <c:v>0.41406135236286323</c:v>
                </c:pt>
                <c:pt idx="308">
                  <c:v>0.41320303015825938</c:v>
                </c:pt>
                <c:pt idx="309">
                  <c:v>0.41113144067122337</c:v>
                </c:pt>
                <c:pt idx="310">
                  <c:v>0.40452898209088572</c:v>
                </c:pt>
                <c:pt idx="311">
                  <c:v>0.40348816043482272</c:v>
                </c:pt>
                <c:pt idx="312">
                  <c:v>0.39978125387900404</c:v>
                </c:pt>
                <c:pt idx="313">
                  <c:v>0.399250881277051</c:v>
                </c:pt>
                <c:pt idx="314">
                  <c:v>0.39651634447508671</c:v>
                </c:pt>
                <c:pt idx="315">
                  <c:v>0.39299359955765401</c:v>
                </c:pt>
                <c:pt idx="316">
                  <c:v>0.39226261392111705</c:v>
                </c:pt>
                <c:pt idx="317">
                  <c:v>0.39013806948489499</c:v>
                </c:pt>
                <c:pt idx="318">
                  <c:v>0.38574204973369669</c:v>
                </c:pt>
                <c:pt idx="319">
                  <c:v>0.38309064335948217</c:v>
                </c:pt>
                <c:pt idx="320">
                  <c:v>0.38128794890013906</c:v>
                </c:pt>
                <c:pt idx="321">
                  <c:v>0.38040039002093101</c:v>
                </c:pt>
                <c:pt idx="322">
                  <c:v>0.37778274046979099</c:v>
                </c:pt>
                <c:pt idx="323">
                  <c:v>0.3772421861256412</c:v>
                </c:pt>
                <c:pt idx="324">
                  <c:v>0.37600022002522199</c:v>
                </c:pt>
                <c:pt idx="325">
                  <c:v>0.37462538363179881</c:v>
                </c:pt>
                <c:pt idx="326">
                  <c:v>0.37448182100663402</c:v>
                </c:pt>
                <c:pt idx="327">
                  <c:v>0.36875248812801298</c:v>
                </c:pt>
                <c:pt idx="328">
                  <c:v>0.36529971514194626</c:v>
                </c:pt>
                <c:pt idx="329">
                  <c:v>0.36210841837976293</c:v>
                </c:pt>
                <c:pt idx="330">
                  <c:v>0.36133852989132031</c:v>
                </c:pt>
                <c:pt idx="331">
                  <c:v>0.35997300270101801</c:v>
                </c:pt>
                <c:pt idx="332">
                  <c:v>0.35781029295741301</c:v>
                </c:pt>
                <c:pt idx="333">
                  <c:v>0.35584262419594481</c:v>
                </c:pt>
                <c:pt idx="334">
                  <c:v>0.35548818551994199</c:v>
                </c:pt>
                <c:pt idx="335">
                  <c:v>0.35380844311769433</c:v>
                </c:pt>
                <c:pt idx="336">
                  <c:v>0.35335469932857266</c:v>
                </c:pt>
                <c:pt idx="337">
                  <c:v>0.35253297367170666</c:v>
                </c:pt>
                <c:pt idx="338">
                  <c:v>0.35087198015336601</c:v>
                </c:pt>
                <c:pt idx="339">
                  <c:v>0.35019569542548001</c:v>
                </c:pt>
                <c:pt idx="340">
                  <c:v>0.34656299415033598</c:v>
                </c:pt>
                <c:pt idx="341">
                  <c:v>0.33893242840872506</c:v>
                </c:pt>
                <c:pt idx="342">
                  <c:v>0.33866492894157901</c:v>
                </c:pt>
                <c:pt idx="343">
                  <c:v>0.3293368665389626</c:v>
                </c:pt>
                <c:pt idx="344">
                  <c:v>0.32533340676078898</c:v>
                </c:pt>
                <c:pt idx="345">
                  <c:v>0.32492858063935703</c:v>
                </c:pt>
                <c:pt idx="346">
                  <c:v>0.323628643151819</c:v>
                </c:pt>
                <c:pt idx="347">
                  <c:v>0.32261751099446101</c:v>
                </c:pt>
                <c:pt idx="348">
                  <c:v>0.31966755762226878</c:v>
                </c:pt>
                <c:pt idx="349">
                  <c:v>0.31954375157466303</c:v>
                </c:pt>
                <c:pt idx="350">
                  <c:v>0.31882593787789698</c:v>
                </c:pt>
                <c:pt idx="351">
                  <c:v>0.31800939898251157</c:v>
                </c:pt>
                <c:pt idx="352">
                  <c:v>0.31703009334827298</c:v>
                </c:pt>
                <c:pt idx="353">
                  <c:v>0.3162060425504829</c:v>
                </c:pt>
                <c:pt idx="354">
                  <c:v>0.31573932800281201</c:v>
                </c:pt>
                <c:pt idx="355">
                  <c:v>0.31497209022816292</c:v>
                </c:pt>
                <c:pt idx="356">
                  <c:v>0.31404501494876813</c:v>
                </c:pt>
                <c:pt idx="357">
                  <c:v>0.31136891848194398</c:v>
                </c:pt>
                <c:pt idx="358">
                  <c:v>0.30794729652330022</c:v>
                </c:pt>
                <c:pt idx="359">
                  <c:v>0.3016715619616393</c:v>
                </c:pt>
                <c:pt idx="360">
                  <c:v>0.29982998710855319</c:v>
                </c:pt>
                <c:pt idx="361">
                  <c:v>0.29859104071586001</c:v>
                </c:pt>
                <c:pt idx="362">
                  <c:v>0.296625854262064</c:v>
                </c:pt>
                <c:pt idx="363">
                  <c:v>0.29626380110558703</c:v>
                </c:pt>
                <c:pt idx="364">
                  <c:v>0.295389509979955</c:v>
                </c:pt>
                <c:pt idx="365">
                  <c:v>0.2895543777291657</c:v>
                </c:pt>
                <c:pt idx="366">
                  <c:v>0.28775798984154921</c:v>
                </c:pt>
                <c:pt idx="367">
                  <c:v>0.28341559438014235</c:v>
                </c:pt>
                <c:pt idx="368">
                  <c:v>0.28148136792487471</c:v>
                </c:pt>
                <c:pt idx="369">
                  <c:v>0.27905460215418099</c:v>
                </c:pt>
                <c:pt idx="370">
                  <c:v>0.27877508710844939</c:v>
                </c:pt>
                <c:pt idx="371">
                  <c:v>0.27724804495951982</c:v>
                </c:pt>
                <c:pt idx="372">
                  <c:v>0.27703879023456962</c:v>
                </c:pt>
                <c:pt idx="373">
                  <c:v>0.27543722463439341</c:v>
                </c:pt>
                <c:pt idx="374">
                  <c:v>0.27443477223955298</c:v>
                </c:pt>
                <c:pt idx="375">
                  <c:v>0.27101485747980431</c:v>
                </c:pt>
                <c:pt idx="376">
                  <c:v>0.26959855348603901</c:v>
                </c:pt>
                <c:pt idx="377">
                  <c:v>0.26880647234051203</c:v>
                </c:pt>
                <c:pt idx="378">
                  <c:v>0.26756656680369273</c:v>
                </c:pt>
                <c:pt idx="379">
                  <c:v>0.25936976796455352</c:v>
                </c:pt>
                <c:pt idx="380">
                  <c:v>0.25891260761887108</c:v>
                </c:pt>
                <c:pt idx="381">
                  <c:v>0.25858667288827897</c:v>
                </c:pt>
                <c:pt idx="382">
                  <c:v>0.25758210097763401</c:v>
                </c:pt>
                <c:pt idx="383">
                  <c:v>0.25597869548660701</c:v>
                </c:pt>
                <c:pt idx="384">
                  <c:v>0.25319446697532</c:v>
                </c:pt>
                <c:pt idx="385">
                  <c:v>0.25285855342458102</c:v>
                </c:pt>
                <c:pt idx="386">
                  <c:v>0.25201486365924203</c:v>
                </c:pt>
                <c:pt idx="387">
                  <c:v>0.25133513478055602</c:v>
                </c:pt>
                <c:pt idx="388">
                  <c:v>0.25039837456299691</c:v>
                </c:pt>
                <c:pt idx="389">
                  <c:v>0.24991014065245201</c:v>
                </c:pt>
                <c:pt idx="390">
                  <c:v>0.24911290871024799</c:v>
                </c:pt>
                <c:pt idx="391">
                  <c:v>0.24278525609315679</c:v>
                </c:pt>
                <c:pt idx="392">
                  <c:v>0.23771489629809628</c:v>
                </c:pt>
                <c:pt idx="393">
                  <c:v>0.237151818554178</c:v>
                </c:pt>
                <c:pt idx="394">
                  <c:v>0.2364373522708853</c:v>
                </c:pt>
                <c:pt idx="395">
                  <c:v>0.23606027711328501</c:v>
                </c:pt>
                <c:pt idx="396">
                  <c:v>0.23176809463418802</c:v>
                </c:pt>
                <c:pt idx="397">
                  <c:v>0.2295065942515731</c:v>
                </c:pt>
                <c:pt idx="398">
                  <c:v>0.22716758478865071</c:v>
                </c:pt>
                <c:pt idx="399">
                  <c:v>0.227112500422257</c:v>
                </c:pt>
                <c:pt idx="400">
                  <c:v>0.22546907891228901</c:v>
                </c:pt>
                <c:pt idx="401">
                  <c:v>0.2248515656776944</c:v>
                </c:pt>
                <c:pt idx="402">
                  <c:v>0.22412085938217052</c:v>
                </c:pt>
                <c:pt idx="403">
                  <c:v>0.22185243594605858</c:v>
                </c:pt>
                <c:pt idx="404">
                  <c:v>0.21746861955218649</c:v>
                </c:pt>
                <c:pt idx="405">
                  <c:v>0.21718251957488499</c:v>
                </c:pt>
                <c:pt idx="406">
                  <c:v>0.21451014815736069</c:v>
                </c:pt>
                <c:pt idx="407">
                  <c:v>0.21294422265020099</c:v>
                </c:pt>
                <c:pt idx="408">
                  <c:v>0.20974428280676999</c:v>
                </c:pt>
                <c:pt idx="409">
                  <c:v>0.208192834994674</c:v>
                </c:pt>
                <c:pt idx="410">
                  <c:v>0.20608526814610501</c:v>
                </c:pt>
                <c:pt idx="411">
                  <c:v>0.20461037744625801</c:v>
                </c:pt>
                <c:pt idx="412">
                  <c:v>0.20366776118761101</c:v>
                </c:pt>
                <c:pt idx="413">
                  <c:v>0.2007508134219603</c:v>
                </c:pt>
                <c:pt idx="414">
                  <c:v>0.20063702150655899</c:v>
                </c:pt>
                <c:pt idx="415">
                  <c:v>0.19867471200431358</c:v>
                </c:pt>
                <c:pt idx="416">
                  <c:v>0.19817976103546681</c:v>
                </c:pt>
                <c:pt idx="417">
                  <c:v>0.196223768981199</c:v>
                </c:pt>
                <c:pt idx="418">
                  <c:v>0.19587586700354359</c:v>
                </c:pt>
                <c:pt idx="419">
                  <c:v>0.19358354534125199</c:v>
                </c:pt>
                <c:pt idx="420">
                  <c:v>0.19333390488212299</c:v>
                </c:pt>
                <c:pt idx="421">
                  <c:v>0.18951464151436448</c:v>
                </c:pt>
                <c:pt idx="422">
                  <c:v>0.18650122864007401</c:v>
                </c:pt>
                <c:pt idx="423">
                  <c:v>0.18447339239232441</c:v>
                </c:pt>
                <c:pt idx="424">
                  <c:v>0.18403814480384201</c:v>
                </c:pt>
                <c:pt idx="425">
                  <c:v>0.18174366633092401</c:v>
                </c:pt>
                <c:pt idx="426">
                  <c:v>0.17764121973411001</c:v>
                </c:pt>
                <c:pt idx="427">
                  <c:v>0.176766141721799</c:v>
                </c:pt>
                <c:pt idx="428">
                  <c:v>0.17429065830957982</c:v>
                </c:pt>
                <c:pt idx="429">
                  <c:v>0.17382090160216399</c:v>
                </c:pt>
                <c:pt idx="430">
                  <c:v>0.1737226999732481</c:v>
                </c:pt>
                <c:pt idx="431">
                  <c:v>0.1707072780238684</c:v>
                </c:pt>
                <c:pt idx="432">
                  <c:v>0.16739847568414429</c:v>
                </c:pt>
                <c:pt idx="433">
                  <c:v>0.16479614006066701</c:v>
                </c:pt>
                <c:pt idx="434">
                  <c:v>0.158980710451326</c:v>
                </c:pt>
                <c:pt idx="435">
                  <c:v>0.152580404440535</c:v>
                </c:pt>
                <c:pt idx="436">
                  <c:v>0.15075200197039401</c:v>
                </c:pt>
                <c:pt idx="437">
                  <c:v>0.150227912036588</c:v>
                </c:pt>
                <c:pt idx="438">
                  <c:v>0.14718143379256601</c:v>
                </c:pt>
                <c:pt idx="439">
                  <c:v>0.14479269971894601</c:v>
                </c:pt>
                <c:pt idx="440">
                  <c:v>0.143603114797308</c:v>
                </c:pt>
                <c:pt idx="441">
                  <c:v>0.14268288805370349</c:v>
                </c:pt>
                <c:pt idx="442">
                  <c:v>0.13913331671374202</c:v>
                </c:pt>
                <c:pt idx="443">
                  <c:v>0.134499836005403</c:v>
                </c:pt>
              </c:numCache>
            </c:numRef>
          </c:xVal>
          <c:yVal>
            <c:numRef>
              <c:f>PolicyLossCDF!$C$2:$C$445</c:f>
              <c:numCache>
                <c:formatCode>General</c:formatCode>
                <c:ptCount val="444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  <c:pt idx="26">
                  <c:v>0.94799999999999995</c:v>
                </c:pt>
                <c:pt idx="27">
                  <c:v>0.94599999999999995</c:v>
                </c:pt>
                <c:pt idx="28">
                  <c:v>0.94399999999999995</c:v>
                </c:pt>
                <c:pt idx="29">
                  <c:v>0.94199999999999995</c:v>
                </c:pt>
                <c:pt idx="30">
                  <c:v>0.94</c:v>
                </c:pt>
                <c:pt idx="31">
                  <c:v>0.93799999999999994</c:v>
                </c:pt>
                <c:pt idx="32">
                  <c:v>0.93600000000000005</c:v>
                </c:pt>
                <c:pt idx="33">
                  <c:v>0.93400000000000005</c:v>
                </c:pt>
                <c:pt idx="34">
                  <c:v>0.93200000000000005</c:v>
                </c:pt>
                <c:pt idx="35">
                  <c:v>0.93</c:v>
                </c:pt>
                <c:pt idx="36">
                  <c:v>0.92800000000000005</c:v>
                </c:pt>
                <c:pt idx="37">
                  <c:v>0.92600000000000005</c:v>
                </c:pt>
                <c:pt idx="38">
                  <c:v>0.92400000000000004</c:v>
                </c:pt>
                <c:pt idx="39">
                  <c:v>0.92200000000000004</c:v>
                </c:pt>
                <c:pt idx="40">
                  <c:v>0.92</c:v>
                </c:pt>
                <c:pt idx="41">
                  <c:v>0.91800000000000004</c:v>
                </c:pt>
                <c:pt idx="42">
                  <c:v>0.91600000000000004</c:v>
                </c:pt>
                <c:pt idx="43">
                  <c:v>0.91400000000000003</c:v>
                </c:pt>
                <c:pt idx="44">
                  <c:v>0.91200000000000003</c:v>
                </c:pt>
                <c:pt idx="45">
                  <c:v>0.91</c:v>
                </c:pt>
                <c:pt idx="46">
                  <c:v>0.90800000000000003</c:v>
                </c:pt>
                <c:pt idx="47">
                  <c:v>0.90600000000000003</c:v>
                </c:pt>
                <c:pt idx="48">
                  <c:v>0.90400000000000003</c:v>
                </c:pt>
                <c:pt idx="49">
                  <c:v>0.90200000000000002</c:v>
                </c:pt>
                <c:pt idx="50">
                  <c:v>0.9</c:v>
                </c:pt>
                <c:pt idx="51">
                  <c:v>0.89800000000000002</c:v>
                </c:pt>
                <c:pt idx="52">
                  <c:v>0.89600000000000002</c:v>
                </c:pt>
                <c:pt idx="53">
                  <c:v>0.89400000000000002</c:v>
                </c:pt>
                <c:pt idx="54">
                  <c:v>0.89200000000000002</c:v>
                </c:pt>
                <c:pt idx="55">
                  <c:v>0.89</c:v>
                </c:pt>
                <c:pt idx="56">
                  <c:v>0.88800000000000001</c:v>
                </c:pt>
                <c:pt idx="57">
                  <c:v>0.88600000000000001</c:v>
                </c:pt>
                <c:pt idx="58">
                  <c:v>0.88400000000000001</c:v>
                </c:pt>
                <c:pt idx="59">
                  <c:v>0.88200000000000001</c:v>
                </c:pt>
                <c:pt idx="60">
                  <c:v>0.88</c:v>
                </c:pt>
                <c:pt idx="61">
                  <c:v>0.878</c:v>
                </c:pt>
                <c:pt idx="62">
                  <c:v>0.876</c:v>
                </c:pt>
                <c:pt idx="63">
                  <c:v>0.874</c:v>
                </c:pt>
                <c:pt idx="64">
                  <c:v>0.872</c:v>
                </c:pt>
                <c:pt idx="65">
                  <c:v>0.87</c:v>
                </c:pt>
                <c:pt idx="66">
                  <c:v>0.86799999999999999</c:v>
                </c:pt>
                <c:pt idx="67">
                  <c:v>0.86599999999999999</c:v>
                </c:pt>
                <c:pt idx="68">
                  <c:v>0.86399999999999999</c:v>
                </c:pt>
                <c:pt idx="69">
                  <c:v>0.86199999999999999</c:v>
                </c:pt>
                <c:pt idx="70">
                  <c:v>0.86</c:v>
                </c:pt>
                <c:pt idx="71">
                  <c:v>0.85799999999999998</c:v>
                </c:pt>
                <c:pt idx="72">
                  <c:v>0.85599999999999998</c:v>
                </c:pt>
                <c:pt idx="73">
                  <c:v>0.85399999999999998</c:v>
                </c:pt>
                <c:pt idx="74">
                  <c:v>0.85199999999999998</c:v>
                </c:pt>
                <c:pt idx="75">
                  <c:v>0.85</c:v>
                </c:pt>
                <c:pt idx="76">
                  <c:v>0.84799999999999998</c:v>
                </c:pt>
                <c:pt idx="77">
                  <c:v>0.84599999999999997</c:v>
                </c:pt>
                <c:pt idx="78">
                  <c:v>0.84399999999999997</c:v>
                </c:pt>
                <c:pt idx="79">
                  <c:v>0.84199999999999997</c:v>
                </c:pt>
                <c:pt idx="80">
                  <c:v>0.84</c:v>
                </c:pt>
                <c:pt idx="81">
                  <c:v>0.83799999999999997</c:v>
                </c:pt>
                <c:pt idx="82">
                  <c:v>0.83599999999999997</c:v>
                </c:pt>
                <c:pt idx="83">
                  <c:v>0.83399999999999996</c:v>
                </c:pt>
                <c:pt idx="84">
                  <c:v>0.83199999999999996</c:v>
                </c:pt>
                <c:pt idx="85">
                  <c:v>0.83</c:v>
                </c:pt>
                <c:pt idx="86">
                  <c:v>0.82799999999999996</c:v>
                </c:pt>
                <c:pt idx="87">
                  <c:v>0.82599999999999996</c:v>
                </c:pt>
                <c:pt idx="88">
                  <c:v>0.82399999999999995</c:v>
                </c:pt>
                <c:pt idx="89">
                  <c:v>0.82199999999999995</c:v>
                </c:pt>
                <c:pt idx="90">
                  <c:v>0.82</c:v>
                </c:pt>
                <c:pt idx="91">
                  <c:v>0.81799999999999995</c:v>
                </c:pt>
                <c:pt idx="92">
                  <c:v>0.81599999999999995</c:v>
                </c:pt>
                <c:pt idx="93">
                  <c:v>0.81399999999999995</c:v>
                </c:pt>
                <c:pt idx="94">
                  <c:v>0.81200000000000006</c:v>
                </c:pt>
                <c:pt idx="95">
                  <c:v>0.81</c:v>
                </c:pt>
                <c:pt idx="96">
                  <c:v>0.80800000000000005</c:v>
                </c:pt>
                <c:pt idx="97">
                  <c:v>0.80600000000000005</c:v>
                </c:pt>
                <c:pt idx="98">
                  <c:v>0.80400000000000005</c:v>
                </c:pt>
                <c:pt idx="99">
                  <c:v>0.80200000000000005</c:v>
                </c:pt>
                <c:pt idx="100">
                  <c:v>0.8</c:v>
                </c:pt>
                <c:pt idx="101">
                  <c:v>0.79800000000000004</c:v>
                </c:pt>
                <c:pt idx="102">
                  <c:v>0.79600000000000004</c:v>
                </c:pt>
                <c:pt idx="103">
                  <c:v>0.79400000000000004</c:v>
                </c:pt>
                <c:pt idx="104">
                  <c:v>0.79200000000000004</c:v>
                </c:pt>
                <c:pt idx="105">
                  <c:v>0.79</c:v>
                </c:pt>
                <c:pt idx="106">
                  <c:v>0.78800000000000003</c:v>
                </c:pt>
                <c:pt idx="107">
                  <c:v>0.78600000000000003</c:v>
                </c:pt>
                <c:pt idx="108">
                  <c:v>0.78400000000000003</c:v>
                </c:pt>
                <c:pt idx="109">
                  <c:v>0.78200000000000003</c:v>
                </c:pt>
                <c:pt idx="110">
                  <c:v>0.78</c:v>
                </c:pt>
                <c:pt idx="111">
                  <c:v>0.77800000000000002</c:v>
                </c:pt>
                <c:pt idx="112">
                  <c:v>0.77600000000000002</c:v>
                </c:pt>
                <c:pt idx="113">
                  <c:v>0.77400000000000002</c:v>
                </c:pt>
                <c:pt idx="114">
                  <c:v>0.77200000000000002</c:v>
                </c:pt>
                <c:pt idx="115">
                  <c:v>0.77</c:v>
                </c:pt>
                <c:pt idx="116">
                  <c:v>0.76800000000000002</c:v>
                </c:pt>
                <c:pt idx="117">
                  <c:v>0.76600000000000001</c:v>
                </c:pt>
                <c:pt idx="118">
                  <c:v>0.76400000000000001</c:v>
                </c:pt>
                <c:pt idx="119">
                  <c:v>0.76200000000000001</c:v>
                </c:pt>
                <c:pt idx="120">
                  <c:v>0.76</c:v>
                </c:pt>
                <c:pt idx="121">
                  <c:v>0.75800000000000001</c:v>
                </c:pt>
                <c:pt idx="122">
                  <c:v>0.75600000000000001</c:v>
                </c:pt>
                <c:pt idx="123">
                  <c:v>0.754</c:v>
                </c:pt>
                <c:pt idx="124">
                  <c:v>0.752</c:v>
                </c:pt>
                <c:pt idx="125">
                  <c:v>0.75</c:v>
                </c:pt>
                <c:pt idx="126">
                  <c:v>0.748</c:v>
                </c:pt>
                <c:pt idx="127">
                  <c:v>0.746</c:v>
                </c:pt>
                <c:pt idx="128">
                  <c:v>0.74399999999999999</c:v>
                </c:pt>
                <c:pt idx="129">
                  <c:v>0.74199999999999999</c:v>
                </c:pt>
                <c:pt idx="130">
                  <c:v>0.74</c:v>
                </c:pt>
                <c:pt idx="131">
                  <c:v>0.73799999999999999</c:v>
                </c:pt>
                <c:pt idx="132">
                  <c:v>0.73599999999999999</c:v>
                </c:pt>
                <c:pt idx="133">
                  <c:v>0.73399999999999999</c:v>
                </c:pt>
                <c:pt idx="134">
                  <c:v>0.73199999999999998</c:v>
                </c:pt>
                <c:pt idx="135">
                  <c:v>0.73</c:v>
                </c:pt>
                <c:pt idx="136">
                  <c:v>0.72799999999999998</c:v>
                </c:pt>
                <c:pt idx="137">
                  <c:v>0.72599999999999998</c:v>
                </c:pt>
                <c:pt idx="138">
                  <c:v>0.72399999999999998</c:v>
                </c:pt>
                <c:pt idx="139">
                  <c:v>0.72199999999999998</c:v>
                </c:pt>
                <c:pt idx="140">
                  <c:v>0.72</c:v>
                </c:pt>
                <c:pt idx="141">
                  <c:v>0.71799999999999997</c:v>
                </c:pt>
                <c:pt idx="142">
                  <c:v>0.71599999999999997</c:v>
                </c:pt>
                <c:pt idx="143">
                  <c:v>0.71399999999999997</c:v>
                </c:pt>
                <c:pt idx="144">
                  <c:v>0.71199999999999997</c:v>
                </c:pt>
                <c:pt idx="145">
                  <c:v>0.71</c:v>
                </c:pt>
                <c:pt idx="146">
                  <c:v>0.70799999999999996</c:v>
                </c:pt>
                <c:pt idx="147">
                  <c:v>0.70599999999999996</c:v>
                </c:pt>
                <c:pt idx="148">
                  <c:v>0.70399999999999996</c:v>
                </c:pt>
                <c:pt idx="149">
                  <c:v>0.70199999999999996</c:v>
                </c:pt>
                <c:pt idx="150">
                  <c:v>0.7</c:v>
                </c:pt>
                <c:pt idx="151">
                  <c:v>0.69799999999999995</c:v>
                </c:pt>
                <c:pt idx="152">
                  <c:v>0.69599999999999995</c:v>
                </c:pt>
                <c:pt idx="153">
                  <c:v>0.69399999999999995</c:v>
                </c:pt>
                <c:pt idx="154">
                  <c:v>0.69199999999999995</c:v>
                </c:pt>
                <c:pt idx="155">
                  <c:v>0.69</c:v>
                </c:pt>
                <c:pt idx="156">
                  <c:v>0.68799999999999994</c:v>
                </c:pt>
                <c:pt idx="157">
                  <c:v>0.68600000000000005</c:v>
                </c:pt>
                <c:pt idx="158">
                  <c:v>0.68400000000000005</c:v>
                </c:pt>
                <c:pt idx="159">
                  <c:v>0.68200000000000005</c:v>
                </c:pt>
                <c:pt idx="160">
                  <c:v>0.68</c:v>
                </c:pt>
                <c:pt idx="161">
                  <c:v>0.67800000000000005</c:v>
                </c:pt>
                <c:pt idx="162">
                  <c:v>0.67600000000000005</c:v>
                </c:pt>
                <c:pt idx="163">
                  <c:v>0.67400000000000004</c:v>
                </c:pt>
                <c:pt idx="164">
                  <c:v>0.67200000000000004</c:v>
                </c:pt>
                <c:pt idx="165">
                  <c:v>0.67</c:v>
                </c:pt>
                <c:pt idx="166">
                  <c:v>0.66800000000000004</c:v>
                </c:pt>
                <c:pt idx="167">
                  <c:v>0.66600000000000004</c:v>
                </c:pt>
                <c:pt idx="168">
                  <c:v>0.66400000000000003</c:v>
                </c:pt>
                <c:pt idx="169">
                  <c:v>0.66200000000000003</c:v>
                </c:pt>
                <c:pt idx="170">
                  <c:v>0.66</c:v>
                </c:pt>
                <c:pt idx="171">
                  <c:v>0.65800000000000003</c:v>
                </c:pt>
                <c:pt idx="172">
                  <c:v>0.65600000000000003</c:v>
                </c:pt>
                <c:pt idx="173">
                  <c:v>0.65400000000000003</c:v>
                </c:pt>
                <c:pt idx="174">
                  <c:v>0.65200000000000002</c:v>
                </c:pt>
                <c:pt idx="175">
                  <c:v>0.65</c:v>
                </c:pt>
                <c:pt idx="176">
                  <c:v>0.64800000000000002</c:v>
                </c:pt>
                <c:pt idx="177">
                  <c:v>0.64600000000000002</c:v>
                </c:pt>
                <c:pt idx="178">
                  <c:v>0.64400000000000002</c:v>
                </c:pt>
                <c:pt idx="179">
                  <c:v>0.64200000000000002</c:v>
                </c:pt>
                <c:pt idx="180">
                  <c:v>0.64</c:v>
                </c:pt>
                <c:pt idx="181">
                  <c:v>0.63800000000000001</c:v>
                </c:pt>
                <c:pt idx="182">
                  <c:v>0.63600000000000001</c:v>
                </c:pt>
                <c:pt idx="183">
                  <c:v>0.63400000000000001</c:v>
                </c:pt>
                <c:pt idx="184">
                  <c:v>0.63200000000000001</c:v>
                </c:pt>
                <c:pt idx="185">
                  <c:v>0.63</c:v>
                </c:pt>
                <c:pt idx="186">
                  <c:v>0.628</c:v>
                </c:pt>
                <c:pt idx="187">
                  <c:v>0.626</c:v>
                </c:pt>
                <c:pt idx="188">
                  <c:v>0.624</c:v>
                </c:pt>
                <c:pt idx="189">
                  <c:v>0.622</c:v>
                </c:pt>
                <c:pt idx="190">
                  <c:v>0.62</c:v>
                </c:pt>
                <c:pt idx="191">
                  <c:v>0.61799999999999999</c:v>
                </c:pt>
                <c:pt idx="192">
                  <c:v>0.61599999999999999</c:v>
                </c:pt>
                <c:pt idx="193">
                  <c:v>0.61399999999999999</c:v>
                </c:pt>
                <c:pt idx="194">
                  <c:v>0.61199999999999999</c:v>
                </c:pt>
                <c:pt idx="195">
                  <c:v>0.61</c:v>
                </c:pt>
                <c:pt idx="196">
                  <c:v>0.60799999999999998</c:v>
                </c:pt>
                <c:pt idx="197">
                  <c:v>0.60599999999999998</c:v>
                </c:pt>
                <c:pt idx="198">
                  <c:v>0.60399999999999998</c:v>
                </c:pt>
                <c:pt idx="199">
                  <c:v>0.60199999999999998</c:v>
                </c:pt>
                <c:pt idx="200">
                  <c:v>0.6</c:v>
                </c:pt>
                <c:pt idx="201">
                  <c:v>0.59799999999999998</c:v>
                </c:pt>
                <c:pt idx="202">
                  <c:v>0.59599999999999997</c:v>
                </c:pt>
                <c:pt idx="203">
                  <c:v>0.59399999999999997</c:v>
                </c:pt>
                <c:pt idx="204">
                  <c:v>0.59199999999999997</c:v>
                </c:pt>
                <c:pt idx="205">
                  <c:v>0.59</c:v>
                </c:pt>
                <c:pt idx="206">
                  <c:v>0.58799999999999997</c:v>
                </c:pt>
                <c:pt idx="207">
                  <c:v>0.58599999999999997</c:v>
                </c:pt>
                <c:pt idx="208">
                  <c:v>0.58399999999999996</c:v>
                </c:pt>
                <c:pt idx="209">
                  <c:v>0.58199999999999996</c:v>
                </c:pt>
                <c:pt idx="210">
                  <c:v>0.57999999999999996</c:v>
                </c:pt>
                <c:pt idx="211">
                  <c:v>0.57799999999999996</c:v>
                </c:pt>
                <c:pt idx="212">
                  <c:v>0.57599999999999996</c:v>
                </c:pt>
                <c:pt idx="213">
                  <c:v>0.57399999999999995</c:v>
                </c:pt>
                <c:pt idx="214">
                  <c:v>0.57199999999999995</c:v>
                </c:pt>
                <c:pt idx="215">
                  <c:v>0.56999999999999995</c:v>
                </c:pt>
                <c:pt idx="216">
                  <c:v>0.56799999999999995</c:v>
                </c:pt>
                <c:pt idx="217">
                  <c:v>0.56599999999999995</c:v>
                </c:pt>
                <c:pt idx="218">
                  <c:v>0.56399999999999995</c:v>
                </c:pt>
                <c:pt idx="219">
                  <c:v>0.56200000000000006</c:v>
                </c:pt>
                <c:pt idx="220">
                  <c:v>0.56000000000000005</c:v>
                </c:pt>
                <c:pt idx="221">
                  <c:v>0.55800000000000005</c:v>
                </c:pt>
                <c:pt idx="222">
                  <c:v>0.55600000000000005</c:v>
                </c:pt>
                <c:pt idx="223">
                  <c:v>0.55400000000000005</c:v>
                </c:pt>
                <c:pt idx="224">
                  <c:v>0.55200000000000005</c:v>
                </c:pt>
                <c:pt idx="225">
                  <c:v>0.55000000000000004</c:v>
                </c:pt>
                <c:pt idx="226">
                  <c:v>0.54800000000000004</c:v>
                </c:pt>
                <c:pt idx="227">
                  <c:v>0.54600000000000004</c:v>
                </c:pt>
                <c:pt idx="228">
                  <c:v>0.54400000000000004</c:v>
                </c:pt>
                <c:pt idx="229">
                  <c:v>0.54200000000000004</c:v>
                </c:pt>
                <c:pt idx="230">
                  <c:v>0.54</c:v>
                </c:pt>
                <c:pt idx="231">
                  <c:v>0.53800000000000003</c:v>
                </c:pt>
                <c:pt idx="232">
                  <c:v>0.53600000000000003</c:v>
                </c:pt>
                <c:pt idx="233">
                  <c:v>0.53400000000000003</c:v>
                </c:pt>
                <c:pt idx="234">
                  <c:v>0.53200000000000003</c:v>
                </c:pt>
                <c:pt idx="235">
                  <c:v>0.53</c:v>
                </c:pt>
                <c:pt idx="236">
                  <c:v>0.52800000000000002</c:v>
                </c:pt>
                <c:pt idx="237">
                  <c:v>0.52600000000000002</c:v>
                </c:pt>
                <c:pt idx="238">
                  <c:v>0.52400000000000002</c:v>
                </c:pt>
                <c:pt idx="239">
                  <c:v>0.52200000000000002</c:v>
                </c:pt>
                <c:pt idx="240">
                  <c:v>0.52</c:v>
                </c:pt>
                <c:pt idx="241">
                  <c:v>0.51800000000000002</c:v>
                </c:pt>
                <c:pt idx="242">
                  <c:v>0.51600000000000001</c:v>
                </c:pt>
                <c:pt idx="243">
                  <c:v>0.51400000000000001</c:v>
                </c:pt>
                <c:pt idx="244">
                  <c:v>0.51200000000000001</c:v>
                </c:pt>
                <c:pt idx="245">
                  <c:v>0.51</c:v>
                </c:pt>
                <c:pt idx="246">
                  <c:v>0.50800000000000001</c:v>
                </c:pt>
                <c:pt idx="247">
                  <c:v>0.50600000000000001</c:v>
                </c:pt>
                <c:pt idx="248">
                  <c:v>0.504</c:v>
                </c:pt>
                <c:pt idx="249">
                  <c:v>0.502</c:v>
                </c:pt>
                <c:pt idx="250">
                  <c:v>0.5</c:v>
                </c:pt>
                <c:pt idx="251">
                  <c:v>0.498</c:v>
                </c:pt>
                <c:pt idx="252">
                  <c:v>0.496</c:v>
                </c:pt>
                <c:pt idx="253">
                  <c:v>0.49399999999999999</c:v>
                </c:pt>
                <c:pt idx="254">
                  <c:v>0.49199999999999999</c:v>
                </c:pt>
                <c:pt idx="255">
                  <c:v>0.49</c:v>
                </c:pt>
                <c:pt idx="256">
                  <c:v>0.48799999999999999</c:v>
                </c:pt>
                <c:pt idx="257">
                  <c:v>0.48599999999999999</c:v>
                </c:pt>
                <c:pt idx="258">
                  <c:v>0.48399999999999999</c:v>
                </c:pt>
                <c:pt idx="259">
                  <c:v>0.48199999999999998</c:v>
                </c:pt>
                <c:pt idx="260">
                  <c:v>0.48</c:v>
                </c:pt>
                <c:pt idx="261">
                  <c:v>0.47799999999999998</c:v>
                </c:pt>
                <c:pt idx="262">
                  <c:v>0.47599999999999998</c:v>
                </c:pt>
                <c:pt idx="263">
                  <c:v>0.47399999999999998</c:v>
                </c:pt>
                <c:pt idx="264">
                  <c:v>0.47199999999999998</c:v>
                </c:pt>
                <c:pt idx="265">
                  <c:v>0.47</c:v>
                </c:pt>
                <c:pt idx="266">
                  <c:v>0.46800000000000003</c:v>
                </c:pt>
                <c:pt idx="267">
                  <c:v>0.46600000000000003</c:v>
                </c:pt>
                <c:pt idx="268">
                  <c:v>0.46400000000000002</c:v>
                </c:pt>
                <c:pt idx="269">
                  <c:v>0.46200000000000002</c:v>
                </c:pt>
                <c:pt idx="270">
                  <c:v>0.46</c:v>
                </c:pt>
                <c:pt idx="271">
                  <c:v>0.45800000000000002</c:v>
                </c:pt>
                <c:pt idx="272">
                  <c:v>0.45600000000000002</c:v>
                </c:pt>
                <c:pt idx="273">
                  <c:v>0.45400000000000001</c:v>
                </c:pt>
                <c:pt idx="274">
                  <c:v>0.45200000000000001</c:v>
                </c:pt>
                <c:pt idx="275">
                  <c:v>0.45</c:v>
                </c:pt>
                <c:pt idx="276">
                  <c:v>0.44800000000000001</c:v>
                </c:pt>
                <c:pt idx="277">
                  <c:v>0.44600000000000001</c:v>
                </c:pt>
                <c:pt idx="278">
                  <c:v>0.44400000000000001</c:v>
                </c:pt>
                <c:pt idx="279">
                  <c:v>0.442</c:v>
                </c:pt>
                <c:pt idx="280">
                  <c:v>0.44</c:v>
                </c:pt>
                <c:pt idx="281">
                  <c:v>0.438</c:v>
                </c:pt>
                <c:pt idx="282">
                  <c:v>0.436</c:v>
                </c:pt>
                <c:pt idx="283">
                  <c:v>0.434</c:v>
                </c:pt>
                <c:pt idx="284">
                  <c:v>0.432</c:v>
                </c:pt>
                <c:pt idx="285">
                  <c:v>0.43</c:v>
                </c:pt>
                <c:pt idx="286">
                  <c:v>0.42799999999999999</c:v>
                </c:pt>
                <c:pt idx="287">
                  <c:v>0.42599999999999999</c:v>
                </c:pt>
                <c:pt idx="288">
                  <c:v>0.42399999999999999</c:v>
                </c:pt>
                <c:pt idx="289">
                  <c:v>0.42199999999999999</c:v>
                </c:pt>
                <c:pt idx="290">
                  <c:v>0.42</c:v>
                </c:pt>
                <c:pt idx="291">
                  <c:v>0.41799999999999998</c:v>
                </c:pt>
                <c:pt idx="292">
                  <c:v>0.41599999999999998</c:v>
                </c:pt>
                <c:pt idx="293">
                  <c:v>0.41399999999999998</c:v>
                </c:pt>
                <c:pt idx="294">
                  <c:v>0.41199999999999998</c:v>
                </c:pt>
                <c:pt idx="295">
                  <c:v>0.41</c:v>
                </c:pt>
                <c:pt idx="296">
                  <c:v>0.40799999999999997</c:v>
                </c:pt>
                <c:pt idx="297">
                  <c:v>0.40600000000000003</c:v>
                </c:pt>
                <c:pt idx="298">
                  <c:v>0.40400000000000003</c:v>
                </c:pt>
                <c:pt idx="299">
                  <c:v>0.40200000000000002</c:v>
                </c:pt>
                <c:pt idx="300">
                  <c:v>0.4</c:v>
                </c:pt>
                <c:pt idx="301">
                  <c:v>0.39800000000000002</c:v>
                </c:pt>
                <c:pt idx="302">
                  <c:v>0.39600000000000002</c:v>
                </c:pt>
                <c:pt idx="303">
                  <c:v>0.39400000000000002</c:v>
                </c:pt>
                <c:pt idx="304">
                  <c:v>0.39200000000000002</c:v>
                </c:pt>
                <c:pt idx="305">
                  <c:v>0.39</c:v>
                </c:pt>
                <c:pt idx="306">
                  <c:v>0.38800000000000001</c:v>
                </c:pt>
                <c:pt idx="307">
                  <c:v>0.38600000000000001</c:v>
                </c:pt>
                <c:pt idx="308">
                  <c:v>0.38400000000000001</c:v>
                </c:pt>
                <c:pt idx="309">
                  <c:v>0.38200000000000001</c:v>
                </c:pt>
                <c:pt idx="310">
                  <c:v>0.38</c:v>
                </c:pt>
                <c:pt idx="311">
                  <c:v>0.378</c:v>
                </c:pt>
                <c:pt idx="312">
                  <c:v>0.376</c:v>
                </c:pt>
                <c:pt idx="313">
                  <c:v>0.374</c:v>
                </c:pt>
                <c:pt idx="314">
                  <c:v>0.372</c:v>
                </c:pt>
                <c:pt idx="315">
                  <c:v>0.37</c:v>
                </c:pt>
                <c:pt idx="316">
                  <c:v>0.36799999999999999</c:v>
                </c:pt>
                <c:pt idx="317">
                  <c:v>0.36599999999999999</c:v>
                </c:pt>
                <c:pt idx="318">
                  <c:v>0.36399999999999999</c:v>
                </c:pt>
                <c:pt idx="319">
                  <c:v>0.36199999999999999</c:v>
                </c:pt>
                <c:pt idx="320">
                  <c:v>0.36</c:v>
                </c:pt>
                <c:pt idx="321">
                  <c:v>0.35799999999999998</c:v>
                </c:pt>
                <c:pt idx="322">
                  <c:v>0.35599999999999998</c:v>
                </c:pt>
                <c:pt idx="323">
                  <c:v>0.35399999999999998</c:v>
                </c:pt>
                <c:pt idx="324">
                  <c:v>0.35199999999999998</c:v>
                </c:pt>
                <c:pt idx="325">
                  <c:v>0.35</c:v>
                </c:pt>
                <c:pt idx="326">
                  <c:v>0.34799999999999998</c:v>
                </c:pt>
                <c:pt idx="327">
                  <c:v>0.34599999999999997</c:v>
                </c:pt>
                <c:pt idx="328">
                  <c:v>0.34399999999999997</c:v>
                </c:pt>
                <c:pt idx="329">
                  <c:v>0.34200000000000003</c:v>
                </c:pt>
                <c:pt idx="330">
                  <c:v>0.34</c:v>
                </c:pt>
                <c:pt idx="331">
                  <c:v>0.33800000000000002</c:v>
                </c:pt>
                <c:pt idx="332">
                  <c:v>0.33600000000000002</c:v>
                </c:pt>
                <c:pt idx="333">
                  <c:v>0.33400000000000002</c:v>
                </c:pt>
                <c:pt idx="334">
                  <c:v>0.33200000000000002</c:v>
                </c:pt>
                <c:pt idx="335">
                  <c:v>0.33</c:v>
                </c:pt>
                <c:pt idx="336">
                  <c:v>0.32800000000000001</c:v>
                </c:pt>
                <c:pt idx="337">
                  <c:v>0.32600000000000001</c:v>
                </c:pt>
                <c:pt idx="338">
                  <c:v>0.32400000000000001</c:v>
                </c:pt>
                <c:pt idx="339">
                  <c:v>0.32200000000000001</c:v>
                </c:pt>
                <c:pt idx="340">
                  <c:v>0.32</c:v>
                </c:pt>
                <c:pt idx="341">
                  <c:v>0.318</c:v>
                </c:pt>
                <c:pt idx="342">
                  <c:v>0.316</c:v>
                </c:pt>
                <c:pt idx="343">
                  <c:v>0.314</c:v>
                </c:pt>
                <c:pt idx="344">
                  <c:v>0.312</c:v>
                </c:pt>
                <c:pt idx="345">
                  <c:v>0.31</c:v>
                </c:pt>
                <c:pt idx="346">
                  <c:v>0.308</c:v>
                </c:pt>
                <c:pt idx="347">
                  <c:v>0.30599999999999999</c:v>
                </c:pt>
                <c:pt idx="348">
                  <c:v>0.30399999999999999</c:v>
                </c:pt>
                <c:pt idx="349">
                  <c:v>0.30199999999999999</c:v>
                </c:pt>
                <c:pt idx="350">
                  <c:v>0.3</c:v>
                </c:pt>
                <c:pt idx="351">
                  <c:v>0.29799999999999999</c:v>
                </c:pt>
                <c:pt idx="352">
                  <c:v>0.29599999999999999</c:v>
                </c:pt>
                <c:pt idx="353">
                  <c:v>0.29399999999999998</c:v>
                </c:pt>
                <c:pt idx="354">
                  <c:v>0.29199999999999998</c:v>
                </c:pt>
                <c:pt idx="355">
                  <c:v>0.28999999999999998</c:v>
                </c:pt>
                <c:pt idx="356">
                  <c:v>0.28799999999999998</c:v>
                </c:pt>
                <c:pt idx="357">
                  <c:v>0.28599999999999998</c:v>
                </c:pt>
                <c:pt idx="358">
                  <c:v>0.28399999999999997</c:v>
                </c:pt>
                <c:pt idx="359">
                  <c:v>0.28199999999999997</c:v>
                </c:pt>
                <c:pt idx="360">
                  <c:v>0.28000000000000003</c:v>
                </c:pt>
                <c:pt idx="361">
                  <c:v>0.27800000000000002</c:v>
                </c:pt>
                <c:pt idx="362">
                  <c:v>0.27600000000000002</c:v>
                </c:pt>
                <c:pt idx="363">
                  <c:v>0.27400000000000002</c:v>
                </c:pt>
                <c:pt idx="364">
                  <c:v>0.27200000000000002</c:v>
                </c:pt>
                <c:pt idx="365">
                  <c:v>0.27</c:v>
                </c:pt>
                <c:pt idx="366">
                  <c:v>0.26800000000000002</c:v>
                </c:pt>
                <c:pt idx="367">
                  <c:v>0.26600000000000001</c:v>
                </c:pt>
                <c:pt idx="368">
                  <c:v>0.26400000000000001</c:v>
                </c:pt>
                <c:pt idx="369">
                  <c:v>0.26200000000000001</c:v>
                </c:pt>
                <c:pt idx="370">
                  <c:v>0.26</c:v>
                </c:pt>
                <c:pt idx="371">
                  <c:v>0.25800000000000001</c:v>
                </c:pt>
                <c:pt idx="372">
                  <c:v>0.25600000000000001</c:v>
                </c:pt>
                <c:pt idx="373">
                  <c:v>0.254</c:v>
                </c:pt>
                <c:pt idx="374">
                  <c:v>0.252</c:v>
                </c:pt>
                <c:pt idx="375">
                  <c:v>0.25</c:v>
                </c:pt>
                <c:pt idx="376">
                  <c:v>0.248</c:v>
                </c:pt>
                <c:pt idx="377">
                  <c:v>0.246</c:v>
                </c:pt>
                <c:pt idx="378">
                  <c:v>0.24399999999999999</c:v>
                </c:pt>
                <c:pt idx="379">
                  <c:v>0.24199999999999999</c:v>
                </c:pt>
                <c:pt idx="380">
                  <c:v>0.24</c:v>
                </c:pt>
                <c:pt idx="381">
                  <c:v>0.23799999999999999</c:v>
                </c:pt>
                <c:pt idx="382">
                  <c:v>0.23599999999999999</c:v>
                </c:pt>
                <c:pt idx="383">
                  <c:v>0.23400000000000001</c:v>
                </c:pt>
                <c:pt idx="384">
                  <c:v>0.23200000000000001</c:v>
                </c:pt>
                <c:pt idx="385">
                  <c:v>0.23</c:v>
                </c:pt>
                <c:pt idx="386">
                  <c:v>0.22800000000000001</c:v>
                </c:pt>
                <c:pt idx="387">
                  <c:v>0.22600000000000001</c:v>
                </c:pt>
                <c:pt idx="388">
                  <c:v>0.224</c:v>
                </c:pt>
                <c:pt idx="389">
                  <c:v>0.222</c:v>
                </c:pt>
                <c:pt idx="390">
                  <c:v>0.22</c:v>
                </c:pt>
                <c:pt idx="391">
                  <c:v>0.218</c:v>
                </c:pt>
                <c:pt idx="392">
                  <c:v>0.216</c:v>
                </c:pt>
                <c:pt idx="393">
                  <c:v>0.214</c:v>
                </c:pt>
                <c:pt idx="394">
                  <c:v>0.21199999999999999</c:v>
                </c:pt>
                <c:pt idx="395">
                  <c:v>0.21</c:v>
                </c:pt>
                <c:pt idx="396">
                  <c:v>0.20799999999999999</c:v>
                </c:pt>
                <c:pt idx="397">
                  <c:v>0.20599999999999999</c:v>
                </c:pt>
                <c:pt idx="398">
                  <c:v>0.20399999999999999</c:v>
                </c:pt>
                <c:pt idx="399">
                  <c:v>0.20200000000000001</c:v>
                </c:pt>
                <c:pt idx="400">
                  <c:v>0.2</c:v>
                </c:pt>
                <c:pt idx="401">
                  <c:v>0.19800000000000001</c:v>
                </c:pt>
                <c:pt idx="402">
                  <c:v>0.19600000000000001</c:v>
                </c:pt>
                <c:pt idx="403">
                  <c:v>0.19400000000000001</c:v>
                </c:pt>
                <c:pt idx="404">
                  <c:v>0.192</c:v>
                </c:pt>
                <c:pt idx="405">
                  <c:v>0.19</c:v>
                </c:pt>
                <c:pt idx="406">
                  <c:v>0.188</c:v>
                </c:pt>
                <c:pt idx="407">
                  <c:v>0.186</c:v>
                </c:pt>
                <c:pt idx="408">
                  <c:v>0.184</c:v>
                </c:pt>
                <c:pt idx="409">
                  <c:v>0.182</c:v>
                </c:pt>
                <c:pt idx="410">
                  <c:v>0.18</c:v>
                </c:pt>
                <c:pt idx="411">
                  <c:v>0.17799999999999999</c:v>
                </c:pt>
                <c:pt idx="412">
                  <c:v>0.17599999999999999</c:v>
                </c:pt>
                <c:pt idx="413">
                  <c:v>0.17399999999999999</c:v>
                </c:pt>
                <c:pt idx="414">
                  <c:v>0.17199999999999999</c:v>
                </c:pt>
                <c:pt idx="415">
                  <c:v>0.17</c:v>
                </c:pt>
                <c:pt idx="416">
                  <c:v>0.16800000000000001</c:v>
                </c:pt>
                <c:pt idx="417">
                  <c:v>0.16600000000000001</c:v>
                </c:pt>
                <c:pt idx="418">
                  <c:v>0.16400000000000001</c:v>
                </c:pt>
                <c:pt idx="419">
                  <c:v>0.16200000000000001</c:v>
                </c:pt>
                <c:pt idx="420">
                  <c:v>0.16</c:v>
                </c:pt>
                <c:pt idx="421">
                  <c:v>0.158</c:v>
                </c:pt>
                <c:pt idx="422">
                  <c:v>0.156</c:v>
                </c:pt>
                <c:pt idx="423">
                  <c:v>0.154</c:v>
                </c:pt>
                <c:pt idx="424">
                  <c:v>0.152</c:v>
                </c:pt>
                <c:pt idx="425">
                  <c:v>0.15</c:v>
                </c:pt>
                <c:pt idx="426">
                  <c:v>0.14799999999999999</c:v>
                </c:pt>
                <c:pt idx="427">
                  <c:v>0.14599999999999999</c:v>
                </c:pt>
                <c:pt idx="428">
                  <c:v>0.14399999999999999</c:v>
                </c:pt>
                <c:pt idx="429">
                  <c:v>0.14199999999999999</c:v>
                </c:pt>
                <c:pt idx="430">
                  <c:v>0.14000000000000001</c:v>
                </c:pt>
                <c:pt idx="431">
                  <c:v>0.13800000000000001</c:v>
                </c:pt>
                <c:pt idx="432">
                  <c:v>0.13600000000000001</c:v>
                </c:pt>
                <c:pt idx="433">
                  <c:v>0.13400000000000001</c:v>
                </c:pt>
                <c:pt idx="434">
                  <c:v>0.13200000000000001</c:v>
                </c:pt>
                <c:pt idx="435">
                  <c:v>0.13</c:v>
                </c:pt>
                <c:pt idx="436">
                  <c:v>0.128</c:v>
                </c:pt>
                <c:pt idx="437">
                  <c:v>0.126</c:v>
                </c:pt>
                <c:pt idx="438">
                  <c:v>0.124</c:v>
                </c:pt>
                <c:pt idx="439">
                  <c:v>0.122</c:v>
                </c:pt>
                <c:pt idx="440">
                  <c:v>0.12</c:v>
                </c:pt>
                <c:pt idx="441">
                  <c:v>0.11799999999999999</c:v>
                </c:pt>
                <c:pt idx="442">
                  <c:v>0.11600000000000001</c:v>
                </c:pt>
                <c:pt idx="443">
                  <c:v>0.114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9-9D4A-AFD0-4E3B92958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87968"/>
        <c:axId val="100441456"/>
      </c:scatterChart>
      <c:valAx>
        <c:axId val="100387968"/>
        <c:scaling>
          <c:orientation val="minMax"/>
          <c:max val="2.285898338390482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Policy 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41456"/>
        <c:crosses val="autoZero"/>
        <c:crossBetween val="midCat"/>
      </c:valAx>
      <c:valAx>
        <c:axId val="100441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7968"/>
        <c:crosses val="autoZero"/>
        <c:crossBetween val="midCat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Claim Amounts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atin typeface="+mn-lt"/>
            </a:defRPr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</a:rPr>
            <a:t>Claim Amounts</a:t>
          </a:r>
        </a:p>
      </cx:txPr>
    </cx:title>
    <cx:plotArea>
      <cx:plotAreaRegion>
        <cx:series layoutId="boxWhisker" uniqueId="{E7FA3D99-053A-CE43-88C2-A779CDAF53AE}">
          <cx:tx>
            <cx:txData>
              <cx:f>_xlchart.v1.0</cx:f>
              <cx:v>ValidClaimAmount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Claim Amount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Claim Amount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Policy-Level Loss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Policy-Level Loss</a:t>
          </a:r>
        </a:p>
      </cx:txPr>
    </cx:title>
    <cx:plotArea>
      <cx:plotAreaRegion>
        <cx:series layoutId="boxWhisker" uniqueId="{CD4FC400-A53F-6D46-866C-BE53E7E09E25}">
          <cx:tx>
            <cx:txData>
              <cx:f>_xlchart.v1.2</cx:f>
              <cx:v>TotalClaimAmount</cx:v>
            </cx:txData>
          </cx:tx>
          <cx:dataId val="0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title>
          <cx:tx>
            <cx:txData>
              <cx:v>Policy Loss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/>
              </a:pPr>
              <a:r>
                <a: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Policy Loss</a:t>
              </a:r>
            </a:p>
          </cx:txPr>
        </cx:title>
        <cx:majorGridlines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203200</xdr:rowOff>
        </xdr:from>
        <xdr:to>
          <xdr:col>10</xdr:col>
          <xdr:colOff>228600</xdr:colOff>
          <xdr:row>9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6</xdr:col>
      <xdr:colOff>26504</xdr:colOff>
      <xdr:row>33</xdr:row>
      <xdr:rowOff>176697</xdr:rowOff>
    </xdr:from>
    <xdr:to>
      <xdr:col>11</xdr:col>
      <xdr:colOff>0</xdr:colOff>
      <xdr:row>47</xdr:row>
      <xdr:rowOff>136941</xdr:rowOff>
    </xdr:to>
    <xdr:graphicFrame macro="">
      <xdr:nvGraphicFramePr>
        <xdr:cNvPr id="2" name="ClaimSeverityCDF">
          <a:extLst>
            <a:ext uri="{FF2B5EF4-FFF2-40B4-BE49-F238E27FC236}">
              <a16:creationId xmlns:a16="http://schemas.microsoft.com/office/drawing/2014/main" id="{50EFD192-2C3D-B64D-BAC6-038706BBE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15068</xdr:colOff>
      <xdr:row>33</xdr:row>
      <xdr:rowOff>176697</xdr:rowOff>
    </xdr:from>
    <xdr:to>
      <xdr:col>5</xdr:col>
      <xdr:colOff>456366</xdr:colOff>
      <xdr:row>47</xdr:row>
      <xdr:rowOff>136941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3D2F758-9EDE-E941-849C-D7233EDC06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268" y="7428397"/>
              <a:ext cx="3616298" cy="280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31805</xdr:colOff>
      <xdr:row>5</xdr:row>
      <xdr:rowOff>0</xdr:rowOff>
    </xdr:from>
    <xdr:to>
      <xdr:col>23</xdr:col>
      <xdr:colOff>0</xdr:colOff>
      <xdr:row>18</xdr:row>
      <xdr:rowOff>159026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B0933-BA7F-6343-B6F9-4BC46E79D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28483</xdr:colOff>
      <xdr:row>33</xdr:row>
      <xdr:rowOff>176697</xdr:rowOff>
    </xdr:from>
    <xdr:to>
      <xdr:col>17</xdr:col>
      <xdr:colOff>469780</xdr:colOff>
      <xdr:row>47</xdr:row>
      <xdr:rowOff>136940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19A69557-A0CA-2D4E-AD99-5664706DC4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55183" y="7428397"/>
              <a:ext cx="3616297" cy="28050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26504</xdr:colOff>
      <xdr:row>33</xdr:row>
      <xdr:rowOff>176697</xdr:rowOff>
    </xdr:from>
    <xdr:to>
      <xdr:col>23</xdr:col>
      <xdr:colOff>0</xdr:colOff>
      <xdr:row>47</xdr:row>
      <xdr:rowOff>136940</xdr:rowOff>
    </xdr:to>
    <xdr:graphicFrame macro="">
      <xdr:nvGraphicFramePr>
        <xdr:cNvPr id="17" name="PolicyLossCDFChart">
          <a:extLst>
            <a:ext uri="{FF2B5EF4-FFF2-40B4-BE49-F238E27FC236}">
              <a16:creationId xmlns:a16="http://schemas.microsoft.com/office/drawing/2014/main" id="{F37D6405-F7C5-ABDB-9BC3-11BD92DBA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22</xdr:row>
      <xdr:rowOff>0</xdr:rowOff>
    </xdr:from>
    <xdr:to>
      <xdr:col>12</xdr:col>
      <xdr:colOff>0</xdr:colOff>
      <xdr:row>48</xdr:row>
      <xdr:rowOff>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8D1DAE17-128B-BAA0-80A4-C5411D3B5EFF}"/>
            </a:ext>
          </a:extLst>
        </xdr:cNvPr>
        <xdr:cNvSpPr/>
      </xdr:nvSpPr>
      <xdr:spPr>
        <a:xfrm>
          <a:off x="828261" y="4064000"/>
          <a:ext cx="9110869" cy="5256696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22</xdr:row>
      <xdr:rowOff>0</xdr:rowOff>
    </xdr:from>
    <xdr:to>
      <xdr:col>24</xdr:col>
      <xdr:colOff>0</xdr:colOff>
      <xdr:row>48</xdr:row>
      <xdr:rowOff>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F223D756-AAD4-FB48-97D2-9C9072073E29}"/>
            </a:ext>
          </a:extLst>
        </xdr:cNvPr>
        <xdr:cNvSpPr/>
      </xdr:nvSpPr>
      <xdr:spPr>
        <a:xfrm>
          <a:off x="9685130" y="4207565"/>
          <a:ext cx="8028609" cy="5356087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6DCD97CB-33E2-4F4F-8265-86AC73E1BC52}"/>
            </a:ext>
          </a:extLst>
        </xdr:cNvPr>
        <xdr:cNvSpPr/>
      </xdr:nvSpPr>
      <xdr:spPr>
        <a:xfrm>
          <a:off x="9378462" y="207596"/>
          <a:ext cx="8059615" cy="4506058"/>
        </a:xfrm>
        <a:prstGeom prst="roundRect">
          <a:avLst>
            <a:gd name="adj" fmla="val 2171"/>
          </a:avLst>
        </a:prstGeom>
        <a:noFill/>
        <a:ln w="12700">
          <a:solidFill>
            <a:schemeClr val="bg2"/>
          </a:solidFill>
          <a:prstDash val="solid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028609"/>
                    <a:gd name="connsiteY0" fmla="*/ 116281 h 5356087"/>
                    <a:gd name="connsiteX1" fmla="*/ 116281 w 8028609"/>
                    <a:gd name="connsiteY1" fmla="*/ 0 h 5356087"/>
                    <a:gd name="connsiteX2" fmla="*/ 871898 w 8028609"/>
                    <a:gd name="connsiteY2" fmla="*/ 0 h 5356087"/>
                    <a:gd name="connsiteX3" fmla="*/ 1393633 w 8028609"/>
                    <a:gd name="connsiteY3" fmla="*/ 0 h 5356087"/>
                    <a:gd name="connsiteX4" fmla="*/ 1837408 w 8028609"/>
                    <a:gd name="connsiteY4" fmla="*/ 0 h 5356087"/>
                    <a:gd name="connsiteX5" fmla="*/ 2515065 w 8028609"/>
                    <a:gd name="connsiteY5" fmla="*/ 0 h 5356087"/>
                    <a:gd name="connsiteX6" fmla="*/ 3036800 w 8028609"/>
                    <a:gd name="connsiteY6" fmla="*/ 0 h 5356087"/>
                    <a:gd name="connsiteX7" fmla="*/ 3792417 w 8028609"/>
                    <a:gd name="connsiteY7" fmla="*/ 0 h 5356087"/>
                    <a:gd name="connsiteX8" fmla="*/ 4236192 w 8028609"/>
                    <a:gd name="connsiteY8" fmla="*/ 0 h 5356087"/>
                    <a:gd name="connsiteX9" fmla="*/ 4991809 w 8028609"/>
                    <a:gd name="connsiteY9" fmla="*/ 0 h 5356087"/>
                    <a:gd name="connsiteX10" fmla="*/ 5357623 w 8028609"/>
                    <a:gd name="connsiteY10" fmla="*/ 0 h 5356087"/>
                    <a:gd name="connsiteX11" fmla="*/ 5957319 w 8028609"/>
                    <a:gd name="connsiteY11" fmla="*/ 0 h 5356087"/>
                    <a:gd name="connsiteX12" fmla="*/ 6557015 w 8028609"/>
                    <a:gd name="connsiteY12" fmla="*/ 0 h 5356087"/>
                    <a:gd name="connsiteX13" fmla="*/ 7078751 w 8028609"/>
                    <a:gd name="connsiteY13" fmla="*/ 0 h 5356087"/>
                    <a:gd name="connsiteX14" fmla="*/ 7912328 w 8028609"/>
                    <a:gd name="connsiteY14" fmla="*/ 0 h 5356087"/>
                    <a:gd name="connsiteX15" fmla="*/ 8028609 w 8028609"/>
                    <a:gd name="connsiteY15" fmla="*/ 116281 h 5356087"/>
                    <a:gd name="connsiteX16" fmla="*/ 8028609 w 8028609"/>
                    <a:gd name="connsiteY16" fmla="*/ 685562 h 5356087"/>
                    <a:gd name="connsiteX17" fmla="*/ 8028609 w 8028609"/>
                    <a:gd name="connsiteY17" fmla="*/ 1357313 h 5356087"/>
                    <a:gd name="connsiteX18" fmla="*/ 8028609 w 8028609"/>
                    <a:gd name="connsiteY18" fmla="*/ 1926593 h 5356087"/>
                    <a:gd name="connsiteX19" fmla="*/ 8028609 w 8028609"/>
                    <a:gd name="connsiteY19" fmla="*/ 2342168 h 5356087"/>
                    <a:gd name="connsiteX20" fmla="*/ 8028609 w 8028609"/>
                    <a:gd name="connsiteY20" fmla="*/ 2808978 h 5356087"/>
                    <a:gd name="connsiteX21" fmla="*/ 8028609 w 8028609"/>
                    <a:gd name="connsiteY21" fmla="*/ 3480729 h 5356087"/>
                    <a:gd name="connsiteX22" fmla="*/ 8028609 w 8028609"/>
                    <a:gd name="connsiteY22" fmla="*/ 4050010 h 5356087"/>
                    <a:gd name="connsiteX23" fmla="*/ 8028609 w 8028609"/>
                    <a:gd name="connsiteY23" fmla="*/ 4516820 h 5356087"/>
                    <a:gd name="connsiteX24" fmla="*/ 8028609 w 8028609"/>
                    <a:gd name="connsiteY24" fmla="*/ 5239806 h 5356087"/>
                    <a:gd name="connsiteX25" fmla="*/ 7912328 w 8028609"/>
                    <a:gd name="connsiteY25" fmla="*/ 5356087 h 5356087"/>
                    <a:gd name="connsiteX26" fmla="*/ 7312632 w 8028609"/>
                    <a:gd name="connsiteY26" fmla="*/ 5356087 h 5356087"/>
                    <a:gd name="connsiteX27" fmla="*/ 6868857 w 8028609"/>
                    <a:gd name="connsiteY27" fmla="*/ 5356087 h 5356087"/>
                    <a:gd name="connsiteX28" fmla="*/ 6191201 w 8028609"/>
                    <a:gd name="connsiteY28" fmla="*/ 5356087 h 5356087"/>
                    <a:gd name="connsiteX29" fmla="*/ 5747426 w 8028609"/>
                    <a:gd name="connsiteY29" fmla="*/ 5356087 h 5356087"/>
                    <a:gd name="connsiteX30" fmla="*/ 5069769 w 8028609"/>
                    <a:gd name="connsiteY30" fmla="*/ 5356087 h 5356087"/>
                    <a:gd name="connsiteX31" fmla="*/ 4703955 w 8028609"/>
                    <a:gd name="connsiteY31" fmla="*/ 5356087 h 5356087"/>
                    <a:gd name="connsiteX32" fmla="*/ 4026298 w 8028609"/>
                    <a:gd name="connsiteY32" fmla="*/ 5356087 h 5356087"/>
                    <a:gd name="connsiteX33" fmla="*/ 3582523 w 8028609"/>
                    <a:gd name="connsiteY33" fmla="*/ 5356087 h 5356087"/>
                    <a:gd name="connsiteX34" fmla="*/ 3216709 w 8028609"/>
                    <a:gd name="connsiteY34" fmla="*/ 5356087 h 5356087"/>
                    <a:gd name="connsiteX35" fmla="*/ 2772934 w 8028609"/>
                    <a:gd name="connsiteY35" fmla="*/ 5356087 h 5356087"/>
                    <a:gd name="connsiteX36" fmla="*/ 2095278 w 8028609"/>
                    <a:gd name="connsiteY36" fmla="*/ 5356087 h 5356087"/>
                    <a:gd name="connsiteX37" fmla="*/ 1651503 w 8028609"/>
                    <a:gd name="connsiteY37" fmla="*/ 5356087 h 5356087"/>
                    <a:gd name="connsiteX38" fmla="*/ 1285688 w 8028609"/>
                    <a:gd name="connsiteY38" fmla="*/ 5356087 h 5356087"/>
                    <a:gd name="connsiteX39" fmla="*/ 841913 w 8028609"/>
                    <a:gd name="connsiteY39" fmla="*/ 5356087 h 5356087"/>
                    <a:gd name="connsiteX40" fmla="*/ 116281 w 8028609"/>
                    <a:gd name="connsiteY40" fmla="*/ 5356087 h 5356087"/>
                    <a:gd name="connsiteX41" fmla="*/ 0 w 8028609"/>
                    <a:gd name="connsiteY41" fmla="*/ 5239806 h 5356087"/>
                    <a:gd name="connsiteX42" fmla="*/ 0 w 8028609"/>
                    <a:gd name="connsiteY42" fmla="*/ 4824231 h 5356087"/>
                    <a:gd name="connsiteX43" fmla="*/ 0 w 8028609"/>
                    <a:gd name="connsiteY43" fmla="*/ 4254951 h 5356087"/>
                    <a:gd name="connsiteX44" fmla="*/ 0 w 8028609"/>
                    <a:gd name="connsiteY44" fmla="*/ 3583200 h 5356087"/>
                    <a:gd name="connsiteX45" fmla="*/ 0 w 8028609"/>
                    <a:gd name="connsiteY45" fmla="*/ 2962684 h 5356087"/>
                    <a:gd name="connsiteX46" fmla="*/ 0 w 8028609"/>
                    <a:gd name="connsiteY46" fmla="*/ 2444638 h 5356087"/>
                    <a:gd name="connsiteX47" fmla="*/ 0 w 8028609"/>
                    <a:gd name="connsiteY47" fmla="*/ 1824123 h 5356087"/>
                    <a:gd name="connsiteX48" fmla="*/ 0 w 8028609"/>
                    <a:gd name="connsiteY48" fmla="*/ 1357313 h 5356087"/>
                    <a:gd name="connsiteX49" fmla="*/ 0 w 8028609"/>
                    <a:gd name="connsiteY49" fmla="*/ 788032 h 5356087"/>
                    <a:gd name="connsiteX50" fmla="*/ 0 w 8028609"/>
                    <a:gd name="connsiteY50" fmla="*/ 116281 h 53560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</a:cxnLst>
                  <a:rect l="l" t="t" r="r" b="b"/>
                  <a:pathLst>
                    <a:path w="8028609" h="5356087" extrusionOk="0">
                      <a:moveTo>
                        <a:pt x="0" y="116281"/>
                      </a:moveTo>
                      <a:cubicBezTo>
                        <a:pt x="-7224" y="47605"/>
                        <a:pt x="34594" y="6556"/>
                        <a:pt x="116281" y="0"/>
                      </a:cubicBezTo>
                      <a:cubicBezTo>
                        <a:pt x="348921" y="-20743"/>
                        <a:pt x="670023" y="28633"/>
                        <a:pt x="871898" y="0"/>
                      </a:cubicBezTo>
                      <a:cubicBezTo>
                        <a:pt x="1073773" y="-28633"/>
                        <a:pt x="1141852" y="61998"/>
                        <a:pt x="1393633" y="0"/>
                      </a:cubicBezTo>
                      <a:cubicBezTo>
                        <a:pt x="1645415" y="-61998"/>
                        <a:pt x="1654654" y="26207"/>
                        <a:pt x="1837408" y="0"/>
                      </a:cubicBezTo>
                      <a:cubicBezTo>
                        <a:pt x="2020163" y="-26207"/>
                        <a:pt x="2199198" y="35910"/>
                        <a:pt x="2515065" y="0"/>
                      </a:cubicBezTo>
                      <a:cubicBezTo>
                        <a:pt x="2830932" y="-35910"/>
                        <a:pt x="2909509" y="49544"/>
                        <a:pt x="3036800" y="0"/>
                      </a:cubicBezTo>
                      <a:cubicBezTo>
                        <a:pt x="3164091" y="-49544"/>
                        <a:pt x="3515469" y="25152"/>
                        <a:pt x="3792417" y="0"/>
                      </a:cubicBezTo>
                      <a:cubicBezTo>
                        <a:pt x="4069365" y="-25152"/>
                        <a:pt x="4015156" y="50519"/>
                        <a:pt x="4236192" y="0"/>
                      </a:cubicBezTo>
                      <a:cubicBezTo>
                        <a:pt x="4457229" y="-50519"/>
                        <a:pt x="4834984" y="38957"/>
                        <a:pt x="4991809" y="0"/>
                      </a:cubicBezTo>
                      <a:cubicBezTo>
                        <a:pt x="5148634" y="-38957"/>
                        <a:pt x="5252079" y="37991"/>
                        <a:pt x="5357623" y="0"/>
                      </a:cubicBezTo>
                      <a:cubicBezTo>
                        <a:pt x="5463167" y="-37991"/>
                        <a:pt x="5717255" y="49859"/>
                        <a:pt x="5957319" y="0"/>
                      </a:cubicBezTo>
                      <a:cubicBezTo>
                        <a:pt x="6197383" y="-49859"/>
                        <a:pt x="6280718" y="47558"/>
                        <a:pt x="6557015" y="0"/>
                      </a:cubicBezTo>
                      <a:cubicBezTo>
                        <a:pt x="6833312" y="-47558"/>
                        <a:pt x="6819771" y="10599"/>
                        <a:pt x="7078751" y="0"/>
                      </a:cubicBezTo>
                      <a:cubicBezTo>
                        <a:pt x="7337731" y="-10599"/>
                        <a:pt x="7635936" y="91621"/>
                        <a:pt x="7912328" y="0"/>
                      </a:cubicBezTo>
                      <a:cubicBezTo>
                        <a:pt x="7981732" y="-6436"/>
                        <a:pt x="8026078" y="51083"/>
                        <a:pt x="8028609" y="116281"/>
                      </a:cubicBezTo>
                      <a:cubicBezTo>
                        <a:pt x="8044102" y="245321"/>
                        <a:pt x="8017179" y="555569"/>
                        <a:pt x="8028609" y="685562"/>
                      </a:cubicBezTo>
                      <a:cubicBezTo>
                        <a:pt x="8040039" y="815555"/>
                        <a:pt x="7983309" y="1068720"/>
                        <a:pt x="8028609" y="1357313"/>
                      </a:cubicBezTo>
                      <a:cubicBezTo>
                        <a:pt x="8073909" y="1645906"/>
                        <a:pt x="7964367" y="1740195"/>
                        <a:pt x="8028609" y="1926593"/>
                      </a:cubicBezTo>
                      <a:cubicBezTo>
                        <a:pt x="8092851" y="2112991"/>
                        <a:pt x="8011418" y="2227062"/>
                        <a:pt x="8028609" y="2342168"/>
                      </a:cubicBezTo>
                      <a:cubicBezTo>
                        <a:pt x="8045800" y="2457274"/>
                        <a:pt x="7973516" y="2702346"/>
                        <a:pt x="8028609" y="2808978"/>
                      </a:cubicBezTo>
                      <a:cubicBezTo>
                        <a:pt x="8083702" y="2915610"/>
                        <a:pt x="7995006" y="3180066"/>
                        <a:pt x="8028609" y="3480729"/>
                      </a:cubicBezTo>
                      <a:cubicBezTo>
                        <a:pt x="8062212" y="3781392"/>
                        <a:pt x="7977995" y="3831313"/>
                        <a:pt x="8028609" y="4050010"/>
                      </a:cubicBezTo>
                      <a:cubicBezTo>
                        <a:pt x="8079223" y="4268707"/>
                        <a:pt x="8025476" y="4292680"/>
                        <a:pt x="8028609" y="4516820"/>
                      </a:cubicBezTo>
                      <a:cubicBezTo>
                        <a:pt x="8031742" y="4740960"/>
                        <a:pt x="7955331" y="5043336"/>
                        <a:pt x="8028609" y="5239806"/>
                      </a:cubicBezTo>
                      <a:cubicBezTo>
                        <a:pt x="8020490" y="5303567"/>
                        <a:pt x="7985820" y="5364069"/>
                        <a:pt x="7912328" y="5356087"/>
                      </a:cubicBezTo>
                      <a:cubicBezTo>
                        <a:pt x="7642707" y="5358429"/>
                        <a:pt x="7464088" y="5327718"/>
                        <a:pt x="7312632" y="5356087"/>
                      </a:cubicBezTo>
                      <a:cubicBezTo>
                        <a:pt x="7161176" y="5384456"/>
                        <a:pt x="6964179" y="5316900"/>
                        <a:pt x="6868857" y="5356087"/>
                      </a:cubicBezTo>
                      <a:cubicBezTo>
                        <a:pt x="6773536" y="5395274"/>
                        <a:pt x="6479817" y="5326646"/>
                        <a:pt x="6191201" y="5356087"/>
                      </a:cubicBezTo>
                      <a:cubicBezTo>
                        <a:pt x="5902585" y="5385528"/>
                        <a:pt x="5873894" y="5304545"/>
                        <a:pt x="5747426" y="5356087"/>
                      </a:cubicBezTo>
                      <a:cubicBezTo>
                        <a:pt x="5620958" y="5407629"/>
                        <a:pt x="5353095" y="5353533"/>
                        <a:pt x="5069769" y="5356087"/>
                      </a:cubicBezTo>
                      <a:cubicBezTo>
                        <a:pt x="4786443" y="5358641"/>
                        <a:pt x="4821967" y="5324752"/>
                        <a:pt x="4703955" y="5356087"/>
                      </a:cubicBezTo>
                      <a:cubicBezTo>
                        <a:pt x="4585943" y="5387422"/>
                        <a:pt x="4307330" y="5321835"/>
                        <a:pt x="4026298" y="5356087"/>
                      </a:cubicBezTo>
                      <a:cubicBezTo>
                        <a:pt x="3745266" y="5390339"/>
                        <a:pt x="3772921" y="5329614"/>
                        <a:pt x="3582523" y="5356087"/>
                      </a:cubicBezTo>
                      <a:cubicBezTo>
                        <a:pt x="3392126" y="5382560"/>
                        <a:pt x="3314645" y="5326559"/>
                        <a:pt x="3216709" y="5356087"/>
                      </a:cubicBezTo>
                      <a:cubicBezTo>
                        <a:pt x="3118773" y="5385615"/>
                        <a:pt x="2898354" y="5334410"/>
                        <a:pt x="2772934" y="5356087"/>
                      </a:cubicBezTo>
                      <a:cubicBezTo>
                        <a:pt x="2647515" y="5377764"/>
                        <a:pt x="2355445" y="5315927"/>
                        <a:pt x="2095278" y="5356087"/>
                      </a:cubicBezTo>
                      <a:cubicBezTo>
                        <a:pt x="1835111" y="5396247"/>
                        <a:pt x="1780721" y="5313915"/>
                        <a:pt x="1651503" y="5356087"/>
                      </a:cubicBezTo>
                      <a:cubicBezTo>
                        <a:pt x="1522286" y="5398259"/>
                        <a:pt x="1414336" y="5322912"/>
                        <a:pt x="1285688" y="5356087"/>
                      </a:cubicBezTo>
                      <a:cubicBezTo>
                        <a:pt x="1157041" y="5389262"/>
                        <a:pt x="981428" y="5313526"/>
                        <a:pt x="841913" y="5356087"/>
                      </a:cubicBezTo>
                      <a:cubicBezTo>
                        <a:pt x="702398" y="5398648"/>
                        <a:pt x="304309" y="5326782"/>
                        <a:pt x="116281" y="5356087"/>
                      </a:cubicBezTo>
                      <a:cubicBezTo>
                        <a:pt x="35097" y="5358121"/>
                        <a:pt x="8251" y="5312693"/>
                        <a:pt x="0" y="5239806"/>
                      </a:cubicBezTo>
                      <a:cubicBezTo>
                        <a:pt x="-33115" y="5054366"/>
                        <a:pt x="27037" y="5021324"/>
                        <a:pt x="0" y="4824231"/>
                      </a:cubicBezTo>
                      <a:cubicBezTo>
                        <a:pt x="-27037" y="4627138"/>
                        <a:pt x="11241" y="4446818"/>
                        <a:pt x="0" y="4254951"/>
                      </a:cubicBezTo>
                      <a:cubicBezTo>
                        <a:pt x="-11241" y="4063084"/>
                        <a:pt x="21631" y="3855144"/>
                        <a:pt x="0" y="3583200"/>
                      </a:cubicBezTo>
                      <a:cubicBezTo>
                        <a:pt x="-21631" y="3311256"/>
                        <a:pt x="43776" y="3139173"/>
                        <a:pt x="0" y="2962684"/>
                      </a:cubicBezTo>
                      <a:cubicBezTo>
                        <a:pt x="-43776" y="2786195"/>
                        <a:pt x="31846" y="2696391"/>
                        <a:pt x="0" y="2444638"/>
                      </a:cubicBezTo>
                      <a:cubicBezTo>
                        <a:pt x="-31846" y="2192885"/>
                        <a:pt x="45851" y="1986886"/>
                        <a:pt x="0" y="1824123"/>
                      </a:cubicBezTo>
                      <a:cubicBezTo>
                        <a:pt x="-45851" y="1661361"/>
                        <a:pt x="509" y="1522010"/>
                        <a:pt x="0" y="1357313"/>
                      </a:cubicBezTo>
                      <a:cubicBezTo>
                        <a:pt x="-509" y="1192616"/>
                        <a:pt x="41075" y="1047686"/>
                        <a:pt x="0" y="788032"/>
                      </a:cubicBezTo>
                      <a:cubicBezTo>
                        <a:pt x="-41075" y="528378"/>
                        <a:pt x="35639" y="387502"/>
                        <a:pt x="0" y="116281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228600</xdr:rowOff>
        </xdr:from>
        <xdr:to>
          <xdr:col>10</xdr:col>
          <xdr:colOff>228600</xdr:colOff>
          <xdr:row>13</xdr:row>
          <xdr:rowOff>38100</xdr:rowOff>
        </xdr:to>
        <xdr:sp macro="" textlink="">
          <xdr:nvSpPr>
            <xdr:cNvPr id="1044" name="generate_pdf_bt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" refreshedDate="45704.829506018519" createdVersion="8" refreshedVersion="8" minRefreshableVersion="3" recordCount="500" xr:uid="{DB9A0C32-7E36-4741-8AC9-667E4E6A4B74}">
  <cacheSource type="worksheet">
    <worksheetSource name="TblPolicyLevelAggregate"/>
  </cacheSource>
  <cacheFields count="3">
    <cacheField name="PolicyID" numFmtId="0">
      <sharedItems containsSemiMixedTypes="0" containsString="0" containsNumber="1" containsInteger="1" minValue="1" maxValue="500"/>
    </cacheField>
    <cacheField name="ClaimCount" numFmtId="0">
      <sharedItems containsSemiMixedTypes="0" containsString="0" containsNumber="1" containsInteger="1" minValue="0" maxValue="35" count="35">
        <n v="2"/>
        <n v="4"/>
        <n v="5"/>
        <n v="6"/>
        <n v="3"/>
        <n v="1"/>
        <n v="8"/>
        <n v="7"/>
        <n v="10"/>
        <n v="9"/>
        <n v="0"/>
        <n v="12" u="1"/>
        <n v="11" u="1"/>
        <n v="17" u="1"/>
        <n v="13" u="1"/>
        <n v="16" u="1"/>
        <n v="18" u="1"/>
        <n v="15" u="1"/>
        <n v="14" u="1"/>
        <n v="20" u="1"/>
        <n v="19" u="1"/>
        <n v="21" u="1"/>
        <n v="23" u="1"/>
        <n v="22" u="1"/>
        <n v="24" u="1"/>
        <n v="25" u="1"/>
        <n v="28" u="1"/>
        <n v="27" u="1"/>
        <n v="26" u="1"/>
        <n v="29" u="1"/>
        <n v="30" u="1"/>
        <n v="32" u="1"/>
        <n v="35" u="1"/>
        <n v="34" u="1"/>
        <n v="33" u="1"/>
      </sharedItems>
    </cacheField>
    <cacheField name="TotalClaimAmount" numFmtId="0">
      <sharedItems containsSemiMixedTypes="0" containsString="0" containsNumber="1" minValue="0" maxValue="2.28589833839048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n v="1"/>
    <x v="0"/>
    <n v="0.61226593879036295"/>
  </r>
  <r>
    <n v="2"/>
    <x v="1"/>
    <n v="0.68169622690140785"/>
  </r>
  <r>
    <n v="3"/>
    <x v="0"/>
    <n v="0.96171332565365597"/>
  </r>
  <r>
    <n v="4"/>
    <x v="2"/>
    <n v="1.3304982337654634"/>
  </r>
  <r>
    <n v="5"/>
    <x v="3"/>
    <n v="1.0688690938153487"/>
  </r>
  <r>
    <n v="7"/>
    <x v="4"/>
    <n v="0.47767874253847054"/>
  </r>
  <r>
    <n v="8"/>
    <x v="2"/>
    <n v="0.70836588431177994"/>
  </r>
  <r>
    <n v="9"/>
    <x v="4"/>
    <n v="1.020124388679811"/>
  </r>
  <r>
    <n v="10"/>
    <x v="4"/>
    <n v="0.62010547776504676"/>
  </r>
  <r>
    <n v="11"/>
    <x v="3"/>
    <n v="1.0938215491465224"/>
  </r>
  <r>
    <n v="12"/>
    <x v="4"/>
    <n v="0.41320303015825938"/>
  </r>
  <r>
    <n v="13"/>
    <x v="1"/>
    <n v="1.1080445219063029"/>
  </r>
  <r>
    <n v="14"/>
    <x v="4"/>
    <n v="0.28341559438014235"/>
  </r>
  <r>
    <n v="15"/>
    <x v="5"/>
    <n v="0.102233378166199"/>
  </r>
  <r>
    <n v="16"/>
    <x v="2"/>
    <n v="1.1975901597106091"/>
  </r>
  <r>
    <n v="17"/>
    <x v="0"/>
    <n v="0.39226261392111705"/>
  </r>
  <r>
    <n v="19"/>
    <x v="0"/>
    <n v="0.19587586700354359"/>
  </r>
  <r>
    <n v="20"/>
    <x v="3"/>
    <n v="0.44660986536345632"/>
  </r>
  <r>
    <n v="21"/>
    <x v="2"/>
    <n v="0.90955824595450563"/>
  </r>
  <r>
    <n v="22"/>
    <x v="1"/>
    <n v="0.69337129715305057"/>
  </r>
  <r>
    <n v="23"/>
    <x v="4"/>
    <n v="0.63125875789197683"/>
  </r>
  <r>
    <n v="24"/>
    <x v="6"/>
    <n v="2.1124069687071474"/>
  </r>
  <r>
    <n v="25"/>
    <x v="1"/>
    <n v="0.72070726967401622"/>
  </r>
  <r>
    <n v="26"/>
    <x v="1"/>
    <n v="1.06089882822169"/>
  </r>
  <r>
    <n v="27"/>
    <x v="4"/>
    <n v="0.44017991142231028"/>
  </r>
  <r>
    <n v="28"/>
    <x v="4"/>
    <n v="0.47177099400386158"/>
  </r>
  <r>
    <n v="29"/>
    <x v="0"/>
    <n v="0.45374898089665905"/>
  </r>
  <r>
    <n v="30"/>
    <x v="5"/>
    <n v="0.17764121973411001"/>
  </r>
  <r>
    <n v="31"/>
    <x v="3"/>
    <n v="0.5750374754523131"/>
  </r>
  <r>
    <n v="32"/>
    <x v="2"/>
    <n v="0.42115029100936391"/>
  </r>
  <r>
    <n v="33"/>
    <x v="1"/>
    <n v="0.48801948204314649"/>
  </r>
  <r>
    <n v="34"/>
    <x v="1"/>
    <n v="0.54263270815229181"/>
  </r>
  <r>
    <n v="36"/>
    <x v="4"/>
    <n v="0.61024260565266097"/>
  </r>
  <r>
    <n v="37"/>
    <x v="1"/>
    <n v="0.6716922265864731"/>
  </r>
  <r>
    <n v="38"/>
    <x v="0"/>
    <n v="0.5276087556809359"/>
  </r>
  <r>
    <n v="39"/>
    <x v="0"/>
    <n v="0.39013806948489499"/>
  </r>
  <r>
    <n v="40"/>
    <x v="0"/>
    <n v="0.57961171921274901"/>
  </r>
  <r>
    <n v="41"/>
    <x v="5"/>
    <n v="4.18332917387364E-2"/>
  </r>
  <r>
    <n v="42"/>
    <x v="0"/>
    <n v="4.3777217779113309E-2"/>
  </r>
  <r>
    <n v="43"/>
    <x v="0"/>
    <n v="0.78832172301439796"/>
  </r>
  <r>
    <n v="44"/>
    <x v="0"/>
    <n v="0.92132681157361107"/>
  </r>
  <r>
    <n v="45"/>
    <x v="5"/>
    <n v="0.27905460215418099"/>
  </r>
  <r>
    <n v="46"/>
    <x v="5"/>
    <n v="6.4034293213933002E-2"/>
  </r>
  <r>
    <n v="47"/>
    <x v="0"/>
    <n v="0.51021378678213303"/>
  </r>
  <r>
    <n v="48"/>
    <x v="4"/>
    <n v="0.63572474793357803"/>
  </r>
  <r>
    <n v="49"/>
    <x v="0"/>
    <n v="0.99672983141034699"/>
  </r>
  <r>
    <n v="50"/>
    <x v="2"/>
    <n v="0.66183095044131024"/>
  </r>
  <r>
    <n v="52"/>
    <x v="4"/>
    <n v="0.40452898209088572"/>
  </r>
  <r>
    <n v="53"/>
    <x v="1"/>
    <n v="0.92174618575297707"/>
  </r>
  <r>
    <n v="54"/>
    <x v="5"/>
    <n v="0.14718143379256601"/>
  </r>
  <r>
    <n v="55"/>
    <x v="4"/>
    <n v="0.47275936652905404"/>
  </r>
  <r>
    <n v="56"/>
    <x v="0"/>
    <n v="0.54635552120703501"/>
  </r>
  <r>
    <n v="57"/>
    <x v="5"/>
    <n v="0.18174366633092401"/>
  </r>
  <r>
    <n v="58"/>
    <x v="1"/>
    <n v="0.60144642542210669"/>
  </r>
  <r>
    <n v="59"/>
    <x v="2"/>
    <n v="1.0411040940846177"/>
  </r>
  <r>
    <n v="60"/>
    <x v="0"/>
    <n v="0.40348816043482272"/>
  </r>
  <r>
    <n v="61"/>
    <x v="1"/>
    <n v="0.76380181286910664"/>
  </r>
  <r>
    <n v="62"/>
    <x v="5"/>
    <n v="0.26959855348603901"/>
  </r>
  <r>
    <n v="63"/>
    <x v="0"/>
    <n v="0.31882593787789698"/>
  </r>
  <r>
    <n v="64"/>
    <x v="0"/>
    <n v="0.25891260761887108"/>
  </r>
  <r>
    <n v="65"/>
    <x v="1"/>
    <n v="0.55917799634625609"/>
  </r>
  <r>
    <n v="66"/>
    <x v="4"/>
    <n v="0.58183504983048462"/>
  </r>
  <r>
    <n v="67"/>
    <x v="1"/>
    <n v="1.7379629134568175"/>
  </r>
  <r>
    <n v="68"/>
    <x v="1"/>
    <n v="0.59619264264678073"/>
  </r>
  <r>
    <n v="69"/>
    <x v="1"/>
    <n v="0.95768070714789699"/>
  </r>
  <r>
    <n v="70"/>
    <x v="4"/>
    <n v="0.61668710071480193"/>
  </r>
  <r>
    <n v="71"/>
    <x v="1"/>
    <n v="0.48189760324390096"/>
  </r>
  <r>
    <n v="72"/>
    <x v="4"/>
    <n v="0.2364373522708853"/>
  </r>
  <r>
    <n v="73"/>
    <x v="1"/>
    <n v="0.661181072631426"/>
  </r>
  <r>
    <n v="75"/>
    <x v="4"/>
    <n v="0.87913614515180094"/>
  </r>
  <r>
    <n v="76"/>
    <x v="0"/>
    <n v="0.24991014065245201"/>
  </r>
  <r>
    <n v="77"/>
    <x v="0"/>
    <n v="0.55573063569468295"/>
  </r>
  <r>
    <n v="78"/>
    <x v="4"/>
    <n v="0.69366161276899607"/>
  </r>
  <r>
    <n v="79"/>
    <x v="0"/>
    <n v="0.69623335578451995"/>
  </r>
  <r>
    <n v="80"/>
    <x v="5"/>
    <n v="0.323628643151819"/>
  </r>
  <r>
    <n v="81"/>
    <x v="0"/>
    <n v="0.34656299415033598"/>
  </r>
  <r>
    <n v="82"/>
    <x v="1"/>
    <n v="0.69192713560784747"/>
  </r>
  <r>
    <n v="83"/>
    <x v="0"/>
    <n v="0.76845575824915402"/>
  </r>
  <r>
    <n v="84"/>
    <x v="1"/>
    <n v="0.66100735773677199"/>
  </r>
  <r>
    <n v="85"/>
    <x v="5"/>
    <n v="0.29859104071586001"/>
  </r>
  <r>
    <n v="86"/>
    <x v="4"/>
    <n v="0.47574249451436534"/>
  </r>
  <r>
    <n v="87"/>
    <x v="7"/>
    <n v="1.2622682755485499"/>
  </r>
  <r>
    <n v="88"/>
    <x v="2"/>
    <n v="0.8496592083883715"/>
  </r>
  <r>
    <n v="89"/>
    <x v="2"/>
    <n v="1.0116480751680585"/>
  </r>
  <r>
    <n v="90"/>
    <x v="5"/>
    <n v="5.3215720101496597E-2"/>
  </r>
  <r>
    <n v="91"/>
    <x v="5"/>
    <n v="4.44271126355636E-2"/>
  </r>
  <r>
    <n v="92"/>
    <x v="1"/>
    <n v="0.68356211179057824"/>
  </r>
  <r>
    <n v="93"/>
    <x v="0"/>
    <n v="0.2248515656776944"/>
  </r>
  <r>
    <n v="94"/>
    <x v="1"/>
    <n v="0.62312922698398598"/>
  </r>
  <r>
    <n v="95"/>
    <x v="0"/>
    <n v="0.17382090160216399"/>
  </r>
  <r>
    <n v="96"/>
    <x v="5"/>
    <n v="0.150227912036588"/>
  </r>
  <r>
    <n v="97"/>
    <x v="1"/>
    <n v="0.70955482862985408"/>
  </r>
  <r>
    <n v="98"/>
    <x v="5"/>
    <n v="0.60946959994247696"/>
  </r>
  <r>
    <n v="99"/>
    <x v="4"/>
    <n v="0.93275897106052397"/>
  </r>
  <r>
    <n v="100"/>
    <x v="4"/>
    <n v="0.60301120675634001"/>
  </r>
  <r>
    <n v="101"/>
    <x v="4"/>
    <n v="0.47699073165701"/>
  </r>
  <r>
    <n v="102"/>
    <x v="0"/>
    <n v="0.24278525609315679"/>
  </r>
  <r>
    <n v="103"/>
    <x v="4"/>
    <n v="0.53272926070074289"/>
  </r>
  <r>
    <n v="104"/>
    <x v="3"/>
    <n v="1.3531498727093387"/>
  </r>
  <r>
    <n v="105"/>
    <x v="4"/>
    <n v="0.3162060425504829"/>
  </r>
  <r>
    <n v="106"/>
    <x v="2"/>
    <n v="0.93557722935471044"/>
  </r>
  <r>
    <n v="107"/>
    <x v="2"/>
    <n v="0.75486904105151009"/>
  </r>
  <r>
    <n v="108"/>
    <x v="4"/>
    <n v="0.77473610516709146"/>
  </r>
  <r>
    <n v="109"/>
    <x v="0"/>
    <n v="0.23176809463418802"/>
  </r>
  <r>
    <n v="110"/>
    <x v="5"/>
    <n v="0.21294422265020099"/>
  </r>
  <r>
    <n v="111"/>
    <x v="3"/>
    <n v="1.2384983402184715"/>
  </r>
  <r>
    <n v="112"/>
    <x v="0"/>
    <n v="0.56447672403734805"/>
  </r>
  <r>
    <n v="113"/>
    <x v="5"/>
    <n v="0.25133513478055602"/>
  </r>
  <r>
    <n v="114"/>
    <x v="3"/>
    <n v="1.5943319147350208"/>
  </r>
  <r>
    <n v="115"/>
    <x v="1"/>
    <n v="0.79828483136654249"/>
  </r>
  <r>
    <n v="116"/>
    <x v="5"/>
    <n v="0.32533340676078898"/>
  </r>
  <r>
    <n v="117"/>
    <x v="4"/>
    <n v="0.49472060518172228"/>
  </r>
  <r>
    <n v="118"/>
    <x v="3"/>
    <n v="1.035876715616149"/>
  </r>
  <r>
    <n v="119"/>
    <x v="4"/>
    <n v="0.26756656680369273"/>
  </r>
  <r>
    <n v="120"/>
    <x v="0"/>
    <n v="0.25858667288827897"/>
  </r>
  <r>
    <n v="121"/>
    <x v="1"/>
    <n v="0.38574204973369669"/>
  </r>
  <r>
    <n v="122"/>
    <x v="0"/>
    <n v="0.88158972211448305"/>
  </r>
  <r>
    <n v="123"/>
    <x v="0"/>
    <n v="0.28148136792487471"/>
  </r>
  <r>
    <n v="124"/>
    <x v="0"/>
    <n v="0.35548818551994199"/>
  </r>
  <r>
    <n v="125"/>
    <x v="0"/>
    <n v="0.41406135236286323"/>
  </r>
  <r>
    <n v="126"/>
    <x v="7"/>
    <n v="0.79350954374308502"/>
  </r>
  <r>
    <n v="127"/>
    <x v="5"/>
    <n v="9.9728392807251501E-2"/>
  </r>
  <r>
    <n v="128"/>
    <x v="5"/>
    <n v="0.196223768981199"/>
  </r>
  <r>
    <n v="129"/>
    <x v="5"/>
    <n v="0.20608526814610501"/>
  </r>
  <r>
    <n v="130"/>
    <x v="1"/>
    <n v="0.48527330493733456"/>
  </r>
  <r>
    <n v="131"/>
    <x v="4"/>
    <n v="0.45885730603647329"/>
  </r>
  <r>
    <n v="132"/>
    <x v="2"/>
    <n v="0.68548495431164502"/>
  </r>
  <r>
    <n v="133"/>
    <x v="1"/>
    <n v="0.48214858663488602"/>
  </r>
  <r>
    <n v="134"/>
    <x v="1"/>
    <n v="0.98344419129201666"/>
  </r>
  <r>
    <n v="135"/>
    <x v="4"/>
    <n v="0.22716758478865071"/>
  </r>
  <r>
    <n v="136"/>
    <x v="1"/>
    <n v="0.50266425419821903"/>
  </r>
  <r>
    <n v="137"/>
    <x v="2"/>
    <n v="0.91315458259101101"/>
  </r>
  <r>
    <n v="138"/>
    <x v="1"/>
    <n v="0.2895543777291657"/>
  </r>
  <r>
    <n v="139"/>
    <x v="7"/>
    <n v="1.5026562994728645"/>
  </r>
  <r>
    <n v="140"/>
    <x v="4"/>
    <n v="0.45118613958014586"/>
  </r>
  <r>
    <n v="141"/>
    <x v="0"/>
    <n v="0.37600022002522199"/>
  </r>
  <r>
    <n v="142"/>
    <x v="0"/>
    <n v="0.31573932800281201"/>
  </r>
  <r>
    <n v="144"/>
    <x v="5"/>
    <n v="0.31954375157466303"/>
  </r>
  <r>
    <n v="145"/>
    <x v="2"/>
    <n v="0.77634256378548505"/>
  </r>
  <r>
    <n v="146"/>
    <x v="0"/>
    <n v="0.44735450710884"/>
  </r>
  <r>
    <n v="147"/>
    <x v="0"/>
    <n v="0.18951464151436448"/>
  </r>
  <r>
    <n v="148"/>
    <x v="5"/>
    <n v="0.51230313247678805"/>
  </r>
  <r>
    <n v="149"/>
    <x v="0"/>
    <n v="0.399250881277051"/>
  </r>
  <r>
    <n v="150"/>
    <x v="1"/>
    <n v="0.52531983050426401"/>
  </r>
  <r>
    <n v="151"/>
    <x v="2"/>
    <n v="0.90071665247438226"/>
  </r>
  <r>
    <n v="152"/>
    <x v="4"/>
    <n v="0.12607259030896889"/>
  </r>
  <r>
    <n v="153"/>
    <x v="0"/>
    <n v="1.326031501733439"/>
  </r>
  <r>
    <n v="154"/>
    <x v="0"/>
    <n v="0.609600011915166"/>
  </r>
  <r>
    <n v="155"/>
    <x v="5"/>
    <n v="0.20366776118761101"/>
  </r>
  <r>
    <n v="156"/>
    <x v="0"/>
    <n v="0.37778274046979099"/>
  </r>
  <r>
    <n v="157"/>
    <x v="4"/>
    <n v="0.60226730205224266"/>
  </r>
  <r>
    <n v="158"/>
    <x v="0"/>
    <n v="0.62840640451805596"/>
  </r>
  <r>
    <n v="159"/>
    <x v="4"/>
    <n v="1.4723899013730439"/>
  </r>
  <r>
    <n v="160"/>
    <x v="0"/>
    <n v="0.3772421861256412"/>
  </r>
  <r>
    <n v="161"/>
    <x v="4"/>
    <n v="0.49507324754382198"/>
  </r>
  <r>
    <n v="162"/>
    <x v="0"/>
    <n v="0.14268288805370349"/>
  </r>
  <r>
    <n v="163"/>
    <x v="1"/>
    <n v="0.61046691491778771"/>
  </r>
  <r>
    <n v="164"/>
    <x v="0"/>
    <n v="0.12679286937901299"/>
  </r>
  <r>
    <n v="165"/>
    <x v="0"/>
    <n v="0.48058005369250401"/>
  </r>
  <r>
    <n v="166"/>
    <x v="4"/>
    <n v="0.27543722463439341"/>
  </r>
  <r>
    <n v="167"/>
    <x v="1"/>
    <n v="0.69277853953398494"/>
  </r>
  <r>
    <n v="168"/>
    <x v="0"/>
    <n v="0.1707072780238684"/>
  </r>
  <r>
    <n v="169"/>
    <x v="0"/>
    <n v="0.18447339239232441"/>
  </r>
  <r>
    <n v="170"/>
    <x v="0"/>
    <n v="0.60598740940455398"/>
  </r>
  <r>
    <n v="171"/>
    <x v="4"/>
    <n v="0.72500075590138402"/>
  </r>
  <r>
    <n v="172"/>
    <x v="5"/>
    <n v="0.19333390488212299"/>
  </r>
  <r>
    <n v="173"/>
    <x v="2"/>
    <n v="0.82731998662758943"/>
  </r>
  <r>
    <n v="174"/>
    <x v="1"/>
    <n v="0.41113144067122337"/>
  </r>
  <r>
    <n v="175"/>
    <x v="1"/>
    <n v="1.160018785590869"/>
  </r>
  <r>
    <n v="176"/>
    <x v="4"/>
    <n v="0.5143705680326579"/>
  </r>
  <r>
    <n v="177"/>
    <x v="0"/>
    <n v="0.62210020438254898"/>
  </r>
  <r>
    <n v="178"/>
    <x v="4"/>
    <n v="0.7573711020642"/>
  </r>
  <r>
    <n v="179"/>
    <x v="2"/>
    <n v="1.1631630277849949"/>
  </r>
  <r>
    <n v="180"/>
    <x v="4"/>
    <n v="0.35087198015336601"/>
  </r>
  <r>
    <n v="181"/>
    <x v="2"/>
    <n v="0.78969309604143301"/>
  </r>
  <r>
    <n v="182"/>
    <x v="0"/>
    <n v="0.25039837456299691"/>
  </r>
  <r>
    <n v="183"/>
    <x v="1"/>
    <n v="1.0882647499374478"/>
  </r>
  <r>
    <n v="184"/>
    <x v="0"/>
    <n v="0.2295065942515731"/>
  </r>
  <r>
    <n v="185"/>
    <x v="4"/>
    <n v="0.74959952960032661"/>
  </r>
  <r>
    <n v="186"/>
    <x v="4"/>
    <n v="0.78717189266888066"/>
  </r>
  <r>
    <n v="187"/>
    <x v="0"/>
    <n v="0.11141431212738891"/>
  </r>
  <r>
    <n v="188"/>
    <x v="4"/>
    <n v="0.38309064335948217"/>
  </r>
  <r>
    <n v="189"/>
    <x v="2"/>
    <n v="0.97425904807925301"/>
  </r>
  <r>
    <n v="190"/>
    <x v="2"/>
    <n v="0.65463864740419875"/>
  </r>
  <r>
    <n v="191"/>
    <x v="0"/>
    <n v="0.30794729652330022"/>
  </r>
  <r>
    <n v="192"/>
    <x v="0"/>
    <n v="0.27101485747980431"/>
  </r>
  <r>
    <n v="193"/>
    <x v="7"/>
    <n v="1.4997184352180317"/>
  </r>
  <r>
    <n v="194"/>
    <x v="4"/>
    <n v="0.55531036353541752"/>
  </r>
  <r>
    <n v="195"/>
    <x v="3"/>
    <n v="2.1256032557003501"/>
  </r>
  <r>
    <n v="196"/>
    <x v="4"/>
    <n v="0.62877852335461504"/>
  </r>
  <r>
    <n v="197"/>
    <x v="0"/>
    <n v="0.44876204951330634"/>
  </r>
  <r>
    <n v="198"/>
    <x v="1"/>
    <n v="0.77451569319853142"/>
  </r>
  <r>
    <n v="199"/>
    <x v="5"/>
    <n v="0.26880647234051203"/>
  </r>
  <r>
    <n v="200"/>
    <x v="4"/>
    <n v="0.4155571908333987"/>
  </r>
  <r>
    <n v="201"/>
    <x v="0"/>
    <n v="0.444781419645077"/>
  </r>
  <r>
    <n v="202"/>
    <x v="3"/>
    <n v="0.95026105556367901"/>
  </r>
  <r>
    <n v="203"/>
    <x v="4"/>
    <n v="0.80868116917083666"/>
  </r>
  <r>
    <n v="204"/>
    <x v="4"/>
    <n v="0.72221044199949025"/>
  </r>
  <r>
    <n v="205"/>
    <x v="0"/>
    <n v="0.295389509979955"/>
  </r>
  <r>
    <n v="206"/>
    <x v="2"/>
    <n v="0.96605175782919983"/>
  </r>
  <r>
    <n v="207"/>
    <x v="0"/>
    <n v="0.1010077224560072"/>
  </r>
  <r>
    <n v="208"/>
    <x v="0"/>
    <n v="0.488216921880535"/>
  </r>
  <r>
    <n v="209"/>
    <x v="5"/>
    <n v="0.143603114797308"/>
  </r>
  <r>
    <n v="210"/>
    <x v="5"/>
    <n v="0.120338776243236"/>
  </r>
  <r>
    <n v="211"/>
    <x v="4"/>
    <n v="0.74426351686616199"/>
  </r>
  <r>
    <n v="212"/>
    <x v="0"/>
    <n v="0.36133852989132031"/>
  </r>
  <r>
    <n v="213"/>
    <x v="0"/>
    <n v="0.21746861955218649"/>
  </r>
  <r>
    <n v="214"/>
    <x v="1"/>
    <n v="0.90135507720184072"/>
  </r>
  <r>
    <n v="216"/>
    <x v="1"/>
    <n v="0.88585084308238105"/>
  </r>
  <r>
    <n v="217"/>
    <x v="0"/>
    <n v="0.13441422938058412"/>
  </r>
  <r>
    <n v="218"/>
    <x v="0"/>
    <n v="0.73627968405281807"/>
  </r>
  <r>
    <n v="219"/>
    <x v="2"/>
    <n v="1.2854105523724146"/>
  </r>
  <r>
    <n v="220"/>
    <x v="3"/>
    <n v="0.5828619780062626"/>
  </r>
  <r>
    <n v="221"/>
    <x v="0"/>
    <n v="0.35997300270101801"/>
  </r>
  <r>
    <n v="222"/>
    <x v="3"/>
    <n v="1.0542789978263045"/>
  </r>
  <r>
    <n v="223"/>
    <x v="1"/>
    <n v="0.60221065543561603"/>
  </r>
  <r>
    <n v="224"/>
    <x v="1"/>
    <n v="0.80759266570291321"/>
  </r>
  <r>
    <n v="225"/>
    <x v="5"/>
    <n v="0.158980710451326"/>
  </r>
  <r>
    <n v="226"/>
    <x v="0"/>
    <n v="0.50495946639886102"/>
  </r>
  <r>
    <n v="227"/>
    <x v="4"/>
    <n v="0.77867462821236655"/>
  </r>
  <r>
    <n v="228"/>
    <x v="4"/>
    <n v="0.68426525204274957"/>
  </r>
  <r>
    <n v="229"/>
    <x v="1"/>
    <n v="0.92169250484306797"/>
  </r>
  <r>
    <n v="230"/>
    <x v="2"/>
    <n v="0.6270438961541317"/>
  </r>
  <r>
    <n v="231"/>
    <x v="4"/>
    <n v="1.1113528551802518"/>
  </r>
  <r>
    <n v="232"/>
    <x v="4"/>
    <n v="1.1246426960731322"/>
  </r>
  <r>
    <n v="233"/>
    <x v="4"/>
    <n v="0.81087331719093203"/>
  </r>
  <r>
    <n v="234"/>
    <x v="5"/>
    <n v="4.2773572961904198E-2"/>
  </r>
  <r>
    <n v="235"/>
    <x v="0"/>
    <n v="4.7963028317571502E-2"/>
  </r>
  <r>
    <n v="236"/>
    <x v="0"/>
    <n v="0.29626380110558703"/>
  </r>
  <r>
    <n v="237"/>
    <x v="5"/>
    <n v="0.35781029295741301"/>
  </r>
  <r>
    <n v="238"/>
    <x v="2"/>
    <n v="0.75964071045201287"/>
  </r>
  <r>
    <n v="239"/>
    <x v="5"/>
    <n v="0.37448182100663402"/>
  </r>
  <r>
    <n v="240"/>
    <x v="1"/>
    <n v="0.80201945811933895"/>
  </r>
  <r>
    <n v="241"/>
    <x v="4"/>
    <n v="0.36210841837976293"/>
  </r>
  <r>
    <n v="242"/>
    <x v="1"/>
    <n v="0.80891826608395101"/>
  </r>
  <r>
    <n v="243"/>
    <x v="5"/>
    <n v="0.16479614006066701"/>
  </r>
  <r>
    <n v="244"/>
    <x v="4"/>
    <n v="0.61098905150762861"/>
  </r>
  <r>
    <n v="245"/>
    <x v="0"/>
    <n v="7.3369851716293705E-2"/>
  </r>
  <r>
    <n v="246"/>
    <x v="1"/>
    <n v="0.81849109819667532"/>
  </r>
  <r>
    <n v="247"/>
    <x v="0"/>
    <n v="0.8590043683558839"/>
  </r>
  <r>
    <n v="248"/>
    <x v="7"/>
    <n v="1.1714802372329474"/>
  </r>
  <r>
    <n v="249"/>
    <x v="7"/>
    <n v="1.128573265769746"/>
  </r>
  <r>
    <n v="250"/>
    <x v="1"/>
    <n v="0.6110865963329476"/>
  </r>
  <r>
    <n v="251"/>
    <x v="0"/>
    <n v="0.31800939898251157"/>
  </r>
  <r>
    <n v="252"/>
    <x v="0"/>
    <n v="0.44954356126012296"/>
  </r>
  <r>
    <n v="253"/>
    <x v="4"/>
    <n v="0.39299359955765401"/>
  </r>
  <r>
    <n v="254"/>
    <x v="0"/>
    <n v="0.48304228423523199"/>
  </r>
  <r>
    <n v="255"/>
    <x v="4"/>
    <n v="0.22185243594605858"/>
  </r>
  <r>
    <n v="256"/>
    <x v="1"/>
    <n v="0.73915203269860963"/>
  </r>
  <r>
    <n v="257"/>
    <x v="5"/>
    <n v="0.14479269971894601"/>
  </r>
  <r>
    <n v="258"/>
    <x v="0"/>
    <n v="0.49417647360488004"/>
  </r>
  <r>
    <n v="259"/>
    <x v="4"/>
    <n v="0.77408225024728994"/>
  </r>
  <r>
    <n v="260"/>
    <x v="2"/>
    <n v="1.3339464274328705"/>
  </r>
  <r>
    <n v="261"/>
    <x v="3"/>
    <n v="1.3738821187977481"/>
  </r>
  <r>
    <n v="262"/>
    <x v="2"/>
    <n v="0.87762838768888618"/>
  </r>
  <r>
    <n v="263"/>
    <x v="1"/>
    <n v="0.33893242840872506"/>
  </r>
  <r>
    <n v="264"/>
    <x v="3"/>
    <n v="0.94053342075007096"/>
  </r>
  <r>
    <n v="265"/>
    <x v="4"/>
    <n v="0.3016715619616393"/>
  </r>
  <r>
    <n v="266"/>
    <x v="4"/>
    <n v="0.38128794890013906"/>
  </r>
  <r>
    <n v="267"/>
    <x v="0"/>
    <n v="0.43680670500263169"/>
  </r>
  <r>
    <n v="268"/>
    <x v="0"/>
    <n v="0.296625854262064"/>
  </r>
  <r>
    <n v="270"/>
    <x v="4"/>
    <n v="0.35335469932857266"/>
  </r>
  <r>
    <n v="271"/>
    <x v="2"/>
    <n v="0.86185822194768547"/>
  </r>
  <r>
    <n v="273"/>
    <x v="5"/>
    <n v="4.8343431747746399E-2"/>
  </r>
  <r>
    <n v="274"/>
    <x v="5"/>
    <n v="0.21718251957488499"/>
  </r>
  <r>
    <n v="275"/>
    <x v="1"/>
    <n v="0.87769347536742859"/>
  </r>
  <r>
    <n v="276"/>
    <x v="1"/>
    <n v="0.52403374874574593"/>
  </r>
  <r>
    <n v="277"/>
    <x v="7"/>
    <n v="1.381998552495439"/>
  </r>
  <r>
    <n v="278"/>
    <x v="4"/>
    <n v="0.88999475187255994"/>
  </r>
  <r>
    <n v="279"/>
    <x v="5"/>
    <n v="0.176766141721799"/>
  </r>
  <r>
    <n v="280"/>
    <x v="1"/>
    <n v="0.88716224911554686"/>
  </r>
  <r>
    <n v="281"/>
    <x v="1"/>
    <n v="0.65963161515641577"/>
  </r>
  <r>
    <n v="282"/>
    <x v="5"/>
    <n v="0.23606027711328501"/>
  </r>
  <r>
    <n v="283"/>
    <x v="0"/>
    <n v="0.47204330944526396"/>
  </r>
  <r>
    <n v="284"/>
    <x v="0"/>
    <n v="0.35019569542548001"/>
  </r>
  <r>
    <n v="285"/>
    <x v="5"/>
    <n v="0.227112500422257"/>
  </r>
  <r>
    <n v="286"/>
    <x v="0"/>
    <n v="0.49887438300803599"/>
  </r>
  <r>
    <n v="287"/>
    <x v="5"/>
    <n v="0.103987893119104"/>
  </r>
  <r>
    <n v="288"/>
    <x v="0"/>
    <n v="0.1737226999732481"/>
  </r>
  <r>
    <n v="289"/>
    <x v="5"/>
    <n v="0.42372673570428798"/>
  </r>
  <r>
    <n v="290"/>
    <x v="1"/>
    <n v="0.42312156739695983"/>
  </r>
  <r>
    <n v="291"/>
    <x v="0"/>
    <n v="0.32261751099446101"/>
  </r>
  <r>
    <n v="292"/>
    <x v="5"/>
    <n v="3.5769598278168398E-2"/>
  </r>
  <r>
    <n v="293"/>
    <x v="5"/>
    <n v="0.104288193254921"/>
  </r>
  <r>
    <n v="294"/>
    <x v="2"/>
    <n v="0.56638848144094689"/>
  </r>
  <r>
    <n v="295"/>
    <x v="1"/>
    <n v="0.70047156568720526"/>
  </r>
  <r>
    <n v="296"/>
    <x v="2"/>
    <n v="0.57971046251840685"/>
  </r>
  <r>
    <n v="297"/>
    <x v="7"/>
    <n v="1.6945855229479467"/>
  </r>
  <r>
    <n v="298"/>
    <x v="5"/>
    <n v="0.20461037744625801"/>
  </r>
  <r>
    <n v="299"/>
    <x v="5"/>
    <n v="6.16945138016253E-2"/>
  </r>
  <r>
    <n v="300"/>
    <x v="1"/>
    <n v="0.74923483388686296"/>
  </r>
  <r>
    <n v="301"/>
    <x v="1"/>
    <n v="0.91115173951974504"/>
  </r>
  <r>
    <n v="303"/>
    <x v="1"/>
    <n v="0.69956726847558504"/>
  </r>
  <r>
    <n v="304"/>
    <x v="1"/>
    <n v="0.87049980082130596"/>
  </r>
  <r>
    <n v="305"/>
    <x v="4"/>
    <n v="0.56393447227819904"/>
  </r>
  <r>
    <n v="306"/>
    <x v="4"/>
    <n v="0.50455354879896763"/>
  </r>
  <r>
    <n v="307"/>
    <x v="5"/>
    <n v="0.10490530109259"/>
  </r>
  <r>
    <n v="309"/>
    <x v="4"/>
    <n v="0.56702717796654833"/>
  </r>
  <r>
    <n v="310"/>
    <x v="4"/>
    <n v="0.73079001382540998"/>
  </r>
  <r>
    <n v="311"/>
    <x v="0"/>
    <n v="0.31497209022816292"/>
  </r>
  <r>
    <n v="312"/>
    <x v="4"/>
    <n v="0.50248792343985682"/>
  </r>
  <r>
    <n v="313"/>
    <x v="1"/>
    <n v="1.0967924877891908"/>
  </r>
  <r>
    <n v="314"/>
    <x v="5"/>
    <n v="0.25285855342458102"/>
  </r>
  <r>
    <n v="315"/>
    <x v="0"/>
    <n v="0.35380844311769433"/>
  </r>
  <r>
    <n v="316"/>
    <x v="1"/>
    <n v="1.1150804484874235"/>
  </r>
  <r>
    <n v="317"/>
    <x v="2"/>
    <n v="1.2266118120578102"/>
  </r>
  <r>
    <n v="318"/>
    <x v="0"/>
    <n v="0.27724804495951982"/>
  </r>
  <r>
    <n v="319"/>
    <x v="0"/>
    <n v="0.833578371267097"/>
  </r>
  <r>
    <n v="320"/>
    <x v="2"/>
    <n v="1.1926241046167601"/>
  </r>
  <r>
    <n v="321"/>
    <x v="2"/>
    <n v="1.0669212399143031"/>
  </r>
  <r>
    <n v="322"/>
    <x v="0"/>
    <n v="9.1703790040081598E-2"/>
  </r>
  <r>
    <n v="323"/>
    <x v="5"/>
    <n v="0.15075200197039401"/>
  </r>
  <r>
    <n v="324"/>
    <x v="1"/>
    <n v="1.2426944099897121"/>
  </r>
  <r>
    <n v="325"/>
    <x v="5"/>
    <n v="0.18650122864007401"/>
  </r>
  <r>
    <n v="327"/>
    <x v="8"/>
    <n v="2.2858983383904823"/>
  </r>
  <r>
    <n v="329"/>
    <x v="0"/>
    <n v="0.25936976796455352"/>
  </r>
  <r>
    <n v="330"/>
    <x v="2"/>
    <n v="0.66681977748846577"/>
  </r>
  <r>
    <n v="331"/>
    <x v="4"/>
    <n v="1.1480318177053122"/>
  </r>
  <r>
    <n v="332"/>
    <x v="0"/>
    <n v="0.454450884658536"/>
  </r>
  <r>
    <n v="333"/>
    <x v="1"/>
    <n v="1.3405845095849651"/>
  </r>
  <r>
    <n v="334"/>
    <x v="2"/>
    <n v="0.89338061234017541"/>
  </r>
  <r>
    <n v="335"/>
    <x v="0"/>
    <n v="0.31136891848194398"/>
  </r>
  <r>
    <n v="336"/>
    <x v="4"/>
    <n v="0.63061302373876471"/>
  </r>
  <r>
    <n v="337"/>
    <x v="1"/>
    <n v="0.80315177633396662"/>
  </r>
  <r>
    <n v="338"/>
    <x v="4"/>
    <n v="0.69053180087943367"/>
  </r>
  <r>
    <n v="339"/>
    <x v="4"/>
    <n v="0.55468252292336229"/>
  </r>
  <r>
    <n v="340"/>
    <x v="7"/>
    <n v="1.307248158964228"/>
  </r>
  <r>
    <n v="341"/>
    <x v="0"/>
    <n v="0.16739847568414429"/>
  </r>
  <r>
    <n v="342"/>
    <x v="5"/>
    <n v="0.24911290871024799"/>
  </r>
  <r>
    <n v="343"/>
    <x v="4"/>
    <n v="0.67035519664873555"/>
  </r>
  <r>
    <n v="344"/>
    <x v="0"/>
    <n v="0.35584262419594481"/>
  </r>
  <r>
    <n v="345"/>
    <x v="4"/>
    <n v="0.38040039002093101"/>
  </r>
  <r>
    <n v="346"/>
    <x v="0"/>
    <n v="0.45448310890690802"/>
  </r>
  <r>
    <n v="347"/>
    <x v="7"/>
    <n v="0.96587721584346387"/>
  </r>
  <r>
    <n v="348"/>
    <x v="0"/>
    <n v="0.2007508134219603"/>
  </r>
  <r>
    <n v="349"/>
    <x v="0"/>
    <n v="0.73802718281752699"/>
  </r>
  <r>
    <n v="350"/>
    <x v="4"/>
    <n v="0.4147814621790904"/>
  </r>
  <r>
    <n v="351"/>
    <x v="5"/>
    <n v="0.25201486365924203"/>
  </r>
  <r>
    <n v="352"/>
    <x v="7"/>
    <n v="1.0705461934158453"/>
  </r>
  <r>
    <n v="353"/>
    <x v="4"/>
    <n v="0.47555595608419399"/>
  </r>
  <r>
    <n v="354"/>
    <x v="5"/>
    <n v="0.20974428280676999"/>
  </r>
  <r>
    <n v="355"/>
    <x v="4"/>
    <n v="0.4534367519816862"/>
  </r>
  <r>
    <n v="356"/>
    <x v="7"/>
    <n v="2.0267569174565505"/>
  </r>
  <r>
    <n v="357"/>
    <x v="1"/>
    <n v="1.0099307200368481"/>
  </r>
  <r>
    <n v="358"/>
    <x v="0"/>
    <n v="0.13913331671374202"/>
  </r>
  <r>
    <n v="359"/>
    <x v="0"/>
    <n v="0.23771489629809628"/>
  </r>
  <r>
    <n v="360"/>
    <x v="2"/>
    <n v="1.30964489905059"/>
  </r>
  <r>
    <n v="361"/>
    <x v="5"/>
    <n v="9.8150350876126793E-2"/>
  </r>
  <r>
    <n v="362"/>
    <x v="5"/>
    <n v="0.12241273807658801"/>
  </r>
  <r>
    <n v="363"/>
    <x v="2"/>
    <n v="1.515795803138287"/>
  </r>
  <r>
    <n v="364"/>
    <x v="0"/>
    <n v="0.60615708031000004"/>
  </r>
  <r>
    <n v="365"/>
    <x v="0"/>
    <n v="0.37462538363179881"/>
  </r>
  <r>
    <n v="366"/>
    <x v="1"/>
    <n v="1.126339479271087"/>
  </r>
  <r>
    <n v="367"/>
    <x v="5"/>
    <n v="0.10643552302105"/>
  </r>
  <r>
    <n v="369"/>
    <x v="0"/>
    <n v="0.60829045968845308"/>
  </r>
  <r>
    <n v="370"/>
    <x v="4"/>
    <n v="0.4885494247485187"/>
  </r>
  <r>
    <n v="371"/>
    <x v="0"/>
    <n v="0.64710792701709086"/>
  </r>
  <r>
    <n v="372"/>
    <x v="0"/>
    <n v="0.52321740040531628"/>
  </r>
  <r>
    <n v="373"/>
    <x v="2"/>
    <n v="0.99328871580661682"/>
  </r>
  <r>
    <n v="374"/>
    <x v="4"/>
    <n v="0.77700264223326598"/>
  </r>
  <r>
    <n v="375"/>
    <x v="4"/>
    <n v="0.66197932973237994"/>
  </r>
  <r>
    <n v="376"/>
    <x v="3"/>
    <n v="0.76748467299245393"/>
  </r>
  <r>
    <n v="377"/>
    <x v="1"/>
    <n v="0.5000613097937554"/>
  </r>
  <r>
    <n v="378"/>
    <x v="0"/>
    <n v="0.32492858063935703"/>
  </r>
  <r>
    <n v="379"/>
    <x v="0"/>
    <n v="0.25597869548660701"/>
  </r>
  <r>
    <n v="380"/>
    <x v="7"/>
    <n v="0.85098538904728827"/>
  </r>
  <r>
    <n v="381"/>
    <x v="4"/>
    <n v="0.66222205598371042"/>
  </r>
  <r>
    <n v="382"/>
    <x v="1"/>
    <n v="1.1345346068998701"/>
  </r>
  <r>
    <n v="383"/>
    <x v="0"/>
    <n v="0.59380130902954398"/>
  </r>
  <r>
    <n v="384"/>
    <x v="1"/>
    <n v="0.64098713734317425"/>
  </r>
  <r>
    <n v="385"/>
    <x v="4"/>
    <n v="0.63980578967184698"/>
  </r>
  <r>
    <n v="386"/>
    <x v="2"/>
    <n v="0.54028464829180645"/>
  </r>
  <r>
    <n v="387"/>
    <x v="5"/>
    <n v="0.114799860138929"/>
  </r>
  <r>
    <n v="388"/>
    <x v="0"/>
    <n v="0.19867471200431358"/>
  </r>
  <r>
    <n v="389"/>
    <x v="5"/>
    <n v="0.27443477223955298"/>
  </r>
  <r>
    <n v="390"/>
    <x v="0"/>
    <n v="0.77132028471535807"/>
  </r>
  <r>
    <n v="391"/>
    <x v="7"/>
    <n v="1.310156260213498"/>
  </r>
  <r>
    <n v="392"/>
    <x v="0"/>
    <n v="0.62032176020109708"/>
  </r>
  <r>
    <n v="393"/>
    <x v="1"/>
    <n v="0.54825729905312293"/>
  </r>
  <r>
    <n v="394"/>
    <x v="1"/>
    <n v="0.79475669297872598"/>
  </r>
  <r>
    <n v="395"/>
    <x v="5"/>
    <n v="0.134499836005403"/>
  </r>
  <r>
    <n v="396"/>
    <x v="0"/>
    <n v="0.17429065830957982"/>
  </r>
  <r>
    <n v="397"/>
    <x v="0"/>
    <n v="0.19817976103546681"/>
  </r>
  <r>
    <n v="398"/>
    <x v="5"/>
    <n v="1.4861870094776301E-2"/>
  </r>
  <r>
    <n v="399"/>
    <x v="5"/>
    <n v="0.63187691270058799"/>
  </r>
  <r>
    <n v="400"/>
    <x v="6"/>
    <n v="2.2536601643732315"/>
  </r>
  <r>
    <n v="401"/>
    <x v="7"/>
    <n v="1.6330846598433548"/>
  </r>
  <r>
    <n v="402"/>
    <x v="5"/>
    <n v="0.110298753016464"/>
  </r>
  <r>
    <n v="403"/>
    <x v="2"/>
    <n v="1.0977898893690343"/>
  </r>
  <r>
    <n v="404"/>
    <x v="4"/>
    <n v="0.44929185232890306"/>
  </r>
  <r>
    <n v="405"/>
    <x v="0"/>
    <n v="0.67182473785528507"/>
  </r>
  <r>
    <n v="406"/>
    <x v="4"/>
    <n v="0.55238049942839196"/>
  </r>
  <r>
    <n v="407"/>
    <x v="1"/>
    <n v="1.0396888701678928"/>
  </r>
  <r>
    <n v="408"/>
    <x v="5"/>
    <n v="8.29734687750356E-2"/>
  </r>
  <r>
    <n v="409"/>
    <x v="0"/>
    <n v="0.53763166011132701"/>
  </r>
  <r>
    <n v="410"/>
    <x v="1"/>
    <n v="0.57315893894064951"/>
  </r>
  <r>
    <n v="411"/>
    <x v="0"/>
    <n v="0.51496971353610321"/>
  </r>
  <r>
    <n v="412"/>
    <x v="2"/>
    <n v="0.39978125387900404"/>
  </r>
  <r>
    <n v="413"/>
    <x v="0"/>
    <n v="0.11417302102882279"/>
  </r>
  <r>
    <n v="414"/>
    <x v="4"/>
    <n v="0.35253297367170666"/>
  </r>
  <r>
    <n v="415"/>
    <x v="0"/>
    <n v="0.42441984360962898"/>
  </r>
  <r>
    <n v="416"/>
    <x v="5"/>
    <n v="8.3370582575296295E-2"/>
  </r>
  <r>
    <n v="417"/>
    <x v="3"/>
    <n v="1.2100587939907503"/>
  </r>
  <r>
    <n v="418"/>
    <x v="0"/>
    <n v="0.42711281523849898"/>
  </r>
  <r>
    <n v="419"/>
    <x v="4"/>
    <n v="0.31703009334827298"/>
  </r>
  <r>
    <n v="421"/>
    <x v="4"/>
    <n v="0.81440322619557537"/>
  </r>
  <r>
    <n v="422"/>
    <x v="4"/>
    <n v="0.47173794950453773"/>
  </r>
  <r>
    <n v="423"/>
    <x v="4"/>
    <n v="0.44756149880529117"/>
  </r>
  <r>
    <n v="424"/>
    <x v="0"/>
    <n v="0.22412085938217052"/>
  </r>
  <r>
    <n v="425"/>
    <x v="2"/>
    <n v="0.62102765979159824"/>
  </r>
  <r>
    <n v="426"/>
    <x v="4"/>
    <n v="0.46417787726588239"/>
  </r>
  <r>
    <n v="427"/>
    <x v="0"/>
    <n v="0.36529971514194626"/>
  </r>
  <r>
    <n v="428"/>
    <x v="0"/>
    <n v="0.50582206902538895"/>
  </r>
  <r>
    <n v="429"/>
    <x v="5"/>
    <n v="0.20063702150655899"/>
  </r>
  <r>
    <n v="430"/>
    <x v="2"/>
    <n v="1.6110769565108201"/>
  </r>
  <r>
    <n v="431"/>
    <x v="3"/>
    <n v="0.85121266033949405"/>
  </r>
  <r>
    <n v="432"/>
    <x v="4"/>
    <n v="0.62050760250220893"/>
  </r>
  <r>
    <n v="433"/>
    <x v="0"/>
    <n v="0.451322570195622"/>
  </r>
  <r>
    <n v="434"/>
    <x v="9"/>
    <n v="1.6252849497197508"/>
  </r>
  <r>
    <n v="435"/>
    <x v="0"/>
    <n v="0.50550500753960104"/>
  </r>
  <r>
    <n v="436"/>
    <x v="4"/>
    <n v="0.65869473377136356"/>
  </r>
  <r>
    <n v="437"/>
    <x v="5"/>
    <n v="0.10616635118008901"/>
  </r>
  <r>
    <n v="438"/>
    <x v="4"/>
    <n v="0.50371341154777105"/>
  </r>
  <r>
    <n v="439"/>
    <x v="5"/>
    <n v="8.7804090870221702E-2"/>
  </r>
  <r>
    <n v="440"/>
    <x v="5"/>
    <n v="0.152580404440535"/>
  </r>
  <r>
    <n v="441"/>
    <x v="0"/>
    <n v="0.33866492894157901"/>
  </r>
  <r>
    <n v="442"/>
    <x v="4"/>
    <n v="0.58962812591222802"/>
  </r>
  <r>
    <n v="443"/>
    <x v="1"/>
    <n v="0.5537087645009322"/>
  </r>
  <r>
    <n v="444"/>
    <x v="5"/>
    <n v="0.25758210097763401"/>
  </r>
  <r>
    <n v="445"/>
    <x v="2"/>
    <n v="0.73177498304380795"/>
  </r>
  <r>
    <n v="446"/>
    <x v="1"/>
    <n v="1.0485134402233229"/>
  </r>
  <r>
    <n v="447"/>
    <x v="1"/>
    <n v="0.80599769899941953"/>
  </r>
  <r>
    <n v="448"/>
    <x v="5"/>
    <n v="0.22546907891228901"/>
  </r>
  <r>
    <n v="449"/>
    <x v="0"/>
    <n v="0.53264092182608602"/>
  </r>
  <r>
    <n v="450"/>
    <x v="1"/>
    <n v="0.82914799341044998"/>
  </r>
  <r>
    <n v="451"/>
    <x v="4"/>
    <n v="0.43570368010849203"/>
  </r>
  <r>
    <n v="452"/>
    <x v="0"/>
    <n v="0.31966755762226878"/>
  </r>
  <r>
    <n v="453"/>
    <x v="0"/>
    <n v="0.21451014815736069"/>
  </r>
  <r>
    <n v="454"/>
    <x v="5"/>
    <n v="0.60146067688030902"/>
  </r>
  <r>
    <n v="455"/>
    <x v="0"/>
    <n v="0.39651634447508671"/>
  </r>
  <r>
    <n v="456"/>
    <x v="2"/>
    <n v="0.72700351502490201"/>
  </r>
  <r>
    <n v="457"/>
    <x v="1"/>
    <n v="0.43442498549062725"/>
  </r>
  <r>
    <n v="458"/>
    <x v="1"/>
    <n v="0.63751655741987345"/>
  </r>
  <r>
    <n v="459"/>
    <x v="5"/>
    <n v="0.10024799393761701"/>
  </r>
  <r>
    <n v="460"/>
    <x v="5"/>
    <n v="0.208192834994674"/>
  </r>
  <r>
    <n v="461"/>
    <x v="7"/>
    <n v="1.5757026712783704"/>
  </r>
  <r>
    <n v="462"/>
    <x v="4"/>
    <n v="0.65885698593195197"/>
  </r>
  <r>
    <n v="463"/>
    <x v="4"/>
    <n v="0.78924770870088901"/>
  </r>
  <r>
    <n v="464"/>
    <x v="5"/>
    <n v="0.19358354534125199"/>
  </r>
  <r>
    <n v="465"/>
    <x v="4"/>
    <n v="0.60851585569345246"/>
  </r>
  <r>
    <n v="466"/>
    <x v="0"/>
    <n v="0.56256393277049399"/>
  </r>
  <r>
    <n v="467"/>
    <x v="0"/>
    <n v="7.2919361548619901E-2"/>
  </r>
  <r>
    <n v="468"/>
    <x v="1"/>
    <n v="1.1912124537925701"/>
  </r>
  <r>
    <n v="469"/>
    <x v="0"/>
    <n v="0.28775798984154921"/>
  </r>
  <r>
    <n v="470"/>
    <x v="1"/>
    <n v="0.58435879655077905"/>
  </r>
  <r>
    <n v="471"/>
    <x v="5"/>
    <n v="6.7724001820806706E-2"/>
  </r>
  <r>
    <n v="472"/>
    <x v="2"/>
    <n v="0.89211558101401334"/>
  </r>
  <r>
    <n v="473"/>
    <x v="4"/>
    <n v="0.49891339344268698"/>
  </r>
  <r>
    <n v="474"/>
    <x v="1"/>
    <n v="1.0524446937682126"/>
  </r>
  <r>
    <n v="475"/>
    <x v="1"/>
    <n v="0.78914666665566124"/>
  </r>
  <r>
    <n v="476"/>
    <x v="4"/>
    <n v="0.3293368665389626"/>
  </r>
  <r>
    <n v="477"/>
    <x v="4"/>
    <n v="0.29982998710855319"/>
  </r>
  <r>
    <n v="479"/>
    <x v="0"/>
    <n v="0.1222742750919603"/>
  </r>
  <r>
    <n v="480"/>
    <x v="1"/>
    <n v="0.97954017654871184"/>
  </r>
  <r>
    <n v="481"/>
    <x v="0"/>
    <n v="0.31404501494876813"/>
  </r>
  <r>
    <n v="482"/>
    <x v="1"/>
    <n v="0.61788769725063375"/>
  </r>
  <r>
    <n v="483"/>
    <x v="0"/>
    <n v="0.27877508710844939"/>
  </r>
  <r>
    <n v="484"/>
    <x v="1"/>
    <n v="0.62567413356525003"/>
  </r>
  <r>
    <n v="485"/>
    <x v="3"/>
    <n v="1.2207082342447737"/>
  </r>
  <r>
    <n v="486"/>
    <x v="5"/>
    <n v="0.237151818554178"/>
  </r>
  <r>
    <n v="487"/>
    <x v="5"/>
    <n v="0.18403814480384201"/>
  </r>
  <r>
    <n v="488"/>
    <x v="1"/>
    <n v="0.99181248943209499"/>
  </r>
  <r>
    <n v="489"/>
    <x v="4"/>
    <n v="0.25319446697532"/>
  </r>
  <r>
    <n v="490"/>
    <x v="2"/>
    <n v="0.64786277515982726"/>
  </r>
  <r>
    <n v="491"/>
    <x v="7"/>
    <n v="1.6479686047033886"/>
  </r>
  <r>
    <n v="492"/>
    <x v="5"/>
    <n v="0.36875248812801298"/>
  </r>
  <r>
    <n v="493"/>
    <x v="4"/>
    <n v="0.55072014847268003"/>
  </r>
  <r>
    <n v="494"/>
    <x v="1"/>
    <n v="0.44241147759864574"/>
  </r>
  <r>
    <n v="495"/>
    <x v="5"/>
    <n v="6.6007033436509793E-2"/>
  </r>
  <r>
    <n v="496"/>
    <x v="6"/>
    <n v="2.2112996940858958"/>
  </r>
  <r>
    <n v="497"/>
    <x v="0"/>
    <n v="0.27703879023456962"/>
  </r>
  <r>
    <n v="499"/>
    <x v="1"/>
    <n v="1.2666712538740201"/>
  </r>
  <r>
    <n v="500"/>
    <x v="1"/>
    <n v="1.341157968360795"/>
  </r>
  <r>
    <n v="6"/>
    <x v="10"/>
    <n v="0"/>
  </r>
  <r>
    <n v="18"/>
    <x v="10"/>
    <n v="0"/>
  </r>
  <r>
    <n v="35"/>
    <x v="10"/>
    <n v="0"/>
  </r>
  <r>
    <n v="51"/>
    <x v="10"/>
    <n v="0"/>
  </r>
  <r>
    <n v="74"/>
    <x v="10"/>
    <n v="0"/>
  </r>
  <r>
    <n v="143"/>
    <x v="10"/>
    <n v="0"/>
  </r>
  <r>
    <n v="215"/>
    <x v="10"/>
    <n v="0"/>
  </r>
  <r>
    <n v="269"/>
    <x v="10"/>
    <n v="0"/>
  </r>
  <r>
    <n v="272"/>
    <x v="10"/>
    <n v="0"/>
  </r>
  <r>
    <n v="302"/>
    <x v="10"/>
    <n v="0"/>
  </r>
  <r>
    <n v="308"/>
    <x v="10"/>
    <n v="0"/>
  </r>
  <r>
    <n v="326"/>
    <x v="10"/>
    <n v="0"/>
  </r>
  <r>
    <n v="328"/>
    <x v="10"/>
    <n v="0"/>
  </r>
  <r>
    <n v="368"/>
    <x v="10"/>
    <n v="0"/>
  </r>
  <r>
    <n v="420"/>
    <x v="10"/>
    <n v="0"/>
  </r>
  <r>
    <n v="478"/>
    <x v="10"/>
    <n v="0"/>
  </r>
  <r>
    <n v="498"/>
    <x v="1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E83489-326C-0D4E-98D3-9DD4B64DA6C6}" name="ClaimFrequencyDistribution" cacheId="1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9" rowHeaderCaption="ClaimCount">
  <location ref="G4:H16" firstHeaderRow="1" firstDataRow="1" firstDataCol="1"/>
  <pivotFields count="3">
    <pivotField dataField="1" showAll="0"/>
    <pivotField axis="axisRow" showAll="0">
      <items count="36">
        <item x="10"/>
        <item x="5"/>
        <item x="0"/>
        <item x="4"/>
        <item x="1"/>
        <item x="6"/>
        <item x="9"/>
        <item m="1" x="18"/>
        <item x="8"/>
        <item m="1" x="17"/>
        <item m="1" x="12"/>
        <item x="2"/>
        <item m="1" x="14"/>
        <item x="7"/>
        <item x="3"/>
        <item m="1" x="11"/>
        <item m="1" x="15"/>
        <item m="1" x="13"/>
        <item m="1" x="16"/>
        <item m="1" x="19"/>
        <item m="1" x="20"/>
        <item m="1" x="23"/>
        <item m="1" x="21"/>
        <item m="1" x="25"/>
        <item m="1" x="27"/>
        <item m="1" x="22"/>
        <item m="1" x="24"/>
        <item m="1" x="28"/>
        <item m="1" x="29"/>
        <item m="1" x="26"/>
        <item m="1" x="30"/>
        <item m="1" x="31"/>
        <item m="1" x="32"/>
        <item m="1" x="33"/>
        <item m="1" x="34"/>
        <item t="default"/>
      </items>
    </pivotField>
    <pivotField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11"/>
    </i>
    <i>
      <x v="13"/>
    </i>
    <i>
      <x v="14"/>
    </i>
    <i t="grand">
      <x/>
    </i>
  </rowItems>
  <colItems count="1">
    <i/>
  </colItems>
  <dataFields count="1">
    <dataField name="NumberOfPolicies" fld="0" subtotal="count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54A2DDD5-115D-E142-ADC1-B31DEE01F18A}" autoFormatId="16" applyNumberFormats="0" applyBorderFormats="0" applyFontFormats="0" applyPatternFormats="0" applyAlignmentFormats="0" applyWidthHeightFormats="0">
  <queryTableRefresh nextId="7">
    <queryTableFields count="3">
      <queryTableField id="1" name="PolicyID" tableColumnId="1"/>
      <queryTableField id="5" name="ClaimCount" tableColumnId="5"/>
      <queryTableField id="6" name="TotalClaimAmount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aimSimResults" backgroundRefresh="0" refreshOnLoad="1" connectionId="1" xr16:uid="{C1B424AA-EE86-9847-A984-07328903A40B}" autoFormatId="16" applyNumberFormats="0" applyBorderFormats="0" applyFontFormats="0" applyPatternFormats="0" applyAlignmentFormats="0" applyWidthHeightFormats="0">
  <queryTableRefresh nextId="13">
    <queryTableFields count="6">
      <queryTableField id="7" name="PolicyID" tableColumnId="7"/>
      <queryTableField id="8" name="ClaimAmount" tableColumnId="8"/>
      <queryTableField id="9" name="ClaimDate" tableColumnId="9"/>
      <queryTableField id="10" name="CleanedClaimAmountText" tableColumnId="10"/>
      <queryTableField id="11" name="ClaimAmountNumeric" tableColumnId="11"/>
      <queryTableField id="12" name="ValidClaimAmount" tableColumnId="1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995-C071-3048-BEAA-4B3D5BDAC48B}" name="Table1" displayName="Table1" ref="C12:G13" totalsRowShown="0" headerRowDxfId="13" dataDxfId="12">
  <autoFilter ref="C12:G13" xr:uid="{39ADE995-C071-3048-BEAA-4B3D5BDAC4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F6FC60E-0885-1C4D-AE8F-6F88C4EDF7D2}" name="Distribution" dataDxfId="11"/>
    <tableColumn id="2" xr3:uid="{7A4CA58E-3D3F-344C-8CA6-9B018C99B905}" name="alpha" dataDxfId="10"/>
    <tableColumn id="3" xr3:uid="{BBFCFCE8-5220-FB48-AB68-4AB2B2980070}" name="theta" dataDxfId="9"/>
    <tableColumn id="4" xr3:uid="{6B4EA9C3-276F-B149-A226-02669DFF1507}" name="mu" dataDxfId="8"/>
    <tableColumn id="5" xr3:uid="{823BC13A-DE0E-F54E-AB4B-C02DF0C471AB}" name="sigma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D4B616-023E-6142-92C7-F801192610CB}" name="Table2" displayName="Table2" ref="C8:F9" totalsRowShown="0" headerRowDxfId="19" dataDxfId="18">
  <autoFilter ref="C8:F9" xr:uid="{D3D4B616-023E-6142-92C7-F801192610CB}">
    <filterColumn colId="0" hiddenButton="1"/>
    <filterColumn colId="1" hiddenButton="1"/>
    <filterColumn colId="2" hiddenButton="1"/>
    <filterColumn colId="3" hiddenButton="1"/>
  </autoFilter>
  <tableColumns count="4">
    <tableColumn id="1" xr3:uid="{4B3D08E4-E2FD-244F-8194-C553D6C728B6}" name="Distribution" dataDxfId="17"/>
    <tableColumn id="2" xr3:uid="{7CFF1423-B657-194C-A88D-9928997125D7}" name="lambda" dataDxfId="16"/>
    <tableColumn id="3" xr3:uid="{A2F8E966-51E7-5C42-85DC-404DC9EAE218}" name="p" dataDxfId="15"/>
    <tableColumn id="4" xr3:uid="{21B240FC-4FAC-B542-8377-3BE98D34D662}" name="trials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B94C43-ED3E-7947-BA37-10C7899373ED}" name="Settings" displayName="Settings" ref="A4:C8" totalsRowShown="0" headerRowCellStyle="Normal">
  <autoFilter ref="A4:C8" xr:uid="{D4B94C43-ED3E-7947-BA37-10C7899373ED}"/>
  <tableColumns count="3">
    <tableColumn id="1" xr3:uid="{EC47AF9F-E8EB-3946-98BE-21817EF44FBE}" name="Setting"/>
    <tableColumn id="2" xr3:uid="{8424A42E-AA76-234C-9BD1-D9C71C4A8792}" name="Value"/>
    <tableColumn id="3" xr3:uid="{A8523DC1-1945-CD44-B82A-EEB83E13E903}" name="Note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D60C7A-11CB-D64A-9178-3665ED20C177}" name="TblPolicyLevelAggregate" displayName="TblPolicyLevelAggregate" ref="A1:C501" tableType="queryTable" totalsRowShown="0">
  <autoFilter ref="A1:C501" xr:uid="{6FD60C7A-11CB-D64A-9178-3665ED20C177}"/>
  <tableColumns count="3">
    <tableColumn id="1" xr3:uid="{5DE5B291-796D-7045-BFD1-5A9B4FB90FEE}" uniqueName="1" name="PolicyID" queryTableFieldId="1"/>
    <tableColumn id="5" xr3:uid="{8847E856-0F77-8A48-B37D-4CF5AF451F69}" uniqueName="5" name="ClaimCount" queryTableFieldId="5"/>
    <tableColumn id="2" xr3:uid="{8C80CA43-B24B-2640-9405-11039249EA3E}" uniqueName="2" name="TotalClaimAmou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67EFB8-5B12-C344-B64C-472EE147D7A0}" name="claimSimResults" displayName="claimSimResults" ref="A1:F1495" tableType="queryTable" totalsRowShown="0">
  <autoFilter ref="A1:F1495" xr:uid="{5D67EFB8-5B12-C344-B64C-472EE147D7A0}"/>
  <tableColumns count="6">
    <tableColumn id="7" xr3:uid="{D240BCFF-6850-0641-9C71-0DE04B630408}" uniqueName="7" name="PolicyID" queryTableFieldId="7"/>
    <tableColumn id="8" xr3:uid="{EC82ACD0-23E7-E444-81AB-9C1C4EE0ECFE}" uniqueName="8" name="ClaimAmount" queryTableFieldId="8" dataDxfId="2"/>
    <tableColumn id="9" xr3:uid="{6E1BE1DB-73BF-114D-B4CD-11D91104C0BA}" uniqueName="9" name="ClaimDate" queryTableFieldId="9" dataDxfId="1"/>
    <tableColumn id="10" xr3:uid="{57B99380-2615-4C46-8D84-866206D505EC}" uniqueName="10" name="CleanedClaimAmountText" queryTableFieldId="10" dataDxfId="0"/>
    <tableColumn id="11" xr3:uid="{283AA7ED-2A02-AF4C-9482-5D7BCD8BF7F1}" uniqueName="11" name="ClaimAmountNumeric" queryTableFieldId="11"/>
    <tableColumn id="12" xr3:uid="{2CE1C66C-B6F0-6E49-97C3-619604A4871F}" uniqueName="12" name="ValidClaimAmount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CED8-1116-8E40-AE04-F848954D45EF}">
  <sheetPr codeName="Sheet1">
    <pageSetUpPr fitToPage="1"/>
  </sheetPr>
  <dimension ref="C3:W33"/>
  <sheetViews>
    <sheetView showGridLines="0" tabSelected="1" zoomScale="75" zoomScaleNormal="100" zoomScalePageLayoutView="71" workbookViewId="0">
      <selection activeCell="H5" sqref="H5"/>
    </sheetView>
  </sheetViews>
  <sheetFormatPr baseColWidth="10" defaultRowHeight="16" x14ac:dyDescent="0.2"/>
  <cols>
    <col min="1" max="2" width="3.83203125" style="8" customWidth="1"/>
    <col min="3" max="3" width="13.5" style="8" customWidth="1"/>
    <col min="4" max="4" width="17.33203125" style="8" bestFit="1" customWidth="1"/>
    <col min="5" max="5" width="10.83203125" style="8" customWidth="1"/>
    <col min="6" max="6" width="11.1640625" style="8" customWidth="1"/>
    <col min="7" max="7" width="16.1640625" style="8" bestFit="1" customWidth="1"/>
    <col min="8" max="8" width="10.83203125" style="8" customWidth="1"/>
    <col min="9" max="9" width="10.83203125" style="8"/>
    <col min="10" max="10" width="10.83203125" style="8" customWidth="1"/>
    <col min="11" max="11" width="16.1640625" style="8" bestFit="1" customWidth="1"/>
    <col min="12" max="14" width="3.83203125" style="8" customWidth="1"/>
    <col min="15" max="15" width="13.5" style="8" customWidth="1"/>
    <col min="16" max="16" width="17.33203125" style="8" bestFit="1" customWidth="1"/>
    <col min="17" max="17" width="10.83203125" style="8"/>
    <col min="18" max="18" width="11.1640625" style="8" customWidth="1"/>
    <col min="19" max="19" width="10.83203125" style="8" customWidth="1"/>
    <col min="20" max="20" width="16.1640625" style="8" bestFit="1" customWidth="1"/>
    <col min="21" max="21" width="10.83203125" style="8"/>
    <col min="22" max="22" width="11.1640625" style="8" customWidth="1"/>
    <col min="23" max="23" width="16.1640625" style="8" bestFit="1" customWidth="1"/>
    <col min="24" max="25" width="3.83203125" style="8" customWidth="1"/>
    <col min="26" max="27" width="10.83203125" style="8"/>
    <col min="28" max="29" width="10.83203125" style="8" customWidth="1"/>
    <col min="30" max="31" width="10.83203125" style="8"/>
    <col min="32" max="32" width="10.83203125" style="8" customWidth="1"/>
    <col min="33" max="33" width="10.83203125" style="8"/>
    <col min="34" max="35" width="10.83203125" style="8" customWidth="1"/>
    <col min="36" max="16384" width="10.83203125" style="8"/>
  </cols>
  <sheetData>
    <row r="3" spans="3:23" ht="27" x14ac:dyDescent="0.35">
      <c r="C3" s="36"/>
      <c r="D3" s="36"/>
      <c r="E3" s="36"/>
      <c r="F3" s="36"/>
      <c r="G3" s="36"/>
      <c r="H3" s="36"/>
      <c r="I3" s="36"/>
      <c r="J3" s="36"/>
      <c r="K3"/>
      <c r="L3" s="7"/>
      <c r="M3" s="7"/>
      <c r="O3" s="34" t="s">
        <v>41</v>
      </c>
      <c r="P3" s="34"/>
      <c r="Q3" s="34"/>
      <c r="R3" s="34"/>
      <c r="S3" s="34"/>
      <c r="T3" s="34"/>
      <c r="U3" s="34"/>
      <c r="V3" s="34"/>
      <c r="W3" s="34"/>
    </row>
    <row r="6" spans="3:23" ht="19" x14ac:dyDescent="0.25">
      <c r="O6" s="35" t="s">
        <v>16</v>
      </c>
      <c r="P6" s="35"/>
      <c r="Q6" s="9"/>
    </row>
    <row r="7" spans="3:23" ht="19" x14ac:dyDescent="0.25">
      <c r="C7" s="24" t="s">
        <v>41</v>
      </c>
      <c r="O7" s="18" t="s">
        <v>17</v>
      </c>
      <c r="P7" s="28">
        <f>AVERAGE(TblPolicyLevelAggregate[ClaimCount])</f>
        <v>2.988</v>
      </c>
    </row>
    <row r="8" spans="3:23" x14ac:dyDescent="0.2">
      <c r="C8" s="8" t="s">
        <v>3</v>
      </c>
      <c r="D8" s="8" t="s">
        <v>4</v>
      </c>
      <c r="E8" s="8" t="s">
        <v>5</v>
      </c>
      <c r="F8" s="8" t="s">
        <v>15</v>
      </c>
      <c r="H8" s="26"/>
      <c r="O8" s="16" t="s">
        <v>44</v>
      </c>
      <c r="P8" s="29">
        <f>MEDIAN(TblPolicyLevelAggregate[ClaimCount])</f>
        <v>3</v>
      </c>
    </row>
    <row r="9" spans="3:23" x14ac:dyDescent="0.2">
      <c r="C9" t="s">
        <v>54</v>
      </c>
      <c r="D9" s="8">
        <v>3</v>
      </c>
      <c r="E9" s="8">
        <v>0.54</v>
      </c>
      <c r="F9" s="8">
        <v>2</v>
      </c>
      <c r="O9" s="30" t="s">
        <v>51</v>
      </c>
      <c r="P9" s="28">
        <f>_xlfn.STDEV.S(TblPolicyLevelAggregate[ClaimCount])</f>
        <v>1.7092979256986169</v>
      </c>
    </row>
    <row r="10" spans="3:23" x14ac:dyDescent="0.2">
      <c r="O10" s="16" t="s">
        <v>30</v>
      </c>
      <c r="P10" s="32">
        <f>MIN(TblPolicyLevelAggregate[ClaimCount])</f>
        <v>0</v>
      </c>
    </row>
    <row r="11" spans="3:23" ht="19" x14ac:dyDescent="0.25">
      <c r="C11" s="24" t="s">
        <v>42</v>
      </c>
      <c r="O11" s="18" t="s">
        <v>31</v>
      </c>
      <c r="P11" s="33">
        <f>MAX(TblPolicyLevelAggregate[ClaimCount])</f>
        <v>10</v>
      </c>
    </row>
    <row r="12" spans="3:23" x14ac:dyDescent="0.2">
      <c r="C12" s="8" t="s">
        <v>3</v>
      </c>
      <c r="D12" s="8" t="s">
        <v>6</v>
      </c>
      <c r="E12" s="8" t="s">
        <v>7</v>
      </c>
      <c r="F12" s="8" t="s">
        <v>8</v>
      </c>
      <c r="G12" s="8" t="s">
        <v>9</v>
      </c>
      <c r="J12" s="27"/>
      <c r="O12" s="31" t="s">
        <v>53</v>
      </c>
      <c r="P12" s="32">
        <f>COUNTIF(TblPolicyLevelAggregate[ClaimCount], "=0")</f>
        <v>17</v>
      </c>
    </row>
    <row r="13" spans="3:23" x14ac:dyDescent="0.2">
      <c r="C13" s="8" t="s">
        <v>55</v>
      </c>
      <c r="D13" s="8">
        <v>2</v>
      </c>
      <c r="E13" s="8">
        <v>10</v>
      </c>
      <c r="F13" s="8">
        <v>10</v>
      </c>
      <c r="G13" s="8">
        <v>3</v>
      </c>
      <c r="O13" s="18" t="s">
        <v>32</v>
      </c>
      <c r="P13" s="33">
        <f>COUNT(claimSimResults[PolicyID])</f>
        <v>1494</v>
      </c>
    </row>
    <row r="15" spans="3:23" x14ac:dyDescent="0.2">
      <c r="O15" s="11" t="s">
        <v>49</v>
      </c>
      <c r="P15" s="11" t="s">
        <v>48</v>
      </c>
    </row>
    <row r="16" spans="3:23" x14ac:dyDescent="0.2">
      <c r="O16" s="12">
        <v>25</v>
      </c>
      <c r="P16" s="16">
        <f>_xlfn.PERCENTILE.EXC(TblPolicyLevelAggregate[ClaimCount], O16/100)</f>
        <v>2</v>
      </c>
    </row>
    <row r="17" spans="3:23" ht="19" x14ac:dyDescent="0.25">
      <c r="C17" s="25" t="s">
        <v>56</v>
      </c>
      <c r="O17" s="14">
        <v>50</v>
      </c>
      <c r="P17" s="18">
        <f>_xlfn.PERCENTILE.EXC(TblPolicyLevelAggregate[ClaimCount], O17/100)</f>
        <v>3</v>
      </c>
    </row>
    <row r="18" spans="3:23" ht="19" x14ac:dyDescent="0.25">
      <c r="C18" s="25" t="s">
        <v>62</v>
      </c>
      <c r="O18" s="12">
        <v>75</v>
      </c>
      <c r="P18" s="16">
        <f>_xlfn.PERCENTILE.EXC(TblPolicyLevelAggregate[ClaimCount], O18/100)</f>
        <v>4</v>
      </c>
    </row>
    <row r="19" spans="3:23" ht="19" x14ac:dyDescent="0.25">
      <c r="C19" s="25" t="s">
        <v>57</v>
      </c>
      <c r="O19" s="14">
        <v>90</v>
      </c>
      <c r="P19" s="18">
        <f>_xlfn.PERCENTILE.EXC(TblPolicyLevelAggregate[ClaimCount], O19/100)</f>
        <v>5</v>
      </c>
    </row>
    <row r="20" spans="3:23" x14ac:dyDescent="0.2">
      <c r="O20" s="12">
        <v>99</v>
      </c>
      <c r="P20" s="16">
        <f>_xlfn.PERCENTILE.EXC(TblPolicyLevelAggregate[ClaimCount], O20/100)</f>
        <v>7.9900000000000091</v>
      </c>
    </row>
    <row r="21" spans="3:23" x14ac:dyDescent="0.2">
      <c r="O21" s="7"/>
    </row>
    <row r="22" spans="3:23" x14ac:dyDescent="0.2">
      <c r="O22" s="7"/>
    </row>
    <row r="24" spans="3:23" ht="27" x14ac:dyDescent="0.35">
      <c r="C24" s="34" t="s">
        <v>42</v>
      </c>
      <c r="D24" s="34"/>
      <c r="E24" s="34"/>
      <c r="F24" s="34"/>
      <c r="G24" s="34"/>
      <c r="H24" s="34"/>
      <c r="I24" s="34"/>
      <c r="J24" s="34"/>
      <c r="K24" s="34"/>
      <c r="L24" s="7"/>
      <c r="M24" s="7"/>
      <c r="O24" s="34" t="s">
        <v>50</v>
      </c>
      <c r="P24" s="34"/>
      <c r="Q24" s="34"/>
      <c r="R24" s="34"/>
      <c r="S24" s="34"/>
      <c r="T24" s="34"/>
      <c r="U24" s="34"/>
      <c r="V24" s="34"/>
      <c r="W24" s="34"/>
    </row>
    <row r="27" spans="3:23" ht="19" x14ac:dyDescent="0.25">
      <c r="C27" s="35" t="s">
        <v>16</v>
      </c>
      <c r="D27" s="35"/>
      <c r="F27" s="35" t="s">
        <v>33</v>
      </c>
      <c r="G27" s="35"/>
      <c r="H27" s="35"/>
      <c r="O27" s="35" t="s">
        <v>16</v>
      </c>
      <c r="P27" s="35"/>
      <c r="R27" s="35" t="s">
        <v>58</v>
      </c>
      <c r="S27" s="35"/>
      <c r="T27" s="35"/>
    </row>
    <row r="28" spans="3:23" x14ac:dyDescent="0.2">
      <c r="C28" s="18" t="s">
        <v>17</v>
      </c>
      <c r="D28" s="19">
        <f>AVERAGE(claimSimResults[ValidClaimAmount])</f>
        <v>0.19305053322125684</v>
      </c>
      <c r="F28" s="11" t="s">
        <v>47</v>
      </c>
      <c r="G28" s="11" t="s">
        <v>45</v>
      </c>
      <c r="H28" s="11" t="s">
        <v>46</v>
      </c>
      <c r="J28" s="11" t="s">
        <v>49</v>
      </c>
      <c r="K28" s="11" t="s">
        <v>45</v>
      </c>
      <c r="O28" s="18" t="s">
        <v>17</v>
      </c>
      <c r="P28" s="19">
        <f>AVERAGE(TblPolicyLevelAggregate[TotalClaimAmount])</f>
        <v>0.57683499326511567</v>
      </c>
      <c r="R28" s="11" t="s">
        <v>47</v>
      </c>
      <c r="S28" s="11" t="s">
        <v>48</v>
      </c>
      <c r="T28" s="11" t="s">
        <v>36</v>
      </c>
      <c r="V28" s="11" t="s">
        <v>49</v>
      </c>
      <c r="W28" s="11" t="s">
        <v>36</v>
      </c>
    </row>
    <row r="29" spans="3:23" x14ac:dyDescent="0.2">
      <c r="C29" s="16" t="s">
        <v>44</v>
      </c>
      <c r="D29" s="23">
        <f>MEDIAN(claimSimResults[ValidClaimAmount])</f>
        <v>0.16429960667405952</v>
      </c>
      <c r="F29" s="12" cm="1">
        <f t="array" ref="F29:H33">INDEX(_xlfn.CHOOSECOLS(
    _xlfn.SORTBY(claimSimResults[], claimSimResults[ValidClaimAmount], -1),
    MATCH("PolicyID", claimSimResults[#Headers], 0), MATCH("ValidClaimAmount", claimSimResults[#Headers], 0), MATCH("ClaimDate", claimSimResults[#Headers], 0)
), _xlfn.SEQUENCE(5), {1,2,3})</f>
        <v>153</v>
      </c>
      <c r="G29" s="17">
        <v>0.85259928519003803</v>
      </c>
      <c r="H29" s="20">
        <v>45421</v>
      </c>
      <c r="J29" s="12">
        <v>25</v>
      </c>
      <c r="K29" s="17">
        <f>_xlfn.PERCENTILE.EXC(claimSimResults[ValidClaimAmount], J29/100)</f>
        <v>9.5309745743018773E-2</v>
      </c>
      <c r="L29" s="10"/>
      <c r="M29" s="10"/>
      <c r="O29" s="31" t="s">
        <v>52</v>
      </c>
      <c r="P29" s="23">
        <f>_xlfn.STDEV.S(TblPolicyLevelAggregate[TotalClaimAmount])</f>
        <v>0.405196385266897</v>
      </c>
      <c r="R29" s="12" cm="1">
        <f t="array" ref="R29:T33">INDEX(_xlfn._xlws.SORT(TblPolicyLevelAggregate[], 3, -1), _xlfn.SEQUENCE(5), {1,2,3})</f>
        <v>327</v>
      </c>
      <c r="S29" s="12">
        <v>10</v>
      </c>
      <c r="T29" s="13">
        <v>2.2858983383904823</v>
      </c>
      <c r="V29" s="12">
        <v>25</v>
      </c>
      <c r="W29" s="13">
        <f>_xlfn.PERCENTILE.EXC(TblPolicyLevelAggregate[TotalClaimAmount], V29/100)</f>
        <v>0.27186983616974147</v>
      </c>
    </row>
    <row r="30" spans="3:23" x14ac:dyDescent="0.2">
      <c r="C30" s="30" t="s">
        <v>52</v>
      </c>
      <c r="D30" s="19">
        <f>_xlfn.STDEV.S(claimSimResults[ValidClaimAmount])</f>
        <v>0.13324536835266151</v>
      </c>
      <c r="F30" s="14">
        <v>67</v>
      </c>
      <c r="G30" s="19">
        <v>0.82766099602889998</v>
      </c>
      <c r="H30" s="21">
        <v>45593</v>
      </c>
      <c r="J30" s="14">
        <v>50</v>
      </c>
      <c r="K30" s="19">
        <f>_xlfn.PERCENTILE.EXC(claimSimResults[ValidClaimAmount], J30/100)</f>
        <v>0.16429960667405952</v>
      </c>
      <c r="L30" s="10"/>
      <c r="M30" s="10"/>
      <c r="O30" s="18" t="s">
        <v>30</v>
      </c>
      <c r="P30" s="22">
        <f>MIN(TblPolicyLevelAggregate[TotalClaimAmount])</f>
        <v>0</v>
      </c>
      <c r="R30" s="14">
        <v>400</v>
      </c>
      <c r="S30" s="14">
        <v>8</v>
      </c>
      <c r="T30" s="15">
        <v>2.2536601643732315</v>
      </c>
      <c r="V30" s="14">
        <v>50</v>
      </c>
      <c r="W30" s="15">
        <f>_xlfn.PERCENTILE.EXC(TblPolicyLevelAggregate[TotalClaimAmount], V30/100)</f>
        <v>0.51125845962946048</v>
      </c>
    </row>
    <row r="31" spans="3:23" x14ac:dyDescent="0.2">
      <c r="C31" s="16" t="s">
        <v>30</v>
      </c>
      <c r="D31" s="23">
        <f>MIN(claimSimResults[ValidClaimAmount])</f>
        <v>1.4263122687384101E-3</v>
      </c>
      <c r="F31" s="12">
        <v>49</v>
      </c>
      <c r="G31" s="17">
        <v>0.82510963623318401</v>
      </c>
      <c r="H31" s="20">
        <v>45394</v>
      </c>
      <c r="J31" s="12">
        <v>75</v>
      </c>
      <c r="K31" s="17">
        <f>_xlfn.PERCENTILE.EXC(claimSimResults[ValidClaimAmount], J31/100)</f>
        <v>0.25890956435877599</v>
      </c>
      <c r="L31" s="10"/>
      <c r="M31" s="10"/>
      <c r="O31" s="16" t="s">
        <v>31</v>
      </c>
      <c r="P31" s="23">
        <f>MAX(TblPolicyLevelAggregate[TotalClaimAmount])</f>
        <v>2.2858983383904823</v>
      </c>
      <c r="R31" s="12">
        <v>496</v>
      </c>
      <c r="S31" s="12">
        <v>8</v>
      </c>
      <c r="T31" s="13">
        <v>2.2112996940858958</v>
      </c>
      <c r="V31" s="12">
        <v>75</v>
      </c>
      <c r="W31" s="13">
        <f>_xlfn.PERCENTILE.EXC(TblPolicyLevelAggregate[TotalClaimAmount], V31/100)</f>
        <v>0.7850475765547521</v>
      </c>
    </row>
    <row r="32" spans="3:23" x14ac:dyDescent="0.2">
      <c r="C32" s="18" t="s">
        <v>31</v>
      </c>
      <c r="D32" s="19">
        <f>MAX(claimSimResults[ValidClaimAmount])</f>
        <v>0.85259928519003803</v>
      </c>
      <c r="F32" s="14">
        <v>44</v>
      </c>
      <c r="G32" s="19">
        <v>0.75807022960457804</v>
      </c>
      <c r="H32" s="21">
        <v>45347</v>
      </c>
      <c r="J32" s="14">
        <v>90</v>
      </c>
      <c r="K32" s="19">
        <f>_xlfn.PERCENTILE.EXC(claimSimResults[ValidClaimAmount], J32/100)</f>
        <v>0.373384390112241</v>
      </c>
      <c r="L32" s="10"/>
      <c r="M32" s="10"/>
      <c r="O32" s="18" t="s">
        <v>32</v>
      </c>
      <c r="P32" s="18">
        <f>SUM(TblPolicyLevelAggregate[ClaimCount])</f>
        <v>1494</v>
      </c>
      <c r="R32" s="14">
        <v>195</v>
      </c>
      <c r="S32" s="14">
        <v>6</v>
      </c>
      <c r="T32" s="15">
        <v>2.1256032557003501</v>
      </c>
      <c r="V32" s="14">
        <v>90</v>
      </c>
      <c r="W32" s="15">
        <f>_xlfn.PERCENTILE.EXC(TblPolicyLevelAggregate[TotalClaimAmount], V32/100)</f>
        <v>1.111022021852857</v>
      </c>
    </row>
    <row r="33" spans="3:23" x14ac:dyDescent="0.2">
      <c r="C33" s="16" t="s">
        <v>43</v>
      </c>
      <c r="D33" s="23">
        <f>SUM(claimSimResults[ValidClaimAmount])</f>
        <v>288.41749663255774</v>
      </c>
      <c r="F33" s="12">
        <v>317</v>
      </c>
      <c r="G33" s="17">
        <v>0.739180709379193</v>
      </c>
      <c r="H33" s="20">
        <v>45506</v>
      </c>
      <c r="J33" s="12">
        <v>99</v>
      </c>
      <c r="K33" s="17">
        <f>_xlfn.PERCENTILE.EXC(claimSimResults[ValidClaimAmount], J33/100)</f>
        <v>0.63171583696429146</v>
      </c>
      <c r="L33" s="10"/>
      <c r="M33" s="10"/>
      <c r="O33" s="16" t="s">
        <v>43</v>
      </c>
      <c r="P33" s="23">
        <f>SUM(TblPolicyLevelAggregate[TotalClaimAmount])</f>
        <v>288.41749663255786</v>
      </c>
      <c r="R33" s="12">
        <v>24</v>
      </c>
      <c r="S33" s="12">
        <v>8</v>
      </c>
      <c r="T33" s="13">
        <v>2.1124069687071474</v>
      </c>
      <c r="V33" s="12">
        <v>99</v>
      </c>
      <c r="W33" s="13">
        <f>_xlfn.PERCENTILE.EXC(TblPolicyLevelAggregate[TotalClaimAmount], V33/100)</f>
        <v>2.1115504681946424</v>
      </c>
    </row>
  </sheetData>
  <mergeCells count="9">
    <mergeCell ref="O24:W24"/>
    <mergeCell ref="O3:W3"/>
    <mergeCell ref="C24:K24"/>
    <mergeCell ref="C27:D27"/>
    <mergeCell ref="F27:H27"/>
    <mergeCell ref="O27:P27"/>
    <mergeCell ref="R27:T27"/>
    <mergeCell ref="O6:P6"/>
    <mergeCell ref="C3:J3"/>
  </mergeCells>
  <conditionalFormatting sqref="D8:D9">
    <cfRule type="expression" dxfId="6" priority="4" stopIfTrue="1">
      <formula>$C$9&lt;&gt;"Poisson"</formula>
    </cfRule>
  </conditionalFormatting>
  <conditionalFormatting sqref="E8:F9">
    <cfRule type="expression" dxfId="5" priority="3">
      <formula>$C$9&lt;&gt;"Binomial"</formula>
    </cfRule>
  </conditionalFormatting>
  <conditionalFormatting sqref="D12:E13">
    <cfRule type="expression" dxfId="4" priority="2">
      <formula>$C$13&lt;&gt;"Gamma"</formula>
    </cfRule>
  </conditionalFormatting>
  <conditionalFormatting sqref="F12:G13">
    <cfRule type="expression" dxfId="3" priority="1">
      <formula>$C$13&lt;&gt;"Lognormal"</formula>
    </cfRule>
  </conditionalFormatting>
  <dataValidations count="3">
    <dataValidation type="list" showInputMessage="1" showErrorMessage="1" promptTitle="Poisson by default" sqref="C9" xr:uid="{D1411DE7-65CB-C84B-88A4-5928A841D417}">
      <formula1>"Poisson,Binomial"</formula1>
    </dataValidation>
    <dataValidation type="list" showInputMessage="1" showErrorMessage="1" promptTitle="Poisson by default" sqref="C13" xr:uid="{BC5627C4-B098-D145-8BA5-B12B31C0A91B}">
      <formula1>"Gamma,Lognormal"</formula1>
    </dataValidation>
    <dataValidation type="decimal" allowBlank="1" showInputMessage="1" showErrorMessage="1" sqref="J29:J33 V29:V33 O16:O23" xr:uid="{0830D58D-9A76-A548-BD30-8712FA863F92}">
      <formula1>1</formula1>
      <formula2>99</formula2>
    </dataValidation>
  </dataValidations>
  <printOptions horizontalCentered="1" verticalCentered="1"/>
  <pageMargins left="0.25" right="0.25" top="0.75" bottom="0.75" header="0.3" footer="0.3"/>
  <pageSetup scale="46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RunRScript">
                <anchor moveWithCells="1" sizeWithCells="1">
                  <from>
                    <xdr:col>8</xdr:col>
                    <xdr:colOff>50800</xdr:colOff>
                    <xdr:row>6</xdr:row>
                    <xdr:rowOff>203200</xdr:rowOff>
                  </from>
                  <to>
                    <xdr:col>10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generate_pdf_btn">
              <controlPr defaultSize="0" print="0" autoFill="0" autoPict="0" macro="[0]!ExportDashboardToPDF">
                <anchor moveWithCells="1" sizeWithCells="1">
                  <from>
                    <xdr:col>8</xdr:col>
                    <xdr:colOff>50800</xdr:colOff>
                    <xdr:row>10</xdr:row>
                    <xdr:rowOff>228600</xdr:rowOff>
                  </from>
                  <to>
                    <xdr:col>10</xdr:col>
                    <xdr:colOff>228600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A24A-ABF7-384B-A260-9AFA443BB715}">
  <sheetPr codeName="Sheet3"/>
  <dimension ref="A4:C8"/>
  <sheetViews>
    <sheetView workbookViewId="0">
      <selection activeCell="C14" sqref="C14"/>
    </sheetView>
  </sheetViews>
  <sheetFormatPr baseColWidth="10" defaultRowHeight="16" x14ac:dyDescent="0.2"/>
  <cols>
    <col min="1" max="1" width="26.1640625" customWidth="1"/>
    <col min="2" max="2" width="68.33203125" bestFit="1" customWidth="1"/>
    <col min="3" max="3" width="72.1640625" customWidth="1"/>
  </cols>
  <sheetData>
    <row r="4" spans="1:3" x14ac:dyDescent="0.2">
      <c r="A4" t="s">
        <v>12</v>
      </c>
      <c r="B4" t="s">
        <v>13</v>
      </c>
      <c r="C4" t="s">
        <v>14</v>
      </c>
    </row>
    <row r="5" spans="1:3" x14ac:dyDescent="0.2">
      <c r="A5" s="3" t="s">
        <v>10</v>
      </c>
      <c r="B5" s="3" t="s">
        <v>11</v>
      </c>
      <c r="C5" s="3" t="s">
        <v>24</v>
      </c>
    </row>
    <row r="6" spans="1:3" x14ac:dyDescent="0.2">
      <c r="A6" t="s">
        <v>18</v>
      </c>
      <c r="B6">
        <v>500</v>
      </c>
      <c r="C6" t="s">
        <v>59</v>
      </c>
    </row>
    <row r="7" spans="1:3" x14ac:dyDescent="0.2">
      <c r="A7" t="s">
        <v>19</v>
      </c>
      <c r="B7">
        <v>1000000</v>
      </c>
      <c r="C7" t="s">
        <v>20</v>
      </c>
    </row>
    <row r="8" spans="1:3" x14ac:dyDescent="0.2">
      <c r="A8" t="s">
        <v>60</v>
      </c>
      <c r="B8" t="str" cm="1">
        <f t="array" aca="1" ref="B8" ca="1">_xlfn.LET(_xlpm.filepath, CELL("filename"), _xlpm.directory, LEFT(_xlpm.filepath, FIND("[", _xlpm.filepath) -1), _xlpm.directory) &amp; "/data/claimSimResults.csv"</f>
        <v>/Users/bergtho/Desktop/msc/me/portfolio/claimsSim//data/claimSimResults.csv</v>
      </c>
      <c r="C8" t="s">
        <v>61</v>
      </c>
    </row>
  </sheetData>
  <dataValidations count="1">
    <dataValidation type="decimal" operator="greaterThan" allowBlank="1" showInputMessage="1" showErrorMessage="1" sqref="B7" xr:uid="{D63AF2E0-E563-FD4E-ABFA-E3D07213A7AA}">
      <formula1>0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A0CB-66C4-BD4E-9D35-B5ED9E0C9744}">
  <sheetPr codeName="Sheet4"/>
  <dimension ref="A1:K501"/>
  <sheetViews>
    <sheetView workbookViewId="0">
      <selection activeCell="H20" sqref="H20"/>
    </sheetView>
  </sheetViews>
  <sheetFormatPr baseColWidth="10" defaultRowHeight="16" x14ac:dyDescent="0.2"/>
  <cols>
    <col min="1" max="1" width="10.5" customWidth="1"/>
    <col min="2" max="2" width="13.6640625" customWidth="1"/>
    <col min="3" max="3" width="19.33203125" customWidth="1"/>
    <col min="4" max="4" width="12.6640625" customWidth="1"/>
    <col min="5" max="5" width="19.5" customWidth="1"/>
    <col min="6" max="6" width="10.5" customWidth="1"/>
    <col min="7" max="7" width="13.6640625" customWidth="1"/>
    <col min="8" max="8" width="16.6640625" customWidth="1"/>
    <col min="9" max="10" width="13" customWidth="1"/>
    <col min="11" max="11" width="15.33203125" customWidth="1"/>
  </cols>
  <sheetData>
    <row r="1" spans="1:11" x14ac:dyDescent="0.2">
      <c r="A1" t="s">
        <v>0</v>
      </c>
      <c r="B1" t="s">
        <v>26</v>
      </c>
      <c r="C1" t="s">
        <v>34</v>
      </c>
    </row>
    <row r="2" spans="1:11" x14ac:dyDescent="0.2">
      <c r="A2">
        <v>1</v>
      </c>
      <c r="B2">
        <v>2</v>
      </c>
      <c r="C2">
        <v>0.61226593879036295</v>
      </c>
    </row>
    <row r="3" spans="1:11" x14ac:dyDescent="0.2">
      <c r="A3">
        <v>2</v>
      </c>
      <c r="B3">
        <v>4</v>
      </c>
      <c r="C3">
        <v>0.68169622690140785</v>
      </c>
      <c r="J3" s="4"/>
      <c r="K3" s="4"/>
    </row>
    <row r="4" spans="1:11" x14ac:dyDescent="0.2">
      <c r="A4">
        <v>3</v>
      </c>
      <c r="B4">
        <v>2</v>
      </c>
      <c r="C4">
        <v>0.96171332565365597</v>
      </c>
      <c r="G4" s="5" t="s">
        <v>26</v>
      </c>
      <c r="H4" t="s">
        <v>27</v>
      </c>
      <c r="J4" s="4"/>
      <c r="K4" s="4"/>
    </row>
    <row r="5" spans="1:11" x14ac:dyDescent="0.2">
      <c r="A5">
        <v>4</v>
      </c>
      <c r="B5">
        <v>5</v>
      </c>
      <c r="C5">
        <v>1.3304982337654634</v>
      </c>
      <c r="G5" s="6">
        <v>0</v>
      </c>
      <c r="H5" s="37">
        <v>17</v>
      </c>
      <c r="J5" s="4"/>
      <c r="K5" s="4"/>
    </row>
    <row r="6" spans="1:11" x14ac:dyDescent="0.2">
      <c r="A6">
        <v>5</v>
      </c>
      <c r="B6">
        <v>6</v>
      </c>
      <c r="C6">
        <v>1.0688690938153487</v>
      </c>
      <c r="G6" s="6">
        <v>1</v>
      </c>
      <c r="H6" s="37">
        <v>77</v>
      </c>
      <c r="J6" s="4"/>
      <c r="K6" s="4"/>
    </row>
    <row r="7" spans="1:11" x14ac:dyDescent="0.2">
      <c r="A7">
        <v>7</v>
      </c>
      <c r="B7">
        <v>3</v>
      </c>
      <c r="C7">
        <v>0.47767874253847054</v>
      </c>
      <c r="G7" s="6">
        <v>2</v>
      </c>
      <c r="H7" s="37">
        <v>131</v>
      </c>
    </row>
    <row r="8" spans="1:11" x14ac:dyDescent="0.2">
      <c r="A8">
        <v>8</v>
      </c>
      <c r="B8">
        <v>5</v>
      </c>
      <c r="C8">
        <v>0.70836588431177994</v>
      </c>
      <c r="G8" s="6">
        <v>3</v>
      </c>
      <c r="H8" s="37">
        <v>101</v>
      </c>
    </row>
    <row r="9" spans="1:11" x14ac:dyDescent="0.2">
      <c r="A9">
        <v>9</v>
      </c>
      <c r="B9">
        <v>3</v>
      </c>
      <c r="C9">
        <v>1.020124388679811</v>
      </c>
      <c r="G9" s="6">
        <v>4</v>
      </c>
      <c r="H9" s="37">
        <v>88</v>
      </c>
    </row>
    <row r="10" spans="1:11" x14ac:dyDescent="0.2">
      <c r="A10">
        <v>10</v>
      </c>
      <c r="B10">
        <v>3</v>
      </c>
      <c r="C10">
        <v>0.62010547776504676</v>
      </c>
      <c r="G10" s="6">
        <v>8</v>
      </c>
      <c r="H10" s="37">
        <v>3</v>
      </c>
    </row>
    <row r="11" spans="1:11" x14ac:dyDescent="0.2">
      <c r="A11">
        <v>11</v>
      </c>
      <c r="B11">
        <v>6</v>
      </c>
      <c r="C11">
        <v>1.0938215491465224</v>
      </c>
      <c r="G11" s="6">
        <v>9</v>
      </c>
      <c r="H11" s="37">
        <v>1</v>
      </c>
    </row>
    <row r="12" spans="1:11" x14ac:dyDescent="0.2">
      <c r="A12">
        <v>12</v>
      </c>
      <c r="B12">
        <v>3</v>
      </c>
      <c r="C12">
        <v>0.41320303015825938</v>
      </c>
      <c r="G12" s="6">
        <v>10</v>
      </c>
      <c r="H12" s="37">
        <v>1</v>
      </c>
    </row>
    <row r="13" spans="1:11" x14ac:dyDescent="0.2">
      <c r="A13">
        <v>13</v>
      </c>
      <c r="B13">
        <v>4</v>
      </c>
      <c r="C13">
        <v>1.1080445219063029</v>
      </c>
      <c r="G13" s="6">
        <v>5</v>
      </c>
      <c r="H13" s="37">
        <v>46</v>
      </c>
    </row>
    <row r="14" spans="1:11" x14ac:dyDescent="0.2">
      <c r="A14">
        <v>14</v>
      </c>
      <c r="B14">
        <v>3</v>
      </c>
      <c r="C14">
        <v>0.28341559438014235</v>
      </c>
      <c r="G14" s="6">
        <v>7</v>
      </c>
      <c r="H14" s="37">
        <v>17</v>
      </c>
    </row>
    <row r="15" spans="1:11" x14ac:dyDescent="0.2">
      <c r="A15">
        <v>15</v>
      </c>
      <c r="B15">
        <v>1</v>
      </c>
      <c r="C15">
        <v>0.102233378166199</v>
      </c>
      <c r="G15" s="6">
        <v>6</v>
      </c>
      <c r="H15" s="37">
        <v>18</v>
      </c>
    </row>
    <row r="16" spans="1:11" x14ac:dyDescent="0.2">
      <c r="A16">
        <v>16</v>
      </c>
      <c r="B16">
        <v>5</v>
      </c>
      <c r="C16">
        <v>1.1975901597106091</v>
      </c>
      <c r="G16" s="6" t="s">
        <v>25</v>
      </c>
      <c r="H16" s="37">
        <v>500</v>
      </c>
    </row>
    <row r="17" spans="1:3" x14ac:dyDescent="0.2">
      <c r="A17">
        <v>17</v>
      </c>
      <c r="B17">
        <v>2</v>
      </c>
      <c r="C17">
        <v>0.39226261392111705</v>
      </c>
    </row>
    <row r="18" spans="1:3" x14ac:dyDescent="0.2">
      <c r="A18">
        <v>19</v>
      </c>
      <c r="B18">
        <v>2</v>
      </c>
      <c r="C18">
        <v>0.19587586700354359</v>
      </c>
    </row>
    <row r="19" spans="1:3" x14ac:dyDescent="0.2">
      <c r="A19">
        <v>20</v>
      </c>
      <c r="B19">
        <v>6</v>
      </c>
      <c r="C19">
        <v>0.44660986536345632</v>
      </c>
    </row>
    <row r="20" spans="1:3" x14ac:dyDescent="0.2">
      <c r="A20">
        <v>21</v>
      </c>
      <c r="B20">
        <v>5</v>
      </c>
      <c r="C20">
        <v>0.90955824595450563</v>
      </c>
    </row>
    <row r="21" spans="1:3" x14ac:dyDescent="0.2">
      <c r="A21">
        <v>22</v>
      </c>
      <c r="B21">
        <v>4</v>
      </c>
      <c r="C21">
        <v>0.69337129715305057</v>
      </c>
    </row>
    <row r="22" spans="1:3" x14ac:dyDescent="0.2">
      <c r="A22">
        <v>23</v>
      </c>
      <c r="B22">
        <v>3</v>
      </c>
      <c r="C22">
        <v>0.63125875789197683</v>
      </c>
    </row>
    <row r="23" spans="1:3" x14ac:dyDescent="0.2">
      <c r="A23">
        <v>24</v>
      </c>
      <c r="B23">
        <v>8</v>
      </c>
      <c r="C23">
        <v>2.1124069687071474</v>
      </c>
    </row>
    <row r="24" spans="1:3" x14ac:dyDescent="0.2">
      <c r="A24">
        <v>25</v>
      </c>
      <c r="B24">
        <v>4</v>
      </c>
      <c r="C24">
        <v>0.72070726967401622</v>
      </c>
    </row>
    <row r="25" spans="1:3" x14ac:dyDescent="0.2">
      <c r="A25">
        <v>26</v>
      </c>
      <c r="B25">
        <v>4</v>
      </c>
      <c r="C25">
        <v>1.06089882822169</v>
      </c>
    </row>
    <row r="26" spans="1:3" x14ac:dyDescent="0.2">
      <c r="A26">
        <v>27</v>
      </c>
      <c r="B26">
        <v>3</v>
      </c>
      <c r="C26">
        <v>0.44017991142231028</v>
      </c>
    </row>
    <row r="27" spans="1:3" x14ac:dyDescent="0.2">
      <c r="A27">
        <v>28</v>
      </c>
      <c r="B27">
        <v>3</v>
      </c>
      <c r="C27">
        <v>0.47177099400386158</v>
      </c>
    </row>
    <row r="28" spans="1:3" x14ac:dyDescent="0.2">
      <c r="A28">
        <v>29</v>
      </c>
      <c r="B28">
        <v>2</v>
      </c>
      <c r="C28">
        <v>0.45374898089665905</v>
      </c>
    </row>
    <row r="29" spans="1:3" x14ac:dyDescent="0.2">
      <c r="A29">
        <v>30</v>
      </c>
      <c r="B29">
        <v>1</v>
      </c>
      <c r="C29">
        <v>0.17764121973411001</v>
      </c>
    </row>
    <row r="30" spans="1:3" x14ac:dyDescent="0.2">
      <c r="A30">
        <v>31</v>
      </c>
      <c r="B30">
        <v>6</v>
      </c>
      <c r="C30">
        <v>0.5750374754523131</v>
      </c>
    </row>
    <row r="31" spans="1:3" x14ac:dyDescent="0.2">
      <c r="A31">
        <v>32</v>
      </c>
      <c r="B31">
        <v>5</v>
      </c>
      <c r="C31">
        <v>0.42115029100936391</v>
      </c>
    </row>
    <row r="32" spans="1:3" x14ac:dyDescent="0.2">
      <c r="A32">
        <v>33</v>
      </c>
      <c r="B32">
        <v>4</v>
      </c>
      <c r="C32">
        <v>0.48801948204314649</v>
      </c>
    </row>
    <row r="33" spans="1:3" x14ac:dyDescent="0.2">
      <c r="A33">
        <v>34</v>
      </c>
      <c r="B33">
        <v>4</v>
      </c>
      <c r="C33">
        <v>0.54263270815229181</v>
      </c>
    </row>
    <row r="34" spans="1:3" x14ac:dyDescent="0.2">
      <c r="A34">
        <v>36</v>
      </c>
      <c r="B34">
        <v>3</v>
      </c>
      <c r="C34">
        <v>0.61024260565266097</v>
      </c>
    </row>
    <row r="35" spans="1:3" x14ac:dyDescent="0.2">
      <c r="A35">
        <v>37</v>
      </c>
      <c r="B35">
        <v>4</v>
      </c>
      <c r="C35">
        <v>0.6716922265864731</v>
      </c>
    </row>
    <row r="36" spans="1:3" x14ac:dyDescent="0.2">
      <c r="A36">
        <v>38</v>
      </c>
      <c r="B36">
        <v>2</v>
      </c>
      <c r="C36">
        <v>0.5276087556809359</v>
      </c>
    </row>
    <row r="37" spans="1:3" x14ac:dyDescent="0.2">
      <c r="A37">
        <v>39</v>
      </c>
      <c r="B37">
        <v>2</v>
      </c>
      <c r="C37">
        <v>0.39013806948489499</v>
      </c>
    </row>
    <row r="38" spans="1:3" x14ac:dyDescent="0.2">
      <c r="A38">
        <v>40</v>
      </c>
      <c r="B38">
        <v>2</v>
      </c>
      <c r="C38">
        <v>0.57961171921274901</v>
      </c>
    </row>
    <row r="39" spans="1:3" x14ac:dyDescent="0.2">
      <c r="A39">
        <v>41</v>
      </c>
      <c r="B39">
        <v>1</v>
      </c>
      <c r="C39">
        <v>4.18332917387364E-2</v>
      </c>
    </row>
    <row r="40" spans="1:3" x14ac:dyDescent="0.2">
      <c r="A40">
        <v>42</v>
      </c>
      <c r="B40">
        <v>2</v>
      </c>
      <c r="C40">
        <v>4.3777217779113309E-2</v>
      </c>
    </row>
    <row r="41" spans="1:3" x14ac:dyDescent="0.2">
      <c r="A41">
        <v>43</v>
      </c>
      <c r="B41">
        <v>2</v>
      </c>
      <c r="C41">
        <v>0.78832172301439796</v>
      </c>
    </row>
    <row r="42" spans="1:3" x14ac:dyDescent="0.2">
      <c r="A42">
        <v>44</v>
      </c>
      <c r="B42">
        <v>2</v>
      </c>
      <c r="C42">
        <v>0.92132681157361107</v>
      </c>
    </row>
    <row r="43" spans="1:3" x14ac:dyDescent="0.2">
      <c r="A43">
        <v>45</v>
      </c>
      <c r="B43">
        <v>1</v>
      </c>
      <c r="C43">
        <v>0.27905460215418099</v>
      </c>
    </row>
    <row r="44" spans="1:3" x14ac:dyDescent="0.2">
      <c r="A44">
        <v>46</v>
      </c>
      <c r="B44">
        <v>1</v>
      </c>
      <c r="C44">
        <v>6.4034293213933002E-2</v>
      </c>
    </row>
    <row r="45" spans="1:3" x14ac:dyDescent="0.2">
      <c r="A45">
        <v>47</v>
      </c>
      <c r="B45">
        <v>2</v>
      </c>
      <c r="C45">
        <v>0.51021378678213303</v>
      </c>
    </row>
    <row r="46" spans="1:3" x14ac:dyDescent="0.2">
      <c r="A46">
        <v>48</v>
      </c>
      <c r="B46">
        <v>3</v>
      </c>
      <c r="C46">
        <v>0.63572474793357803</v>
      </c>
    </row>
    <row r="47" spans="1:3" x14ac:dyDescent="0.2">
      <c r="A47">
        <v>49</v>
      </c>
      <c r="B47">
        <v>2</v>
      </c>
      <c r="C47">
        <v>0.99672983141034699</v>
      </c>
    </row>
    <row r="48" spans="1:3" x14ac:dyDescent="0.2">
      <c r="A48">
        <v>50</v>
      </c>
      <c r="B48">
        <v>5</v>
      </c>
      <c r="C48">
        <v>0.66183095044131024</v>
      </c>
    </row>
    <row r="49" spans="1:3" x14ac:dyDescent="0.2">
      <c r="A49">
        <v>52</v>
      </c>
      <c r="B49">
        <v>3</v>
      </c>
      <c r="C49">
        <v>0.40452898209088572</v>
      </c>
    </row>
    <row r="50" spans="1:3" x14ac:dyDescent="0.2">
      <c r="A50">
        <v>53</v>
      </c>
      <c r="B50">
        <v>4</v>
      </c>
      <c r="C50">
        <v>0.92174618575297707</v>
      </c>
    </row>
    <row r="51" spans="1:3" x14ac:dyDescent="0.2">
      <c r="A51">
        <v>54</v>
      </c>
      <c r="B51">
        <v>1</v>
      </c>
      <c r="C51">
        <v>0.14718143379256601</v>
      </c>
    </row>
    <row r="52" spans="1:3" x14ac:dyDescent="0.2">
      <c r="A52">
        <v>55</v>
      </c>
      <c r="B52">
        <v>3</v>
      </c>
      <c r="C52">
        <v>0.47275936652905404</v>
      </c>
    </row>
    <row r="53" spans="1:3" x14ac:dyDescent="0.2">
      <c r="A53">
        <v>56</v>
      </c>
      <c r="B53">
        <v>2</v>
      </c>
      <c r="C53">
        <v>0.54635552120703501</v>
      </c>
    </row>
    <row r="54" spans="1:3" x14ac:dyDescent="0.2">
      <c r="A54">
        <v>57</v>
      </c>
      <c r="B54">
        <v>1</v>
      </c>
      <c r="C54">
        <v>0.18174366633092401</v>
      </c>
    </row>
    <row r="55" spans="1:3" x14ac:dyDescent="0.2">
      <c r="A55">
        <v>58</v>
      </c>
      <c r="B55">
        <v>4</v>
      </c>
      <c r="C55">
        <v>0.60144642542210669</v>
      </c>
    </row>
    <row r="56" spans="1:3" x14ac:dyDescent="0.2">
      <c r="A56">
        <v>59</v>
      </c>
      <c r="B56">
        <v>5</v>
      </c>
      <c r="C56">
        <v>1.0411040940846177</v>
      </c>
    </row>
    <row r="57" spans="1:3" x14ac:dyDescent="0.2">
      <c r="A57">
        <v>60</v>
      </c>
      <c r="B57">
        <v>2</v>
      </c>
      <c r="C57">
        <v>0.40348816043482272</v>
      </c>
    </row>
    <row r="58" spans="1:3" x14ac:dyDescent="0.2">
      <c r="A58">
        <v>61</v>
      </c>
      <c r="B58">
        <v>4</v>
      </c>
      <c r="C58">
        <v>0.76380181286910664</v>
      </c>
    </row>
    <row r="59" spans="1:3" x14ac:dyDescent="0.2">
      <c r="A59">
        <v>62</v>
      </c>
      <c r="B59">
        <v>1</v>
      </c>
      <c r="C59">
        <v>0.26959855348603901</v>
      </c>
    </row>
    <row r="60" spans="1:3" x14ac:dyDescent="0.2">
      <c r="A60">
        <v>63</v>
      </c>
      <c r="B60">
        <v>2</v>
      </c>
      <c r="C60">
        <v>0.31882593787789698</v>
      </c>
    </row>
    <row r="61" spans="1:3" x14ac:dyDescent="0.2">
      <c r="A61">
        <v>64</v>
      </c>
      <c r="B61">
        <v>2</v>
      </c>
      <c r="C61">
        <v>0.25891260761887108</v>
      </c>
    </row>
    <row r="62" spans="1:3" x14ac:dyDescent="0.2">
      <c r="A62">
        <v>65</v>
      </c>
      <c r="B62">
        <v>4</v>
      </c>
      <c r="C62">
        <v>0.55917799634625609</v>
      </c>
    </row>
    <row r="63" spans="1:3" x14ac:dyDescent="0.2">
      <c r="A63">
        <v>66</v>
      </c>
      <c r="B63">
        <v>3</v>
      </c>
      <c r="C63">
        <v>0.58183504983048462</v>
      </c>
    </row>
    <row r="64" spans="1:3" x14ac:dyDescent="0.2">
      <c r="A64">
        <v>67</v>
      </c>
      <c r="B64">
        <v>4</v>
      </c>
      <c r="C64">
        <v>1.7379629134568175</v>
      </c>
    </row>
    <row r="65" spans="1:3" x14ac:dyDescent="0.2">
      <c r="A65">
        <v>68</v>
      </c>
      <c r="B65">
        <v>4</v>
      </c>
      <c r="C65">
        <v>0.59619264264678073</v>
      </c>
    </row>
    <row r="66" spans="1:3" x14ac:dyDescent="0.2">
      <c r="A66">
        <v>69</v>
      </c>
      <c r="B66">
        <v>4</v>
      </c>
      <c r="C66">
        <v>0.95768070714789699</v>
      </c>
    </row>
    <row r="67" spans="1:3" x14ac:dyDescent="0.2">
      <c r="A67">
        <v>70</v>
      </c>
      <c r="B67">
        <v>3</v>
      </c>
      <c r="C67">
        <v>0.61668710071480193</v>
      </c>
    </row>
    <row r="68" spans="1:3" x14ac:dyDescent="0.2">
      <c r="A68">
        <v>71</v>
      </c>
      <c r="B68">
        <v>4</v>
      </c>
      <c r="C68">
        <v>0.48189760324390096</v>
      </c>
    </row>
    <row r="69" spans="1:3" x14ac:dyDescent="0.2">
      <c r="A69">
        <v>72</v>
      </c>
      <c r="B69">
        <v>3</v>
      </c>
      <c r="C69">
        <v>0.2364373522708853</v>
      </c>
    </row>
    <row r="70" spans="1:3" x14ac:dyDescent="0.2">
      <c r="A70">
        <v>73</v>
      </c>
      <c r="B70">
        <v>4</v>
      </c>
      <c r="C70">
        <v>0.661181072631426</v>
      </c>
    </row>
    <row r="71" spans="1:3" x14ac:dyDescent="0.2">
      <c r="A71">
        <v>75</v>
      </c>
      <c r="B71">
        <v>3</v>
      </c>
      <c r="C71">
        <v>0.87913614515180094</v>
      </c>
    </row>
    <row r="72" spans="1:3" x14ac:dyDescent="0.2">
      <c r="A72">
        <v>76</v>
      </c>
      <c r="B72">
        <v>2</v>
      </c>
      <c r="C72">
        <v>0.24991014065245201</v>
      </c>
    </row>
    <row r="73" spans="1:3" x14ac:dyDescent="0.2">
      <c r="A73">
        <v>77</v>
      </c>
      <c r="B73">
        <v>2</v>
      </c>
      <c r="C73">
        <v>0.55573063569468295</v>
      </c>
    </row>
    <row r="74" spans="1:3" x14ac:dyDescent="0.2">
      <c r="A74">
        <v>78</v>
      </c>
      <c r="B74">
        <v>3</v>
      </c>
      <c r="C74">
        <v>0.69366161276899607</v>
      </c>
    </row>
    <row r="75" spans="1:3" x14ac:dyDescent="0.2">
      <c r="A75">
        <v>79</v>
      </c>
      <c r="B75">
        <v>2</v>
      </c>
      <c r="C75">
        <v>0.69623335578451995</v>
      </c>
    </row>
    <row r="76" spans="1:3" x14ac:dyDescent="0.2">
      <c r="A76">
        <v>80</v>
      </c>
      <c r="B76">
        <v>1</v>
      </c>
      <c r="C76">
        <v>0.323628643151819</v>
      </c>
    </row>
    <row r="77" spans="1:3" x14ac:dyDescent="0.2">
      <c r="A77">
        <v>81</v>
      </c>
      <c r="B77">
        <v>2</v>
      </c>
      <c r="C77">
        <v>0.34656299415033598</v>
      </c>
    </row>
    <row r="78" spans="1:3" x14ac:dyDescent="0.2">
      <c r="A78">
        <v>82</v>
      </c>
      <c r="B78">
        <v>4</v>
      </c>
      <c r="C78">
        <v>0.69192713560784747</v>
      </c>
    </row>
    <row r="79" spans="1:3" x14ac:dyDescent="0.2">
      <c r="A79">
        <v>83</v>
      </c>
      <c r="B79">
        <v>2</v>
      </c>
      <c r="C79">
        <v>0.76845575824915402</v>
      </c>
    </row>
    <row r="80" spans="1:3" x14ac:dyDescent="0.2">
      <c r="A80">
        <v>84</v>
      </c>
      <c r="B80">
        <v>4</v>
      </c>
      <c r="C80">
        <v>0.66100735773677199</v>
      </c>
    </row>
    <row r="81" spans="1:3" x14ac:dyDescent="0.2">
      <c r="A81">
        <v>85</v>
      </c>
      <c r="B81">
        <v>1</v>
      </c>
      <c r="C81">
        <v>0.29859104071586001</v>
      </c>
    </row>
    <row r="82" spans="1:3" x14ac:dyDescent="0.2">
      <c r="A82">
        <v>86</v>
      </c>
      <c r="B82">
        <v>3</v>
      </c>
      <c r="C82">
        <v>0.47574249451436534</v>
      </c>
    </row>
    <row r="83" spans="1:3" x14ac:dyDescent="0.2">
      <c r="A83">
        <v>87</v>
      </c>
      <c r="B83">
        <v>7</v>
      </c>
      <c r="C83">
        <v>1.2622682755485499</v>
      </c>
    </row>
    <row r="84" spans="1:3" x14ac:dyDescent="0.2">
      <c r="A84">
        <v>88</v>
      </c>
      <c r="B84">
        <v>5</v>
      </c>
      <c r="C84">
        <v>0.8496592083883715</v>
      </c>
    </row>
    <row r="85" spans="1:3" x14ac:dyDescent="0.2">
      <c r="A85">
        <v>89</v>
      </c>
      <c r="B85">
        <v>5</v>
      </c>
      <c r="C85">
        <v>1.0116480751680585</v>
      </c>
    </row>
    <row r="86" spans="1:3" x14ac:dyDescent="0.2">
      <c r="A86">
        <v>90</v>
      </c>
      <c r="B86">
        <v>1</v>
      </c>
      <c r="C86">
        <v>5.3215720101496597E-2</v>
      </c>
    </row>
    <row r="87" spans="1:3" x14ac:dyDescent="0.2">
      <c r="A87">
        <v>91</v>
      </c>
      <c r="B87">
        <v>1</v>
      </c>
      <c r="C87">
        <v>4.44271126355636E-2</v>
      </c>
    </row>
    <row r="88" spans="1:3" x14ac:dyDescent="0.2">
      <c r="A88">
        <v>92</v>
      </c>
      <c r="B88">
        <v>4</v>
      </c>
      <c r="C88">
        <v>0.68356211179057824</v>
      </c>
    </row>
    <row r="89" spans="1:3" x14ac:dyDescent="0.2">
      <c r="A89">
        <v>93</v>
      </c>
      <c r="B89">
        <v>2</v>
      </c>
      <c r="C89">
        <v>0.2248515656776944</v>
      </c>
    </row>
    <row r="90" spans="1:3" x14ac:dyDescent="0.2">
      <c r="A90">
        <v>94</v>
      </c>
      <c r="B90">
        <v>4</v>
      </c>
      <c r="C90">
        <v>0.62312922698398598</v>
      </c>
    </row>
    <row r="91" spans="1:3" x14ac:dyDescent="0.2">
      <c r="A91">
        <v>95</v>
      </c>
      <c r="B91">
        <v>2</v>
      </c>
      <c r="C91">
        <v>0.17382090160216399</v>
      </c>
    </row>
    <row r="92" spans="1:3" x14ac:dyDescent="0.2">
      <c r="A92">
        <v>96</v>
      </c>
      <c r="B92">
        <v>1</v>
      </c>
      <c r="C92">
        <v>0.150227912036588</v>
      </c>
    </row>
    <row r="93" spans="1:3" x14ac:dyDescent="0.2">
      <c r="A93">
        <v>97</v>
      </c>
      <c r="B93">
        <v>4</v>
      </c>
      <c r="C93">
        <v>0.70955482862985408</v>
      </c>
    </row>
    <row r="94" spans="1:3" x14ac:dyDescent="0.2">
      <c r="A94">
        <v>98</v>
      </c>
      <c r="B94">
        <v>1</v>
      </c>
      <c r="C94">
        <v>0.60946959994247696</v>
      </c>
    </row>
    <row r="95" spans="1:3" x14ac:dyDescent="0.2">
      <c r="A95">
        <v>99</v>
      </c>
      <c r="B95">
        <v>3</v>
      </c>
      <c r="C95">
        <v>0.93275897106052397</v>
      </c>
    </row>
    <row r="96" spans="1:3" x14ac:dyDescent="0.2">
      <c r="A96">
        <v>100</v>
      </c>
      <c r="B96">
        <v>3</v>
      </c>
      <c r="C96">
        <v>0.60301120675634001</v>
      </c>
    </row>
    <row r="97" spans="1:3" x14ac:dyDescent="0.2">
      <c r="A97">
        <v>101</v>
      </c>
      <c r="B97">
        <v>3</v>
      </c>
      <c r="C97">
        <v>0.47699073165701</v>
      </c>
    </row>
    <row r="98" spans="1:3" x14ac:dyDescent="0.2">
      <c r="A98">
        <v>102</v>
      </c>
      <c r="B98">
        <v>2</v>
      </c>
      <c r="C98">
        <v>0.24278525609315679</v>
      </c>
    </row>
    <row r="99" spans="1:3" x14ac:dyDescent="0.2">
      <c r="A99">
        <v>103</v>
      </c>
      <c r="B99">
        <v>3</v>
      </c>
      <c r="C99">
        <v>0.53272926070074289</v>
      </c>
    </row>
    <row r="100" spans="1:3" x14ac:dyDescent="0.2">
      <c r="A100">
        <v>104</v>
      </c>
      <c r="B100">
        <v>6</v>
      </c>
      <c r="C100">
        <v>1.3531498727093387</v>
      </c>
    </row>
    <row r="101" spans="1:3" x14ac:dyDescent="0.2">
      <c r="A101">
        <v>105</v>
      </c>
      <c r="B101">
        <v>3</v>
      </c>
      <c r="C101">
        <v>0.3162060425504829</v>
      </c>
    </row>
    <row r="102" spans="1:3" x14ac:dyDescent="0.2">
      <c r="A102">
        <v>106</v>
      </c>
      <c r="B102">
        <v>5</v>
      </c>
      <c r="C102">
        <v>0.93557722935471044</v>
      </c>
    </row>
    <row r="103" spans="1:3" x14ac:dyDescent="0.2">
      <c r="A103">
        <v>107</v>
      </c>
      <c r="B103">
        <v>5</v>
      </c>
      <c r="C103">
        <v>0.75486904105151009</v>
      </c>
    </row>
    <row r="104" spans="1:3" x14ac:dyDescent="0.2">
      <c r="A104">
        <v>108</v>
      </c>
      <c r="B104">
        <v>3</v>
      </c>
      <c r="C104">
        <v>0.77473610516709146</v>
      </c>
    </row>
    <row r="105" spans="1:3" x14ac:dyDescent="0.2">
      <c r="A105">
        <v>109</v>
      </c>
      <c r="B105">
        <v>2</v>
      </c>
      <c r="C105">
        <v>0.23176809463418802</v>
      </c>
    </row>
    <row r="106" spans="1:3" x14ac:dyDescent="0.2">
      <c r="A106">
        <v>110</v>
      </c>
      <c r="B106">
        <v>1</v>
      </c>
      <c r="C106">
        <v>0.21294422265020099</v>
      </c>
    </row>
    <row r="107" spans="1:3" x14ac:dyDescent="0.2">
      <c r="A107">
        <v>111</v>
      </c>
      <c r="B107">
        <v>6</v>
      </c>
      <c r="C107">
        <v>1.2384983402184715</v>
      </c>
    </row>
    <row r="108" spans="1:3" x14ac:dyDescent="0.2">
      <c r="A108">
        <v>112</v>
      </c>
      <c r="B108">
        <v>2</v>
      </c>
      <c r="C108">
        <v>0.56447672403734805</v>
      </c>
    </row>
    <row r="109" spans="1:3" x14ac:dyDescent="0.2">
      <c r="A109">
        <v>113</v>
      </c>
      <c r="B109">
        <v>1</v>
      </c>
      <c r="C109">
        <v>0.25133513478055602</v>
      </c>
    </row>
    <row r="110" spans="1:3" x14ac:dyDescent="0.2">
      <c r="A110">
        <v>114</v>
      </c>
      <c r="B110">
        <v>6</v>
      </c>
      <c r="C110">
        <v>1.5943319147350208</v>
      </c>
    </row>
    <row r="111" spans="1:3" x14ac:dyDescent="0.2">
      <c r="A111">
        <v>115</v>
      </c>
      <c r="B111">
        <v>4</v>
      </c>
      <c r="C111">
        <v>0.79828483136654249</v>
      </c>
    </row>
    <row r="112" spans="1:3" x14ac:dyDescent="0.2">
      <c r="A112">
        <v>116</v>
      </c>
      <c r="B112">
        <v>1</v>
      </c>
      <c r="C112">
        <v>0.32533340676078898</v>
      </c>
    </row>
    <row r="113" spans="1:3" x14ac:dyDescent="0.2">
      <c r="A113">
        <v>117</v>
      </c>
      <c r="B113">
        <v>3</v>
      </c>
      <c r="C113">
        <v>0.49472060518172228</v>
      </c>
    </row>
    <row r="114" spans="1:3" x14ac:dyDescent="0.2">
      <c r="A114">
        <v>118</v>
      </c>
      <c r="B114">
        <v>6</v>
      </c>
      <c r="C114">
        <v>1.035876715616149</v>
      </c>
    </row>
    <row r="115" spans="1:3" x14ac:dyDescent="0.2">
      <c r="A115">
        <v>119</v>
      </c>
      <c r="B115">
        <v>3</v>
      </c>
      <c r="C115">
        <v>0.26756656680369273</v>
      </c>
    </row>
    <row r="116" spans="1:3" x14ac:dyDescent="0.2">
      <c r="A116">
        <v>120</v>
      </c>
      <c r="B116">
        <v>2</v>
      </c>
      <c r="C116">
        <v>0.25858667288827897</v>
      </c>
    </row>
    <row r="117" spans="1:3" x14ac:dyDescent="0.2">
      <c r="A117">
        <v>121</v>
      </c>
      <c r="B117">
        <v>4</v>
      </c>
      <c r="C117">
        <v>0.38574204973369669</v>
      </c>
    </row>
    <row r="118" spans="1:3" x14ac:dyDescent="0.2">
      <c r="A118">
        <v>122</v>
      </c>
      <c r="B118">
        <v>2</v>
      </c>
      <c r="C118">
        <v>0.88158972211448305</v>
      </c>
    </row>
    <row r="119" spans="1:3" x14ac:dyDescent="0.2">
      <c r="A119">
        <v>123</v>
      </c>
      <c r="B119">
        <v>2</v>
      </c>
      <c r="C119">
        <v>0.28148136792487471</v>
      </c>
    </row>
    <row r="120" spans="1:3" x14ac:dyDescent="0.2">
      <c r="A120">
        <v>124</v>
      </c>
      <c r="B120">
        <v>2</v>
      </c>
      <c r="C120">
        <v>0.35548818551994199</v>
      </c>
    </row>
    <row r="121" spans="1:3" x14ac:dyDescent="0.2">
      <c r="A121">
        <v>125</v>
      </c>
      <c r="B121">
        <v>2</v>
      </c>
      <c r="C121">
        <v>0.41406135236286323</v>
      </c>
    </row>
    <row r="122" spans="1:3" x14ac:dyDescent="0.2">
      <c r="A122">
        <v>126</v>
      </c>
      <c r="B122">
        <v>7</v>
      </c>
      <c r="C122">
        <v>0.79350954374308502</v>
      </c>
    </row>
    <row r="123" spans="1:3" x14ac:dyDescent="0.2">
      <c r="A123">
        <v>127</v>
      </c>
      <c r="B123">
        <v>1</v>
      </c>
      <c r="C123">
        <v>9.9728392807251501E-2</v>
      </c>
    </row>
    <row r="124" spans="1:3" x14ac:dyDescent="0.2">
      <c r="A124">
        <v>128</v>
      </c>
      <c r="B124">
        <v>1</v>
      </c>
      <c r="C124">
        <v>0.196223768981199</v>
      </c>
    </row>
    <row r="125" spans="1:3" x14ac:dyDescent="0.2">
      <c r="A125">
        <v>129</v>
      </c>
      <c r="B125">
        <v>1</v>
      </c>
      <c r="C125">
        <v>0.20608526814610501</v>
      </c>
    </row>
    <row r="126" spans="1:3" x14ac:dyDescent="0.2">
      <c r="A126">
        <v>130</v>
      </c>
      <c r="B126">
        <v>4</v>
      </c>
      <c r="C126">
        <v>0.48527330493733456</v>
      </c>
    </row>
    <row r="127" spans="1:3" x14ac:dyDescent="0.2">
      <c r="A127">
        <v>131</v>
      </c>
      <c r="B127">
        <v>3</v>
      </c>
      <c r="C127">
        <v>0.45885730603647329</v>
      </c>
    </row>
    <row r="128" spans="1:3" x14ac:dyDescent="0.2">
      <c r="A128">
        <v>132</v>
      </c>
      <c r="B128">
        <v>5</v>
      </c>
      <c r="C128">
        <v>0.68548495431164502</v>
      </c>
    </row>
    <row r="129" spans="1:3" x14ac:dyDescent="0.2">
      <c r="A129">
        <v>133</v>
      </c>
      <c r="B129">
        <v>4</v>
      </c>
      <c r="C129">
        <v>0.48214858663488602</v>
      </c>
    </row>
    <row r="130" spans="1:3" x14ac:dyDescent="0.2">
      <c r="A130">
        <v>134</v>
      </c>
      <c r="B130">
        <v>4</v>
      </c>
      <c r="C130">
        <v>0.98344419129201666</v>
      </c>
    </row>
    <row r="131" spans="1:3" x14ac:dyDescent="0.2">
      <c r="A131">
        <v>135</v>
      </c>
      <c r="B131">
        <v>3</v>
      </c>
      <c r="C131">
        <v>0.22716758478865071</v>
      </c>
    </row>
    <row r="132" spans="1:3" x14ac:dyDescent="0.2">
      <c r="A132">
        <v>136</v>
      </c>
      <c r="B132">
        <v>4</v>
      </c>
      <c r="C132">
        <v>0.50266425419821903</v>
      </c>
    </row>
    <row r="133" spans="1:3" x14ac:dyDescent="0.2">
      <c r="A133">
        <v>137</v>
      </c>
      <c r="B133">
        <v>5</v>
      </c>
      <c r="C133">
        <v>0.91315458259101101</v>
      </c>
    </row>
    <row r="134" spans="1:3" x14ac:dyDescent="0.2">
      <c r="A134">
        <v>138</v>
      </c>
      <c r="B134">
        <v>4</v>
      </c>
      <c r="C134">
        <v>0.2895543777291657</v>
      </c>
    </row>
    <row r="135" spans="1:3" x14ac:dyDescent="0.2">
      <c r="A135">
        <v>139</v>
      </c>
      <c r="B135">
        <v>7</v>
      </c>
      <c r="C135">
        <v>1.5026562994728645</v>
      </c>
    </row>
    <row r="136" spans="1:3" x14ac:dyDescent="0.2">
      <c r="A136">
        <v>140</v>
      </c>
      <c r="B136">
        <v>3</v>
      </c>
      <c r="C136">
        <v>0.45118613958014586</v>
      </c>
    </row>
    <row r="137" spans="1:3" x14ac:dyDescent="0.2">
      <c r="A137">
        <v>141</v>
      </c>
      <c r="B137">
        <v>2</v>
      </c>
      <c r="C137">
        <v>0.37600022002522199</v>
      </c>
    </row>
    <row r="138" spans="1:3" x14ac:dyDescent="0.2">
      <c r="A138">
        <v>142</v>
      </c>
      <c r="B138">
        <v>2</v>
      </c>
      <c r="C138">
        <v>0.31573932800281201</v>
      </c>
    </row>
    <row r="139" spans="1:3" x14ac:dyDescent="0.2">
      <c r="A139">
        <v>144</v>
      </c>
      <c r="B139">
        <v>1</v>
      </c>
      <c r="C139">
        <v>0.31954375157466303</v>
      </c>
    </row>
    <row r="140" spans="1:3" x14ac:dyDescent="0.2">
      <c r="A140">
        <v>145</v>
      </c>
      <c r="B140">
        <v>5</v>
      </c>
      <c r="C140">
        <v>0.77634256378548505</v>
      </c>
    </row>
    <row r="141" spans="1:3" x14ac:dyDescent="0.2">
      <c r="A141">
        <v>146</v>
      </c>
      <c r="B141">
        <v>2</v>
      </c>
      <c r="C141">
        <v>0.44735450710884</v>
      </c>
    </row>
    <row r="142" spans="1:3" x14ac:dyDescent="0.2">
      <c r="A142">
        <v>147</v>
      </c>
      <c r="B142">
        <v>2</v>
      </c>
      <c r="C142">
        <v>0.18951464151436448</v>
      </c>
    </row>
    <row r="143" spans="1:3" x14ac:dyDescent="0.2">
      <c r="A143">
        <v>148</v>
      </c>
      <c r="B143">
        <v>1</v>
      </c>
      <c r="C143">
        <v>0.51230313247678805</v>
      </c>
    </row>
    <row r="144" spans="1:3" x14ac:dyDescent="0.2">
      <c r="A144">
        <v>149</v>
      </c>
      <c r="B144">
        <v>2</v>
      </c>
      <c r="C144">
        <v>0.399250881277051</v>
      </c>
    </row>
    <row r="145" spans="1:3" x14ac:dyDescent="0.2">
      <c r="A145">
        <v>150</v>
      </c>
      <c r="B145">
        <v>4</v>
      </c>
      <c r="C145">
        <v>0.52531983050426401</v>
      </c>
    </row>
    <row r="146" spans="1:3" x14ac:dyDescent="0.2">
      <c r="A146">
        <v>151</v>
      </c>
      <c r="B146">
        <v>5</v>
      </c>
      <c r="C146">
        <v>0.90071665247438226</v>
      </c>
    </row>
    <row r="147" spans="1:3" x14ac:dyDescent="0.2">
      <c r="A147">
        <v>152</v>
      </c>
      <c r="B147">
        <v>3</v>
      </c>
      <c r="C147">
        <v>0.12607259030896889</v>
      </c>
    </row>
    <row r="148" spans="1:3" x14ac:dyDescent="0.2">
      <c r="A148">
        <v>153</v>
      </c>
      <c r="B148">
        <v>2</v>
      </c>
      <c r="C148">
        <v>1.326031501733439</v>
      </c>
    </row>
    <row r="149" spans="1:3" x14ac:dyDescent="0.2">
      <c r="A149">
        <v>154</v>
      </c>
      <c r="B149">
        <v>2</v>
      </c>
      <c r="C149">
        <v>0.609600011915166</v>
      </c>
    </row>
    <row r="150" spans="1:3" x14ac:dyDescent="0.2">
      <c r="A150">
        <v>155</v>
      </c>
      <c r="B150">
        <v>1</v>
      </c>
      <c r="C150">
        <v>0.20366776118761101</v>
      </c>
    </row>
    <row r="151" spans="1:3" x14ac:dyDescent="0.2">
      <c r="A151">
        <v>156</v>
      </c>
      <c r="B151">
        <v>2</v>
      </c>
      <c r="C151">
        <v>0.37778274046979099</v>
      </c>
    </row>
    <row r="152" spans="1:3" x14ac:dyDescent="0.2">
      <c r="A152">
        <v>157</v>
      </c>
      <c r="B152">
        <v>3</v>
      </c>
      <c r="C152">
        <v>0.60226730205224266</v>
      </c>
    </row>
    <row r="153" spans="1:3" x14ac:dyDescent="0.2">
      <c r="A153">
        <v>158</v>
      </c>
      <c r="B153">
        <v>2</v>
      </c>
      <c r="C153">
        <v>0.62840640451805596</v>
      </c>
    </row>
    <row r="154" spans="1:3" x14ac:dyDescent="0.2">
      <c r="A154">
        <v>159</v>
      </c>
      <c r="B154">
        <v>3</v>
      </c>
      <c r="C154">
        <v>1.4723899013730439</v>
      </c>
    </row>
    <row r="155" spans="1:3" x14ac:dyDescent="0.2">
      <c r="A155">
        <v>160</v>
      </c>
      <c r="B155">
        <v>2</v>
      </c>
      <c r="C155">
        <v>0.3772421861256412</v>
      </c>
    </row>
    <row r="156" spans="1:3" x14ac:dyDescent="0.2">
      <c r="A156">
        <v>161</v>
      </c>
      <c r="B156">
        <v>3</v>
      </c>
      <c r="C156">
        <v>0.49507324754382198</v>
      </c>
    </row>
    <row r="157" spans="1:3" x14ac:dyDescent="0.2">
      <c r="A157">
        <v>162</v>
      </c>
      <c r="B157">
        <v>2</v>
      </c>
      <c r="C157">
        <v>0.14268288805370349</v>
      </c>
    </row>
    <row r="158" spans="1:3" x14ac:dyDescent="0.2">
      <c r="A158">
        <v>163</v>
      </c>
      <c r="B158">
        <v>4</v>
      </c>
      <c r="C158">
        <v>0.61046691491778771</v>
      </c>
    </row>
    <row r="159" spans="1:3" x14ac:dyDescent="0.2">
      <c r="A159">
        <v>164</v>
      </c>
      <c r="B159">
        <v>2</v>
      </c>
      <c r="C159">
        <v>0.12679286937901299</v>
      </c>
    </row>
    <row r="160" spans="1:3" x14ac:dyDescent="0.2">
      <c r="A160">
        <v>165</v>
      </c>
      <c r="B160">
        <v>2</v>
      </c>
      <c r="C160">
        <v>0.48058005369250401</v>
      </c>
    </row>
    <row r="161" spans="1:3" x14ac:dyDescent="0.2">
      <c r="A161">
        <v>166</v>
      </c>
      <c r="B161">
        <v>3</v>
      </c>
      <c r="C161">
        <v>0.27543722463439341</v>
      </c>
    </row>
    <row r="162" spans="1:3" x14ac:dyDescent="0.2">
      <c r="A162">
        <v>167</v>
      </c>
      <c r="B162">
        <v>4</v>
      </c>
      <c r="C162">
        <v>0.69277853953398494</v>
      </c>
    </row>
    <row r="163" spans="1:3" x14ac:dyDescent="0.2">
      <c r="A163">
        <v>168</v>
      </c>
      <c r="B163">
        <v>2</v>
      </c>
      <c r="C163">
        <v>0.1707072780238684</v>
      </c>
    </row>
    <row r="164" spans="1:3" x14ac:dyDescent="0.2">
      <c r="A164">
        <v>169</v>
      </c>
      <c r="B164">
        <v>2</v>
      </c>
      <c r="C164">
        <v>0.18447339239232441</v>
      </c>
    </row>
    <row r="165" spans="1:3" x14ac:dyDescent="0.2">
      <c r="A165">
        <v>170</v>
      </c>
      <c r="B165">
        <v>2</v>
      </c>
      <c r="C165">
        <v>0.60598740940455398</v>
      </c>
    </row>
    <row r="166" spans="1:3" x14ac:dyDescent="0.2">
      <c r="A166">
        <v>171</v>
      </c>
      <c r="B166">
        <v>3</v>
      </c>
      <c r="C166">
        <v>0.72500075590138402</v>
      </c>
    </row>
    <row r="167" spans="1:3" x14ac:dyDescent="0.2">
      <c r="A167">
        <v>172</v>
      </c>
      <c r="B167">
        <v>1</v>
      </c>
      <c r="C167">
        <v>0.19333390488212299</v>
      </c>
    </row>
    <row r="168" spans="1:3" x14ac:dyDescent="0.2">
      <c r="A168">
        <v>173</v>
      </c>
      <c r="B168">
        <v>5</v>
      </c>
      <c r="C168">
        <v>0.82731998662758943</v>
      </c>
    </row>
    <row r="169" spans="1:3" x14ac:dyDescent="0.2">
      <c r="A169">
        <v>174</v>
      </c>
      <c r="B169">
        <v>4</v>
      </c>
      <c r="C169">
        <v>0.41113144067122337</v>
      </c>
    </row>
    <row r="170" spans="1:3" x14ac:dyDescent="0.2">
      <c r="A170">
        <v>175</v>
      </c>
      <c r="B170">
        <v>4</v>
      </c>
      <c r="C170">
        <v>1.160018785590869</v>
      </c>
    </row>
    <row r="171" spans="1:3" x14ac:dyDescent="0.2">
      <c r="A171">
        <v>176</v>
      </c>
      <c r="B171">
        <v>3</v>
      </c>
      <c r="C171">
        <v>0.5143705680326579</v>
      </c>
    </row>
    <row r="172" spans="1:3" x14ac:dyDescent="0.2">
      <c r="A172">
        <v>177</v>
      </c>
      <c r="B172">
        <v>2</v>
      </c>
      <c r="C172">
        <v>0.62210020438254898</v>
      </c>
    </row>
    <row r="173" spans="1:3" x14ac:dyDescent="0.2">
      <c r="A173">
        <v>178</v>
      </c>
      <c r="B173">
        <v>3</v>
      </c>
      <c r="C173">
        <v>0.7573711020642</v>
      </c>
    </row>
    <row r="174" spans="1:3" x14ac:dyDescent="0.2">
      <c r="A174">
        <v>179</v>
      </c>
      <c r="B174">
        <v>5</v>
      </c>
      <c r="C174">
        <v>1.1631630277849949</v>
      </c>
    </row>
    <row r="175" spans="1:3" x14ac:dyDescent="0.2">
      <c r="A175">
        <v>180</v>
      </c>
      <c r="B175">
        <v>3</v>
      </c>
      <c r="C175">
        <v>0.35087198015336601</v>
      </c>
    </row>
    <row r="176" spans="1:3" x14ac:dyDescent="0.2">
      <c r="A176">
        <v>181</v>
      </c>
      <c r="B176">
        <v>5</v>
      </c>
      <c r="C176">
        <v>0.78969309604143301</v>
      </c>
    </row>
    <row r="177" spans="1:3" x14ac:dyDescent="0.2">
      <c r="A177">
        <v>182</v>
      </c>
      <c r="B177">
        <v>2</v>
      </c>
      <c r="C177">
        <v>0.25039837456299691</v>
      </c>
    </row>
    <row r="178" spans="1:3" x14ac:dyDescent="0.2">
      <c r="A178">
        <v>183</v>
      </c>
      <c r="B178">
        <v>4</v>
      </c>
      <c r="C178">
        <v>1.0882647499374478</v>
      </c>
    </row>
    <row r="179" spans="1:3" x14ac:dyDescent="0.2">
      <c r="A179">
        <v>184</v>
      </c>
      <c r="B179">
        <v>2</v>
      </c>
      <c r="C179">
        <v>0.2295065942515731</v>
      </c>
    </row>
    <row r="180" spans="1:3" x14ac:dyDescent="0.2">
      <c r="A180">
        <v>185</v>
      </c>
      <c r="B180">
        <v>3</v>
      </c>
      <c r="C180">
        <v>0.74959952960032661</v>
      </c>
    </row>
    <row r="181" spans="1:3" x14ac:dyDescent="0.2">
      <c r="A181">
        <v>186</v>
      </c>
      <c r="B181">
        <v>3</v>
      </c>
      <c r="C181">
        <v>0.78717189266888066</v>
      </c>
    </row>
    <row r="182" spans="1:3" x14ac:dyDescent="0.2">
      <c r="A182">
        <v>187</v>
      </c>
      <c r="B182">
        <v>2</v>
      </c>
      <c r="C182">
        <v>0.11141431212738891</v>
      </c>
    </row>
    <row r="183" spans="1:3" x14ac:dyDescent="0.2">
      <c r="A183">
        <v>188</v>
      </c>
      <c r="B183">
        <v>3</v>
      </c>
      <c r="C183">
        <v>0.38309064335948217</v>
      </c>
    </row>
    <row r="184" spans="1:3" x14ac:dyDescent="0.2">
      <c r="A184">
        <v>189</v>
      </c>
      <c r="B184">
        <v>5</v>
      </c>
      <c r="C184">
        <v>0.97425904807925301</v>
      </c>
    </row>
    <row r="185" spans="1:3" x14ac:dyDescent="0.2">
      <c r="A185">
        <v>190</v>
      </c>
      <c r="B185">
        <v>5</v>
      </c>
      <c r="C185">
        <v>0.65463864740419875</v>
      </c>
    </row>
    <row r="186" spans="1:3" x14ac:dyDescent="0.2">
      <c r="A186">
        <v>191</v>
      </c>
      <c r="B186">
        <v>2</v>
      </c>
      <c r="C186">
        <v>0.30794729652330022</v>
      </c>
    </row>
    <row r="187" spans="1:3" x14ac:dyDescent="0.2">
      <c r="A187">
        <v>192</v>
      </c>
      <c r="B187">
        <v>2</v>
      </c>
      <c r="C187">
        <v>0.27101485747980431</v>
      </c>
    </row>
    <row r="188" spans="1:3" x14ac:dyDescent="0.2">
      <c r="A188">
        <v>193</v>
      </c>
      <c r="B188">
        <v>7</v>
      </c>
      <c r="C188">
        <v>1.4997184352180317</v>
      </c>
    </row>
    <row r="189" spans="1:3" x14ac:dyDescent="0.2">
      <c r="A189">
        <v>194</v>
      </c>
      <c r="B189">
        <v>3</v>
      </c>
      <c r="C189">
        <v>0.55531036353541752</v>
      </c>
    </row>
    <row r="190" spans="1:3" x14ac:dyDescent="0.2">
      <c r="A190">
        <v>195</v>
      </c>
      <c r="B190">
        <v>6</v>
      </c>
      <c r="C190">
        <v>2.1256032557003501</v>
      </c>
    </row>
    <row r="191" spans="1:3" x14ac:dyDescent="0.2">
      <c r="A191">
        <v>196</v>
      </c>
      <c r="B191">
        <v>3</v>
      </c>
      <c r="C191">
        <v>0.62877852335461504</v>
      </c>
    </row>
    <row r="192" spans="1:3" x14ac:dyDescent="0.2">
      <c r="A192">
        <v>197</v>
      </c>
      <c r="B192">
        <v>2</v>
      </c>
      <c r="C192">
        <v>0.44876204951330634</v>
      </c>
    </row>
    <row r="193" spans="1:3" x14ac:dyDescent="0.2">
      <c r="A193">
        <v>198</v>
      </c>
      <c r="B193">
        <v>4</v>
      </c>
      <c r="C193">
        <v>0.77451569319853142</v>
      </c>
    </row>
    <row r="194" spans="1:3" x14ac:dyDescent="0.2">
      <c r="A194">
        <v>199</v>
      </c>
      <c r="B194">
        <v>1</v>
      </c>
      <c r="C194">
        <v>0.26880647234051203</v>
      </c>
    </row>
    <row r="195" spans="1:3" x14ac:dyDescent="0.2">
      <c r="A195">
        <v>200</v>
      </c>
      <c r="B195">
        <v>3</v>
      </c>
      <c r="C195">
        <v>0.4155571908333987</v>
      </c>
    </row>
    <row r="196" spans="1:3" x14ac:dyDescent="0.2">
      <c r="A196">
        <v>201</v>
      </c>
      <c r="B196">
        <v>2</v>
      </c>
      <c r="C196">
        <v>0.444781419645077</v>
      </c>
    </row>
    <row r="197" spans="1:3" x14ac:dyDescent="0.2">
      <c r="A197">
        <v>202</v>
      </c>
      <c r="B197">
        <v>6</v>
      </c>
      <c r="C197">
        <v>0.95026105556367901</v>
      </c>
    </row>
    <row r="198" spans="1:3" x14ac:dyDescent="0.2">
      <c r="A198">
        <v>203</v>
      </c>
      <c r="B198">
        <v>3</v>
      </c>
      <c r="C198">
        <v>0.80868116917083666</v>
      </c>
    </row>
    <row r="199" spans="1:3" x14ac:dyDescent="0.2">
      <c r="A199">
        <v>204</v>
      </c>
      <c r="B199">
        <v>3</v>
      </c>
      <c r="C199">
        <v>0.72221044199949025</v>
      </c>
    </row>
    <row r="200" spans="1:3" x14ac:dyDescent="0.2">
      <c r="A200">
        <v>205</v>
      </c>
      <c r="B200">
        <v>2</v>
      </c>
      <c r="C200">
        <v>0.295389509979955</v>
      </c>
    </row>
    <row r="201" spans="1:3" x14ac:dyDescent="0.2">
      <c r="A201">
        <v>206</v>
      </c>
      <c r="B201">
        <v>5</v>
      </c>
      <c r="C201">
        <v>0.96605175782919983</v>
      </c>
    </row>
    <row r="202" spans="1:3" x14ac:dyDescent="0.2">
      <c r="A202">
        <v>207</v>
      </c>
      <c r="B202">
        <v>2</v>
      </c>
      <c r="C202">
        <v>0.1010077224560072</v>
      </c>
    </row>
    <row r="203" spans="1:3" x14ac:dyDescent="0.2">
      <c r="A203">
        <v>208</v>
      </c>
      <c r="B203">
        <v>2</v>
      </c>
      <c r="C203">
        <v>0.488216921880535</v>
      </c>
    </row>
    <row r="204" spans="1:3" x14ac:dyDescent="0.2">
      <c r="A204">
        <v>209</v>
      </c>
      <c r="B204">
        <v>1</v>
      </c>
      <c r="C204">
        <v>0.143603114797308</v>
      </c>
    </row>
    <row r="205" spans="1:3" x14ac:dyDescent="0.2">
      <c r="A205">
        <v>210</v>
      </c>
      <c r="B205">
        <v>1</v>
      </c>
      <c r="C205">
        <v>0.120338776243236</v>
      </c>
    </row>
    <row r="206" spans="1:3" x14ac:dyDescent="0.2">
      <c r="A206">
        <v>211</v>
      </c>
      <c r="B206">
        <v>3</v>
      </c>
      <c r="C206">
        <v>0.74426351686616199</v>
      </c>
    </row>
    <row r="207" spans="1:3" x14ac:dyDescent="0.2">
      <c r="A207">
        <v>212</v>
      </c>
      <c r="B207">
        <v>2</v>
      </c>
      <c r="C207">
        <v>0.36133852989132031</v>
      </c>
    </row>
    <row r="208" spans="1:3" x14ac:dyDescent="0.2">
      <c r="A208">
        <v>213</v>
      </c>
      <c r="B208">
        <v>2</v>
      </c>
      <c r="C208">
        <v>0.21746861955218649</v>
      </c>
    </row>
    <row r="209" spans="1:3" x14ac:dyDescent="0.2">
      <c r="A209">
        <v>214</v>
      </c>
      <c r="B209">
        <v>4</v>
      </c>
      <c r="C209">
        <v>0.90135507720184072</v>
      </c>
    </row>
    <row r="210" spans="1:3" x14ac:dyDescent="0.2">
      <c r="A210">
        <v>216</v>
      </c>
      <c r="B210">
        <v>4</v>
      </c>
      <c r="C210">
        <v>0.88585084308238105</v>
      </c>
    </row>
    <row r="211" spans="1:3" x14ac:dyDescent="0.2">
      <c r="A211">
        <v>217</v>
      </c>
      <c r="B211">
        <v>2</v>
      </c>
      <c r="C211">
        <v>0.13441422938058412</v>
      </c>
    </row>
    <row r="212" spans="1:3" x14ac:dyDescent="0.2">
      <c r="A212">
        <v>218</v>
      </c>
      <c r="B212">
        <v>2</v>
      </c>
      <c r="C212">
        <v>0.73627968405281807</v>
      </c>
    </row>
    <row r="213" spans="1:3" x14ac:dyDescent="0.2">
      <c r="A213">
        <v>219</v>
      </c>
      <c r="B213">
        <v>5</v>
      </c>
      <c r="C213">
        <v>1.2854105523724146</v>
      </c>
    </row>
    <row r="214" spans="1:3" x14ac:dyDescent="0.2">
      <c r="A214">
        <v>220</v>
      </c>
      <c r="B214">
        <v>6</v>
      </c>
      <c r="C214">
        <v>0.5828619780062626</v>
      </c>
    </row>
    <row r="215" spans="1:3" x14ac:dyDescent="0.2">
      <c r="A215">
        <v>221</v>
      </c>
      <c r="B215">
        <v>2</v>
      </c>
      <c r="C215">
        <v>0.35997300270101801</v>
      </c>
    </row>
    <row r="216" spans="1:3" x14ac:dyDescent="0.2">
      <c r="A216">
        <v>222</v>
      </c>
      <c r="B216">
        <v>6</v>
      </c>
      <c r="C216">
        <v>1.0542789978263045</v>
      </c>
    </row>
    <row r="217" spans="1:3" x14ac:dyDescent="0.2">
      <c r="A217">
        <v>223</v>
      </c>
      <c r="B217">
        <v>4</v>
      </c>
      <c r="C217">
        <v>0.60221065543561603</v>
      </c>
    </row>
    <row r="218" spans="1:3" x14ac:dyDescent="0.2">
      <c r="A218">
        <v>224</v>
      </c>
      <c r="B218">
        <v>4</v>
      </c>
      <c r="C218">
        <v>0.80759266570291321</v>
      </c>
    </row>
    <row r="219" spans="1:3" x14ac:dyDescent="0.2">
      <c r="A219">
        <v>225</v>
      </c>
      <c r="B219">
        <v>1</v>
      </c>
      <c r="C219">
        <v>0.158980710451326</v>
      </c>
    </row>
    <row r="220" spans="1:3" x14ac:dyDescent="0.2">
      <c r="A220">
        <v>226</v>
      </c>
      <c r="B220">
        <v>2</v>
      </c>
      <c r="C220">
        <v>0.50495946639886102</v>
      </c>
    </row>
    <row r="221" spans="1:3" x14ac:dyDescent="0.2">
      <c r="A221">
        <v>227</v>
      </c>
      <c r="B221">
        <v>3</v>
      </c>
      <c r="C221">
        <v>0.77867462821236655</v>
      </c>
    </row>
    <row r="222" spans="1:3" x14ac:dyDescent="0.2">
      <c r="A222">
        <v>228</v>
      </c>
      <c r="B222">
        <v>3</v>
      </c>
      <c r="C222">
        <v>0.68426525204274957</v>
      </c>
    </row>
    <row r="223" spans="1:3" x14ac:dyDescent="0.2">
      <c r="A223">
        <v>229</v>
      </c>
      <c r="B223">
        <v>4</v>
      </c>
      <c r="C223">
        <v>0.92169250484306797</v>
      </c>
    </row>
    <row r="224" spans="1:3" x14ac:dyDescent="0.2">
      <c r="A224">
        <v>230</v>
      </c>
      <c r="B224">
        <v>5</v>
      </c>
      <c r="C224">
        <v>0.6270438961541317</v>
      </c>
    </row>
    <row r="225" spans="1:3" x14ac:dyDescent="0.2">
      <c r="A225">
        <v>231</v>
      </c>
      <c r="B225">
        <v>3</v>
      </c>
      <c r="C225">
        <v>1.1113528551802518</v>
      </c>
    </row>
    <row r="226" spans="1:3" x14ac:dyDescent="0.2">
      <c r="A226">
        <v>232</v>
      </c>
      <c r="B226">
        <v>3</v>
      </c>
      <c r="C226">
        <v>1.1246426960731322</v>
      </c>
    </row>
    <row r="227" spans="1:3" x14ac:dyDescent="0.2">
      <c r="A227">
        <v>233</v>
      </c>
      <c r="B227">
        <v>3</v>
      </c>
      <c r="C227">
        <v>0.81087331719093203</v>
      </c>
    </row>
    <row r="228" spans="1:3" x14ac:dyDescent="0.2">
      <c r="A228">
        <v>234</v>
      </c>
      <c r="B228">
        <v>1</v>
      </c>
      <c r="C228">
        <v>4.2773572961904198E-2</v>
      </c>
    </row>
    <row r="229" spans="1:3" x14ac:dyDescent="0.2">
      <c r="A229">
        <v>235</v>
      </c>
      <c r="B229">
        <v>2</v>
      </c>
      <c r="C229">
        <v>4.7963028317571502E-2</v>
      </c>
    </row>
    <row r="230" spans="1:3" x14ac:dyDescent="0.2">
      <c r="A230">
        <v>236</v>
      </c>
      <c r="B230">
        <v>2</v>
      </c>
      <c r="C230">
        <v>0.29626380110558703</v>
      </c>
    </row>
    <row r="231" spans="1:3" x14ac:dyDescent="0.2">
      <c r="A231">
        <v>237</v>
      </c>
      <c r="B231">
        <v>1</v>
      </c>
      <c r="C231">
        <v>0.35781029295741301</v>
      </c>
    </row>
    <row r="232" spans="1:3" x14ac:dyDescent="0.2">
      <c r="A232">
        <v>238</v>
      </c>
      <c r="B232">
        <v>5</v>
      </c>
      <c r="C232">
        <v>0.75964071045201287</v>
      </c>
    </row>
    <row r="233" spans="1:3" x14ac:dyDescent="0.2">
      <c r="A233">
        <v>239</v>
      </c>
      <c r="B233">
        <v>1</v>
      </c>
      <c r="C233">
        <v>0.37448182100663402</v>
      </c>
    </row>
    <row r="234" spans="1:3" x14ac:dyDescent="0.2">
      <c r="A234">
        <v>240</v>
      </c>
      <c r="B234">
        <v>4</v>
      </c>
      <c r="C234">
        <v>0.80201945811933895</v>
      </c>
    </row>
    <row r="235" spans="1:3" x14ac:dyDescent="0.2">
      <c r="A235">
        <v>241</v>
      </c>
      <c r="B235">
        <v>3</v>
      </c>
      <c r="C235">
        <v>0.36210841837976293</v>
      </c>
    </row>
    <row r="236" spans="1:3" x14ac:dyDescent="0.2">
      <c r="A236">
        <v>242</v>
      </c>
      <c r="B236">
        <v>4</v>
      </c>
      <c r="C236">
        <v>0.80891826608395101</v>
      </c>
    </row>
    <row r="237" spans="1:3" x14ac:dyDescent="0.2">
      <c r="A237">
        <v>243</v>
      </c>
      <c r="B237">
        <v>1</v>
      </c>
      <c r="C237">
        <v>0.16479614006066701</v>
      </c>
    </row>
    <row r="238" spans="1:3" x14ac:dyDescent="0.2">
      <c r="A238">
        <v>244</v>
      </c>
      <c r="B238">
        <v>3</v>
      </c>
      <c r="C238">
        <v>0.61098905150762861</v>
      </c>
    </row>
    <row r="239" spans="1:3" x14ac:dyDescent="0.2">
      <c r="A239">
        <v>245</v>
      </c>
      <c r="B239">
        <v>2</v>
      </c>
      <c r="C239">
        <v>7.3369851716293705E-2</v>
      </c>
    </row>
    <row r="240" spans="1:3" x14ac:dyDescent="0.2">
      <c r="A240">
        <v>246</v>
      </c>
      <c r="B240">
        <v>4</v>
      </c>
      <c r="C240">
        <v>0.81849109819667532</v>
      </c>
    </row>
    <row r="241" spans="1:3" x14ac:dyDescent="0.2">
      <c r="A241">
        <v>247</v>
      </c>
      <c r="B241">
        <v>2</v>
      </c>
      <c r="C241">
        <v>0.8590043683558839</v>
      </c>
    </row>
    <row r="242" spans="1:3" x14ac:dyDescent="0.2">
      <c r="A242">
        <v>248</v>
      </c>
      <c r="B242">
        <v>7</v>
      </c>
      <c r="C242">
        <v>1.1714802372329474</v>
      </c>
    </row>
    <row r="243" spans="1:3" x14ac:dyDescent="0.2">
      <c r="A243">
        <v>249</v>
      </c>
      <c r="B243">
        <v>7</v>
      </c>
      <c r="C243">
        <v>1.128573265769746</v>
      </c>
    </row>
    <row r="244" spans="1:3" x14ac:dyDescent="0.2">
      <c r="A244">
        <v>250</v>
      </c>
      <c r="B244">
        <v>4</v>
      </c>
      <c r="C244">
        <v>0.6110865963329476</v>
      </c>
    </row>
    <row r="245" spans="1:3" x14ac:dyDescent="0.2">
      <c r="A245">
        <v>251</v>
      </c>
      <c r="B245">
        <v>2</v>
      </c>
      <c r="C245">
        <v>0.31800939898251157</v>
      </c>
    </row>
    <row r="246" spans="1:3" x14ac:dyDescent="0.2">
      <c r="A246">
        <v>252</v>
      </c>
      <c r="B246">
        <v>2</v>
      </c>
      <c r="C246">
        <v>0.44954356126012296</v>
      </c>
    </row>
    <row r="247" spans="1:3" x14ac:dyDescent="0.2">
      <c r="A247">
        <v>253</v>
      </c>
      <c r="B247">
        <v>3</v>
      </c>
      <c r="C247">
        <v>0.39299359955765401</v>
      </c>
    </row>
    <row r="248" spans="1:3" x14ac:dyDescent="0.2">
      <c r="A248">
        <v>254</v>
      </c>
      <c r="B248">
        <v>2</v>
      </c>
      <c r="C248">
        <v>0.48304228423523199</v>
      </c>
    </row>
    <row r="249" spans="1:3" x14ac:dyDescent="0.2">
      <c r="A249">
        <v>255</v>
      </c>
      <c r="B249">
        <v>3</v>
      </c>
      <c r="C249">
        <v>0.22185243594605858</v>
      </c>
    </row>
    <row r="250" spans="1:3" x14ac:dyDescent="0.2">
      <c r="A250">
        <v>256</v>
      </c>
      <c r="B250">
        <v>4</v>
      </c>
      <c r="C250">
        <v>0.73915203269860963</v>
      </c>
    </row>
    <row r="251" spans="1:3" x14ac:dyDescent="0.2">
      <c r="A251">
        <v>257</v>
      </c>
      <c r="B251">
        <v>1</v>
      </c>
      <c r="C251">
        <v>0.14479269971894601</v>
      </c>
    </row>
    <row r="252" spans="1:3" x14ac:dyDescent="0.2">
      <c r="A252">
        <v>258</v>
      </c>
      <c r="B252">
        <v>2</v>
      </c>
      <c r="C252">
        <v>0.49417647360488004</v>
      </c>
    </row>
    <row r="253" spans="1:3" x14ac:dyDescent="0.2">
      <c r="A253">
        <v>259</v>
      </c>
      <c r="B253">
        <v>3</v>
      </c>
      <c r="C253">
        <v>0.77408225024728994</v>
      </c>
    </row>
    <row r="254" spans="1:3" x14ac:dyDescent="0.2">
      <c r="A254">
        <v>260</v>
      </c>
      <c r="B254">
        <v>5</v>
      </c>
      <c r="C254">
        <v>1.3339464274328705</v>
      </c>
    </row>
    <row r="255" spans="1:3" x14ac:dyDescent="0.2">
      <c r="A255">
        <v>261</v>
      </c>
      <c r="B255">
        <v>6</v>
      </c>
      <c r="C255">
        <v>1.3738821187977481</v>
      </c>
    </row>
    <row r="256" spans="1:3" x14ac:dyDescent="0.2">
      <c r="A256">
        <v>262</v>
      </c>
      <c r="B256">
        <v>5</v>
      </c>
      <c r="C256">
        <v>0.87762838768888618</v>
      </c>
    </row>
    <row r="257" spans="1:3" x14ac:dyDescent="0.2">
      <c r="A257">
        <v>263</v>
      </c>
      <c r="B257">
        <v>4</v>
      </c>
      <c r="C257">
        <v>0.33893242840872506</v>
      </c>
    </row>
    <row r="258" spans="1:3" x14ac:dyDescent="0.2">
      <c r="A258">
        <v>264</v>
      </c>
      <c r="B258">
        <v>6</v>
      </c>
      <c r="C258">
        <v>0.94053342075007096</v>
      </c>
    </row>
    <row r="259" spans="1:3" x14ac:dyDescent="0.2">
      <c r="A259">
        <v>265</v>
      </c>
      <c r="B259">
        <v>3</v>
      </c>
      <c r="C259">
        <v>0.3016715619616393</v>
      </c>
    </row>
    <row r="260" spans="1:3" x14ac:dyDescent="0.2">
      <c r="A260">
        <v>266</v>
      </c>
      <c r="B260">
        <v>3</v>
      </c>
      <c r="C260">
        <v>0.38128794890013906</v>
      </c>
    </row>
    <row r="261" spans="1:3" x14ac:dyDescent="0.2">
      <c r="A261">
        <v>267</v>
      </c>
      <c r="B261">
        <v>2</v>
      </c>
      <c r="C261">
        <v>0.43680670500263169</v>
      </c>
    </row>
    <row r="262" spans="1:3" x14ac:dyDescent="0.2">
      <c r="A262">
        <v>268</v>
      </c>
      <c r="B262">
        <v>2</v>
      </c>
      <c r="C262">
        <v>0.296625854262064</v>
      </c>
    </row>
    <row r="263" spans="1:3" x14ac:dyDescent="0.2">
      <c r="A263">
        <v>270</v>
      </c>
      <c r="B263">
        <v>3</v>
      </c>
      <c r="C263">
        <v>0.35335469932857266</v>
      </c>
    </row>
    <row r="264" spans="1:3" x14ac:dyDescent="0.2">
      <c r="A264">
        <v>271</v>
      </c>
      <c r="B264">
        <v>5</v>
      </c>
      <c r="C264">
        <v>0.86185822194768547</v>
      </c>
    </row>
    <row r="265" spans="1:3" x14ac:dyDescent="0.2">
      <c r="A265">
        <v>273</v>
      </c>
      <c r="B265">
        <v>1</v>
      </c>
      <c r="C265">
        <v>4.8343431747746399E-2</v>
      </c>
    </row>
    <row r="266" spans="1:3" x14ac:dyDescent="0.2">
      <c r="A266">
        <v>274</v>
      </c>
      <c r="B266">
        <v>1</v>
      </c>
      <c r="C266">
        <v>0.21718251957488499</v>
      </c>
    </row>
    <row r="267" spans="1:3" x14ac:dyDescent="0.2">
      <c r="A267">
        <v>275</v>
      </c>
      <c r="B267">
        <v>4</v>
      </c>
      <c r="C267">
        <v>0.87769347536742859</v>
      </c>
    </row>
    <row r="268" spans="1:3" x14ac:dyDescent="0.2">
      <c r="A268">
        <v>276</v>
      </c>
      <c r="B268">
        <v>4</v>
      </c>
      <c r="C268">
        <v>0.52403374874574593</v>
      </c>
    </row>
    <row r="269" spans="1:3" x14ac:dyDescent="0.2">
      <c r="A269">
        <v>277</v>
      </c>
      <c r="B269">
        <v>7</v>
      </c>
      <c r="C269">
        <v>1.381998552495439</v>
      </c>
    </row>
    <row r="270" spans="1:3" x14ac:dyDescent="0.2">
      <c r="A270">
        <v>278</v>
      </c>
      <c r="B270">
        <v>3</v>
      </c>
      <c r="C270">
        <v>0.88999475187255994</v>
      </c>
    </row>
    <row r="271" spans="1:3" x14ac:dyDescent="0.2">
      <c r="A271">
        <v>279</v>
      </c>
      <c r="B271">
        <v>1</v>
      </c>
      <c r="C271">
        <v>0.176766141721799</v>
      </c>
    </row>
    <row r="272" spans="1:3" x14ac:dyDescent="0.2">
      <c r="A272">
        <v>280</v>
      </c>
      <c r="B272">
        <v>4</v>
      </c>
      <c r="C272">
        <v>0.88716224911554686</v>
      </c>
    </row>
    <row r="273" spans="1:3" x14ac:dyDescent="0.2">
      <c r="A273">
        <v>281</v>
      </c>
      <c r="B273">
        <v>4</v>
      </c>
      <c r="C273">
        <v>0.65963161515641577</v>
      </c>
    </row>
    <row r="274" spans="1:3" x14ac:dyDescent="0.2">
      <c r="A274">
        <v>282</v>
      </c>
      <c r="B274">
        <v>1</v>
      </c>
      <c r="C274">
        <v>0.23606027711328501</v>
      </c>
    </row>
    <row r="275" spans="1:3" x14ac:dyDescent="0.2">
      <c r="A275">
        <v>283</v>
      </c>
      <c r="B275">
        <v>2</v>
      </c>
      <c r="C275">
        <v>0.47204330944526396</v>
      </c>
    </row>
    <row r="276" spans="1:3" x14ac:dyDescent="0.2">
      <c r="A276">
        <v>284</v>
      </c>
      <c r="B276">
        <v>2</v>
      </c>
      <c r="C276">
        <v>0.35019569542548001</v>
      </c>
    </row>
    <row r="277" spans="1:3" x14ac:dyDescent="0.2">
      <c r="A277">
        <v>285</v>
      </c>
      <c r="B277">
        <v>1</v>
      </c>
      <c r="C277">
        <v>0.227112500422257</v>
      </c>
    </row>
    <row r="278" spans="1:3" x14ac:dyDescent="0.2">
      <c r="A278">
        <v>286</v>
      </c>
      <c r="B278">
        <v>2</v>
      </c>
      <c r="C278">
        <v>0.49887438300803599</v>
      </c>
    </row>
    <row r="279" spans="1:3" x14ac:dyDescent="0.2">
      <c r="A279">
        <v>287</v>
      </c>
      <c r="B279">
        <v>1</v>
      </c>
      <c r="C279">
        <v>0.103987893119104</v>
      </c>
    </row>
    <row r="280" spans="1:3" x14ac:dyDescent="0.2">
      <c r="A280">
        <v>288</v>
      </c>
      <c r="B280">
        <v>2</v>
      </c>
      <c r="C280">
        <v>0.1737226999732481</v>
      </c>
    </row>
    <row r="281" spans="1:3" x14ac:dyDescent="0.2">
      <c r="A281">
        <v>289</v>
      </c>
      <c r="B281">
        <v>1</v>
      </c>
      <c r="C281">
        <v>0.42372673570428798</v>
      </c>
    </row>
    <row r="282" spans="1:3" x14ac:dyDescent="0.2">
      <c r="A282">
        <v>290</v>
      </c>
      <c r="B282">
        <v>4</v>
      </c>
      <c r="C282">
        <v>0.42312156739695983</v>
      </c>
    </row>
    <row r="283" spans="1:3" x14ac:dyDescent="0.2">
      <c r="A283">
        <v>291</v>
      </c>
      <c r="B283">
        <v>2</v>
      </c>
      <c r="C283">
        <v>0.32261751099446101</v>
      </c>
    </row>
    <row r="284" spans="1:3" x14ac:dyDescent="0.2">
      <c r="A284">
        <v>292</v>
      </c>
      <c r="B284">
        <v>1</v>
      </c>
      <c r="C284">
        <v>3.5769598278168398E-2</v>
      </c>
    </row>
    <row r="285" spans="1:3" x14ac:dyDescent="0.2">
      <c r="A285">
        <v>293</v>
      </c>
      <c r="B285">
        <v>1</v>
      </c>
      <c r="C285">
        <v>0.104288193254921</v>
      </c>
    </row>
    <row r="286" spans="1:3" x14ac:dyDescent="0.2">
      <c r="A286">
        <v>294</v>
      </c>
      <c r="B286">
        <v>5</v>
      </c>
      <c r="C286">
        <v>0.56638848144094689</v>
      </c>
    </row>
    <row r="287" spans="1:3" x14ac:dyDescent="0.2">
      <c r="A287">
        <v>295</v>
      </c>
      <c r="B287">
        <v>4</v>
      </c>
      <c r="C287">
        <v>0.70047156568720526</v>
      </c>
    </row>
    <row r="288" spans="1:3" x14ac:dyDescent="0.2">
      <c r="A288">
        <v>296</v>
      </c>
      <c r="B288">
        <v>5</v>
      </c>
      <c r="C288">
        <v>0.57971046251840685</v>
      </c>
    </row>
    <row r="289" spans="1:3" x14ac:dyDescent="0.2">
      <c r="A289">
        <v>297</v>
      </c>
      <c r="B289">
        <v>7</v>
      </c>
      <c r="C289">
        <v>1.6945855229479467</v>
      </c>
    </row>
    <row r="290" spans="1:3" x14ac:dyDescent="0.2">
      <c r="A290">
        <v>298</v>
      </c>
      <c r="B290">
        <v>1</v>
      </c>
      <c r="C290">
        <v>0.20461037744625801</v>
      </c>
    </row>
    <row r="291" spans="1:3" x14ac:dyDescent="0.2">
      <c r="A291">
        <v>299</v>
      </c>
      <c r="B291">
        <v>1</v>
      </c>
      <c r="C291">
        <v>6.16945138016253E-2</v>
      </c>
    </row>
    <row r="292" spans="1:3" x14ac:dyDescent="0.2">
      <c r="A292">
        <v>300</v>
      </c>
      <c r="B292">
        <v>4</v>
      </c>
      <c r="C292">
        <v>0.74923483388686296</v>
      </c>
    </row>
    <row r="293" spans="1:3" x14ac:dyDescent="0.2">
      <c r="A293">
        <v>301</v>
      </c>
      <c r="B293">
        <v>4</v>
      </c>
      <c r="C293">
        <v>0.91115173951974504</v>
      </c>
    </row>
    <row r="294" spans="1:3" x14ac:dyDescent="0.2">
      <c r="A294">
        <v>303</v>
      </c>
      <c r="B294">
        <v>4</v>
      </c>
      <c r="C294">
        <v>0.69956726847558504</v>
      </c>
    </row>
    <row r="295" spans="1:3" x14ac:dyDescent="0.2">
      <c r="A295">
        <v>304</v>
      </c>
      <c r="B295">
        <v>4</v>
      </c>
      <c r="C295">
        <v>0.87049980082130596</v>
      </c>
    </row>
    <row r="296" spans="1:3" x14ac:dyDescent="0.2">
      <c r="A296">
        <v>305</v>
      </c>
      <c r="B296">
        <v>3</v>
      </c>
      <c r="C296">
        <v>0.56393447227819904</v>
      </c>
    </row>
    <row r="297" spans="1:3" x14ac:dyDescent="0.2">
      <c r="A297">
        <v>306</v>
      </c>
      <c r="B297">
        <v>3</v>
      </c>
      <c r="C297">
        <v>0.50455354879896763</v>
      </c>
    </row>
    <row r="298" spans="1:3" x14ac:dyDescent="0.2">
      <c r="A298">
        <v>307</v>
      </c>
      <c r="B298">
        <v>1</v>
      </c>
      <c r="C298">
        <v>0.10490530109259</v>
      </c>
    </row>
    <row r="299" spans="1:3" x14ac:dyDescent="0.2">
      <c r="A299">
        <v>309</v>
      </c>
      <c r="B299">
        <v>3</v>
      </c>
      <c r="C299">
        <v>0.56702717796654833</v>
      </c>
    </row>
    <row r="300" spans="1:3" x14ac:dyDescent="0.2">
      <c r="A300">
        <v>310</v>
      </c>
      <c r="B300">
        <v>3</v>
      </c>
      <c r="C300">
        <v>0.73079001382540998</v>
      </c>
    </row>
    <row r="301" spans="1:3" x14ac:dyDescent="0.2">
      <c r="A301">
        <v>311</v>
      </c>
      <c r="B301">
        <v>2</v>
      </c>
      <c r="C301">
        <v>0.31497209022816292</v>
      </c>
    </row>
    <row r="302" spans="1:3" x14ac:dyDescent="0.2">
      <c r="A302">
        <v>312</v>
      </c>
      <c r="B302">
        <v>3</v>
      </c>
      <c r="C302">
        <v>0.50248792343985682</v>
      </c>
    </row>
    <row r="303" spans="1:3" x14ac:dyDescent="0.2">
      <c r="A303">
        <v>313</v>
      </c>
      <c r="B303">
        <v>4</v>
      </c>
      <c r="C303">
        <v>1.0967924877891908</v>
      </c>
    </row>
    <row r="304" spans="1:3" x14ac:dyDescent="0.2">
      <c r="A304">
        <v>314</v>
      </c>
      <c r="B304">
        <v>1</v>
      </c>
      <c r="C304">
        <v>0.25285855342458102</v>
      </c>
    </row>
    <row r="305" spans="1:3" x14ac:dyDescent="0.2">
      <c r="A305">
        <v>315</v>
      </c>
      <c r="B305">
        <v>2</v>
      </c>
      <c r="C305">
        <v>0.35380844311769433</v>
      </c>
    </row>
    <row r="306" spans="1:3" x14ac:dyDescent="0.2">
      <c r="A306">
        <v>316</v>
      </c>
      <c r="B306">
        <v>4</v>
      </c>
      <c r="C306">
        <v>1.1150804484874235</v>
      </c>
    </row>
    <row r="307" spans="1:3" x14ac:dyDescent="0.2">
      <c r="A307">
        <v>317</v>
      </c>
      <c r="B307">
        <v>5</v>
      </c>
      <c r="C307">
        <v>1.2266118120578102</v>
      </c>
    </row>
    <row r="308" spans="1:3" x14ac:dyDescent="0.2">
      <c r="A308">
        <v>318</v>
      </c>
      <c r="B308">
        <v>2</v>
      </c>
      <c r="C308">
        <v>0.27724804495951982</v>
      </c>
    </row>
    <row r="309" spans="1:3" x14ac:dyDescent="0.2">
      <c r="A309">
        <v>319</v>
      </c>
      <c r="B309">
        <v>2</v>
      </c>
      <c r="C309">
        <v>0.833578371267097</v>
      </c>
    </row>
    <row r="310" spans="1:3" x14ac:dyDescent="0.2">
      <c r="A310">
        <v>320</v>
      </c>
      <c r="B310">
        <v>5</v>
      </c>
      <c r="C310">
        <v>1.1926241046167601</v>
      </c>
    </row>
    <row r="311" spans="1:3" x14ac:dyDescent="0.2">
      <c r="A311">
        <v>321</v>
      </c>
      <c r="B311">
        <v>5</v>
      </c>
      <c r="C311">
        <v>1.0669212399143031</v>
      </c>
    </row>
    <row r="312" spans="1:3" x14ac:dyDescent="0.2">
      <c r="A312">
        <v>322</v>
      </c>
      <c r="B312">
        <v>2</v>
      </c>
      <c r="C312">
        <v>9.1703790040081598E-2</v>
      </c>
    </row>
    <row r="313" spans="1:3" x14ac:dyDescent="0.2">
      <c r="A313">
        <v>323</v>
      </c>
      <c r="B313">
        <v>1</v>
      </c>
      <c r="C313">
        <v>0.15075200197039401</v>
      </c>
    </row>
    <row r="314" spans="1:3" x14ac:dyDescent="0.2">
      <c r="A314">
        <v>324</v>
      </c>
      <c r="B314">
        <v>4</v>
      </c>
      <c r="C314">
        <v>1.2426944099897121</v>
      </c>
    </row>
    <row r="315" spans="1:3" x14ac:dyDescent="0.2">
      <c r="A315">
        <v>325</v>
      </c>
      <c r="B315">
        <v>1</v>
      </c>
      <c r="C315">
        <v>0.18650122864007401</v>
      </c>
    </row>
    <row r="316" spans="1:3" x14ac:dyDescent="0.2">
      <c r="A316">
        <v>327</v>
      </c>
      <c r="B316">
        <v>10</v>
      </c>
      <c r="C316">
        <v>2.2858983383904823</v>
      </c>
    </row>
    <row r="317" spans="1:3" x14ac:dyDescent="0.2">
      <c r="A317">
        <v>329</v>
      </c>
      <c r="B317">
        <v>2</v>
      </c>
      <c r="C317">
        <v>0.25936976796455352</v>
      </c>
    </row>
    <row r="318" spans="1:3" x14ac:dyDescent="0.2">
      <c r="A318">
        <v>330</v>
      </c>
      <c r="B318">
        <v>5</v>
      </c>
      <c r="C318">
        <v>0.66681977748846577</v>
      </c>
    </row>
    <row r="319" spans="1:3" x14ac:dyDescent="0.2">
      <c r="A319">
        <v>331</v>
      </c>
      <c r="B319">
        <v>3</v>
      </c>
      <c r="C319">
        <v>1.1480318177053122</v>
      </c>
    </row>
    <row r="320" spans="1:3" x14ac:dyDescent="0.2">
      <c r="A320">
        <v>332</v>
      </c>
      <c r="B320">
        <v>2</v>
      </c>
      <c r="C320">
        <v>0.454450884658536</v>
      </c>
    </row>
    <row r="321" spans="1:3" x14ac:dyDescent="0.2">
      <c r="A321">
        <v>333</v>
      </c>
      <c r="B321">
        <v>4</v>
      </c>
      <c r="C321">
        <v>1.3405845095849651</v>
      </c>
    </row>
    <row r="322" spans="1:3" x14ac:dyDescent="0.2">
      <c r="A322">
        <v>334</v>
      </c>
      <c r="B322">
        <v>5</v>
      </c>
      <c r="C322">
        <v>0.89338061234017541</v>
      </c>
    </row>
    <row r="323" spans="1:3" x14ac:dyDescent="0.2">
      <c r="A323">
        <v>335</v>
      </c>
      <c r="B323">
        <v>2</v>
      </c>
      <c r="C323">
        <v>0.31136891848194398</v>
      </c>
    </row>
    <row r="324" spans="1:3" x14ac:dyDescent="0.2">
      <c r="A324">
        <v>336</v>
      </c>
      <c r="B324">
        <v>3</v>
      </c>
      <c r="C324">
        <v>0.63061302373876471</v>
      </c>
    </row>
    <row r="325" spans="1:3" x14ac:dyDescent="0.2">
      <c r="A325">
        <v>337</v>
      </c>
      <c r="B325">
        <v>4</v>
      </c>
      <c r="C325">
        <v>0.80315177633396662</v>
      </c>
    </row>
    <row r="326" spans="1:3" x14ac:dyDescent="0.2">
      <c r="A326">
        <v>338</v>
      </c>
      <c r="B326">
        <v>3</v>
      </c>
      <c r="C326">
        <v>0.69053180087943367</v>
      </c>
    </row>
    <row r="327" spans="1:3" x14ac:dyDescent="0.2">
      <c r="A327">
        <v>339</v>
      </c>
      <c r="B327">
        <v>3</v>
      </c>
      <c r="C327">
        <v>0.55468252292336229</v>
      </c>
    </row>
    <row r="328" spans="1:3" x14ac:dyDescent="0.2">
      <c r="A328">
        <v>340</v>
      </c>
      <c r="B328">
        <v>7</v>
      </c>
      <c r="C328">
        <v>1.307248158964228</v>
      </c>
    </row>
    <row r="329" spans="1:3" x14ac:dyDescent="0.2">
      <c r="A329">
        <v>341</v>
      </c>
      <c r="B329">
        <v>2</v>
      </c>
      <c r="C329">
        <v>0.16739847568414429</v>
      </c>
    </row>
    <row r="330" spans="1:3" x14ac:dyDescent="0.2">
      <c r="A330">
        <v>342</v>
      </c>
      <c r="B330">
        <v>1</v>
      </c>
      <c r="C330">
        <v>0.24911290871024799</v>
      </c>
    </row>
    <row r="331" spans="1:3" x14ac:dyDescent="0.2">
      <c r="A331">
        <v>343</v>
      </c>
      <c r="B331">
        <v>3</v>
      </c>
      <c r="C331">
        <v>0.67035519664873555</v>
      </c>
    </row>
    <row r="332" spans="1:3" x14ac:dyDescent="0.2">
      <c r="A332">
        <v>344</v>
      </c>
      <c r="B332">
        <v>2</v>
      </c>
      <c r="C332">
        <v>0.35584262419594481</v>
      </c>
    </row>
    <row r="333" spans="1:3" x14ac:dyDescent="0.2">
      <c r="A333">
        <v>345</v>
      </c>
      <c r="B333">
        <v>3</v>
      </c>
      <c r="C333">
        <v>0.38040039002093101</v>
      </c>
    </row>
    <row r="334" spans="1:3" x14ac:dyDescent="0.2">
      <c r="A334">
        <v>346</v>
      </c>
      <c r="B334">
        <v>2</v>
      </c>
      <c r="C334">
        <v>0.45448310890690802</v>
      </c>
    </row>
    <row r="335" spans="1:3" x14ac:dyDescent="0.2">
      <c r="A335">
        <v>347</v>
      </c>
      <c r="B335">
        <v>7</v>
      </c>
      <c r="C335">
        <v>0.96587721584346387</v>
      </c>
    </row>
    <row r="336" spans="1:3" x14ac:dyDescent="0.2">
      <c r="A336">
        <v>348</v>
      </c>
      <c r="B336">
        <v>2</v>
      </c>
      <c r="C336">
        <v>0.2007508134219603</v>
      </c>
    </row>
    <row r="337" spans="1:3" x14ac:dyDescent="0.2">
      <c r="A337">
        <v>349</v>
      </c>
      <c r="B337">
        <v>2</v>
      </c>
      <c r="C337">
        <v>0.73802718281752699</v>
      </c>
    </row>
    <row r="338" spans="1:3" x14ac:dyDescent="0.2">
      <c r="A338">
        <v>350</v>
      </c>
      <c r="B338">
        <v>3</v>
      </c>
      <c r="C338">
        <v>0.4147814621790904</v>
      </c>
    </row>
    <row r="339" spans="1:3" x14ac:dyDescent="0.2">
      <c r="A339">
        <v>351</v>
      </c>
      <c r="B339">
        <v>1</v>
      </c>
      <c r="C339">
        <v>0.25201486365924203</v>
      </c>
    </row>
    <row r="340" spans="1:3" x14ac:dyDescent="0.2">
      <c r="A340">
        <v>352</v>
      </c>
      <c r="B340">
        <v>7</v>
      </c>
      <c r="C340">
        <v>1.0705461934158453</v>
      </c>
    </row>
    <row r="341" spans="1:3" x14ac:dyDescent="0.2">
      <c r="A341">
        <v>353</v>
      </c>
      <c r="B341">
        <v>3</v>
      </c>
      <c r="C341">
        <v>0.47555595608419399</v>
      </c>
    </row>
    <row r="342" spans="1:3" x14ac:dyDescent="0.2">
      <c r="A342">
        <v>354</v>
      </c>
      <c r="B342">
        <v>1</v>
      </c>
      <c r="C342">
        <v>0.20974428280676999</v>
      </c>
    </row>
    <row r="343" spans="1:3" x14ac:dyDescent="0.2">
      <c r="A343">
        <v>355</v>
      </c>
      <c r="B343">
        <v>3</v>
      </c>
      <c r="C343">
        <v>0.4534367519816862</v>
      </c>
    </row>
    <row r="344" spans="1:3" x14ac:dyDescent="0.2">
      <c r="A344">
        <v>356</v>
      </c>
      <c r="B344">
        <v>7</v>
      </c>
      <c r="C344">
        <v>2.0267569174565505</v>
      </c>
    </row>
    <row r="345" spans="1:3" x14ac:dyDescent="0.2">
      <c r="A345">
        <v>357</v>
      </c>
      <c r="B345">
        <v>4</v>
      </c>
      <c r="C345">
        <v>1.0099307200368481</v>
      </c>
    </row>
    <row r="346" spans="1:3" x14ac:dyDescent="0.2">
      <c r="A346">
        <v>358</v>
      </c>
      <c r="B346">
        <v>2</v>
      </c>
      <c r="C346">
        <v>0.13913331671374202</v>
      </c>
    </row>
    <row r="347" spans="1:3" x14ac:dyDescent="0.2">
      <c r="A347">
        <v>359</v>
      </c>
      <c r="B347">
        <v>2</v>
      </c>
      <c r="C347">
        <v>0.23771489629809628</v>
      </c>
    </row>
    <row r="348" spans="1:3" x14ac:dyDescent="0.2">
      <c r="A348">
        <v>360</v>
      </c>
      <c r="B348">
        <v>5</v>
      </c>
      <c r="C348">
        <v>1.30964489905059</v>
      </c>
    </row>
    <row r="349" spans="1:3" x14ac:dyDescent="0.2">
      <c r="A349">
        <v>361</v>
      </c>
      <c r="B349">
        <v>1</v>
      </c>
      <c r="C349">
        <v>9.8150350876126793E-2</v>
      </c>
    </row>
    <row r="350" spans="1:3" x14ac:dyDescent="0.2">
      <c r="A350">
        <v>362</v>
      </c>
      <c r="B350">
        <v>1</v>
      </c>
      <c r="C350">
        <v>0.12241273807658801</v>
      </c>
    </row>
    <row r="351" spans="1:3" x14ac:dyDescent="0.2">
      <c r="A351">
        <v>363</v>
      </c>
      <c r="B351">
        <v>5</v>
      </c>
      <c r="C351">
        <v>1.515795803138287</v>
      </c>
    </row>
    <row r="352" spans="1:3" x14ac:dyDescent="0.2">
      <c r="A352">
        <v>364</v>
      </c>
      <c r="B352">
        <v>2</v>
      </c>
      <c r="C352">
        <v>0.60615708031000004</v>
      </c>
    </row>
    <row r="353" spans="1:3" x14ac:dyDescent="0.2">
      <c r="A353">
        <v>365</v>
      </c>
      <c r="B353">
        <v>2</v>
      </c>
      <c r="C353">
        <v>0.37462538363179881</v>
      </c>
    </row>
    <row r="354" spans="1:3" x14ac:dyDescent="0.2">
      <c r="A354">
        <v>366</v>
      </c>
      <c r="B354">
        <v>4</v>
      </c>
      <c r="C354">
        <v>1.126339479271087</v>
      </c>
    </row>
    <row r="355" spans="1:3" x14ac:dyDescent="0.2">
      <c r="A355">
        <v>367</v>
      </c>
      <c r="B355">
        <v>1</v>
      </c>
      <c r="C355">
        <v>0.10643552302105</v>
      </c>
    </row>
    <row r="356" spans="1:3" x14ac:dyDescent="0.2">
      <c r="A356">
        <v>369</v>
      </c>
      <c r="B356">
        <v>2</v>
      </c>
      <c r="C356">
        <v>0.60829045968845308</v>
      </c>
    </row>
    <row r="357" spans="1:3" x14ac:dyDescent="0.2">
      <c r="A357">
        <v>370</v>
      </c>
      <c r="B357">
        <v>3</v>
      </c>
      <c r="C357">
        <v>0.4885494247485187</v>
      </c>
    </row>
    <row r="358" spans="1:3" x14ac:dyDescent="0.2">
      <c r="A358">
        <v>371</v>
      </c>
      <c r="B358">
        <v>2</v>
      </c>
      <c r="C358">
        <v>0.64710792701709086</v>
      </c>
    </row>
    <row r="359" spans="1:3" x14ac:dyDescent="0.2">
      <c r="A359">
        <v>372</v>
      </c>
      <c r="B359">
        <v>2</v>
      </c>
      <c r="C359">
        <v>0.52321740040531628</v>
      </c>
    </row>
    <row r="360" spans="1:3" x14ac:dyDescent="0.2">
      <c r="A360">
        <v>373</v>
      </c>
      <c r="B360">
        <v>5</v>
      </c>
      <c r="C360">
        <v>0.99328871580661682</v>
      </c>
    </row>
    <row r="361" spans="1:3" x14ac:dyDescent="0.2">
      <c r="A361">
        <v>374</v>
      </c>
      <c r="B361">
        <v>3</v>
      </c>
      <c r="C361">
        <v>0.77700264223326598</v>
      </c>
    </row>
    <row r="362" spans="1:3" x14ac:dyDescent="0.2">
      <c r="A362">
        <v>375</v>
      </c>
      <c r="B362">
        <v>3</v>
      </c>
      <c r="C362">
        <v>0.66197932973237994</v>
      </c>
    </row>
    <row r="363" spans="1:3" x14ac:dyDescent="0.2">
      <c r="A363">
        <v>376</v>
      </c>
      <c r="B363">
        <v>6</v>
      </c>
      <c r="C363">
        <v>0.76748467299245393</v>
      </c>
    </row>
    <row r="364" spans="1:3" x14ac:dyDescent="0.2">
      <c r="A364">
        <v>377</v>
      </c>
      <c r="B364">
        <v>4</v>
      </c>
      <c r="C364">
        <v>0.5000613097937554</v>
      </c>
    </row>
    <row r="365" spans="1:3" x14ac:dyDescent="0.2">
      <c r="A365">
        <v>378</v>
      </c>
      <c r="B365">
        <v>2</v>
      </c>
      <c r="C365">
        <v>0.32492858063935703</v>
      </c>
    </row>
    <row r="366" spans="1:3" x14ac:dyDescent="0.2">
      <c r="A366">
        <v>379</v>
      </c>
      <c r="B366">
        <v>2</v>
      </c>
      <c r="C366">
        <v>0.25597869548660701</v>
      </c>
    </row>
    <row r="367" spans="1:3" x14ac:dyDescent="0.2">
      <c r="A367">
        <v>380</v>
      </c>
      <c r="B367">
        <v>7</v>
      </c>
      <c r="C367">
        <v>0.85098538904728827</v>
      </c>
    </row>
    <row r="368" spans="1:3" x14ac:dyDescent="0.2">
      <c r="A368">
        <v>381</v>
      </c>
      <c r="B368">
        <v>3</v>
      </c>
      <c r="C368">
        <v>0.66222205598371042</v>
      </c>
    </row>
    <row r="369" spans="1:3" x14ac:dyDescent="0.2">
      <c r="A369">
        <v>382</v>
      </c>
      <c r="B369">
        <v>4</v>
      </c>
      <c r="C369">
        <v>1.1345346068998701</v>
      </c>
    </row>
    <row r="370" spans="1:3" x14ac:dyDescent="0.2">
      <c r="A370">
        <v>383</v>
      </c>
      <c r="B370">
        <v>2</v>
      </c>
      <c r="C370">
        <v>0.59380130902954398</v>
      </c>
    </row>
    <row r="371" spans="1:3" x14ac:dyDescent="0.2">
      <c r="A371">
        <v>384</v>
      </c>
      <c r="B371">
        <v>4</v>
      </c>
      <c r="C371">
        <v>0.64098713734317425</v>
      </c>
    </row>
    <row r="372" spans="1:3" x14ac:dyDescent="0.2">
      <c r="A372">
        <v>385</v>
      </c>
      <c r="B372">
        <v>3</v>
      </c>
      <c r="C372">
        <v>0.63980578967184698</v>
      </c>
    </row>
    <row r="373" spans="1:3" x14ac:dyDescent="0.2">
      <c r="A373">
        <v>386</v>
      </c>
      <c r="B373">
        <v>5</v>
      </c>
      <c r="C373">
        <v>0.54028464829180645</v>
      </c>
    </row>
    <row r="374" spans="1:3" x14ac:dyDescent="0.2">
      <c r="A374">
        <v>387</v>
      </c>
      <c r="B374">
        <v>1</v>
      </c>
      <c r="C374">
        <v>0.114799860138929</v>
      </c>
    </row>
    <row r="375" spans="1:3" x14ac:dyDescent="0.2">
      <c r="A375">
        <v>388</v>
      </c>
      <c r="B375">
        <v>2</v>
      </c>
      <c r="C375">
        <v>0.19867471200431358</v>
      </c>
    </row>
    <row r="376" spans="1:3" x14ac:dyDescent="0.2">
      <c r="A376">
        <v>389</v>
      </c>
      <c r="B376">
        <v>1</v>
      </c>
      <c r="C376">
        <v>0.27443477223955298</v>
      </c>
    </row>
    <row r="377" spans="1:3" x14ac:dyDescent="0.2">
      <c r="A377">
        <v>390</v>
      </c>
      <c r="B377">
        <v>2</v>
      </c>
      <c r="C377">
        <v>0.77132028471535807</v>
      </c>
    </row>
    <row r="378" spans="1:3" x14ac:dyDescent="0.2">
      <c r="A378">
        <v>391</v>
      </c>
      <c r="B378">
        <v>7</v>
      </c>
      <c r="C378">
        <v>1.310156260213498</v>
      </c>
    </row>
    <row r="379" spans="1:3" x14ac:dyDescent="0.2">
      <c r="A379">
        <v>392</v>
      </c>
      <c r="B379">
        <v>2</v>
      </c>
      <c r="C379">
        <v>0.62032176020109708</v>
      </c>
    </row>
    <row r="380" spans="1:3" x14ac:dyDescent="0.2">
      <c r="A380">
        <v>393</v>
      </c>
      <c r="B380">
        <v>4</v>
      </c>
      <c r="C380">
        <v>0.54825729905312293</v>
      </c>
    </row>
    <row r="381" spans="1:3" x14ac:dyDescent="0.2">
      <c r="A381">
        <v>394</v>
      </c>
      <c r="B381">
        <v>4</v>
      </c>
      <c r="C381">
        <v>0.79475669297872598</v>
      </c>
    </row>
    <row r="382" spans="1:3" x14ac:dyDescent="0.2">
      <c r="A382">
        <v>395</v>
      </c>
      <c r="B382">
        <v>1</v>
      </c>
      <c r="C382">
        <v>0.134499836005403</v>
      </c>
    </row>
    <row r="383" spans="1:3" x14ac:dyDescent="0.2">
      <c r="A383">
        <v>396</v>
      </c>
      <c r="B383">
        <v>2</v>
      </c>
      <c r="C383">
        <v>0.17429065830957982</v>
      </c>
    </row>
    <row r="384" spans="1:3" x14ac:dyDescent="0.2">
      <c r="A384">
        <v>397</v>
      </c>
      <c r="B384">
        <v>2</v>
      </c>
      <c r="C384">
        <v>0.19817976103546681</v>
      </c>
    </row>
    <row r="385" spans="1:3" x14ac:dyDescent="0.2">
      <c r="A385">
        <v>398</v>
      </c>
      <c r="B385">
        <v>1</v>
      </c>
      <c r="C385">
        <v>1.4861870094776301E-2</v>
      </c>
    </row>
    <row r="386" spans="1:3" x14ac:dyDescent="0.2">
      <c r="A386">
        <v>399</v>
      </c>
      <c r="B386">
        <v>1</v>
      </c>
      <c r="C386">
        <v>0.63187691270058799</v>
      </c>
    </row>
    <row r="387" spans="1:3" x14ac:dyDescent="0.2">
      <c r="A387">
        <v>400</v>
      </c>
      <c r="B387">
        <v>8</v>
      </c>
      <c r="C387">
        <v>2.2536601643732315</v>
      </c>
    </row>
    <row r="388" spans="1:3" x14ac:dyDescent="0.2">
      <c r="A388">
        <v>401</v>
      </c>
      <c r="B388">
        <v>7</v>
      </c>
      <c r="C388">
        <v>1.6330846598433548</v>
      </c>
    </row>
    <row r="389" spans="1:3" x14ac:dyDescent="0.2">
      <c r="A389">
        <v>402</v>
      </c>
      <c r="B389">
        <v>1</v>
      </c>
      <c r="C389">
        <v>0.110298753016464</v>
      </c>
    </row>
    <row r="390" spans="1:3" x14ac:dyDescent="0.2">
      <c r="A390">
        <v>403</v>
      </c>
      <c r="B390">
        <v>5</v>
      </c>
      <c r="C390">
        <v>1.0977898893690343</v>
      </c>
    </row>
    <row r="391" spans="1:3" x14ac:dyDescent="0.2">
      <c r="A391">
        <v>404</v>
      </c>
      <c r="B391">
        <v>3</v>
      </c>
      <c r="C391">
        <v>0.44929185232890306</v>
      </c>
    </row>
    <row r="392" spans="1:3" x14ac:dyDescent="0.2">
      <c r="A392">
        <v>405</v>
      </c>
      <c r="B392">
        <v>2</v>
      </c>
      <c r="C392">
        <v>0.67182473785528507</v>
      </c>
    </row>
    <row r="393" spans="1:3" x14ac:dyDescent="0.2">
      <c r="A393">
        <v>406</v>
      </c>
      <c r="B393">
        <v>3</v>
      </c>
      <c r="C393">
        <v>0.55238049942839196</v>
      </c>
    </row>
    <row r="394" spans="1:3" x14ac:dyDescent="0.2">
      <c r="A394">
        <v>407</v>
      </c>
      <c r="B394">
        <v>4</v>
      </c>
      <c r="C394">
        <v>1.0396888701678928</v>
      </c>
    </row>
    <row r="395" spans="1:3" x14ac:dyDescent="0.2">
      <c r="A395">
        <v>408</v>
      </c>
      <c r="B395">
        <v>1</v>
      </c>
      <c r="C395">
        <v>8.29734687750356E-2</v>
      </c>
    </row>
    <row r="396" spans="1:3" x14ac:dyDescent="0.2">
      <c r="A396">
        <v>409</v>
      </c>
      <c r="B396">
        <v>2</v>
      </c>
      <c r="C396">
        <v>0.53763166011132701</v>
      </c>
    </row>
    <row r="397" spans="1:3" x14ac:dyDescent="0.2">
      <c r="A397">
        <v>410</v>
      </c>
      <c r="B397">
        <v>4</v>
      </c>
      <c r="C397">
        <v>0.57315893894064951</v>
      </c>
    </row>
    <row r="398" spans="1:3" x14ac:dyDescent="0.2">
      <c r="A398">
        <v>411</v>
      </c>
      <c r="B398">
        <v>2</v>
      </c>
      <c r="C398">
        <v>0.51496971353610321</v>
      </c>
    </row>
    <row r="399" spans="1:3" x14ac:dyDescent="0.2">
      <c r="A399">
        <v>412</v>
      </c>
      <c r="B399">
        <v>5</v>
      </c>
      <c r="C399">
        <v>0.39978125387900404</v>
      </c>
    </row>
    <row r="400" spans="1:3" x14ac:dyDescent="0.2">
      <c r="A400">
        <v>413</v>
      </c>
      <c r="B400">
        <v>2</v>
      </c>
      <c r="C400">
        <v>0.11417302102882279</v>
      </c>
    </row>
    <row r="401" spans="1:3" x14ac:dyDescent="0.2">
      <c r="A401">
        <v>414</v>
      </c>
      <c r="B401">
        <v>3</v>
      </c>
      <c r="C401">
        <v>0.35253297367170666</v>
      </c>
    </row>
    <row r="402" spans="1:3" x14ac:dyDescent="0.2">
      <c r="A402">
        <v>415</v>
      </c>
      <c r="B402">
        <v>2</v>
      </c>
      <c r="C402">
        <v>0.42441984360962898</v>
      </c>
    </row>
    <row r="403" spans="1:3" x14ac:dyDescent="0.2">
      <c r="A403">
        <v>416</v>
      </c>
      <c r="B403">
        <v>1</v>
      </c>
      <c r="C403">
        <v>8.3370582575296295E-2</v>
      </c>
    </row>
    <row r="404" spans="1:3" x14ac:dyDescent="0.2">
      <c r="A404">
        <v>417</v>
      </c>
      <c r="B404">
        <v>6</v>
      </c>
      <c r="C404">
        <v>1.2100587939907503</v>
      </c>
    </row>
    <row r="405" spans="1:3" x14ac:dyDescent="0.2">
      <c r="A405">
        <v>418</v>
      </c>
      <c r="B405">
        <v>2</v>
      </c>
      <c r="C405">
        <v>0.42711281523849898</v>
      </c>
    </row>
    <row r="406" spans="1:3" x14ac:dyDescent="0.2">
      <c r="A406">
        <v>419</v>
      </c>
      <c r="B406">
        <v>3</v>
      </c>
      <c r="C406">
        <v>0.31703009334827298</v>
      </c>
    </row>
    <row r="407" spans="1:3" x14ac:dyDescent="0.2">
      <c r="A407">
        <v>421</v>
      </c>
      <c r="B407">
        <v>3</v>
      </c>
      <c r="C407">
        <v>0.81440322619557537</v>
      </c>
    </row>
    <row r="408" spans="1:3" x14ac:dyDescent="0.2">
      <c r="A408">
        <v>422</v>
      </c>
      <c r="B408">
        <v>3</v>
      </c>
      <c r="C408">
        <v>0.47173794950453773</v>
      </c>
    </row>
    <row r="409" spans="1:3" x14ac:dyDescent="0.2">
      <c r="A409">
        <v>423</v>
      </c>
      <c r="B409">
        <v>3</v>
      </c>
      <c r="C409">
        <v>0.44756149880529117</v>
      </c>
    </row>
    <row r="410" spans="1:3" x14ac:dyDescent="0.2">
      <c r="A410">
        <v>424</v>
      </c>
      <c r="B410">
        <v>2</v>
      </c>
      <c r="C410">
        <v>0.22412085938217052</v>
      </c>
    </row>
    <row r="411" spans="1:3" x14ac:dyDescent="0.2">
      <c r="A411">
        <v>425</v>
      </c>
      <c r="B411">
        <v>5</v>
      </c>
      <c r="C411">
        <v>0.62102765979159824</v>
      </c>
    </row>
    <row r="412" spans="1:3" x14ac:dyDescent="0.2">
      <c r="A412">
        <v>426</v>
      </c>
      <c r="B412">
        <v>3</v>
      </c>
      <c r="C412">
        <v>0.46417787726588239</v>
      </c>
    </row>
    <row r="413" spans="1:3" x14ac:dyDescent="0.2">
      <c r="A413">
        <v>427</v>
      </c>
      <c r="B413">
        <v>2</v>
      </c>
      <c r="C413">
        <v>0.36529971514194626</v>
      </c>
    </row>
    <row r="414" spans="1:3" x14ac:dyDescent="0.2">
      <c r="A414">
        <v>428</v>
      </c>
      <c r="B414">
        <v>2</v>
      </c>
      <c r="C414">
        <v>0.50582206902538895</v>
      </c>
    </row>
    <row r="415" spans="1:3" x14ac:dyDescent="0.2">
      <c r="A415">
        <v>429</v>
      </c>
      <c r="B415">
        <v>1</v>
      </c>
      <c r="C415">
        <v>0.20063702150655899</v>
      </c>
    </row>
    <row r="416" spans="1:3" x14ac:dyDescent="0.2">
      <c r="A416">
        <v>430</v>
      </c>
      <c r="B416">
        <v>5</v>
      </c>
      <c r="C416">
        <v>1.6110769565108201</v>
      </c>
    </row>
    <row r="417" spans="1:3" x14ac:dyDescent="0.2">
      <c r="A417">
        <v>431</v>
      </c>
      <c r="B417">
        <v>6</v>
      </c>
      <c r="C417">
        <v>0.85121266033949405</v>
      </c>
    </row>
    <row r="418" spans="1:3" x14ac:dyDescent="0.2">
      <c r="A418">
        <v>432</v>
      </c>
      <c r="B418">
        <v>3</v>
      </c>
      <c r="C418">
        <v>0.62050760250220893</v>
      </c>
    </row>
    <row r="419" spans="1:3" x14ac:dyDescent="0.2">
      <c r="A419">
        <v>433</v>
      </c>
      <c r="B419">
        <v>2</v>
      </c>
      <c r="C419">
        <v>0.451322570195622</v>
      </c>
    </row>
    <row r="420" spans="1:3" x14ac:dyDescent="0.2">
      <c r="A420">
        <v>434</v>
      </c>
      <c r="B420">
        <v>9</v>
      </c>
      <c r="C420">
        <v>1.6252849497197508</v>
      </c>
    </row>
    <row r="421" spans="1:3" x14ac:dyDescent="0.2">
      <c r="A421">
        <v>435</v>
      </c>
      <c r="B421">
        <v>2</v>
      </c>
      <c r="C421">
        <v>0.50550500753960104</v>
      </c>
    </row>
    <row r="422" spans="1:3" x14ac:dyDescent="0.2">
      <c r="A422">
        <v>436</v>
      </c>
      <c r="B422">
        <v>3</v>
      </c>
      <c r="C422">
        <v>0.65869473377136356</v>
      </c>
    </row>
    <row r="423" spans="1:3" x14ac:dyDescent="0.2">
      <c r="A423">
        <v>437</v>
      </c>
      <c r="B423">
        <v>1</v>
      </c>
      <c r="C423">
        <v>0.10616635118008901</v>
      </c>
    </row>
    <row r="424" spans="1:3" x14ac:dyDescent="0.2">
      <c r="A424">
        <v>438</v>
      </c>
      <c r="B424">
        <v>3</v>
      </c>
      <c r="C424">
        <v>0.50371341154777105</v>
      </c>
    </row>
    <row r="425" spans="1:3" x14ac:dyDescent="0.2">
      <c r="A425">
        <v>439</v>
      </c>
      <c r="B425">
        <v>1</v>
      </c>
      <c r="C425">
        <v>8.7804090870221702E-2</v>
      </c>
    </row>
    <row r="426" spans="1:3" x14ac:dyDescent="0.2">
      <c r="A426">
        <v>440</v>
      </c>
      <c r="B426">
        <v>1</v>
      </c>
      <c r="C426">
        <v>0.152580404440535</v>
      </c>
    </row>
    <row r="427" spans="1:3" x14ac:dyDescent="0.2">
      <c r="A427">
        <v>441</v>
      </c>
      <c r="B427">
        <v>2</v>
      </c>
      <c r="C427">
        <v>0.33866492894157901</v>
      </c>
    </row>
    <row r="428" spans="1:3" x14ac:dyDescent="0.2">
      <c r="A428">
        <v>442</v>
      </c>
      <c r="B428">
        <v>3</v>
      </c>
      <c r="C428">
        <v>0.58962812591222802</v>
      </c>
    </row>
    <row r="429" spans="1:3" x14ac:dyDescent="0.2">
      <c r="A429">
        <v>443</v>
      </c>
      <c r="B429">
        <v>4</v>
      </c>
      <c r="C429">
        <v>0.5537087645009322</v>
      </c>
    </row>
    <row r="430" spans="1:3" x14ac:dyDescent="0.2">
      <c r="A430">
        <v>444</v>
      </c>
      <c r="B430">
        <v>1</v>
      </c>
      <c r="C430">
        <v>0.25758210097763401</v>
      </c>
    </row>
    <row r="431" spans="1:3" x14ac:dyDescent="0.2">
      <c r="A431">
        <v>445</v>
      </c>
      <c r="B431">
        <v>5</v>
      </c>
      <c r="C431">
        <v>0.73177498304380795</v>
      </c>
    </row>
    <row r="432" spans="1:3" x14ac:dyDescent="0.2">
      <c r="A432">
        <v>446</v>
      </c>
      <c r="B432">
        <v>4</v>
      </c>
      <c r="C432">
        <v>1.0485134402233229</v>
      </c>
    </row>
    <row r="433" spans="1:3" x14ac:dyDescent="0.2">
      <c r="A433">
        <v>447</v>
      </c>
      <c r="B433">
        <v>4</v>
      </c>
      <c r="C433">
        <v>0.80599769899941953</v>
      </c>
    </row>
    <row r="434" spans="1:3" x14ac:dyDescent="0.2">
      <c r="A434">
        <v>448</v>
      </c>
      <c r="B434">
        <v>1</v>
      </c>
      <c r="C434">
        <v>0.22546907891228901</v>
      </c>
    </row>
    <row r="435" spans="1:3" x14ac:dyDescent="0.2">
      <c r="A435">
        <v>449</v>
      </c>
      <c r="B435">
        <v>2</v>
      </c>
      <c r="C435">
        <v>0.53264092182608602</v>
      </c>
    </row>
    <row r="436" spans="1:3" x14ac:dyDescent="0.2">
      <c r="A436">
        <v>450</v>
      </c>
      <c r="B436">
        <v>4</v>
      </c>
      <c r="C436">
        <v>0.82914799341044998</v>
      </c>
    </row>
    <row r="437" spans="1:3" x14ac:dyDescent="0.2">
      <c r="A437">
        <v>451</v>
      </c>
      <c r="B437">
        <v>3</v>
      </c>
      <c r="C437">
        <v>0.43570368010849203</v>
      </c>
    </row>
    <row r="438" spans="1:3" x14ac:dyDescent="0.2">
      <c r="A438">
        <v>452</v>
      </c>
      <c r="B438">
        <v>2</v>
      </c>
      <c r="C438">
        <v>0.31966755762226878</v>
      </c>
    </row>
    <row r="439" spans="1:3" x14ac:dyDescent="0.2">
      <c r="A439">
        <v>453</v>
      </c>
      <c r="B439">
        <v>2</v>
      </c>
      <c r="C439">
        <v>0.21451014815736069</v>
      </c>
    </row>
    <row r="440" spans="1:3" x14ac:dyDescent="0.2">
      <c r="A440">
        <v>454</v>
      </c>
      <c r="B440">
        <v>1</v>
      </c>
      <c r="C440">
        <v>0.60146067688030902</v>
      </c>
    </row>
    <row r="441" spans="1:3" x14ac:dyDescent="0.2">
      <c r="A441">
        <v>455</v>
      </c>
      <c r="B441">
        <v>2</v>
      </c>
      <c r="C441">
        <v>0.39651634447508671</v>
      </c>
    </row>
    <row r="442" spans="1:3" x14ac:dyDescent="0.2">
      <c r="A442">
        <v>456</v>
      </c>
      <c r="B442">
        <v>5</v>
      </c>
      <c r="C442">
        <v>0.72700351502490201</v>
      </c>
    </row>
    <row r="443" spans="1:3" x14ac:dyDescent="0.2">
      <c r="A443">
        <v>457</v>
      </c>
      <c r="B443">
        <v>4</v>
      </c>
      <c r="C443">
        <v>0.43442498549062725</v>
      </c>
    </row>
    <row r="444" spans="1:3" x14ac:dyDescent="0.2">
      <c r="A444">
        <v>458</v>
      </c>
      <c r="B444">
        <v>4</v>
      </c>
      <c r="C444">
        <v>0.63751655741987345</v>
      </c>
    </row>
    <row r="445" spans="1:3" x14ac:dyDescent="0.2">
      <c r="A445">
        <v>459</v>
      </c>
      <c r="B445">
        <v>1</v>
      </c>
      <c r="C445">
        <v>0.10024799393761701</v>
      </c>
    </row>
    <row r="446" spans="1:3" x14ac:dyDescent="0.2">
      <c r="A446">
        <v>460</v>
      </c>
      <c r="B446">
        <v>1</v>
      </c>
      <c r="C446">
        <v>0.208192834994674</v>
      </c>
    </row>
    <row r="447" spans="1:3" x14ac:dyDescent="0.2">
      <c r="A447">
        <v>461</v>
      </c>
      <c r="B447">
        <v>7</v>
      </c>
      <c r="C447">
        <v>1.5757026712783704</v>
      </c>
    </row>
    <row r="448" spans="1:3" x14ac:dyDescent="0.2">
      <c r="A448">
        <v>462</v>
      </c>
      <c r="B448">
        <v>3</v>
      </c>
      <c r="C448">
        <v>0.65885698593195197</v>
      </c>
    </row>
    <row r="449" spans="1:3" x14ac:dyDescent="0.2">
      <c r="A449">
        <v>463</v>
      </c>
      <c r="B449">
        <v>3</v>
      </c>
      <c r="C449">
        <v>0.78924770870088901</v>
      </c>
    </row>
    <row r="450" spans="1:3" x14ac:dyDescent="0.2">
      <c r="A450">
        <v>464</v>
      </c>
      <c r="B450">
        <v>1</v>
      </c>
      <c r="C450">
        <v>0.19358354534125199</v>
      </c>
    </row>
    <row r="451" spans="1:3" x14ac:dyDescent="0.2">
      <c r="A451">
        <v>465</v>
      </c>
      <c r="B451">
        <v>3</v>
      </c>
      <c r="C451">
        <v>0.60851585569345246</v>
      </c>
    </row>
    <row r="452" spans="1:3" x14ac:dyDescent="0.2">
      <c r="A452">
        <v>466</v>
      </c>
      <c r="B452">
        <v>2</v>
      </c>
      <c r="C452">
        <v>0.56256393277049399</v>
      </c>
    </row>
    <row r="453" spans="1:3" x14ac:dyDescent="0.2">
      <c r="A453">
        <v>467</v>
      </c>
      <c r="B453">
        <v>2</v>
      </c>
      <c r="C453">
        <v>7.2919361548619901E-2</v>
      </c>
    </row>
    <row r="454" spans="1:3" x14ac:dyDescent="0.2">
      <c r="A454">
        <v>468</v>
      </c>
      <c r="B454">
        <v>4</v>
      </c>
      <c r="C454">
        <v>1.1912124537925701</v>
      </c>
    </row>
    <row r="455" spans="1:3" x14ac:dyDescent="0.2">
      <c r="A455">
        <v>469</v>
      </c>
      <c r="B455">
        <v>2</v>
      </c>
      <c r="C455">
        <v>0.28775798984154921</v>
      </c>
    </row>
    <row r="456" spans="1:3" x14ac:dyDescent="0.2">
      <c r="A456">
        <v>470</v>
      </c>
      <c r="B456">
        <v>4</v>
      </c>
      <c r="C456">
        <v>0.58435879655077905</v>
      </c>
    </row>
    <row r="457" spans="1:3" x14ac:dyDescent="0.2">
      <c r="A457">
        <v>471</v>
      </c>
      <c r="B457">
        <v>1</v>
      </c>
      <c r="C457">
        <v>6.7724001820806706E-2</v>
      </c>
    </row>
    <row r="458" spans="1:3" x14ac:dyDescent="0.2">
      <c r="A458">
        <v>472</v>
      </c>
      <c r="B458">
        <v>5</v>
      </c>
      <c r="C458">
        <v>0.89211558101401334</v>
      </c>
    </row>
    <row r="459" spans="1:3" x14ac:dyDescent="0.2">
      <c r="A459">
        <v>473</v>
      </c>
      <c r="B459">
        <v>3</v>
      </c>
      <c r="C459">
        <v>0.49891339344268698</v>
      </c>
    </row>
    <row r="460" spans="1:3" x14ac:dyDescent="0.2">
      <c r="A460">
        <v>474</v>
      </c>
      <c r="B460">
        <v>4</v>
      </c>
      <c r="C460">
        <v>1.0524446937682126</v>
      </c>
    </row>
    <row r="461" spans="1:3" x14ac:dyDescent="0.2">
      <c r="A461">
        <v>475</v>
      </c>
      <c r="B461">
        <v>4</v>
      </c>
      <c r="C461">
        <v>0.78914666665566124</v>
      </c>
    </row>
    <row r="462" spans="1:3" x14ac:dyDescent="0.2">
      <c r="A462">
        <v>476</v>
      </c>
      <c r="B462">
        <v>3</v>
      </c>
      <c r="C462">
        <v>0.3293368665389626</v>
      </c>
    </row>
    <row r="463" spans="1:3" x14ac:dyDescent="0.2">
      <c r="A463">
        <v>477</v>
      </c>
      <c r="B463">
        <v>3</v>
      </c>
      <c r="C463">
        <v>0.29982998710855319</v>
      </c>
    </row>
    <row r="464" spans="1:3" x14ac:dyDescent="0.2">
      <c r="A464">
        <v>479</v>
      </c>
      <c r="B464">
        <v>2</v>
      </c>
      <c r="C464">
        <v>0.1222742750919603</v>
      </c>
    </row>
    <row r="465" spans="1:3" x14ac:dyDescent="0.2">
      <c r="A465">
        <v>480</v>
      </c>
      <c r="B465">
        <v>4</v>
      </c>
      <c r="C465">
        <v>0.97954017654871184</v>
      </c>
    </row>
    <row r="466" spans="1:3" x14ac:dyDescent="0.2">
      <c r="A466">
        <v>481</v>
      </c>
      <c r="B466">
        <v>2</v>
      </c>
      <c r="C466">
        <v>0.31404501494876813</v>
      </c>
    </row>
    <row r="467" spans="1:3" x14ac:dyDescent="0.2">
      <c r="A467">
        <v>482</v>
      </c>
      <c r="B467">
        <v>4</v>
      </c>
      <c r="C467">
        <v>0.61788769725063375</v>
      </c>
    </row>
    <row r="468" spans="1:3" x14ac:dyDescent="0.2">
      <c r="A468">
        <v>483</v>
      </c>
      <c r="B468">
        <v>2</v>
      </c>
      <c r="C468">
        <v>0.27877508710844939</v>
      </c>
    </row>
    <row r="469" spans="1:3" x14ac:dyDescent="0.2">
      <c r="A469">
        <v>484</v>
      </c>
      <c r="B469">
        <v>4</v>
      </c>
      <c r="C469">
        <v>0.62567413356525003</v>
      </c>
    </row>
    <row r="470" spans="1:3" x14ac:dyDescent="0.2">
      <c r="A470">
        <v>485</v>
      </c>
      <c r="B470">
        <v>6</v>
      </c>
      <c r="C470">
        <v>1.2207082342447737</v>
      </c>
    </row>
    <row r="471" spans="1:3" x14ac:dyDescent="0.2">
      <c r="A471">
        <v>486</v>
      </c>
      <c r="B471">
        <v>1</v>
      </c>
      <c r="C471">
        <v>0.237151818554178</v>
      </c>
    </row>
    <row r="472" spans="1:3" x14ac:dyDescent="0.2">
      <c r="A472">
        <v>487</v>
      </c>
      <c r="B472">
        <v>1</v>
      </c>
      <c r="C472">
        <v>0.18403814480384201</v>
      </c>
    </row>
    <row r="473" spans="1:3" x14ac:dyDescent="0.2">
      <c r="A473">
        <v>488</v>
      </c>
      <c r="B473">
        <v>4</v>
      </c>
      <c r="C473">
        <v>0.99181248943209499</v>
      </c>
    </row>
    <row r="474" spans="1:3" x14ac:dyDescent="0.2">
      <c r="A474">
        <v>489</v>
      </c>
      <c r="B474">
        <v>3</v>
      </c>
      <c r="C474">
        <v>0.25319446697532</v>
      </c>
    </row>
    <row r="475" spans="1:3" x14ac:dyDescent="0.2">
      <c r="A475">
        <v>490</v>
      </c>
      <c r="B475">
        <v>5</v>
      </c>
      <c r="C475">
        <v>0.64786277515982726</v>
      </c>
    </row>
    <row r="476" spans="1:3" x14ac:dyDescent="0.2">
      <c r="A476">
        <v>491</v>
      </c>
      <c r="B476">
        <v>7</v>
      </c>
      <c r="C476">
        <v>1.6479686047033886</v>
      </c>
    </row>
    <row r="477" spans="1:3" x14ac:dyDescent="0.2">
      <c r="A477">
        <v>492</v>
      </c>
      <c r="B477">
        <v>1</v>
      </c>
      <c r="C477">
        <v>0.36875248812801298</v>
      </c>
    </row>
    <row r="478" spans="1:3" x14ac:dyDescent="0.2">
      <c r="A478">
        <v>493</v>
      </c>
      <c r="B478">
        <v>3</v>
      </c>
      <c r="C478">
        <v>0.55072014847268003</v>
      </c>
    </row>
    <row r="479" spans="1:3" x14ac:dyDescent="0.2">
      <c r="A479">
        <v>494</v>
      </c>
      <c r="B479">
        <v>4</v>
      </c>
      <c r="C479">
        <v>0.44241147759864574</v>
      </c>
    </row>
    <row r="480" spans="1:3" x14ac:dyDescent="0.2">
      <c r="A480">
        <v>495</v>
      </c>
      <c r="B480">
        <v>1</v>
      </c>
      <c r="C480">
        <v>6.6007033436509793E-2</v>
      </c>
    </row>
    <row r="481" spans="1:3" x14ac:dyDescent="0.2">
      <c r="A481">
        <v>496</v>
      </c>
      <c r="B481">
        <v>8</v>
      </c>
      <c r="C481">
        <v>2.2112996940858958</v>
      </c>
    </row>
    <row r="482" spans="1:3" x14ac:dyDescent="0.2">
      <c r="A482">
        <v>497</v>
      </c>
      <c r="B482">
        <v>2</v>
      </c>
      <c r="C482">
        <v>0.27703879023456962</v>
      </c>
    </row>
    <row r="483" spans="1:3" x14ac:dyDescent="0.2">
      <c r="A483">
        <v>499</v>
      </c>
      <c r="B483">
        <v>4</v>
      </c>
      <c r="C483">
        <v>1.2666712538740201</v>
      </c>
    </row>
    <row r="484" spans="1:3" x14ac:dyDescent="0.2">
      <c r="A484">
        <v>500</v>
      </c>
      <c r="B484">
        <v>4</v>
      </c>
      <c r="C484">
        <v>1.341157968360795</v>
      </c>
    </row>
    <row r="485" spans="1:3" x14ac:dyDescent="0.2">
      <c r="A485">
        <v>6</v>
      </c>
      <c r="B485">
        <v>0</v>
      </c>
      <c r="C485">
        <v>0</v>
      </c>
    </row>
    <row r="486" spans="1:3" x14ac:dyDescent="0.2">
      <c r="A486">
        <v>18</v>
      </c>
      <c r="B486">
        <v>0</v>
      </c>
      <c r="C486">
        <v>0</v>
      </c>
    </row>
    <row r="487" spans="1:3" x14ac:dyDescent="0.2">
      <c r="A487">
        <v>35</v>
      </c>
      <c r="B487">
        <v>0</v>
      </c>
      <c r="C487">
        <v>0</v>
      </c>
    </row>
    <row r="488" spans="1:3" x14ac:dyDescent="0.2">
      <c r="A488">
        <v>51</v>
      </c>
      <c r="B488">
        <v>0</v>
      </c>
      <c r="C488">
        <v>0</v>
      </c>
    </row>
    <row r="489" spans="1:3" x14ac:dyDescent="0.2">
      <c r="A489">
        <v>74</v>
      </c>
      <c r="B489">
        <v>0</v>
      </c>
      <c r="C489">
        <v>0</v>
      </c>
    </row>
    <row r="490" spans="1:3" x14ac:dyDescent="0.2">
      <c r="A490">
        <v>143</v>
      </c>
      <c r="B490">
        <v>0</v>
      </c>
      <c r="C490">
        <v>0</v>
      </c>
    </row>
    <row r="491" spans="1:3" x14ac:dyDescent="0.2">
      <c r="A491">
        <v>215</v>
      </c>
      <c r="B491">
        <v>0</v>
      </c>
      <c r="C491">
        <v>0</v>
      </c>
    </row>
    <row r="492" spans="1:3" x14ac:dyDescent="0.2">
      <c r="A492">
        <v>269</v>
      </c>
      <c r="B492">
        <v>0</v>
      </c>
      <c r="C492">
        <v>0</v>
      </c>
    </row>
    <row r="493" spans="1:3" x14ac:dyDescent="0.2">
      <c r="A493">
        <v>272</v>
      </c>
      <c r="B493">
        <v>0</v>
      </c>
      <c r="C493">
        <v>0</v>
      </c>
    </row>
    <row r="494" spans="1:3" x14ac:dyDescent="0.2">
      <c r="A494">
        <v>302</v>
      </c>
      <c r="B494">
        <v>0</v>
      </c>
      <c r="C494">
        <v>0</v>
      </c>
    </row>
    <row r="495" spans="1:3" x14ac:dyDescent="0.2">
      <c r="A495">
        <v>308</v>
      </c>
      <c r="B495">
        <v>0</v>
      </c>
      <c r="C495">
        <v>0</v>
      </c>
    </row>
    <row r="496" spans="1:3" x14ac:dyDescent="0.2">
      <c r="A496">
        <v>326</v>
      </c>
      <c r="B496">
        <v>0</v>
      </c>
      <c r="C496">
        <v>0</v>
      </c>
    </row>
    <row r="497" spans="1:3" x14ac:dyDescent="0.2">
      <c r="A497">
        <v>328</v>
      </c>
      <c r="B497">
        <v>0</v>
      </c>
      <c r="C497">
        <v>0</v>
      </c>
    </row>
    <row r="498" spans="1:3" x14ac:dyDescent="0.2">
      <c r="A498">
        <v>368</v>
      </c>
      <c r="B498">
        <v>0</v>
      </c>
      <c r="C498">
        <v>0</v>
      </c>
    </row>
    <row r="499" spans="1:3" x14ac:dyDescent="0.2">
      <c r="A499">
        <v>420</v>
      </c>
      <c r="B499">
        <v>0</v>
      </c>
      <c r="C499">
        <v>0</v>
      </c>
    </row>
    <row r="500" spans="1:3" x14ac:dyDescent="0.2">
      <c r="A500">
        <v>478</v>
      </c>
      <c r="B500">
        <v>0</v>
      </c>
      <c r="C500">
        <v>0</v>
      </c>
    </row>
    <row r="501" spans="1:3" x14ac:dyDescent="0.2">
      <c r="A501">
        <v>498</v>
      </c>
      <c r="B501">
        <v>0</v>
      </c>
      <c r="C501">
        <v>0</v>
      </c>
    </row>
  </sheetData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830F-114F-0F40-B156-4A7F1EF74B0D}">
  <sheetPr codeName="Sheet2"/>
  <dimension ref="A1:P1495"/>
  <sheetViews>
    <sheetView topLeftCell="D1" workbookViewId="0">
      <selection activeCell="P21" sqref="P21"/>
    </sheetView>
  </sheetViews>
  <sheetFormatPr baseColWidth="10" defaultRowHeight="16" x14ac:dyDescent="0.2"/>
  <cols>
    <col min="1" max="1" width="10.5" customWidth="1"/>
    <col min="2" max="2" width="19.83203125" bestFit="1" customWidth="1"/>
    <col min="3" max="3" width="12.6640625" customWidth="1"/>
    <col min="4" max="4" width="25.6640625" customWidth="1"/>
    <col min="5" max="5" width="22.5" customWidth="1"/>
    <col min="6" max="6" width="19.5" customWidth="1"/>
    <col min="7" max="7" width="17.83203125" customWidth="1"/>
    <col min="8" max="8" width="10.5" customWidth="1"/>
    <col min="9" max="9" width="12.6640625" customWidth="1"/>
    <col min="10" max="10" width="10.5" customWidth="1"/>
    <col min="11" max="11" width="15.83203125" customWidth="1"/>
    <col min="12" max="12" width="16.83203125" customWidth="1"/>
    <col min="13" max="13" width="23.1640625" customWidth="1"/>
    <col min="19" max="19" width="13.33203125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23</v>
      </c>
      <c r="E1" t="s">
        <v>21</v>
      </c>
      <c r="F1" t="s">
        <v>22</v>
      </c>
    </row>
    <row r="2" spans="1:6" x14ac:dyDescent="0.2">
      <c r="A2">
        <v>1</v>
      </c>
      <c r="B2" s="37" t="s">
        <v>63</v>
      </c>
      <c r="C2" s="1">
        <v>45644</v>
      </c>
      <c r="D2" s="37" t="s">
        <v>63</v>
      </c>
      <c r="E2">
        <v>0.107525168854414</v>
      </c>
      <c r="F2">
        <v>0.107525168854414</v>
      </c>
    </row>
    <row r="3" spans="1:6" x14ac:dyDescent="0.2">
      <c r="A3">
        <v>1</v>
      </c>
      <c r="B3" s="37" t="s">
        <v>64</v>
      </c>
      <c r="C3" s="1">
        <v>45539</v>
      </c>
      <c r="D3" s="37" t="s">
        <v>64</v>
      </c>
      <c r="E3">
        <v>0.50474076993594896</v>
      </c>
      <c r="F3">
        <v>0.50474076993594896</v>
      </c>
    </row>
    <row r="4" spans="1:6" x14ac:dyDescent="0.2">
      <c r="A4">
        <v>2</v>
      </c>
      <c r="B4" s="37" t="s">
        <v>879</v>
      </c>
      <c r="C4" s="1">
        <v>45639</v>
      </c>
      <c r="D4" s="37" t="s">
        <v>879</v>
      </c>
      <c r="E4">
        <v>2.8155994777764901E-2</v>
      </c>
      <c r="F4">
        <v>2.8155994777764901E-2</v>
      </c>
    </row>
    <row r="5" spans="1:6" x14ac:dyDescent="0.2">
      <c r="A5">
        <v>2</v>
      </c>
      <c r="B5" s="37" t="s">
        <v>880</v>
      </c>
      <c r="C5" s="1">
        <v>45500</v>
      </c>
      <c r="D5" s="37" t="s">
        <v>880</v>
      </c>
      <c r="E5">
        <v>0.23719755568546999</v>
      </c>
      <c r="F5">
        <v>0.23719755568546999</v>
      </c>
    </row>
    <row r="6" spans="1:6" x14ac:dyDescent="0.2">
      <c r="A6">
        <v>2</v>
      </c>
      <c r="B6" s="37" t="s">
        <v>65</v>
      </c>
      <c r="C6" s="1">
        <v>45606</v>
      </c>
      <c r="D6" s="37" t="s">
        <v>65</v>
      </c>
      <c r="E6">
        <v>0.13640486272560401</v>
      </c>
      <c r="F6">
        <v>0.13640486272560401</v>
      </c>
    </row>
    <row r="7" spans="1:6" x14ac:dyDescent="0.2">
      <c r="A7">
        <v>2</v>
      </c>
      <c r="B7" s="37" t="s">
        <v>66</v>
      </c>
      <c r="C7" s="1">
        <v>45428</v>
      </c>
      <c r="D7" s="37" t="s">
        <v>66</v>
      </c>
      <c r="E7">
        <v>0.27993781371256898</v>
      </c>
      <c r="F7">
        <v>0.27993781371256898</v>
      </c>
    </row>
    <row r="8" spans="1:6" x14ac:dyDescent="0.2">
      <c r="A8">
        <v>3</v>
      </c>
      <c r="B8" s="37" t="s">
        <v>881</v>
      </c>
      <c r="C8" s="1">
        <v>45405</v>
      </c>
      <c r="D8" s="37" t="s">
        <v>881</v>
      </c>
      <c r="E8">
        <v>0.56229895079520897</v>
      </c>
      <c r="F8">
        <v>0.56229895079520897</v>
      </c>
    </row>
    <row r="9" spans="1:6" x14ac:dyDescent="0.2">
      <c r="A9">
        <v>3</v>
      </c>
      <c r="B9" s="37" t="s">
        <v>882</v>
      </c>
      <c r="C9" s="1">
        <v>45552</v>
      </c>
      <c r="D9" s="37" t="s">
        <v>882</v>
      </c>
      <c r="E9">
        <v>0.399414374858447</v>
      </c>
      <c r="F9">
        <v>0.399414374858447</v>
      </c>
    </row>
    <row r="10" spans="1:6" x14ac:dyDescent="0.2">
      <c r="A10">
        <v>4</v>
      </c>
      <c r="B10" s="37" t="s">
        <v>883</v>
      </c>
      <c r="C10" s="1">
        <v>45446</v>
      </c>
      <c r="D10" s="37" t="s">
        <v>883</v>
      </c>
      <c r="E10">
        <v>0.68055352090607502</v>
      </c>
      <c r="F10">
        <v>0.68055352090607502</v>
      </c>
    </row>
    <row r="11" spans="1:6" x14ac:dyDescent="0.2">
      <c r="A11">
        <v>4</v>
      </c>
      <c r="B11" s="37" t="s">
        <v>67</v>
      </c>
      <c r="C11" s="1">
        <v>45410</v>
      </c>
      <c r="D11" s="37" t="s">
        <v>67</v>
      </c>
      <c r="E11">
        <v>8.5596407647245396E-2</v>
      </c>
      <c r="F11">
        <v>8.5596407647245396E-2</v>
      </c>
    </row>
    <row r="12" spans="1:6" x14ac:dyDescent="0.2">
      <c r="A12">
        <v>4</v>
      </c>
      <c r="B12" s="37" t="s">
        <v>884</v>
      </c>
      <c r="C12" s="1">
        <v>45635</v>
      </c>
      <c r="D12" s="37" t="s">
        <v>884</v>
      </c>
      <c r="E12">
        <v>0.291046621550069</v>
      </c>
      <c r="F12">
        <v>0.291046621550069</v>
      </c>
    </row>
    <row r="13" spans="1:6" x14ac:dyDescent="0.2">
      <c r="A13">
        <v>4</v>
      </c>
      <c r="B13" s="37" t="s">
        <v>885</v>
      </c>
      <c r="C13" s="1">
        <v>45358</v>
      </c>
      <c r="D13" s="37" t="s">
        <v>885</v>
      </c>
      <c r="E13">
        <v>0.245517431291979</v>
      </c>
      <c r="F13">
        <v>0.245517431291979</v>
      </c>
    </row>
    <row r="14" spans="1:6" x14ac:dyDescent="0.2">
      <c r="A14">
        <v>4</v>
      </c>
      <c r="B14" s="37" t="s">
        <v>886</v>
      </c>
      <c r="C14" s="1">
        <v>45401</v>
      </c>
      <c r="D14" s="37" t="s">
        <v>886</v>
      </c>
      <c r="E14">
        <v>2.7784252370094999E-2</v>
      </c>
      <c r="F14">
        <v>2.7784252370094999E-2</v>
      </c>
    </row>
    <row r="15" spans="1:6" x14ac:dyDescent="0.2">
      <c r="A15">
        <v>5</v>
      </c>
      <c r="B15" s="37" t="s">
        <v>887</v>
      </c>
      <c r="C15" s="1">
        <v>45391</v>
      </c>
      <c r="D15" s="37" t="s">
        <v>887</v>
      </c>
      <c r="E15">
        <v>0.15932615182384699</v>
      </c>
      <c r="F15">
        <v>0.15932615182384699</v>
      </c>
    </row>
    <row r="16" spans="1:6" x14ac:dyDescent="0.2">
      <c r="A16">
        <v>5</v>
      </c>
      <c r="B16" s="37" t="s">
        <v>888</v>
      </c>
      <c r="C16" s="1">
        <v>45396</v>
      </c>
      <c r="D16" s="37" t="s">
        <v>888</v>
      </c>
      <c r="E16">
        <v>2.3881260774648101E-3</v>
      </c>
      <c r="F16">
        <v>2.3881260774648101E-3</v>
      </c>
    </row>
    <row r="17" spans="1:16" x14ac:dyDescent="0.2">
      <c r="A17">
        <v>5</v>
      </c>
      <c r="B17" s="37" t="s">
        <v>889</v>
      </c>
      <c r="C17" s="1">
        <v>45572</v>
      </c>
      <c r="D17" s="37" t="s">
        <v>889</v>
      </c>
      <c r="E17">
        <v>0.25376262321887599</v>
      </c>
      <c r="F17">
        <v>0.25376262321887599</v>
      </c>
    </row>
    <row r="18" spans="1:16" x14ac:dyDescent="0.2">
      <c r="A18">
        <v>5</v>
      </c>
      <c r="B18" s="37" t="s">
        <v>890</v>
      </c>
      <c r="C18" s="1">
        <v>45471</v>
      </c>
      <c r="D18" s="37" t="s">
        <v>890</v>
      </c>
      <c r="E18">
        <v>0.201003818767512</v>
      </c>
      <c r="F18">
        <v>0.201003818767512</v>
      </c>
    </row>
    <row r="19" spans="1:16" x14ac:dyDescent="0.2">
      <c r="A19">
        <v>5</v>
      </c>
      <c r="B19" s="37" t="s">
        <v>68</v>
      </c>
      <c r="C19" s="1">
        <v>45569</v>
      </c>
      <c r="D19" s="37" t="s">
        <v>68</v>
      </c>
      <c r="E19">
        <v>0.11922872308669</v>
      </c>
      <c r="F19">
        <v>0.11922872308669</v>
      </c>
    </row>
    <row r="20" spans="1:16" x14ac:dyDescent="0.2">
      <c r="A20">
        <v>5</v>
      </c>
      <c r="B20" s="37" t="s">
        <v>69</v>
      </c>
      <c r="C20" s="1">
        <v>45532</v>
      </c>
      <c r="D20" s="37" t="s">
        <v>69</v>
      </c>
      <c r="E20">
        <v>0.333159650840959</v>
      </c>
      <c r="F20">
        <v>0.333159650840959</v>
      </c>
    </row>
    <row r="21" spans="1:16" x14ac:dyDescent="0.2">
      <c r="A21">
        <v>7</v>
      </c>
      <c r="B21" s="37" t="s">
        <v>891</v>
      </c>
      <c r="C21" s="1">
        <v>45594</v>
      </c>
      <c r="D21" s="37" t="s">
        <v>891</v>
      </c>
      <c r="E21">
        <v>0.27854732015843098</v>
      </c>
      <c r="F21">
        <v>0.27854732015843098</v>
      </c>
    </row>
    <row r="22" spans="1:16" x14ac:dyDescent="0.2">
      <c r="A22">
        <v>7</v>
      </c>
      <c r="B22" s="37" t="s">
        <v>892</v>
      </c>
      <c r="C22" s="1">
        <v>45498</v>
      </c>
      <c r="D22" s="37" t="s">
        <v>892</v>
      </c>
      <c r="E22">
        <v>0.111519787342891</v>
      </c>
      <c r="F22">
        <v>0.111519787342891</v>
      </c>
    </row>
    <row r="23" spans="1:16" x14ac:dyDescent="0.2">
      <c r="A23">
        <v>7</v>
      </c>
      <c r="B23" s="37" t="s">
        <v>893</v>
      </c>
      <c r="C23" s="1">
        <v>45310</v>
      </c>
      <c r="D23" s="37" t="s">
        <v>893</v>
      </c>
      <c r="E23">
        <v>8.76116350371485E-2</v>
      </c>
      <c r="F23">
        <v>8.76116350371485E-2</v>
      </c>
    </row>
    <row r="24" spans="1:16" x14ac:dyDescent="0.2">
      <c r="A24">
        <v>8</v>
      </c>
      <c r="B24" s="37" t="s">
        <v>70</v>
      </c>
      <c r="C24" s="1">
        <v>45449</v>
      </c>
      <c r="D24" s="37" t="s">
        <v>70</v>
      </c>
      <c r="E24">
        <v>4.0684466491972597E-2</v>
      </c>
      <c r="F24">
        <v>4.0684466491972597E-2</v>
      </c>
      <c r="P24" t="s">
        <v>35</v>
      </c>
    </row>
    <row r="25" spans="1:16" x14ac:dyDescent="0.2">
      <c r="A25">
        <v>8</v>
      </c>
      <c r="B25" s="37" t="s">
        <v>894</v>
      </c>
      <c r="C25" s="1">
        <v>45480</v>
      </c>
      <c r="D25" s="37" t="s">
        <v>894</v>
      </c>
      <c r="E25">
        <v>0.15258096174948299</v>
      </c>
      <c r="F25">
        <v>0.15258096174948299</v>
      </c>
    </row>
    <row r="26" spans="1:16" x14ac:dyDescent="0.2">
      <c r="A26">
        <v>8</v>
      </c>
      <c r="B26" s="37" t="s">
        <v>895</v>
      </c>
      <c r="C26" s="1">
        <v>45602</v>
      </c>
      <c r="D26" s="37" t="s">
        <v>895</v>
      </c>
      <c r="E26">
        <v>0.34213980691524498</v>
      </c>
      <c r="F26">
        <v>0.34213980691524498</v>
      </c>
    </row>
    <row r="27" spans="1:16" x14ac:dyDescent="0.2">
      <c r="A27">
        <v>8</v>
      </c>
      <c r="B27" s="37" t="s">
        <v>71</v>
      </c>
      <c r="C27" s="1">
        <v>45480</v>
      </c>
      <c r="D27" s="37" t="s">
        <v>71</v>
      </c>
      <c r="E27">
        <v>7.5190364599178994E-2</v>
      </c>
      <c r="F27">
        <v>7.5190364599178994E-2</v>
      </c>
    </row>
    <row r="28" spans="1:16" x14ac:dyDescent="0.2">
      <c r="A28">
        <v>8</v>
      </c>
      <c r="B28" s="37" t="s">
        <v>72</v>
      </c>
      <c r="C28" s="1">
        <v>45348</v>
      </c>
      <c r="D28" s="37" t="s">
        <v>72</v>
      </c>
      <c r="E28">
        <v>9.7770284555900297E-2</v>
      </c>
      <c r="F28">
        <v>9.7770284555900297E-2</v>
      </c>
    </row>
    <row r="29" spans="1:16" x14ac:dyDescent="0.2">
      <c r="A29">
        <v>9</v>
      </c>
      <c r="B29" s="37" t="s">
        <v>896</v>
      </c>
      <c r="C29" s="1">
        <v>45617</v>
      </c>
      <c r="D29" s="37" t="s">
        <v>896</v>
      </c>
      <c r="E29">
        <v>0.177085587464126</v>
      </c>
      <c r="F29">
        <v>0.177085587464126</v>
      </c>
    </row>
    <row r="30" spans="1:16" x14ac:dyDescent="0.2">
      <c r="A30">
        <v>9</v>
      </c>
      <c r="B30" s="37" t="s">
        <v>73</v>
      </c>
      <c r="C30" s="1">
        <v>45421</v>
      </c>
      <c r="D30" s="37" t="s">
        <v>73</v>
      </c>
      <c r="E30">
        <v>0.33969527132840099</v>
      </c>
      <c r="F30">
        <v>0.33969527132840099</v>
      </c>
    </row>
    <row r="31" spans="1:16" x14ac:dyDescent="0.2">
      <c r="A31">
        <v>9</v>
      </c>
      <c r="B31" s="37" t="s">
        <v>74</v>
      </c>
      <c r="C31" s="1">
        <v>45411</v>
      </c>
      <c r="D31" s="37" t="s">
        <v>74</v>
      </c>
      <c r="E31">
        <v>0.50334352988728404</v>
      </c>
      <c r="F31">
        <v>0.50334352988728404</v>
      </c>
    </row>
    <row r="32" spans="1:16" x14ac:dyDescent="0.2">
      <c r="A32">
        <v>10</v>
      </c>
      <c r="B32" s="37" t="s">
        <v>75</v>
      </c>
      <c r="C32" s="1">
        <v>45535</v>
      </c>
      <c r="D32" s="37" t="s">
        <v>75</v>
      </c>
      <c r="E32">
        <v>0.31550517923447902</v>
      </c>
      <c r="F32">
        <v>0.31550517923447902</v>
      </c>
    </row>
    <row r="33" spans="1:6" x14ac:dyDescent="0.2">
      <c r="A33">
        <v>10</v>
      </c>
      <c r="B33" s="37" t="s">
        <v>76</v>
      </c>
      <c r="C33" s="1">
        <v>45297</v>
      </c>
      <c r="D33" s="37" t="s">
        <v>76</v>
      </c>
      <c r="E33">
        <v>0.234271970780042</v>
      </c>
      <c r="F33">
        <v>0.234271970780042</v>
      </c>
    </row>
    <row r="34" spans="1:6" x14ac:dyDescent="0.2">
      <c r="A34">
        <v>10</v>
      </c>
      <c r="B34" s="37" t="s">
        <v>77</v>
      </c>
      <c r="C34" s="1">
        <v>45419</v>
      </c>
      <c r="D34" s="37" t="s">
        <v>77</v>
      </c>
      <c r="E34">
        <v>7.0328327750525804E-2</v>
      </c>
      <c r="F34">
        <v>7.0328327750525804E-2</v>
      </c>
    </row>
    <row r="35" spans="1:6" x14ac:dyDescent="0.2">
      <c r="A35">
        <v>11</v>
      </c>
      <c r="B35" s="37" t="s">
        <v>897</v>
      </c>
      <c r="C35" s="1">
        <v>45403</v>
      </c>
      <c r="D35" s="37" t="s">
        <v>897</v>
      </c>
      <c r="E35">
        <v>0.336281941993194</v>
      </c>
      <c r="F35">
        <v>0.336281941993194</v>
      </c>
    </row>
    <row r="36" spans="1:6" x14ac:dyDescent="0.2">
      <c r="A36">
        <v>11</v>
      </c>
      <c r="B36" s="37" t="s">
        <v>898</v>
      </c>
      <c r="C36" s="1">
        <v>45482</v>
      </c>
      <c r="D36" s="37" t="s">
        <v>898</v>
      </c>
      <c r="E36">
        <v>3.0842220579841401E-2</v>
      </c>
      <c r="F36">
        <v>3.0842220579841401E-2</v>
      </c>
    </row>
    <row r="37" spans="1:6" x14ac:dyDescent="0.2">
      <c r="A37">
        <v>11</v>
      </c>
      <c r="B37" s="37" t="s">
        <v>78</v>
      </c>
      <c r="C37" s="1">
        <v>45410</v>
      </c>
      <c r="D37" s="37" t="s">
        <v>78</v>
      </c>
      <c r="E37">
        <v>2.9144557068867E-2</v>
      </c>
      <c r="F37">
        <v>2.9144557068867E-2</v>
      </c>
    </row>
    <row r="38" spans="1:6" x14ac:dyDescent="0.2">
      <c r="A38">
        <v>11</v>
      </c>
      <c r="B38" s="37" t="s">
        <v>79</v>
      </c>
      <c r="C38" s="1">
        <v>45406</v>
      </c>
      <c r="D38" s="37" t="s">
        <v>79</v>
      </c>
      <c r="E38">
        <v>0.245429080588635</v>
      </c>
      <c r="F38">
        <v>0.245429080588635</v>
      </c>
    </row>
    <row r="39" spans="1:6" x14ac:dyDescent="0.2">
      <c r="A39">
        <v>11</v>
      </c>
      <c r="B39" s="37" t="s">
        <v>80</v>
      </c>
      <c r="C39" s="1">
        <v>45301</v>
      </c>
      <c r="D39" s="37" t="s">
        <v>80</v>
      </c>
      <c r="E39">
        <v>0.142643345050423</v>
      </c>
      <c r="F39">
        <v>0.142643345050423</v>
      </c>
    </row>
    <row r="40" spans="1:6" x14ac:dyDescent="0.2">
      <c r="A40">
        <v>11</v>
      </c>
      <c r="B40" s="37" t="s">
        <v>81</v>
      </c>
      <c r="C40" s="1">
        <v>45406</v>
      </c>
      <c r="D40" s="37" t="s">
        <v>81</v>
      </c>
      <c r="E40">
        <v>0.30948040386556203</v>
      </c>
      <c r="F40">
        <v>0.30948040386556203</v>
      </c>
    </row>
    <row r="41" spans="1:6" x14ac:dyDescent="0.2">
      <c r="A41">
        <v>12</v>
      </c>
      <c r="B41" s="37" t="s">
        <v>899</v>
      </c>
      <c r="C41" s="1">
        <v>45379</v>
      </c>
      <c r="D41" s="37" t="s">
        <v>899</v>
      </c>
      <c r="E41">
        <v>7.4639690451683602E-2</v>
      </c>
      <c r="F41">
        <v>7.4639690451683602E-2</v>
      </c>
    </row>
    <row r="42" spans="1:6" x14ac:dyDescent="0.2">
      <c r="A42">
        <v>12</v>
      </c>
      <c r="B42" s="37" t="s">
        <v>900</v>
      </c>
      <c r="C42" s="1">
        <v>45423</v>
      </c>
      <c r="D42" s="37" t="s">
        <v>900</v>
      </c>
      <c r="E42">
        <v>5.2079575074373802E-2</v>
      </c>
      <c r="F42">
        <v>5.2079575074373802E-2</v>
      </c>
    </row>
    <row r="43" spans="1:6" x14ac:dyDescent="0.2">
      <c r="A43">
        <v>12</v>
      </c>
      <c r="B43" s="37" t="s">
        <v>901</v>
      </c>
      <c r="C43" s="1">
        <v>45477</v>
      </c>
      <c r="D43" s="37" t="s">
        <v>901</v>
      </c>
      <c r="E43">
        <v>0.28648376463220199</v>
      </c>
      <c r="F43">
        <v>0.28648376463220199</v>
      </c>
    </row>
    <row r="44" spans="1:6" x14ac:dyDescent="0.2">
      <c r="A44">
        <v>13</v>
      </c>
      <c r="B44" s="37" t="s">
        <v>902</v>
      </c>
      <c r="C44" s="1">
        <v>45469</v>
      </c>
      <c r="D44" s="37" t="s">
        <v>902</v>
      </c>
      <c r="E44">
        <v>0.23618729052010601</v>
      </c>
      <c r="F44">
        <v>0.23618729052010601</v>
      </c>
    </row>
    <row r="45" spans="1:6" x14ac:dyDescent="0.2">
      <c r="A45">
        <v>13</v>
      </c>
      <c r="B45" s="37" t="s">
        <v>903</v>
      </c>
      <c r="C45" s="1">
        <v>45542</v>
      </c>
      <c r="D45" s="37" t="s">
        <v>903</v>
      </c>
      <c r="E45">
        <v>0.29044597467390798</v>
      </c>
      <c r="F45">
        <v>0.29044597467390798</v>
      </c>
    </row>
    <row r="46" spans="1:6" x14ac:dyDescent="0.2">
      <c r="A46">
        <v>13</v>
      </c>
      <c r="B46" s="37" t="s">
        <v>904</v>
      </c>
      <c r="C46" s="1">
        <v>45339</v>
      </c>
      <c r="D46" s="37" t="s">
        <v>904</v>
      </c>
      <c r="E46">
        <v>0.42447218917305701</v>
      </c>
      <c r="F46">
        <v>0.42447218917305701</v>
      </c>
    </row>
    <row r="47" spans="1:6" x14ac:dyDescent="0.2">
      <c r="A47">
        <v>13</v>
      </c>
      <c r="B47" s="37" t="s">
        <v>905</v>
      </c>
      <c r="C47" s="1">
        <v>45422</v>
      </c>
      <c r="D47" s="37" t="s">
        <v>905</v>
      </c>
      <c r="E47">
        <v>0.15693906753923201</v>
      </c>
      <c r="F47">
        <v>0.15693906753923201</v>
      </c>
    </row>
    <row r="48" spans="1:6" x14ac:dyDescent="0.2">
      <c r="A48">
        <v>14</v>
      </c>
      <c r="B48" s="37" t="s">
        <v>906</v>
      </c>
      <c r="C48" s="1">
        <v>45369</v>
      </c>
      <c r="D48" s="37" t="s">
        <v>906</v>
      </c>
      <c r="E48">
        <v>0.16241174541835501</v>
      </c>
      <c r="F48">
        <v>0.16241174541835501</v>
      </c>
    </row>
    <row r="49" spans="1:6" x14ac:dyDescent="0.2">
      <c r="A49">
        <v>14</v>
      </c>
      <c r="B49" s="37" t="s">
        <v>907</v>
      </c>
      <c r="C49" s="1">
        <v>45444</v>
      </c>
      <c r="D49" s="37" t="s">
        <v>907</v>
      </c>
      <c r="E49">
        <v>8.8138269656621498E-2</v>
      </c>
      <c r="F49">
        <v>8.8138269656621498E-2</v>
      </c>
    </row>
    <row r="50" spans="1:6" x14ac:dyDescent="0.2">
      <c r="A50">
        <v>14</v>
      </c>
      <c r="B50" s="37" t="s">
        <v>908</v>
      </c>
      <c r="C50" s="1">
        <v>45490</v>
      </c>
      <c r="D50" s="37" t="s">
        <v>908</v>
      </c>
      <c r="E50">
        <v>3.2865579305165801E-2</v>
      </c>
      <c r="F50">
        <v>3.2865579305165801E-2</v>
      </c>
    </row>
    <row r="51" spans="1:6" x14ac:dyDescent="0.2">
      <c r="A51">
        <v>15</v>
      </c>
      <c r="B51" s="37" t="s">
        <v>909</v>
      </c>
      <c r="C51" s="1">
        <v>45386</v>
      </c>
      <c r="D51" s="37" t="s">
        <v>909</v>
      </c>
      <c r="E51">
        <v>0.102233378166199</v>
      </c>
      <c r="F51">
        <v>0.102233378166199</v>
      </c>
    </row>
    <row r="52" spans="1:6" x14ac:dyDescent="0.2">
      <c r="A52">
        <v>16</v>
      </c>
      <c r="B52" s="37" t="s">
        <v>82</v>
      </c>
      <c r="C52" s="1">
        <v>45593</v>
      </c>
      <c r="D52" s="37" t="s">
        <v>82</v>
      </c>
      <c r="E52">
        <v>6.0550355028792101E-2</v>
      </c>
      <c r="F52">
        <v>6.0550355028792101E-2</v>
      </c>
    </row>
    <row r="53" spans="1:6" x14ac:dyDescent="0.2">
      <c r="A53">
        <v>16</v>
      </c>
      <c r="B53" s="37" t="s">
        <v>83</v>
      </c>
      <c r="C53" s="1">
        <v>45315</v>
      </c>
      <c r="D53" s="37" t="s">
        <v>83</v>
      </c>
      <c r="E53">
        <v>0.15646977352204799</v>
      </c>
      <c r="F53">
        <v>0.15646977352204799</v>
      </c>
    </row>
    <row r="54" spans="1:6" x14ac:dyDescent="0.2">
      <c r="A54">
        <v>16</v>
      </c>
      <c r="B54" s="37" t="s">
        <v>910</v>
      </c>
      <c r="C54" s="1">
        <v>45607</v>
      </c>
      <c r="D54" s="37" t="s">
        <v>910</v>
      </c>
      <c r="E54">
        <v>0.23414678085468801</v>
      </c>
      <c r="F54">
        <v>0.23414678085468801</v>
      </c>
    </row>
    <row r="55" spans="1:6" x14ac:dyDescent="0.2">
      <c r="A55">
        <v>16</v>
      </c>
      <c r="B55" s="37" t="s">
        <v>911</v>
      </c>
      <c r="C55" s="1">
        <v>45520</v>
      </c>
      <c r="D55" s="37" t="s">
        <v>911</v>
      </c>
      <c r="E55">
        <v>0.116175307791655</v>
      </c>
      <c r="F55">
        <v>0.116175307791655</v>
      </c>
    </row>
    <row r="56" spans="1:6" x14ac:dyDescent="0.2">
      <c r="A56">
        <v>16</v>
      </c>
      <c r="B56" s="37" t="s">
        <v>84</v>
      </c>
      <c r="C56" s="1">
        <v>45515</v>
      </c>
      <c r="D56" s="37" t="s">
        <v>84</v>
      </c>
      <c r="E56">
        <v>0.63024794251342597</v>
      </c>
      <c r="F56">
        <v>0.63024794251342597</v>
      </c>
    </row>
    <row r="57" spans="1:6" x14ac:dyDescent="0.2">
      <c r="A57">
        <v>17</v>
      </c>
      <c r="B57" s="37" t="s">
        <v>912</v>
      </c>
      <c r="C57" s="1">
        <v>45462</v>
      </c>
      <c r="D57" s="37" t="s">
        <v>912</v>
      </c>
      <c r="E57">
        <v>0.26685659560527403</v>
      </c>
      <c r="F57">
        <v>0.26685659560527403</v>
      </c>
    </row>
    <row r="58" spans="1:6" x14ac:dyDescent="0.2">
      <c r="A58">
        <v>17</v>
      </c>
      <c r="B58" s="37" t="s">
        <v>913</v>
      </c>
      <c r="C58" s="1">
        <v>45314</v>
      </c>
      <c r="D58" s="37" t="s">
        <v>913</v>
      </c>
      <c r="E58">
        <v>0.125406018315843</v>
      </c>
      <c r="F58">
        <v>0.125406018315843</v>
      </c>
    </row>
    <row r="59" spans="1:6" x14ac:dyDescent="0.2">
      <c r="A59">
        <v>19</v>
      </c>
      <c r="B59" s="37" t="s">
        <v>914</v>
      </c>
      <c r="C59" s="1">
        <v>45455</v>
      </c>
      <c r="D59" s="37" t="s">
        <v>914</v>
      </c>
      <c r="E59">
        <v>9.7027392361863501E-2</v>
      </c>
      <c r="F59">
        <v>9.7027392361863501E-2</v>
      </c>
    </row>
    <row r="60" spans="1:6" x14ac:dyDescent="0.2">
      <c r="A60">
        <v>19</v>
      </c>
      <c r="B60" s="37" t="s">
        <v>915</v>
      </c>
      <c r="C60" s="1">
        <v>45528</v>
      </c>
      <c r="D60" s="37" t="s">
        <v>915</v>
      </c>
      <c r="E60">
        <v>9.8848474641680104E-2</v>
      </c>
      <c r="F60">
        <v>9.8848474641680104E-2</v>
      </c>
    </row>
    <row r="61" spans="1:6" x14ac:dyDescent="0.2">
      <c r="A61">
        <v>20</v>
      </c>
      <c r="B61" s="37" t="s">
        <v>916</v>
      </c>
      <c r="C61" s="1">
        <v>45627</v>
      </c>
      <c r="D61" s="37" t="s">
        <v>916</v>
      </c>
      <c r="E61">
        <v>9.8555504419505099E-2</v>
      </c>
      <c r="F61">
        <v>9.8555504419505099E-2</v>
      </c>
    </row>
    <row r="62" spans="1:6" x14ac:dyDescent="0.2">
      <c r="A62">
        <v>20</v>
      </c>
      <c r="B62" s="37" t="s">
        <v>917</v>
      </c>
      <c r="C62" s="1">
        <v>45523</v>
      </c>
      <c r="D62" s="37" t="s">
        <v>917</v>
      </c>
      <c r="E62">
        <v>2.3314500854562499E-2</v>
      </c>
      <c r="F62">
        <v>2.3314500854562499E-2</v>
      </c>
    </row>
    <row r="63" spans="1:6" x14ac:dyDescent="0.2">
      <c r="A63">
        <v>20</v>
      </c>
      <c r="B63" s="37" t="s">
        <v>85</v>
      </c>
      <c r="C63" s="1">
        <v>45625</v>
      </c>
      <c r="D63" s="37" t="s">
        <v>85</v>
      </c>
      <c r="E63">
        <v>8.64908094988346E-2</v>
      </c>
      <c r="F63">
        <v>8.64908094988346E-2</v>
      </c>
    </row>
    <row r="64" spans="1:6" x14ac:dyDescent="0.2">
      <c r="A64">
        <v>20</v>
      </c>
      <c r="B64" s="37" t="s">
        <v>86</v>
      </c>
      <c r="C64" s="1">
        <v>45509</v>
      </c>
      <c r="D64" s="37" t="s">
        <v>86</v>
      </c>
      <c r="E64">
        <v>2.4291682650496801E-2</v>
      </c>
      <c r="F64">
        <v>2.4291682650496801E-2</v>
      </c>
    </row>
    <row r="65" spans="1:6" x14ac:dyDescent="0.2">
      <c r="A65">
        <v>20</v>
      </c>
      <c r="B65" s="37" t="s">
        <v>87</v>
      </c>
      <c r="C65" s="1">
        <v>45619</v>
      </c>
      <c r="D65" s="37" t="s">
        <v>87</v>
      </c>
      <c r="E65">
        <v>0.14825282446188201</v>
      </c>
      <c r="F65">
        <v>0.14825282446188201</v>
      </c>
    </row>
    <row r="66" spans="1:6" x14ac:dyDescent="0.2">
      <c r="A66">
        <v>20</v>
      </c>
      <c r="B66" s="37" t="s">
        <v>88</v>
      </c>
      <c r="C66" s="1">
        <v>45418</v>
      </c>
      <c r="D66" s="37" t="s">
        <v>88</v>
      </c>
      <c r="E66">
        <v>6.5704543478175295E-2</v>
      </c>
      <c r="F66">
        <v>6.5704543478175295E-2</v>
      </c>
    </row>
    <row r="67" spans="1:6" x14ac:dyDescent="0.2">
      <c r="A67">
        <v>21</v>
      </c>
      <c r="B67" s="37" t="s">
        <v>89</v>
      </c>
      <c r="C67" s="1">
        <v>45320</v>
      </c>
      <c r="D67" s="37" t="s">
        <v>89</v>
      </c>
      <c r="E67">
        <v>0.27870909771003299</v>
      </c>
      <c r="F67">
        <v>0.27870909771003299</v>
      </c>
    </row>
    <row r="68" spans="1:6" x14ac:dyDescent="0.2">
      <c r="A68">
        <v>21</v>
      </c>
      <c r="B68" s="37" t="s">
        <v>90</v>
      </c>
      <c r="C68" s="1">
        <v>45311</v>
      </c>
      <c r="D68" s="37" t="s">
        <v>90</v>
      </c>
      <c r="E68">
        <v>0.27526244490775098</v>
      </c>
      <c r="F68">
        <v>0.27526244490775098</v>
      </c>
    </row>
    <row r="69" spans="1:6" x14ac:dyDescent="0.2">
      <c r="A69">
        <v>21</v>
      </c>
      <c r="B69" s="37" t="s">
        <v>91</v>
      </c>
      <c r="C69" s="1">
        <v>45497</v>
      </c>
      <c r="D69" s="37" t="s">
        <v>91</v>
      </c>
      <c r="E69">
        <v>7.8983027774321493E-2</v>
      </c>
      <c r="F69">
        <v>7.8983027774321493E-2</v>
      </c>
    </row>
    <row r="70" spans="1:6" x14ac:dyDescent="0.2">
      <c r="A70">
        <v>21</v>
      </c>
      <c r="B70" s="37" t="s">
        <v>92</v>
      </c>
      <c r="C70" s="1">
        <v>45415</v>
      </c>
      <c r="D70" s="37" t="s">
        <v>92</v>
      </c>
      <c r="E70">
        <v>0.19538355618853701</v>
      </c>
      <c r="F70">
        <v>0.19538355618853701</v>
      </c>
    </row>
    <row r="71" spans="1:6" x14ac:dyDescent="0.2">
      <c r="A71">
        <v>21</v>
      </c>
      <c r="B71" s="37" t="s">
        <v>918</v>
      </c>
      <c r="C71" s="1">
        <v>45371</v>
      </c>
      <c r="D71" s="37" t="s">
        <v>918</v>
      </c>
      <c r="E71">
        <v>8.1220119373863101E-2</v>
      </c>
      <c r="F71">
        <v>8.1220119373863101E-2</v>
      </c>
    </row>
    <row r="72" spans="1:6" x14ac:dyDescent="0.2">
      <c r="A72">
        <v>22</v>
      </c>
      <c r="B72" s="37" t="s">
        <v>919</v>
      </c>
      <c r="C72" s="1">
        <v>45559</v>
      </c>
      <c r="D72" s="37" t="s">
        <v>919</v>
      </c>
      <c r="E72">
        <v>0.39073238184020398</v>
      </c>
      <c r="F72">
        <v>0.39073238184020398</v>
      </c>
    </row>
    <row r="73" spans="1:6" x14ac:dyDescent="0.2">
      <c r="A73">
        <v>22</v>
      </c>
      <c r="B73" s="37" t="s">
        <v>920</v>
      </c>
      <c r="C73" s="1">
        <v>45299</v>
      </c>
      <c r="D73" s="37" t="s">
        <v>920</v>
      </c>
      <c r="E73">
        <v>7.0169506076041693E-2</v>
      </c>
      <c r="F73">
        <v>7.0169506076041693E-2</v>
      </c>
    </row>
    <row r="74" spans="1:6" x14ac:dyDescent="0.2">
      <c r="A74">
        <v>22</v>
      </c>
      <c r="B74" s="37" t="s">
        <v>921</v>
      </c>
      <c r="C74" s="1">
        <v>45618</v>
      </c>
      <c r="D74" s="37" t="s">
        <v>921</v>
      </c>
      <c r="E74">
        <v>0.122749300332939</v>
      </c>
      <c r="F74">
        <v>0.122749300332939</v>
      </c>
    </row>
    <row r="75" spans="1:6" x14ac:dyDescent="0.2">
      <c r="A75">
        <v>22</v>
      </c>
      <c r="B75" s="37" t="s">
        <v>922</v>
      </c>
      <c r="C75" s="1">
        <v>45562</v>
      </c>
      <c r="D75" s="37" t="s">
        <v>922</v>
      </c>
      <c r="E75">
        <v>0.10972010890386601</v>
      </c>
      <c r="F75">
        <v>0.10972010890386601</v>
      </c>
    </row>
    <row r="76" spans="1:6" x14ac:dyDescent="0.2">
      <c r="A76">
        <v>23</v>
      </c>
      <c r="B76" s="37" t="s">
        <v>93</v>
      </c>
      <c r="C76" s="1">
        <v>45578</v>
      </c>
      <c r="D76" s="37" t="s">
        <v>93</v>
      </c>
      <c r="E76">
        <v>0.14326523890450901</v>
      </c>
      <c r="F76">
        <v>0.14326523890450901</v>
      </c>
    </row>
    <row r="77" spans="1:6" x14ac:dyDescent="0.2">
      <c r="A77">
        <v>23</v>
      </c>
      <c r="B77" s="37" t="s">
        <v>94</v>
      </c>
      <c r="C77" s="1">
        <v>45621</v>
      </c>
      <c r="D77" s="37" t="s">
        <v>94</v>
      </c>
      <c r="E77">
        <v>0.38992992633411599</v>
      </c>
      <c r="F77">
        <v>0.38992992633411599</v>
      </c>
    </row>
    <row r="78" spans="1:6" x14ac:dyDescent="0.2">
      <c r="A78">
        <v>23</v>
      </c>
      <c r="B78" s="37" t="s">
        <v>95</v>
      </c>
      <c r="C78" s="1">
        <v>45464</v>
      </c>
      <c r="D78" s="37" t="s">
        <v>95</v>
      </c>
      <c r="E78">
        <v>9.8063592653351905E-2</v>
      </c>
      <c r="F78">
        <v>9.8063592653351905E-2</v>
      </c>
    </row>
    <row r="79" spans="1:6" x14ac:dyDescent="0.2">
      <c r="A79">
        <v>24</v>
      </c>
      <c r="B79" s="37" t="s">
        <v>96</v>
      </c>
      <c r="C79" s="1">
        <v>45520</v>
      </c>
      <c r="D79" s="37" t="s">
        <v>96</v>
      </c>
      <c r="E79">
        <v>0.214589027351265</v>
      </c>
      <c r="F79">
        <v>0.214589027351265</v>
      </c>
    </row>
    <row r="80" spans="1:6" x14ac:dyDescent="0.2">
      <c r="A80">
        <v>24</v>
      </c>
      <c r="B80" s="37" t="s">
        <v>923</v>
      </c>
      <c r="C80" s="1">
        <v>45656</v>
      </c>
      <c r="D80" s="37" t="s">
        <v>923</v>
      </c>
      <c r="E80">
        <v>0.16731277387083801</v>
      </c>
      <c r="F80">
        <v>0.16731277387083801</v>
      </c>
    </row>
    <row r="81" spans="1:6" x14ac:dyDescent="0.2">
      <c r="A81">
        <v>24</v>
      </c>
      <c r="B81" s="37" t="s">
        <v>924</v>
      </c>
      <c r="C81" s="1">
        <v>45370</v>
      </c>
      <c r="D81" s="37" t="s">
        <v>924</v>
      </c>
      <c r="E81">
        <v>0.262188505537232</v>
      </c>
      <c r="F81">
        <v>0.262188505537232</v>
      </c>
    </row>
    <row r="82" spans="1:6" x14ac:dyDescent="0.2">
      <c r="A82">
        <v>24</v>
      </c>
      <c r="B82" s="37" t="s">
        <v>925</v>
      </c>
      <c r="C82" s="1">
        <v>45518</v>
      </c>
      <c r="D82" s="37" t="s">
        <v>925</v>
      </c>
      <c r="E82">
        <v>6.5805341149250393E-2</v>
      </c>
      <c r="F82">
        <v>6.5805341149250393E-2</v>
      </c>
    </row>
    <row r="83" spans="1:6" x14ac:dyDescent="0.2">
      <c r="A83">
        <v>24</v>
      </c>
      <c r="B83" s="37" t="s">
        <v>926</v>
      </c>
      <c r="C83" s="1">
        <v>45613</v>
      </c>
      <c r="D83" s="37" t="s">
        <v>926</v>
      </c>
      <c r="E83">
        <v>0.43550514016862502</v>
      </c>
      <c r="F83">
        <v>0.43550514016862502</v>
      </c>
    </row>
    <row r="84" spans="1:6" x14ac:dyDescent="0.2">
      <c r="A84">
        <v>24</v>
      </c>
      <c r="B84" s="37" t="s">
        <v>97</v>
      </c>
      <c r="C84" s="1">
        <v>45617</v>
      </c>
      <c r="D84" s="37" t="s">
        <v>97</v>
      </c>
      <c r="E84">
        <v>0.15808582035101301</v>
      </c>
      <c r="F84">
        <v>0.15808582035101301</v>
      </c>
    </row>
    <row r="85" spans="1:6" x14ac:dyDescent="0.2">
      <c r="A85">
        <v>24</v>
      </c>
      <c r="B85" s="37" t="s">
        <v>98</v>
      </c>
      <c r="C85" s="1">
        <v>45401</v>
      </c>
      <c r="D85" s="37" t="s">
        <v>98</v>
      </c>
      <c r="E85">
        <v>0.31942491377847398</v>
      </c>
      <c r="F85">
        <v>0.31942491377847398</v>
      </c>
    </row>
    <row r="86" spans="1:6" x14ac:dyDescent="0.2">
      <c r="A86">
        <v>24</v>
      </c>
      <c r="B86" s="37" t="s">
        <v>99</v>
      </c>
      <c r="C86" s="1">
        <v>45606</v>
      </c>
      <c r="D86" s="37" t="s">
        <v>99</v>
      </c>
      <c r="E86">
        <v>0.48949544650045002</v>
      </c>
      <c r="F86">
        <v>0.48949544650045002</v>
      </c>
    </row>
    <row r="87" spans="1:6" x14ac:dyDescent="0.2">
      <c r="A87">
        <v>25</v>
      </c>
      <c r="B87" s="37" t="s">
        <v>927</v>
      </c>
      <c r="C87" s="1">
        <v>45384</v>
      </c>
      <c r="D87" s="37" t="s">
        <v>927</v>
      </c>
      <c r="E87">
        <v>2.0485996501535202E-2</v>
      </c>
      <c r="F87">
        <v>2.0485996501535202E-2</v>
      </c>
    </row>
    <row r="88" spans="1:6" x14ac:dyDescent="0.2">
      <c r="A88">
        <v>25</v>
      </c>
      <c r="B88" s="37" t="s">
        <v>928</v>
      </c>
      <c r="C88" s="1">
        <v>45568</v>
      </c>
      <c r="D88" s="37" t="s">
        <v>928</v>
      </c>
      <c r="E88">
        <v>0.152515145825215</v>
      </c>
      <c r="F88">
        <v>0.152515145825215</v>
      </c>
    </row>
    <row r="89" spans="1:6" x14ac:dyDescent="0.2">
      <c r="A89">
        <v>25</v>
      </c>
      <c r="B89" s="37" t="s">
        <v>929</v>
      </c>
      <c r="C89" s="1">
        <v>45410</v>
      </c>
      <c r="D89" s="37" t="s">
        <v>929</v>
      </c>
      <c r="E89">
        <v>0.19092985667022699</v>
      </c>
      <c r="F89">
        <v>0.19092985667022699</v>
      </c>
    </row>
    <row r="90" spans="1:6" x14ac:dyDescent="0.2">
      <c r="A90">
        <v>25</v>
      </c>
      <c r="B90" s="37" t="s">
        <v>930</v>
      </c>
      <c r="C90" s="1">
        <v>45339</v>
      </c>
      <c r="D90" s="37" t="s">
        <v>930</v>
      </c>
      <c r="E90">
        <v>0.35677627067703899</v>
      </c>
      <c r="F90">
        <v>0.35677627067703899</v>
      </c>
    </row>
    <row r="91" spans="1:6" x14ac:dyDescent="0.2">
      <c r="A91">
        <v>26</v>
      </c>
      <c r="B91" s="37" t="s">
        <v>100</v>
      </c>
      <c r="C91" s="1">
        <v>45607</v>
      </c>
      <c r="D91" s="37" t="s">
        <v>100</v>
      </c>
      <c r="E91">
        <v>0.48361368668208699</v>
      </c>
      <c r="F91">
        <v>0.48361368668208699</v>
      </c>
    </row>
    <row r="92" spans="1:6" x14ac:dyDescent="0.2">
      <c r="A92">
        <v>26</v>
      </c>
      <c r="B92" s="37" t="s">
        <v>101</v>
      </c>
      <c r="C92" s="1">
        <v>45541</v>
      </c>
      <c r="D92" s="37" t="s">
        <v>101</v>
      </c>
      <c r="E92">
        <v>0.13732389557278801</v>
      </c>
      <c r="F92">
        <v>0.13732389557278801</v>
      </c>
    </row>
    <row r="93" spans="1:6" x14ac:dyDescent="0.2">
      <c r="A93">
        <v>26</v>
      </c>
      <c r="B93" s="37" t="s">
        <v>102</v>
      </c>
      <c r="C93" s="1">
        <v>45521</v>
      </c>
      <c r="D93" s="37" t="s">
        <v>102</v>
      </c>
      <c r="E93">
        <v>0.19233534081652601</v>
      </c>
      <c r="F93">
        <v>0.19233534081652601</v>
      </c>
    </row>
    <row r="94" spans="1:6" x14ac:dyDescent="0.2">
      <c r="A94">
        <v>26</v>
      </c>
      <c r="B94" s="37" t="s">
        <v>103</v>
      </c>
      <c r="C94" s="1">
        <v>45376</v>
      </c>
      <c r="D94" s="37" t="s">
        <v>103</v>
      </c>
      <c r="E94">
        <v>0.24762590515028901</v>
      </c>
      <c r="F94">
        <v>0.24762590515028901</v>
      </c>
    </row>
    <row r="95" spans="1:6" x14ac:dyDescent="0.2">
      <c r="A95">
        <v>27</v>
      </c>
      <c r="B95" s="37" t="s">
        <v>931</v>
      </c>
      <c r="C95" s="1">
        <v>45304</v>
      </c>
      <c r="D95" s="37" t="s">
        <v>931</v>
      </c>
      <c r="E95">
        <v>7.1402550638681297E-2</v>
      </c>
      <c r="F95">
        <v>7.1402550638681297E-2</v>
      </c>
    </row>
    <row r="96" spans="1:6" x14ac:dyDescent="0.2">
      <c r="A96">
        <v>27</v>
      </c>
      <c r="B96" s="37" t="s">
        <v>932</v>
      </c>
      <c r="C96" s="1">
        <v>45299</v>
      </c>
      <c r="D96" s="37" t="s">
        <v>932</v>
      </c>
      <c r="E96">
        <v>0.170868113551291</v>
      </c>
      <c r="F96">
        <v>0.170868113551291</v>
      </c>
    </row>
    <row r="97" spans="1:6" x14ac:dyDescent="0.2">
      <c r="A97">
        <v>27</v>
      </c>
      <c r="B97" s="37" t="s">
        <v>933</v>
      </c>
      <c r="C97" s="1">
        <v>45549</v>
      </c>
      <c r="D97" s="37" t="s">
        <v>933</v>
      </c>
      <c r="E97">
        <v>0.19790924723233799</v>
      </c>
      <c r="F97">
        <v>0.19790924723233799</v>
      </c>
    </row>
    <row r="98" spans="1:6" x14ac:dyDescent="0.2">
      <c r="A98">
        <v>28</v>
      </c>
      <c r="B98" s="37" t="s">
        <v>104</v>
      </c>
      <c r="C98" s="1">
        <v>45619</v>
      </c>
      <c r="D98" s="37" t="s">
        <v>104</v>
      </c>
      <c r="E98">
        <v>0.30638109452511197</v>
      </c>
      <c r="F98">
        <v>0.30638109452511197</v>
      </c>
    </row>
    <row r="99" spans="1:6" x14ac:dyDescent="0.2">
      <c r="A99">
        <v>28</v>
      </c>
      <c r="B99" s="37" t="s">
        <v>105</v>
      </c>
      <c r="C99" s="1">
        <v>45649</v>
      </c>
      <c r="D99" s="37" t="s">
        <v>105</v>
      </c>
      <c r="E99">
        <v>0.14328470621084499</v>
      </c>
      <c r="F99">
        <v>0.14328470621084499</v>
      </c>
    </row>
    <row r="100" spans="1:6" x14ac:dyDescent="0.2">
      <c r="A100">
        <v>28</v>
      </c>
      <c r="B100" s="37" t="s">
        <v>934</v>
      </c>
      <c r="C100" s="1">
        <v>45525</v>
      </c>
      <c r="D100" s="37" t="s">
        <v>934</v>
      </c>
      <c r="E100">
        <v>2.21051932679046E-2</v>
      </c>
      <c r="F100">
        <v>2.21051932679046E-2</v>
      </c>
    </row>
    <row r="101" spans="1:6" x14ac:dyDescent="0.2">
      <c r="A101">
        <v>29</v>
      </c>
      <c r="B101" s="37" t="s">
        <v>106</v>
      </c>
      <c r="C101" s="1">
        <v>45310</v>
      </c>
      <c r="D101" s="37" t="s">
        <v>106</v>
      </c>
      <c r="E101">
        <v>0.25608494255932002</v>
      </c>
      <c r="F101">
        <v>0.25608494255932002</v>
      </c>
    </row>
    <row r="102" spans="1:6" x14ac:dyDescent="0.2">
      <c r="A102">
        <v>29</v>
      </c>
      <c r="B102" s="37" t="s">
        <v>107</v>
      </c>
      <c r="C102" s="1">
        <v>45532</v>
      </c>
      <c r="D102" s="37" t="s">
        <v>107</v>
      </c>
      <c r="E102">
        <v>0.197664038337339</v>
      </c>
      <c r="F102">
        <v>0.197664038337339</v>
      </c>
    </row>
    <row r="103" spans="1:6" x14ac:dyDescent="0.2">
      <c r="A103">
        <v>30</v>
      </c>
      <c r="B103" s="37" t="s">
        <v>108</v>
      </c>
      <c r="C103" s="1">
        <v>45509</v>
      </c>
      <c r="D103" s="37" t="s">
        <v>108</v>
      </c>
      <c r="E103">
        <v>0.17764121973411001</v>
      </c>
      <c r="F103">
        <v>0.17764121973411001</v>
      </c>
    </row>
    <row r="104" spans="1:6" x14ac:dyDescent="0.2">
      <c r="A104">
        <v>31</v>
      </c>
      <c r="B104" s="37" t="s">
        <v>935</v>
      </c>
      <c r="C104" s="1">
        <v>45655</v>
      </c>
      <c r="D104" s="37" t="s">
        <v>935</v>
      </c>
      <c r="E104">
        <v>0.13661923358195599</v>
      </c>
      <c r="F104">
        <v>0.13661923358195599</v>
      </c>
    </row>
    <row r="105" spans="1:6" x14ac:dyDescent="0.2">
      <c r="A105">
        <v>31</v>
      </c>
      <c r="B105" s="37" t="s">
        <v>936</v>
      </c>
      <c r="C105" s="1">
        <v>45335</v>
      </c>
      <c r="D105" s="37" t="s">
        <v>936</v>
      </c>
      <c r="E105">
        <v>7.3504086986305298E-2</v>
      </c>
      <c r="F105">
        <v>7.3504086986305298E-2</v>
      </c>
    </row>
    <row r="106" spans="1:6" x14ac:dyDescent="0.2">
      <c r="A106">
        <v>31</v>
      </c>
      <c r="B106" s="37" t="s">
        <v>109</v>
      </c>
      <c r="C106" s="1">
        <v>45639</v>
      </c>
      <c r="D106" s="37" t="s">
        <v>109</v>
      </c>
      <c r="E106">
        <v>4.3854832511776201E-2</v>
      </c>
      <c r="F106">
        <v>4.3854832511776201E-2</v>
      </c>
    </row>
    <row r="107" spans="1:6" x14ac:dyDescent="0.2">
      <c r="A107">
        <v>31</v>
      </c>
      <c r="B107" s="37" t="s">
        <v>937</v>
      </c>
      <c r="C107" s="1">
        <v>45312</v>
      </c>
      <c r="D107" s="37" t="s">
        <v>937</v>
      </c>
      <c r="E107">
        <v>4.9689062909023599E-2</v>
      </c>
      <c r="F107">
        <v>4.9689062909023599E-2</v>
      </c>
    </row>
    <row r="108" spans="1:6" x14ac:dyDescent="0.2">
      <c r="A108">
        <v>31</v>
      </c>
      <c r="B108" s="37" t="s">
        <v>938</v>
      </c>
      <c r="C108" s="1">
        <v>45320</v>
      </c>
      <c r="D108" s="37" t="s">
        <v>938</v>
      </c>
      <c r="E108">
        <v>0.134338693650633</v>
      </c>
      <c r="F108">
        <v>0.134338693650633</v>
      </c>
    </row>
    <row r="109" spans="1:6" x14ac:dyDescent="0.2">
      <c r="A109">
        <v>31</v>
      </c>
      <c r="B109" s="37" t="s">
        <v>939</v>
      </c>
      <c r="C109" s="1">
        <v>45375</v>
      </c>
      <c r="D109" s="37" t="s">
        <v>939</v>
      </c>
      <c r="E109">
        <v>0.13703156581261899</v>
      </c>
      <c r="F109">
        <v>0.13703156581261899</v>
      </c>
    </row>
    <row r="110" spans="1:6" x14ac:dyDescent="0.2">
      <c r="A110">
        <v>32</v>
      </c>
      <c r="B110" s="37" t="s">
        <v>940</v>
      </c>
      <c r="C110" s="1">
        <v>45492</v>
      </c>
      <c r="D110" s="37" t="s">
        <v>940</v>
      </c>
      <c r="E110">
        <v>0.162363538684584</v>
      </c>
      <c r="F110">
        <v>0.162363538684584</v>
      </c>
    </row>
    <row r="111" spans="1:6" x14ac:dyDescent="0.2">
      <c r="A111">
        <v>32</v>
      </c>
      <c r="B111" s="37" t="s">
        <v>941</v>
      </c>
      <c r="C111" s="1">
        <v>45646</v>
      </c>
      <c r="D111" s="37" t="s">
        <v>941</v>
      </c>
      <c r="E111">
        <v>8.6122052107916805E-2</v>
      </c>
      <c r="F111">
        <v>8.6122052107916805E-2</v>
      </c>
    </row>
    <row r="112" spans="1:6" x14ac:dyDescent="0.2">
      <c r="A112">
        <v>32</v>
      </c>
      <c r="B112" s="37" t="s">
        <v>942</v>
      </c>
      <c r="C112" s="1">
        <v>45630</v>
      </c>
      <c r="D112" s="37" t="s">
        <v>942</v>
      </c>
      <c r="E112">
        <v>8.9400129144579496E-2</v>
      </c>
      <c r="F112">
        <v>8.9400129144579496E-2</v>
      </c>
    </row>
    <row r="113" spans="1:6" x14ac:dyDescent="0.2">
      <c r="A113">
        <v>32</v>
      </c>
      <c r="B113" s="37" t="s">
        <v>943</v>
      </c>
      <c r="C113" s="1">
        <v>45491</v>
      </c>
      <c r="D113" s="37" t="s">
        <v>943</v>
      </c>
      <c r="E113">
        <v>5.6797443879188503E-2</v>
      </c>
      <c r="F113">
        <v>5.6797443879188503E-2</v>
      </c>
    </row>
    <row r="114" spans="1:6" x14ac:dyDescent="0.2">
      <c r="A114">
        <v>32</v>
      </c>
      <c r="B114" s="37" t="s">
        <v>110</v>
      </c>
      <c r="C114" s="1">
        <v>45528</v>
      </c>
      <c r="D114" s="37" t="s">
        <v>110</v>
      </c>
      <c r="E114">
        <v>2.6467127193095099E-2</v>
      </c>
      <c r="F114">
        <v>2.6467127193095099E-2</v>
      </c>
    </row>
    <row r="115" spans="1:6" x14ac:dyDescent="0.2">
      <c r="A115">
        <v>33</v>
      </c>
      <c r="B115" s="37" t="s">
        <v>111</v>
      </c>
      <c r="C115" s="1">
        <v>45434</v>
      </c>
      <c r="D115" s="37" t="s">
        <v>111</v>
      </c>
      <c r="E115">
        <v>0.19717010639270399</v>
      </c>
      <c r="F115">
        <v>0.19717010639270399</v>
      </c>
    </row>
    <row r="116" spans="1:6" x14ac:dyDescent="0.2">
      <c r="A116">
        <v>33</v>
      </c>
      <c r="B116" s="37" t="s">
        <v>944</v>
      </c>
      <c r="C116" s="1">
        <v>45525</v>
      </c>
      <c r="D116" s="37" t="s">
        <v>944</v>
      </c>
      <c r="E116">
        <v>8.4725817672871906E-2</v>
      </c>
      <c r="F116">
        <v>8.4725817672871906E-2</v>
      </c>
    </row>
    <row r="117" spans="1:6" x14ac:dyDescent="0.2">
      <c r="A117">
        <v>33</v>
      </c>
      <c r="B117" s="37" t="s">
        <v>945</v>
      </c>
      <c r="C117" s="1">
        <v>45394</v>
      </c>
      <c r="D117" s="37" t="s">
        <v>945</v>
      </c>
      <c r="E117">
        <v>0.108035336039424</v>
      </c>
      <c r="F117">
        <v>0.108035336039424</v>
      </c>
    </row>
    <row r="118" spans="1:6" x14ac:dyDescent="0.2">
      <c r="A118">
        <v>33</v>
      </c>
      <c r="B118" s="37" t="s">
        <v>946</v>
      </c>
      <c r="C118" s="1">
        <v>45349</v>
      </c>
      <c r="D118" s="37" t="s">
        <v>946</v>
      </c>
      <c r="E118">
        <v>9.8088221938146605E-2</v>
      </c>
      <c r="F118">
        <v>9.8088221938146605E-2</v>
      </c>
    </row>
    <row r="119" spans="1:6" x14ac:dyDescent="0.2">
      <c r="A119">
        <v>34</v>
      </c>
      <c r="B119" s="37" t="s">
        <v>112</v>
      </c>
      <c r="C119" s="1">
        <v>45426</v>
      </c>
      <c r="D119" s="37" t="s">
        <v>112</v>
      </c>
      <c r="E119">
        <v>3.91167302910145E-2</v>
      </c>
      <c r="F119">
        <v>3.91167302910145E-2</v>
      </c>
    </row>
    <row r="120" spans="1:6" x14ac:dyDescent="0.2">
      <c r="A120">
        <v>34</v>
      </c>
      <c r="B120" s="37" t="s">
        <v>113</v>
      </c>
      <c r="C120" s="1">
        <v>45612</v>
      </c>
      <c r="D120" s="37" t="s">
        <v>113</v>
      </c>
      <c r="E120">
        <v>0.24750991111830301</v>
      </c>
      <c r="F120">
        <v>0.24750991111830301</v>
      </c>
    </row>
    <row r="121" spans="1:6" x14ac:dyDescent="0.2">
      <c r="A121">
        <v>34</v>
      </c>
      <c r="B121" s="37" t="s">
        <v>114</v>
      </c>
      <c r="C121" s="1">
        <v>45300</v>
      </c>
      <c r="D121" s="37" t="s">
        <v>114</v>
      </c>
      <c r="E121">
        <v>0.19140037240183899</v>
      </c>
      <c r="F121">
        <v>0.19140037240183899</v>
      </c>
    </row>
    <row r="122" spans="1:6" x14ac:dyDescent="0.2">
      <c r="A122">
        <v>34</v>
      </c>
      <c r="B122" s="37" t="s">
        <v>947</v>
      </c>
      <c r="C122" s="1">
        <v>45646</v>
      </c>
      <c r="D122" s="37" t="s">
        <v>947</v>
      </c>
      <c r="E122">
        <v>6.4605694341135306E-2</v>
      </c>
      <c r="F122">
        <v>6.4605694341135306E-2</v>
      </c>
    </row>
    <row r="123" spans="1:6" x14ac:dyDescent="0.2">
      <c r="A123">
        <v>36</v>
      </c>
      <c r="B123" s="37" t="s">
        <v>948</v>
      </c>
      <c r="C123" s="1">
        <v>45309</v>
      </c>
      <c r="D123" s="37" t="s">
        <v>948</v>
      </c>
      <c r="E123">
        <v>0.20497735385836199</v>
      </c>
      <c r="F123">
        <v>0.20497735385836199</v>
      </c>
    </row>
    <row r="124" spans="1:6" x14ac:dyDescent="0.2">
      <c r="A124">
        <v>36</v>
      </c>
      <c r="B124" s="37" t="s">
        <v>949</v>
      </c>
      <c r="C124" s="1">
        <v>45639</v>
      </c>
      <c r="D124" s="37" t="s">
        <v>949</v>
      </c>
      <c r="E124">
        <v>0.28717661525388799</v>
      </c>
      <c r="F124">
        <v>0.28717661525388799</v>
      </c>
    </row>
    <row r="125" spans="1:6" x14ac:dyDescent="0.2">
      <c r="A125">
        <v>36</v>
      </c>
      <c r="B125" s="37" t="s">
        <v>950</v>
      </c>
      <c r="C125" s="1">
        <v>45358</v>
      </c>
      <c r="D125" s="37" t="s">
        <v>950</v>
      </c>
      <c r="E125">
        <v>0.118088636540411</v>
      </c>
      <c r="F125">
        <v>0.118088636540411</v>
      </c>
    </row>
    <row r="126" spans="1:6" x14ac:dyDescent="0.2">
      <c r="A126">
        <v>37</v>
      </c>
      <c r="B126" s="37" t="s">
        <v>115</v>
      </c>
      <c r="C126" s="1">
        <v>45635</v>
      </c>
      <c r="D126" s="37" t="s">
        <v>115</v>
      </c>
      <c r="E126">
        <v>4.6369905061790097E-2</v>
      </c>
      <c r="F126">
        <v>4.6369905061790097E-2</v>
      </c>
    </row>
    <row r="127" spans="1:6" x14ac:dyDescent="0.2">
      <c r="A127">
        <v>37</v>
      </c>
      <c r="B127" s="37" t="s">
        <v>951</v>
      </c>
      <c r="C127" s="1">
        <v>45459</v>
      </c>
      <c r="D127" s="37" t="s">
        <v>951</v>
      </c>
      <c r="E127">
        <v>0.171824143268998</v>
      </c>
      <c r="F127">
        <v>0.171824143268998</v>
      </c>
    </row>
    <row r="128" spans="1:6" x14ac:dyDescent="0.2">
      <c r="A128">
        <v>37</v>
      </c>
      <c r="B128" s="37" t="s">
        <v>952</v>
      </c>
      <c r="C128" s="1">
        <v>45452</v>
      </c>
      <c r="D128" s="37" t="s">
        <v>952</v>
      </c>
      <c r="E128">
        <v>0.17064538575336999</v>
      </c>
      <c r="F128">
        <v>0.17064538575336999</v>
      </c>
    </row>
    <row r="129" spans="1:6" x14ac:dyDescent="0.2">
      <c r="A129">
        <v>37</v>
      </c>
      <c r="B129" s="37" t="s">
        <v>116</v>
      </c>
      <c r="C129" s="1">
        <v>45320</v>
      </c>
      <c r="D129" s="37" t="s">
        <v>116</v>
      </c>
      <c r="E129">
        <v>0.28285279250231499</v>
      </c>
      <c r="F129">
        <v>0.28285279250231499</v>
      </c>
    </row>
    <row r="130" spans="1:6" x14ac:dyDescent="0.2">
      <c r="A130">
        <v>38</v>
      </c>
      <c r="B130" s="37" t="s">
        <v>117</v>
      </c>
      <c r="C130" s="1">
        <v>45569</v>
      </c>
      <c r="D130" s="37" t="s">
        <v>117</v>
      </c>
      <c r="E130">
        <v>8.1455391421017903E-2</v>
      </c>
      <c r="F130">
        <v>8.1455391421017903E-2</v>
      </c>
    </row>
    <row r="131" spans="1:6" x14ac:dyDescent="0.2">
      <c r="A131">
        <v>38</v>
      </c>
      <c r="B131" s="37" t="s">
        <v>118</v>
      </c>
      <c r="C131" s="1">
        <v>45390</v>
      </c>
      <c r="D131" s="37" t="s">
        <v>118</v>
      </c>
      <c r="E131">
        <v>0.44615336425991797</v>
      </c>
      <c r="F131">
        <v>0.44615336425991797</v>
      </c>
    </row>
    <row r="132" spans="1:6" x14ac:dyDescent="0.2">
      <c r="A132">
        <v>39</v>
      </c>
      <c r="B132" s="37" t="s">
        <v>953</v>
      </c>
      <c r="C132" s="1">
        <v>45365</v>
      </c>
      <c r="D132" s="37" t="s">
        <v>953</v>
      </c>
      <c r="E132">
        <v>0.189785995056896</v>
      </c>
      <c r="F132">
        <v>0.189785995056896</v>
      </c>
    </row>
    <row r="133" spans="1:6" x14ac:dyDescent="0.2">
      <c r="A133">
        <v>39</v>
      </c>
      <c r="B133" s="37" t="s">
        <v>954</v>
      </c>
      <c r="C133" s="1">
        <v>45377</v>
      </c>
      <c r="D133" s="37" t="s">
        <v>954</v>
      </c>
      <c r="E133">
        <v>0.20035207442799899</v>
      </c>
      <c r="F133">
        <v>0.20035207442799899</v>
      </c>
    </row>
    <row r="134" spans="1:6" x14ac:dyDescent="0.2">
      <c r="A134">
        <v>40</v>
      </c>
      <c r="B134" s="37" t="s">
        <v>955</v>
      </c>
      <c r="C134" s="1">
        <v>45646</v>
      </c>
      <c r="D134" s="37" t="s">
        <v>955</v>
      </c>
      <c r="E134">
        <v>0.119793873806295</v>
      </c>
      <c r="F134">
        <v>0.119793873806295</v>
      </c>
    </row>
    <row r="135" spans="1:6" x14ac:dyDescent="0.2">
      <c r="A135">
        <v>40</v>
      </c>
      <c r="B135" s="37" t="s">
        <v>956</v>
      </c>
      <c r="C135" s="1">
        <v>45326</v>
      </c>
      <c r="D135" s="37" t="s">
        <v>956</v>
      </c>
      <c r="E135">
        <v>0.45981784540645398</v>
      </c>
      <c r="F135">
        <v>0.45981784540645398</v>
      </c>
    </row>
    <row r="136" spans="1:6" x14ac:dyDescent="0.2">
      <c r="A136">
        <v>41</v>
      </c>
      <c r="B136" s="37" t="s">
        <v>119</v>
      </c>
      <c r="C136" s="1">
        <v>45327</v>
      </c>
      <c r="D136" s="37" t="s">
        <v>119</v>
      </c>
      <c r="E136">
        <v>4.18332917387364E-2</v>
      </c>
      <c r="F136">
        <v>4.18332917387364E-2</v>
      </c>
    </row>
    <row r="137" spans="1:6" x14ac:dyDescent="0.2">
      <c r="A137">
        <v>42</v>
      </c>
      <c r="B137" s="37" t="s">
        <v>957</v>
      </c>
      <c r="C137" s="1">
        <v>45591</v>
      </c>
      <c r="D137" s="37" t="s">
        <v>957</v>
      </c>
      <c r="E137">
        <v>6.4508727357576101E-3</v>
      </c>
      <c r="F137">
        <v>6.4508727357576101E-3</v>
      </c>
    </row>
    <row r="138" spans="1:6" x14ac:dyDescent="0.2">
      <c r="A138">
        <v>42</v>
      </c>
      <c r="B138" s="37" t="s">
        <v>958</v>
      </c>
      <c r="C138" s="1">
        <v>45601</v>
      </c>
      <c r="D138" s="37" t="s">
        <v>958</v>
      </c>
      <c r="E138">
        <v>3.7326345043355698E-2</v>
      </c>
      <c r="F138">
        <v>3.7326345043355698E-2</v>
      </c>
    </row>
    <row r="139" spans="1:6" x14ac:dyDescent="0.2">
      <c r="A139">
        <v>43</v>
      </c>
      <c r="B139" s="37" t="s">
        <v>959</v>
      </c>
      <c r="C139" s="1">
        <v>45384</v>
      </c>
      <c r="D139" s="37" t="s">
        <v>959</v>
      </c>
      <c r="E139">
        <v>0.229018577120011</v>
      </c>
      <c r="F139">
        <v>0.229018577120011</v>
      </c>
    </row>
    <row r="140" spans="1:6" x14ac:dyDescent="0.2">
      <c r="A140">
        <v>43</v>
      </c>
      <c r="B140" s="37" t="s">
        <v>120</v>
      </c>
      <c r="C140" s="1">
        <v>45560</v>
      </c>
      <c r="D140" s="37" t="s">
        <v>120</v>
      </c>
      <c r="E140">
        <v>0.55930314589438701</v>
      </c>
      <c r="F140">
        <v>0.55930314589438701</v>
      </c>
    </row>
    <row r="141" spans="1:6" x14ac:dyDescent="0.2">
      <c r="A141">
        <v>44</v>
      </c>
      <c r="B141" s="37" t="s">
        <v>960</v>
      </c>
      <c r="C141" s="1">
        <v>45296</v>
      </c>
      <c r="D141" s="37" t="s">
        <v>960</v>
      </c>
      <c r="E141">
        <v>0.163256581969033</v>
      </c>
      <c r="F141">
        <v>0.163256581969033</v>
      </c>
    </row>
    <row r="142" spans="1:6" x14ac:dyDescent="0.2">
      <c r="A142">
        <v>44</v>
      </c>
      <c r="B142" s="37" t="s">
        <v>961</v>
      </c>
      <c r="C142" s="1">
        <v>45347</v>
      </c>
      <c r="D142" s="37" t="s">
        <v>961</v>
      </c>
      <c r="E142">
        <v>0.75807022960457804</v>
      </c>
      <c r="F142">
        <v>0.75807022960457804</v>
      </c>
    </row>
    <row r="143" spans="1:6" x14ac:dyDescent="0.2">
      <c r="A143">
        <v>45</v>
      </c>
      <c r="B143" s="37" t="s">
        <v>962</v>
      </c>
      <c r="C143" s="1">
        <v>45639</v>
      </c>
      <c r="D143" s="37" t="s">
        <v>962</v>
      </c>
      <c r="E143">
        <v>0.27905460215418099</v>
      </c>
      <c r="F143">
        <v>0.27905460215418099</v>
      </c>
    </row>
    <row r="144" spans="1:6" x14ac:dyDescent="0.2">
      <c r="A144">
        <v>46</v>
      </c>
      <c r="B144" s="37" t="s">
        <v>963</v>
      </c>
      <c r="C144" s="1">
        <v>45443</v>
      </c>
      <c r="D144" s="37" t="s">
        <v>963</v>
      </c>
      <c r="E144">
        <v>6.4034293213933002E-2</v>
      </c>
      <c r="F144">
        <v>6.4034293213933002E-2</v>
      </c>
    </row>
    <row r="145" spans="1:6" x14ac:dyDescent="0.2">
      <c r="A145">
        <v>47</v>
      </c>
      <c r="B145" s="37" t="s">
        <v>121</v>
      </c>
      <c r="C145" s="1">
        <v>45316</v>
      </c>
      <c r="D145" s="37" t="s">
        <v>121</v>
      </c>
      <c r="E145">
        <v>0.333954826617548</v>
      </c>
      <c r="F145">
        <v>0.333954826617548</v>
      </c>
    </row>
    <row r="146" spans="1:6" x14ac:dyDescent="0.2">
      <c r="A146">
        <v>47</v>
      </c>
      <c r="B146" s="37" t="s">
        <v>122</v>
      </c>
      <c r="C146" s="1">
        <v>45385</v>
      </c>
      <c r="D146" s="37" t="s">
        <v>122</v>
      </c>
      <c r="E146">
        <v>0.176258960164585</v>
      </c>
      <c r="F146">
        <v>0.176258960164585</v>
      </c>
    </row>
    <row r="147" spans="1:6" x14ac:dyDescent="0.2">
      <c r="A147">
        <v>48</v>
      </c>
      <c r="B147" s="37" t="s">
        <v>964</v>
      </c>
      <c r="C147" s="1">
        <v>45502</v>
      </c>
      <c r="D147" s="37" t="s">
        <v>964</v>
      </c>
      <c r="E147">
        <v>0.19152899280164301</v>
      </c>
      <c r="F147">
        <v>0.19152899280164301</v>
      </c>
    </row>
    <row r="148" spans="1:6" x14ac:dyDescent="0.2">
      <c r="A148">
        <v>48</v>
      </c>
      <c r="B148" s="37" t="s">
        <v>965</v>
      </c>
      <c r="C148" s="1">
        <v>45326</v>
      </c>
      <c r="D148" s="37" t="s">
        <v>965</v>
      </c>
      <c r="E148">
        <v>0.27157820961099599</v>
      </c>
      <c r="F148">
        <v>0.27157820961099599</v>
      </c>
    </row>
    <row r="149" spans="1:6" x14ac:dyDescent="0.2">
      <c r="A149">
        <v>48</v>
      </c>
      <c r="B149" s="37" t="s">
        <v>578</v>
      </c>
      <c r="C149" s="1">
        <v>45482</v>
      </c>
      <c r="D149" s="37" t="s">
        <v>578</v>
      </c>
      <c r="E149">
        <v>0.172617545520939</v>
      </c>
      <c r="F149">
        <v>0.172617545520939</v>
      </c>
    </row>
    <row r="150" spans="1:6" x14ac:dyDescent="0.2">
      <c r="A150">
        <v>49</v>
      </c>
      <c r="B150" s="37" t="s">
        <v>123</v>
      </c>
      <c r="C150" s="1">
        <v>45506</v>
      </c>
      <c r="D150" s="37" t="s">
        <v>123</v>
      </c>
      <c r="E150">
        <v>0.17162019517716301</v>
      </c>
      <c r="F150">
        <v>0.17162019517716301</v>
      </c>
    </row>
    <row r="151" spans="1:6" x14ac:dyDescent="0.2">
      <c r="A151">
        <v>49</v>
      </c>
      <c r="B151" s="37" t="s">
        <v>124</v>
      </c>
      <c r="C151" s="1">
        <v>45394</v>
      </c>
      <c r="D151" s="37" t="s">
        <v>124</v>
      </c>
      <c r="E151">
        <v>0.82510963623318401</v>
      </c>
      <c r="F151">
        <v>0.82510963623318401</v>
      </c>
    </row>
    <row r="152" spans="1:6" x14ac:dyDescent="0.2">
      <c r="A152">
        <v>50</v>
      </c>
      <c r="B152" s="37" t="s">
        <v>966</v>
      </c>
      <c r="C152" s="1">
        <v>45577</v>
      </c>
      <c r="D152" s="37" t="s">
        <v>966</v>
      </c>
      <c r="E152">
        <v>6.5229974302028204E-2</v>
      </c>
      <c r="F152">
        <v>6.5229974302028204E-2</v>
      </c>
    </row>
    <row r="153" spans="1:6" x14ac:dyDescent="0.2">
      <c r="A153">
        <v>50</v>
      </c>
      <c r="B153" s="37" t="s">
        <v>967</v>
      </c>
      <c r="C153" s="1">
        <v>45508</v>
      </c>
      <c r="D153" s="37" t="s">
        <v>967</v>
      </c>
      <c r="E153">
        <v>0.24700767987112099</v>
      </c>
      <c r="F153">
        <v>0.24700767987112099</v>
      </c>
    </row>
    <row r="154" spans="1:6" x14ac:dyDescent="0.2">
      <c r="A154">
        <v>50</v>
      </c>
      <c r="B154" s="37" t="s">
        <v>968</v>
      </c>
      <c r="C154" s="1">
        <v>45617</v>
      </c>
      <c r="D154" s="37" t="s">
        <v>968</v>
      </c>
      <c r="E154">
        <v>8.5972001254873101E-2</v>
      </c>
      <c r="F154">
        <v>8.5972001254873101E-2</v>
      </c>
    </row>
    <row r="155" spans="1:6" x14ac:dyDescent="0.2">
      <c r="A155">
        <v>50</v>
      </c>
      <c r="B155" s="37" t="s">
        <v>125</v>
      </c>
      <c r="C155" s="1">
        <v>45486</v>
      </c>
      <c r="D155" s="37" t="s">
        <v>125</v>
      </c>
      <c r="E155">
        <v>0.105441249463959</v>
      </c>
      <c r="F155">
        <v>0.105441249463959</v>
      </c>
    </row>
    <row r="156" spans="1:6" x14ac:dyDescent="0.2">
      <c r="A156">
        <v>50</v>
      </c>
      <c r="B156" s="37" t="s">
        <v>969</v>
      </c>
      <c r="C156" s="1">
        <v>45478</v>
      </c>
      <c r="D156" s="37" t="s">
        <v>969</v>
      </c>
      <c r="E156">
        <v>0.15818004554932899</v>
      </c>
      <c r="F156">
        <v>0.15818004554932899</v>
      </c>
    </row>
    <row r="157" spans="1:6" x14ac:dyDescent="0.2">
      <c r="A157">
        <v>52</v>
      </c>
      <c r="B157" s="37" t="s">
        <v>579</v>
      </c>
      <c r="C157" s="1">
        <v>45335</v>
      </c>
      <c r="D157" s="37" t="s">
        <v>579</v>
      </c>
      <c r="E157">
        <v>0.14577047172778601</v>
      </c>
      <c r="F157">
        <v>0.14577047172778601</v>
      </c>
    </row>
    <row r="158" spans="1:6" x14ac:dyDescent="0.2">
      <c r="A158">
        <v>52</v>
      </c>
      <c r="B158" s="37" t="s">
        <v>580</v>
      </c>
      <c r="C158" s="1">
        <v>45452</v>
      </c>
      <c r="D158" s="37" t="s">
        <v>580</v>
      </c>
      <c r="E158">
        <v>0.23382519437149801</v>
      </c>
      <c r="F158">
        <v>0.23382519437149801</v>
      </c>
    </row>
    <row r="159" spans="1:6" x14ac:dyDescent="0.2">
      <c r="A159">
        <v>52</v>
      </c>
      <c r="B159" s="37" t="s">
        <v>581</v>
      </c>
      <c r="C159" s="1">
        <v>45455</v>
      </c>
      <c r="D159" s="37" t="s">
        <v>581</v>
      </c>
      <c r="E159">
        <v>2.4933315991601701E-2</v>
      </c>
      <c r="F159">
        <v>2.4933315991601701E-2</v>
      </c>
    </row>
    <row r="160" spans="1:6" x14ac:dyDescent="0.2">
      <c r="A160">
        <v>53</v>
      </c>
      <c r="B160" s="37" t="s">
        <v>582</v>
      </c>
      <c r="C160" s="1">
        <v>45437</v>
      </c>
      <c r="D160" s="37" t="s">
        <v>582</v>
      </c>
      <c r="E160">
        <v>0.22319938318785801</v>
      </c>
      <c r="F160">
        <v>0.22319938318785801</v>
      </c>
    </row>
    <row r="161" spans="1:6" x14ac:dyDescent="0.2">
      <c r="A161">
        <v>53</v>
      </c>
      <c r="B161" s="37" t="s">
        <v>583</v>
      </c>
      <c r="C161" s="1">
        <v>45655</v>
      </c>
      <c r="D161" s="37" t="s">
        <v>583</v>
      </c>
      <c r="E161">
        <v>0.25897532122373101</v>
      </c>
      <c r="F161">
        <v>0.25897532122373101</v>
      </c>
    </row>
    <row r="162" spans="1:6" x14ac:dyDescent="0.2">
      <c r="A162">
        <v>53</v>
      </c>
      <c r="B162" s="37" t="s">
        <v>584</v>
      </c>
      <c r="C162" s="1">
        <v>45394</v>
      </c>
      <c r="D162" s="37" t="s">
        <v>584</v>
      </c>
      <c r="E162">
        <v>0.16514936685380099</v>
      </c>
      <c r="F162">
        <v>0.16514936685380099</v>
      </c>
    </row>
    <row r="163" spans="1:6" x14ac:dyDescent="0.2">
      <c r="A163">
        <v>53</v>
      </c>
      <c r="B163" s="37" t="s">
        <v>585</v>
      </c>
      <c r="C163" s="1">
        <v>45573</v>
      </c>
      <c r="D163" s="37" t="s">
        <v>585</v>
      </c>
      <c r="E163">
        <v>0.27442211448758702</v>
      </c>
      <c r="F163">
        <v>0.27442211448758702</v>
      </c>
    </row>
    <row r="164" spans="1:6" x14ac:dyDescent="0.2">
      <c r="A164">
        <v>54</v>
      </c>
      <c r="B164" s="37" t="s">
        <v>970</v>
      </c>
      <c r="C164" s="1">
        <v>45604</v>
      </c>
      <c r="D164" s="37" t="s">
        <v>970</v>
      </c>
      <c r="E164">
        <v>0.14718143379256601</v>
      </c>
      <c r="F164">
        <v>0.14718143379256601</v>
      </c>
    </row>
    <row r="165" spans="1:6" x14ac:dyDescent="0.2">
      <c r="A165">
        <v>55</v>
      </c>
      <c r="B165" s="37" t="s">
        <v>126</v>
      </c>
      <c r="C165" s="1">
        <v>45521</v>
      </c>
      <c r="D165" s="37" t="s">
        <v>126</v>
      </c>
      <c r="E165">
        <v>9.8284953209316003E-2</v>
      </c>
      <c r="F165">
        <v>9.8284953209316003E-2</v>
      </c>
    </row>
    <row r="166" spans="1:6" x14ac:dyDescent="0.2">
      <c r="A166">
        <v>55</v>
      </c>
      <c r="B166" s="37" t="s">
        <v>127</v>
      </c>
      <c r="C166" s="1">
        <v>45643</v>
      </c>
      <c r="D166" s="37" t="s">
        <v>127</v>
      </c>
      <c r="E166">
        <v>0.13157746270102</v>
      </c>
      <c r="F166">
        <v>0.13157746270102</v>
      </c>
    </row>
    <row r="167" spans="1:6" x14ac:dyDescent="0.2">
      <c r="A167">
        <v>55</v>
      </c>
      <c r="B167" s="37" t="s">
        <v>971</v>
      </c>
      <c r="C167" s="1">
        <v>45514</v>
      </c>
      <c r="D167" s="37" t="s">
        <v>971</v>
      </c>
      <c r="E167">
        <v>0.24289695061871799</v>
      </c>
      <c r="F167">
        <v>0.24289695061871799</v>
      </c>
    </row>
    <row r="168" spans="1:6" x14ac:dyDescent="0.2">
      <c r="A168">
        <v>56</v>
      </c>
      <c r="B168" s="37" t="s">
        <v>972</v>
      </c>
      <c r="C168" s="1">
        <v>45406</v>
      </c>
      <c r="D168" s="37" t="s">
        <v>972</v>
      </c>
      <c r="E168">
        <v>0.11614312717290901</v>
      </c>
      <c r="F168">
        <v>0.11614312717290901</v>
      </c>
    </row>
    <row r="169" spans="1:6" x14ac:dyDescent="0.2">
      <c r="A169">
        <v>56</v>
      </c>
      <c r="B169" s="37" t="s">
        <v>973</v>
      </c>
      <c r="C169" s="1">
        <v>45626</v>
      </c>
      <c r="D169" s="37" t="s">
        <v>973</v>
      </c>
      <c r="E169">
        <v>0.43021239403412598</v>
      </c>
      <c r="F169">
        <v>0.43021239403412598</v>
      </c>
    </row>
    <row r="170" spans="1:6" x14ac:dyDescent="0.2">
      <c r="A170">
        <v>57</v>
      </c>
      <c r="B170" s="37" t="s">
        <v>974</v>
      </c>
      <c r="C170" s="1">
        <v>45609</v>
      </c>
      <c r="D170" s="37" t="s">
        <v>974</v>
      </c>
      <c r="E170">
        <v>0.18174366633092401</v>
      </c>
      <c r="F170">
        <v>0.18174366633092401</v>
      </c>
    </row>
    <row r="171" spans="1:6" x14ac:dyDescent="0.2">
      <c r="A171">
        <v>58</v>
      </c>
      <c r="B171" s="37" t="s">
        <v>975</v>
      </c>
      <c r="C171" s="1">
        <v>45566</v>
      </c>
      <c r="D171" s="37" t="s">
        <v>975</v>
      </c>
      <c r="E171">
        <v>0.29110002223127301</v>
      </c>
      <c r="F171">
        <v>0.29110002223127301</v>
      </c>
    </row>
    <row r="172" spans="1:6" x14ac:dyDescent="0.2">
      <c r="A172">
        <v>58</v>
      </c>
      <c r="B172" s="37" t="s">
        <v>586</v>
      </c>
      <c r="C172" s="1">
        <v>45502</v>
      </c>
      <c r="D172" s="37" t="s">
        <v>586</v>
      </c>
      <c r="E172">
        <v>7.4141245281228493E-2</v>
      </c>
      <c r="F172">
        <v>7.4141245281228493E-2</v>
      </c>
    </row>
    <row r="173" spans="1:6" x14ac:dyDescent="0.2">
      <c r="A173">
        <v>58</v>
      </c>
      <c r="B173" s="37" t="s">
        <v>587</v>
      </c>
      <c r="C173" s="1">
        <v>45502</v>
      </c>
      <c r="D173" s="37" t="s">
        <v>587</v>
      </c>
      <c r="E173">
        <v>0.177641741445596</v>
      </c>
      <c r="F173">
        <v>0.177641741445596</v>
      </c>
    </row>
    <row r="174" spans="1:6" x14ac:dyDescent="0.2">
      <c r="A174">
        <v>58</v>
      </c>
      <c r="B174" s="37" t="s">
        <v>588</v>
      </c>
      <c r="C174" s="1">
        <v>45488</v>
      </c>
      <c r="D174" s="37" t="s">
        <v>588</v>
      </c>
      <c r="E174">
        <v>5.8563416464009199E-2</v>
      </c>
      <c r="F174">
        <v>5.8563416464009199E-2</v>
      </c>
    </row>
    <row r="175" spans="1:6" x14ac:dyDescent="0.2">
      <c r="A175">
        <v>59</v>
      </c>
      <c r="B175" s="37" t="s">
        <v>976</v>
      </c>
      <c r="C175" s="1">
        <v>45615</v>
      </c>
      <c r="D175" s="37" t="s">
        <v>976</v>
      </c>
      <c r="E175">
        <v>0.13901063966369101</v>
      </c>
      <c r="F175">
        <v>0.13901063966369101</v>
      </c>
    </row>
    <row r="176" spans="1:6" x14ac:dyDescent="0.2">
      <c r="A176">
        <v>59</v>
      </c>
      <c r="B176" s="37" t="s">
        <v>977</v>
      </c>
      <c r="C176" s="1">
        <v>45418</v>
      </c>
      <c r="D176" s="37" t="s">
        <v>977</v>
      </c>
      <c r="E176">
        <v>0.41641369856944699</v>
      </c>
      <c r="F176">
        <v>0.41641369856944699</v>
      </c>
    </row>
    <row r="177" spans="1:6" x14ac:dyDescent="0.2">
      <c r="A177">
        <v>59</v>
      </c>
      <c r="B177" s="37" t="s">
        <v>128</v>
      </c>
      <c r="C177" s="1">
        <v>45316</v>
      </c>
      <c r="D177" s="37" t="s">
        <v>128</v>
      </c>
      <c r="E177">
        <v>0.27187792679531397</v>
      </c>
      <c r="F177">
        <v>0.27187792679531397</v>
      </c>
    </row>
    <row r="178" spans="1:6" x14ac:dyDescent="0.2">
      <c r="A178">
        <v>59</v>
      </c>
      <c r="B178" s="37" t="s">
        <v>129</v>
      </c>
      <c r="C178" s="1">
        <v>45320</v>
      </c>
      <c r="D178" s="37" t="s">
        <v>129</v>
      </c>
      <c r="E178">
        <v>0.13973251437664699</v>
      </c>
      <c r="F178">
        <v>0.13973251437664699</v>
      </c>
    </row>
    <row r="179" spans="1:6" x14ac:dyDescent="0.2">
      <c r="A179">
        <v>59</v>
      </c>
      <c r="B179" s="37" t="s">
        <v>130</v>
      </c>
      <c r="C179" s="1">
        <v>45472</v>
      </c>
      <c r="D179" s="37" t="s">
        <v>130</v>
      </c>
      <c r="E179">
        <v>7.4069314679518605E-2</v>
      </c>
      <c r="F179">
        <v>7.4069314679518605E-2</v>
      </c>
    </row>
    <row r="180" spans="1:6" x14ac:dyDescent="0.2">
      <c r="A180">
        <v>60</v>
      </c>
      <c r="B180" s="37" t="s">
        <v>131</v>
      </c>
      <c r="C180" s="1">
        <v>45601</v>
      </c>
      <c r="D180" s="37" t="s">
        <v>131</v>
      </c>
      <c r="E180">
        <v>2.9418706657066699E-2</v>
      </c>
      <c r="F180">
        <v>2.9418706657066699E-2</v>
      </c>
    </row>
    <row r="181" spans="1:6" x14ac:dyDescent="0.2">
      <c r="A181">
        <v>60</v>
      </c>
      <c r="B181" s="37" t="s">
        <v>132</v>
      </c>
      <c r="C181" s="1">
        <v>45505</v>
      </c>
      <c r="D181" s="37" t="s">
        <v>132</v>
      </c>
      <c r="E181">
        <v>0.37406945377775602</v>
      </c>
      <c r="F181">
        <v>0.37406945377775602</v>
      </c>
    </row>
    <row r="182" spans="1:6" x14ac:dyDescent="0.2">
      <c r="A182">
        <v>61</v>
      </c>
      <c r="B182" s="37" t="s">
        <v>978</v>
      </c>
      <c r="C182" s="1">
        <v>45587</v>
      </c>
      <c r="D182" s="37" t="s">
        <v>978</v>
      </c>
      <c r="E182">
        <v>0.23452747636433899</v>
      </c>
      <c r="F182">
        <v>0.23452747636433899</v>
      </c>
    </row>
    <row r="183" spans="1:6" x14ac:dyDescent="0.2">
      <c r="A183">
        <v>61</v>
      </c>
      <c r="B183" s="37" t="s">
        <v>979</v>
      </c>
      <c r="C183" s="1">
        <v>45514</v>
      </c>
      <c r="D183" s="37" t="s">
        <v>979</v>
      </c>
      <c r="E183">
        <v>9.6105035165991601E-2</v>
      </c>
      <c r="F183">
        <v>9.6105035165991601E-2</v>
      </c>
    </row>
    <row r="184" spans="1:6" x14ac:dyDescent="0.2">
      <c r="A184">
        <v>61</v>
      </c>
      <c r="B184" s="37" t="s">
        <v>133</v>
      </c>
      <c r="C184" s="1">
        <v>45458</v>
      </c>
      <c r="D184" s="37" t="s">
        <v>133</v>
      </c>
      <c r="E184">
        <v>0.30810517536139298</v>
      </c>
      <c r="F184">
        <v>0.30810517536139298</v>
      </c>
    </row>
    <row r="185" spans="1:6" x14ac:dyDescent="0.2">
      <c r="A185">
        <v>61</v>
      </c>
      <c r="B185" s="37" t="s">
        <v>589</v>
      </c>
      <c r="C185" s="1">
        <v>45520</v>
      </c>
      <c r="D185" s="37" t="s">
        <v>589</v>
      </c>
      <c r="E185">
        <v>0.12506412597738301</v>
      </c>
      <c r="F185">
        <v>0.12506412597738301</v>
      </c>
    </row>
    <row r="186" spans="1:6" x14ac:dyDescent="0.2">
      <c r="A186">
        <v>62</v>
      </c>
      <c r="B186" s="37" t="s">
        <v>134</v>
      </c>
      <c r="C186" s="1">
        <v>45561</v>
      </c>
      <c r="D186" s="37" t="s">
        <v>134</v>
      </c>
      <c r="E186">
        <v>0.26959855348603901</v>
      </c>
      <c r="F186">
        <v>0.26959855348603901</v>
      </c>
    </row>
    <row r="187" spans="1:6" x14ac:dyDescent="0.2">
      <c r="A187">
        <v>63</v>
      </c>
      <c r="B187" s="37" t="s">
        <v>980</v>
      </c>
      <c r="C187" s="1">
        <v>45314</v>
      </c>
      <c r="D187" s="37" t="s">
        <v>980</v>
      </c>
      <c r="E187">
        <v>0.115367084112058</v>
      </c>
      <c r="F187">
        <v>0.115367084112058</v>
      </c>
    </row>
    <row r="188" spans="1:6" x14ac:dyDescent="0.2">
      <c r="A188">
        <v>63</v>
      </c>
      <c r="B188" s="37" t="s">
        <v>981</v>
      </c>
      <c r="C188" s="1">
        <v>45514</v>
      </c>
      <c r="D188" s="37" t="s">
        <v>981</v>
      </c>
      <c r="E188">
        <v>0.203458853765839</v>
      </c>
      <c r="F188">
        <v>0.203458853765839</v>
      </c>
    </row>
    <row r="189" spans="1:6" x14ac:dyDescent="0.2">
      <c r="A189">
        <v>64</v>
      </c>
      <c r="B189" s="37" t="s">
        <v>982</v>
      </c>
      <c r="C189" s="1">
        <v>45618</v>
      </c>
      <c r="D189" s="37" t="s">
        <v>982</v>
      </c>
      <c r="E189">
        <v>1.30027033077511E-2</v>
      </c>
      <c r="F189">
        <v>1.30027033077511E-2</v>
      </c>
    </row>
    <row r="190" spans="1:6" x14ac:dyDescent="0.2">
      <c r="A190">
        <v>64</v>
      </c>
      <c r="B190" s="37" t="s">
        <v>983</v>
      </c>
      <c r="C190" s="1">
        <v>45336</v>
      </c>
      <c r="D190" s="37" t="s">
        <v>983</v>
      </c>
      <c r="E190">
        <v>0.24590990431112</v>
      </c>
      <c r="F190">
        <v>0.24590990431112</v>
      </c>
    </row>
    <row r="191" spans="1:6" x14ac:dyDescent="0.2">
      <c r="A191">
        <v>65</v>
      </c>
      <c r="B191" s="37" t="s">
        <v>135</v>
      </c>
      <c r="C191" s="1">
        <v>45400</v>
      </c>
      <c r="D191" s="37" t="s">
        <v>135</v>
      </c>
      <c r="E191">
        <v>8.4402053820102393E-2</v>
      </c>
      <c r="F191">
        <v>8.4402053820102393E-2</v>
      </c>
    </row>
    <row r="192" spans="1:6" x14ac:dyDescent="0.2">
      <c r="A192">
        <v>65</v>
      </c>
      <c r="B192" s="37" t="s">
        <v>136</v>
      </c>
      <c r="C192" s="1">
        <v>45657</v>
      </c>
      <c r="D192" s="37" t="s">
        <v>136</v>
      </c>
      <c r="E192">
        <v>0.227008030288468</v>
      </c>
      <c r="F192">
        <v>0.227008030288468</v>
      </c>
    </row>
    <row r="193" spans="1:6" x14ac:dyDescent="0.2">
      <c r="A193">
        <v>65</v>
      </c>
      <c r="B193" s="37" t="s">
        <v>137</v>
      </c>
      <c r="C193" s="1">
        <v>45450</v>
      </c>
      <c r="D193" s="37" t="s">
        <v>137</v>
      </c>
      <c r="E193">
        <v>0.17409693877680199</v>
      </c>
      <c r="F193">
        <v>0.17409693877680199</v>
      </c>
    </row>
    <row r="194" spans="1:6" x14ac:dyDescent="0.2">
      <c r="A194">
        <v>65</v>
      </c>
      <c r="B194" s="37" t="s">
        <v>590</v>
      </c>
      <c r="C194" s="1">
        <v>45457</v>
      </c>
      <c r="D194" s="37" t="s">
        <v>590</v>
      </c>
      <c r="E194">
        <v>7.3670973460883707E-2</v>
      </c>
      <c r="F194">
        <v>7.3670973460883707E-2</v>
      </c>
    </row>
    <row r="195" spans="1:6" x14ac:dyDescent="0.2">
      <c r="A195">
        <v>66</v>
      </c>
      <c r="B195" s="37" t="s">
        <v>984</v>
      </c>
      <c r="C195" s="1">
        <v>45639</v>
      </c>
      <c r="D195" s="37" t="s">
        <v>984</v>
      </c>
      <c r="E195">
        <v>0.314523318833898</v>
      </c>
      <c r="F195">
        <v>0.314523318833898</v>
      </c>
    </row>
    <row r="196" spans="1:6" x14ac:dyDescent="0.2">
      <c r="A196">
        <v>66</v>
      </c>
      <c r="B196" s="37" t="s">
        <v>138</v>
      </c>
      <c r="C196" s="1">
        <v>45328</v>
      </c>
      <c r="D196" s="37" t="s">
        <v>138</v>
      </c>
      <c r="E196">
        <v>4.6134748829103601E-2</v>
      </c>
      <c r="F196">
        <v>4.6134748829103601E-2</v>
      </c>
    </row>
    <row r="197" spans="1:6" x14ac:dyDescent="0.2">
      <c r="A197">
        <v>66</v>
      </c>
      <c r="B197" s="37" t="s">
        <v>591</v>
      </c>
      <c r="C197" s="1">
        <v>45374</v>
      </c>
      <c r="D197" s="37" t="s">
        <v>591</v>
      </c>
      <c r="E197">
        <v>0.22117698216748299</v>
      </c>
      <c r="F197">
        <v>0.22117698216748299</v>
      </c>
    </row>
    <row r="198" spans="1:6" x14ac:dyDescent="0.2">
      <c r="A198">
        <v>67</v>
      </c>
      <c r="B198" s="37" t="s">
        <v>139</v>
      </c>
      <c r="C198" s="1">
        <v>45593</v>
      </c>
      <c r="D198" s="37" t="s">
        <v>139</v>
      </c>
      <c r="E198">
        <v>0.82766099602889998</v>
      </c>
      <c r="F198">
        <v>0.82766099602889998</v>
      </c>
    </row>
    <row r="199" spans="1:6" x14ac:dyDescent="0.2">
      <c r="A199">
        <v>67</v>
      </c>
      <c r="B199" s="37" t="s">
        <v>140</v>
      </c>
      <c r="C199" s="1">
        <v>45636</v>
      </c>
      <c r="D199" s="37" t="s">
        <v>140</v>
      </c>
      <c r="E199">
        <v>0.28842135841553002</v>
      </c>
      <c r="F199">
        <v>0.28842135841553002</v>
      </c>
    </row>
    <row r="200" spans="1:6" x14ac:dyDescent="0.2">
      <c r="A200">
        <v>67</v>
      </c>
      <c r="B200" s="37" t="s">
        <v>141</v>
      </c>
      <c r="C200" s="1">
        <v>45555</v>
      </c>
      <c r="D200" s="37" t="s">
        <v>141</v>
      </c>
      <c r="E200">
        <v>3.8074343252809499E-2</v>
      </c>
      <c r="F200">
        <v>3.8074343252809499E-2</v>
      </c>
    </row>
    <row r="201" spans="1:6" x14ac:dyDescent="0.2">
      <c r="A201">
        <v>67</v>
      </c>
      <c r="B201" s="37" t="s">
        <v>142</v>
      </c>
      <c r="C201" s="1">
        <v>45462</v>
      </c>
      <c r="D201" s="37" t="s">
        <v>142</v>
      </c>
      <c r="E201">
        <v>0.58380621575957803</v>
      </c>
      <c r="F201">
        <v>0.58380621575957803</v>
      </c>
    </row>
    <row r="202" spans="1:6" x14ac:dyDescent="0.2">
      <c r="A202">
        <v>68</v>
      </c>
      <c r="B202" s="37" t="s">
        <v>985</v>
      </c>
      <c r="C202" s="1">
        <v>45326</v>
      </c>
      <c r="D202" s="37" t="s">
        <v>985</v>
      </c>
      <c r="E202">
        <v>1.4263122687384101E-3</v>
      </c>
      <c r="F202">
        <v>1.4263122687384101E-3</v>
      </c>
    </row>
    <row r="203" spans="1:6" x14ac:dyDescent="0.2">
      <c r="A203">
        <v>68</v>
      </c>
      <c r="B203" s="37" t="s">
        <v>986</v>
      </c>
      <c r="C203" s="1">
        <v>45529</v>
      </c>
      <c r="D203" s="37" t="s">
        <v>986</v>
      </c>
      <c r="E203">
        <v>0.25189100326916702</v>
      </c>
      <c r="F203">
        <v>0.25189100326916702</v>
      </c>
    </row>
    <row r="204" spans="1:6" x14ac:dyDescent="0.2">
      <c r="A204">
        <v>68</v>
      </c>
      <c r="B204" s="37" t="s">
        <v>143</v>
      </c>
      <c r="C204" s="1">
        <v>45501</v>
      </c>
      <c r="D204" s="37" t="s">
        <v>143</v>
      </c>
      <c r="E204">
        <v>0.278026239355257</v>
      </c>
      <c r="F204">
        <v>0.278026239355257</v>
      </c>
    </row>
    <row r="205" spans="1:6" x14ac:dyDescent="0.2">
      <c r="A205">
        <v>68</v>
      </c>
      <c r="B205" s="37" t="s">
        <v>987</v>
      </c>
      <c r="C205" s="1">
        <v>45557</v>
      </c>
      <c r="D205" s="37" t="s">
        <v>987</v>
      </c>
      <c r="E205">
        <v>6.4849087753618306E-2</v>
      </c>
      <c r="F205">
        <v>6.4849087753618306E-2</v>
      </c>
    </row>
    <row r="206" spans="1:6" x14ac:dyDescent="0.2">
      <c r="A206">
        <v>69</v>
      </c>
      <c r="B206" s="37" t="s">
        <v>988</v>
      </c>
      <c r="C206" s="1">
        <v>45555</v>
      </c>
      <c r="D206" s="37" t="s">
        <v>988</v>
      </c>
      <c r="E206">
        <v>0.219182176691118</v>
      </c>
      <c r="F206">
        <v>0.219182176691118</v>
      </c>
    </row>
    <row r="207" spans="1:6" x14ac:dyDescent="0.2">
      <c r="A207">
        <v>69</v>
      </c>
      <c r="B207" s="37" t="s">
        <v>989</v>
      </c>
      <c r="C207" s="1">
        <v>45630</v>
      </c>
      <c r="D207" s="37" t="s">
        <v>989</v>
      </c>
      <c r="E207">
        <v>0.17734884425233199</v>
      </c>
      <c r="F207">
        <v>0.17734884425233199</v>
      </c>
    </row>
    <row r="208" spans="1:6" x14ac:dyDescent="0.2">
      <c r="A208">
        <v>69</v>
      </c>
      <c r="B208" s="37" t="s">
        <v>990</v>
      </c>
      <c r="C208" s="1">
        <v>45649</v>
      </c>
      <c r="D208" s="37" t="s">
        <v>990</v>
      </c>
      <c r="E208">
        <v>0.128070985666632</v>
      </c>
      <c r="F208">
        <v>0.128070985666632</v>
      </c>
    </row>
    <row r="209" spans="1:6" x14ac:dyDescent="0.2">
      <c r="A209">
        <v>69</v>
      </c>
      <c r="B209" s="37" t="s">
        <v>592</v>
      </c>
      <c r="C209" s="1">
        <v>45323</v>
      </c>
      <c r="D209" s="37" t="s">
        <v>592</v>
      </c>
      <c r="E209">
        <v>0.433078700537815</v>
      </c>
      <c r="F209">
        <v>0.433078700537815</v>
      </c>
    </row>
    <row r="210" spans="1:6" x14ac:dyDescent="0.2">
      <c r="A210">
        <v>70</v>
      </c>
      <c r="B210" s="37" t="s">
        <v>991</v>
      </c>
      <c r="C210" s="1">
        <v>45360</v>
      </c>
      <c r="D210" s="37" t="s">
        <v>991</v>
      </c>
      <c r="E210">
        <v>0.367328453676666</v>
      </c>
      <c r="F210">
        <v>0.367328453676666</v>
      </c>
    </row>
    <row r="211" spans="1:6" x14ac:dyDescent="0.2">
      <c r="A211">
        <v>70</v>
      </c>
      <c r="B211" s="37" t="s">
        <v>144</v>
      </c>
      <c r="C211" s="1">
        <v>45640</v>
      </c>
      <c r="D211" s="37" t="s">
        <v>144</v>
      </c>
      <c r="E211">
        <v>0.235017724070781</v>
      </c>
      <c r="F211">
        <v>0.235017724070781</v>
      </c>
    </row>
    <row r="212" spans="1:6" x14ac:dyDescent="0.2">
      <c r="A212">
        <v>70</v>
      </c>
      <c r="B212" s="37" t="s">
        <v>992</v>
      </c>
      <c r="C212" s="1">
        <v>45337</v>
      </c>
      <c r="D212" s="37" t="s">
        <v>992</v>
      </c>
      <c r="E212">
        <v>1.43409229673549E-2</v>
      </c>
      <c r="F212">
        <v>1.43409229673549E-2</v>
      </c>
    </row>
    <row r="213" spans="1:6" x14ac:dyDescent="0.2">
      <c r="A213">
        <v>71</v>
      </c>
      <c r="B213" s="37" t="s">
        <v>993</v>
      </c>
      <c r="C213" s="1">
        <v>45547</v>
      </c>
      <c r="D213" s="37" t="s">
        <v>993</v>
      </c>
      <c r="E213">
        <v>0.124639253576321</v>
      </c>
      <c r="F213">
        <v>0.124639253576321</v>
      </c>
    </row>
    <row r="214" spans="1:6" x14ac:dyDescent="0.2">
      <c r="A214">
        <v>71</v>
      </c>
      <c r="B214" s="37" t="s">
        <v>994</v>
      </c>
      <c r="C214" s="1">
        <v>45546</v>
      </c>
      <c r="D214" s="37" t="s">
        <v>994</v>
      </c>
      <c r="E214">
        <v>0.11316674151934999</v>
      </c>
      <c r="F214">
        <v>0.11316674151934999</v>
      </c>
    </row>
    <row r="215" spans="1:6" x14ac:dyDescent="0.2">
      <c r="A215">
        <v>71</v>
      </c>
      <c r="B215" s="37" t="s">
        <v>995</v>
      </c>
      <c r="C215" s="1">
        <v>45340</v>
      </c>
      <c r="D215" s="37" t="s">
        <v>995</v>
      </c>
      <c r="E215">
        <v>0.14282162481942801</v>
      </c>
      <c r="F215">
        <v>0.14282162481942801</v>
      </c>
    </row>
    <row r="216" spans="1:6" x14ac:dyDescent="0.2">
      <c r="A216">
        <v>71</v>
      </c>
      <c r="B216" s="37" t="s">
        <v>145</v>
      </c>
      <c r="C216" s="1">
        <v>45360</v>
      </c>
      <c r="D216" s="37" t="s">
        <v>145</v>
      </c>
      <c r="E216">
        <v>0.10126998332880199</v>
      </c>
      <c r="F216">
        <v>0.10126998332880199</v>
      </c>
    </row>
    <row r="217" spans="1:6" x14ac:dyDescent="0.2">
      <c r="A217">
        <v>72</v>
      </c>
      <c r="B217" s="37" t="s">
        <v>996</v>
      </c>
      <c r="C217" s="1">
        <v>45484</v>
      </c>
      <c r="D217" s="37" t="s">
        <v>996</v>
      </c>
      <c r="E217">
        <v>3.02139102497864E-2</v>
      </c>
      <c r="F217">
        <v>3.02139102497864E-2</v>
      </c>
    </row>
    <row r="218" spans="1:6" x14ac:dyDescent="0.2">
      <c r="A218">
        <v>72</v>
      </c>
      <c r="B218" s="37" t="s">
        <v>997</v>
      </c>
      <c r="C218" s="1">
        <v>45594</v>
      </c>
      <c r="D218" s="37" t="s">
        <v>997</v>
      </c>
      <c r="E218">
        <v>0.117834902201211</v>
      </c>
      <c r="F218">
        <v>0.117834902201211</v>
      </c>
    </row>
    <row r="219" spans="1:6" x14ac:dyDescent="0.2">
      <c r="A219">
        <v>72</v>
      </c>
      <c r="B219" s="37" t="s">
        <v>998</v>
      </c>
      <c r="C219" s="1">
        <v>45433</v>
      </c>
      <c r="D219" s="37" t="s">
        <v>998</v>
      </c>
      <c r="E219">
        <v>8.8388539819887896E-2</v>
      </c>
      <c r="F219">
        <v>8.8388539819887896E-2</v>
      </c>
    </row>
    <row r="220" spans="1:6" x14ac:dyDescent="0.2">
      <c r="A220">
        <v>73</v>
      </c>
      <c r="B220" s="37" t="s">
        <v>146</v>
      </c>
      <c r="C220" s="1">
        <v>45644</v>
      </c>
      <c r="D220" s="37" t="s">
        <v>146</v>
      </c>
      <c r="E220">
        <v>0.15032984095471599</v>
      </c>
      <c r="F220">
        <v>0.15032984095471599</v>
      </c>
    </row>
    <row r="221" spans="1:6" x14ac:dyDescent="0.2">
      <c r="A221">
        <v>73</v>
      </c>
      <c r="B221" s="37" t="s">
        <v>593</v>
      </c>
      <c r="C221" s="1">
        <v>45649</v>
      </c>
      <c r="D221" s="37" t="s">
        <v>593</v>
      </c>
      <c r="E221">
        <v>0.20337640424276299</v>
      </c>
      <c r="F221">
        <v>0.20337640424276299</v>
      </c>
    </row>
    <row r="222" spans="1:6" x14ac:dyDescent="0.2">
      <c r="A222">
        <v>73</v>
      </c>
      <c r="B222" s="37" t="s">
        <v>594</v>
      </c>
      <c r="C222" s="1">
        <v>45607</v>
      </c>
      <c r="D222" s="37" t="s">
        <v>594</v>
      </c>
      <c r="E222">
        <v>0.106139315802636</v>
      </c>
      <c r="F222">
        <v>0.106139315802636</v>
      </c>
    </row>
    <row r="223" spans="1:6" x14ac:dyDescent="0.2">
      <c r="A223">
        <v>73</v>
      </c>
      <c r="B223" s="37" t="s">
        <v>999</v>
      </c>
      <c r="C223" s="1">
        <v>45637</v>
      </c>
      <c r="D223" s="37" t="s">
        <v>999</v>
      </c>
      <c r="E223">
        <v>0.201335511631311</v>
      </c>
      <c r="F223">
        <v>0.201335511631311</v>
      </c>
    </row>
    <row r="224" spans="1:6" x14ac:dyDescent="0.2">
      <c r="A224">
        <v>75</v>
      </c>
      <c r="B224" s="37" t="s">
        <v>1000</v>
      </c>
      <c r="C224" s="1">
        <v>45364</v>
      </c>
      <c r="D224" s="37" t="s">
        <v>1000</v>
      </c>
      <c r="E224">
        <v>0.28342516569255499</v>
      </c>
      <c r="F224">
        <v>0.28342516569255499</v>
      </c>
    </row>
    <row r="225" spans="1:6" x14ac:dyDescent="0.2">
      <c r="A225">
        <v>75</v>
      </c>
      <c r="B225" s="37" t="s">
        <v>1001</v>
      </c>
      <c r="C225" s="1">
        <v>45569</v>
      </c>
      <c r="D225" s="37" t="s">
        <v>1001</v>
      </c>
      <c r="E225">
        <v>0.42754268098624498</v>
      </c>
      <c r="F225">
        <v>0.42754268098624498</v>
      </c>
    </row>
    <row r="226" spans="1:6" x14ac:dyDescent="0.2">
      <c r="A226">
        <v>75</v>
      </c>
      <c r="B226" s="37" t="s">
        <v>147</v>
      </c>
      <c r="C226" s="1">
        <v>45311</v>
      </c>
      <c r="D226" s="37" t="s">
        <v>147</v>
      </c>
      <c r="E226">
        <v>0.16816829847300099</v>
      </c>
      <c r="F226">
        <v>0.16816829847300099</v>
      </c>
    </row>
    <row r="227" spans="1:6" x14ac:dyDescent="0.2">
      <c r="A227">
        <v>76</v>
      </c>
      <c r="B227" s="37" t="s">
        <v>148</v>
      </c>
      <c r="C227" s="1">
        <v>45320</v>
      </c>
      <c r="D227" s="37" t="s">
        <v>148</v>
      </c>
      <c r="E227">
        <v>0.118670695646617</v>
      </c>
      <c r="F227">
        <v>0.118670695646617</v>
      </c>
    </row>
    <row r="228" spans="1:6" x14ac:dyDescent="0.2">
      <c r="A228">
        <v>76</v>
      </c>
      <c r="B228" s="37" t="s">
        <v>595</v>
      </c>
      <c r="C228" s="1">
        <v>45558</v>
      </c>
      <c r="D228" s="37" t="s">
        <v>595</v>
      </c>
      <c r="E228">
        <v>0.13123944500583501</v>
      </c>
      <c r="F228">
        <v>0.13123944500583501</v>
      </c>
    </row>
    <row r="229" spans="1:6" x14ac:dyDescent="0.2">
      <c r="A229">
        <v>77</v>
      </c>
      <c r="B229" s="37" t="s">
        <v>1002</v>
      </c>
      <c r="C229" s="1">
        <v>45470</v>
      </c>
      <c r="D229" s="37" t="s">
        <v>1002</v>
      </c>
      <c r="E229">
        <v>0.25131579579638602</v>
      </c>
      <c r="F229">
        <v>0.25131579579638602</v>
      </c>
    </row>
    <row r="230" spans="1:6" x14ac:dyDescent="0.2">
      <c r="A230">
        <v>77</v>
      </c>
      <c r="B230" s="37" t="s">
        <v>1003</v>
      </c>
      <c r="C230" s="1">
        <v>45636</v>
      </c>
      <c r="D230" s="37" t="s">
        <v>1003</v>
      </c>
      <c r="E230">
        <v>0.30441483989829698</v>
      </c>
      <c r="F230">
        <v>0.30441483989829698</v>
      </c>
    </row>
    <row r="231" spans="1:6" x14ac:dyDescent="0.2">
      <c r="A231">
        <v>78</v>
      </c>
      <c r="B231" s="37" t="s">
        <v>1004</v>
      </c>
      <c r="C231" s="1">
        <v>45558</v>
      </c>
      <c r="D231" s="37" t="s">
        <v>1004</v>
      </c>
      <c r="E231">
        <v>0.151259144272961</v>
      </c>
      <c r="F231">
        <v>0.151259144272961</v>
      </c>
    </row>
    <row r="232" spans="1:6" x14ac:dyDescent="0.2">
      <c r="A232">
        <v>78</v>
      </c>
      <c r="B232" s="37" t="s">
        <v>1005</v>
      </c>
      <c r="C232" s="1">
        <v>45310</v>
      </c>
      <c r="D232" s="37" t="s">
        <v>1005</v>
      </c>
      <c r="E232">
        <v>0.202587695977205</v>
      </c>
      <c r="F232">
        <v>0.202587695977205</v>
      </c>
    </row>
    <row r="233" spans="1:6" x14ac:dyDescent="0.2">
      <c r="A233">
        <v>78</v>
      </c>
      <c r="B233" s="37" t="s">
        <v>149</v>
      </c>
      <c r="C233" s="1">
        <v>45302</v>
      </c>
      <c r="D233" s="37" t="s">
        <v>149</v>
      </c>
      <c r="E233">
        <v>0.33981477251883002</v>
      </c>
      <c r="F233">
        <v>0.33981477251883002</v>
      </c>
    </row>
    <row r="234" spans="1:6" x14ac:dyDescent="0.2">
      <c r="A234">
        <v>79</v>
      </c>
      <c r="B234" s="37" t="s">
        <v>1006</v>
      </c>
      <c r="C234" s="1">
        <v>45446</v>
      </c>
      <c r="D234" s="37" t="s">
        <v>1006</v>
      </c>
      <c r="E234">
        <v>0.28899880912178699</v>
      </c>
      <c r="F234">
        <v>0.28899880912178699</v>
      </c>
    </row>
    <row r="235" spans="1:6" x14ac:dyDescent="0.2">
      <c r="A235">
        <v>79</v>
      </c>
      <c r="B235" s="37" t="s">
        <v>150</v>
      </c>
      <c r="C235" s="1">
        <v>45549</v>
      </c>
      <c r="D235" s="37" t="s">
        <v>150</v>
      </c>
      <c r="E235">
        <v>0.40723454666273301</v>
      </c>
      <c r="F235">
        <v>0.40723454666273301</v>
      </c>
    </row>
    <row r="236" spans="1:6" x14ac:dyDescent="0.2">
      <c r="A236">
        <v>80</v>
      </c>
      <c r="B236" s="37" t="s">
        <v>1007</v>
      </c>
      <c r="C236" s="1">
        <v>45522</v>
      </c>
      <c r="D236" s="37" t="s">
        <v>1007</v>
      </c>
      <c r="E236">
        <v>0.323628643151819</v>
      </c>
      <c r="F236">
        <v>0.323628643151819</v>
      </c>
    </row>
    <row r="237" spans="1:6" x14ac:dyDescent="0.2">
      <c r="A237">
        <v>81</v>
      </c>
      <c r="B237" s="37" t="s">
        <v>596</v>
      </c>
      <c r="C237" s="1">
        <v>45546</v>
      </c>
      <c r="D237" s="37" t="s">
        <v>596</v>
      </c>
      <c r="E237">
        <v>0.230879670898789</v>
      </c>
      <c r="F237">
        <v>0.230879670898789</v>
      </c>
    </row>
    <row r="238" spans="1:6" x14ac:dyDescent="0.2">
      <c r="A238">
        <v>81</v>
      </c>
      <c r="B238" s="37" t="s">
        <v>597</v>
      </c>
      <c r="C238" s="1">
        <v>45447</v>
      </c>
      <c r="D238" s="37" t="s">
        <v>597</v>
      </c>
      <c r="E238">
        <v>0.115683323251547</v>
      </c>
      <c r="F238">
        <v>0.115683323251547</v>
      </c>
    </row>
    <row r="239" spans="1:6" x14ac:dyDescent="0.2">
      <c r="A239">
        <v>82</v>
      </c>
      <c r="B239" s="37" t="s">
        <v>1008</v>
      </c>
      <c r="C239" s="1">
        <v>45428</v>
      </c>
      <c r="D239" s="37" t="s">
        <v>1008</v>
      </c>
      <c r="E239">
        <v>2.53741442828039E-2</v>
      </c>
      <c r="F239">
        <v>2.53741442828039E-2</v>
      </c>
    </row>
    <row r="240" spans="1:6" x14ac:dyDescent="0.2">
      <c r="A240">
        <v>82</v>
      </c>
      <c r="B240" s="37" t="s">
        <v>1009</v>
      </c>
      <c r="C240" s="1">
        <v>45630</v>
      </c>
      <c r="D240" s="37" t="s">
        <v>1009</v>
      </c>
      <c r="E240">
        <v>1.1058126939345599E-2</v>
      </c>
      <c r="F240">
        <v>1.1058126939345599E-2</v>
      </c>
    </row>
    <row r="241" spans="1:6" x14ac:dyDescent="0.2">
      <c r="A241">
        <v>82</v>
      </c>
      <c r="B241" s="37" t="s">
        <v>1010</v>
      </c>
      <c r="C241" s="1">
        <v>45447</v>
      </c>
      <c r="D241" s="37" t="s">
        <v>1010</v>
      </c>
      <c r="E241">
        <v>0.26226986206662001</v>
      </c>
      <c r="F241">
        <v>0.26226986206662001</v>
      </c>
    </row>
    <row r="242" spans="1:6" x14ac:dyDescent="0.2">
      <c r="A242">
        <v>82</v>
      </c>
      <c r="B242" s="37" t="s">
        <v>1011</v>
      </c>
      <c r="C242" s="1">
        <v>45562</v>
      </c>
      <c r="D242" s="37" t="s">
        <v>1011</v>
      </c>
      <c r="E242">
        <v>0.39322500231907798</v>
      </c>
      <c r="F242">
        <v>0.39322500231907798</v>
      </c>
    </row>
    <row r="243" spans="1:6" x14ac:dyDescent="0.2">
      <c r="A243">
        <v>83</v>
      </c>
      <c r="B243" s="37" t="s">
        <v>598</v>
      </c>
      <c r="C243" s="1">
        <v>45530</v>
      </c>
      <c r="D243" s="37" t="s">
        <v>598</v>
      </c>
      <c r="E243">
        <v>0.57378924087718397</v>
      </c>
      <c r="F243">
        <v>0.57378924087718397</v>
      </c>
    </row>
    <row r="244" spans="1:6" x14ac:dyDescent="0.2">
      <c r="A244">
        <v>83</v>
      </c>
      <c r="B244" s="37" t="s">
        <v>599</v>
      </c>
      <c r="C244" s="1">
        <v>45623</v>
      </c>
      <c r="D244" s="37" t="s">
        <v>599</v>
      </c>
      <c r="E244">
        <v>0.19466651737196999</v>
      </c>
      <c r="F244">
        <v>0.19466651737196999</v>
      </c>
    </row>
    <row r="245" spans="1:6" x14ac:dyDescent="0.2">
      <c r="A245">
        <v>84</v>
      </c>
      <c r="B245" s="37" t="s">
        <v>1012</v>
      </c>
      <c r="C245" s="1">
        <v>45635</v>
      </c>
      <c r="D245" s="37" t="s">
        <v>1012</v>
      </c>
      <c r="E245">
        <v>0.162237950430492</v>
      </c>
      <c r="F245">
        <v>0.162237950430492</v>
      </c>
    </row>
    <row r="246" spans="1:6" x14ac:dyDescent="0.2">
      <c r="A246">
        <v>84</v>
      </c>
      <c r="B246" s="37" t="s">
        <v>151</v>
      </c>
      <c r="C246" s="1">
        <v>45630</v>
      </c>
      <c r="D246" s="37" t="s">
        <v>151</v>
      </c>
      <c r="E246">
        <v>0.100659367349514</v>
      </c>
      <c r="F246">
        <v>0.100659367349514</v>
      </c>
    </row>
    <row r="247" spans="1:6" x14ac:dyDescent="0.2">
      <c r="A247">
        <v>84</v>
      </c>
      <c r="B247" s="37" t="s">
        <v>152</v>
      </c>
      <c r="C247" s="1">
        <v>45430</v>
      </c>
      <c r="D247" s="37" t="s">
        <v>152</v>
      </c>
      <c r="E247">
        <v>0.15797137751447099</v>
      </c>
      <c r="F247">
        <v>0.15797137751447099</v>
      </c>
    </row>
    <row r="248" spans="1:6" x14ac:dyDescent="0.2">
      <c r="A248">
        <v>84</v>
      </c>
      <c r="B248" s="37" t="s">
        <v>600</v>
      </c>
      <c r="C248" s="1">
        <v>45324</v>
      </c>
      <c r="D248" s="37" t="s">
        <v>600</v>
      </c>
      <c r="E248">
        <v>0.24013866244229501</v>
      </c>
      <c r="F248">
        <v>0.24013866244229501</v>
      </c>
    </row>
    <row r="249" spans="1:6" x14ac:dyDescent="0.2">
      <c r="A249">
        <v>85</v>
      </c>
      <c r="B249" s="37" t="s">
        <v>153</v>
      </c>
      <c r="C249" s="1">
        <v>45570</v>
      </c>
      <c r="D249" s="37" t="s">
        <v>153</v>
      </c>
      <c r="E249">
        <v>0.29859104071586001</v>
      </c>
      <c r="F249">
        <v>0.29859104071586001</v>
      </c>
    </row>
    <row r="250" spans="1:6" x14ac:dyDescent="0.2">
      <c r="A250">
        <v>86</v>
      </c>
      <c r="B250" s="37" t="s">
        <v>1013</v>
      </c>
      <c r="C250" s="1">
        <v>45362</v>
      </c>
      <c r="D250" s="37" t="s">
        <v>1013</v>
      </c>
      <c r="E250">
        <v>0.14638528942246401</v>
      </c>
      <c r="F250">
        <v>0.14638528942246401</v>
      </c>
    </row>
    <row r="251" spans="1:6" x14ac:dyDescent="0.2">
      <c r="A251">
        <v>86</v>
      </c>
      <c r="B251" s="37" t="s">
        <v>1014</v>
      </c>
      <c r="C251" s="1">
        <v>45650</v>
      </c>
      <c r="D251" s="37" t="s">
        <v>1014</v>
      </c>
      <c r="E251">
        <v>2.9037843364058302E-2</v>
      </c>
      <c r="F251">
        <v>2.9037843364058302E-2</v>
      </c>
    </row>
    <row r="252" spans="1:6" x14ac:dyDescent="0.2">
      <c r="A252">
        <v>86</v>
      </c>
      <c r="B252" s="37" t="s">
        <v>1015</v>
      </c>
      <c r="C252" s="1">
        <v>45371</v>
      </c>
      <c r="D252" s="37" t="s">
        <v>1015</v>
      </c>
      <c r="E252">
        <v>0.30031936172784301</v>
      </c>
      <c r="F252">
        <v>0.30031936172784301</v>
      </c>
    </row>
    <row r="253" spans="1:6" x14ac:dyDescent="0.2">
      <c r="A253">
        <v>87</v>
      </c>
      <c r="B253" s="37" t="s">
        <v>1016</v>
      </c>
      <c r="C253" s="1">
        <v>45303</v>
      </c>
      <c r="D253" s="37" t="s">
        <v>1016</v>
      </c>
      <c r="E253">
        <v>2.4534206503591501E-2</v>
      </c>
      <c r="F253">
        <v>2.4534206503591501E-2</v>
      </c>
    </row>
    <row r="254" spans="1:6" x14ac:dyDescent="0.2">
      <c r="A254">
        <v>87</v>
      </c>
      <c r="B254" s="37" t="s">
        <v>154</v>
      </c>
      <c r="C254" s="1">
        <v>45540</v>
      </c>
      <c r="D254" s="37" t="s">
        <v>154</v>
      </c>
      <c r="E254">
        <v>0.41073119094430899</v>
      </c>
      <c r="F254">
        <v>0.41073119094430899</v>
      </c>
    </row>
    <row r="255" spans="1:6" x14ac:dyDescent="0.2">
      <c r="A255">
        <v>87</v>
      </c>
      <c r="B255" s="37" t="s">
        <v>155</v>
      </c>
      <c r="C255" s="1">
        <v>45432</v>
      </c>
      <c r="D255" s="37" t="s">
        <v>155</v>
      </c>
      <c r="E255">
        <v>0.15391279005660899</v>
      </c>
      <c r="F255">
        <v>0.15391279005660899</v>
      </c>
    </row>
    <row r="256" spans="1:6" x14ac:dyDescent="0.2">
      <c r="A256">
        <v>87</v>
      </c>
      <c r="B256" s="37" t="s">
        <v>156</v>
      </c>
      <c r="C256" s="1">
        <v>45597</v>
      </c>
      <c r="D256" s="37" t="s">
        <v>156</v>
      </c>
      <c r="E256">
        <v>3.7326344680630202E-2</v>
      </c>
      <c r="F256">
        <v>3.7326344680630202E-2</v>
      </c>
    </row>
    <row r="257" spans="1:6" x14ac:dyDescent="0.2">
      <c r="A257">
        <v>87</v>
      </c>
      <c r="B257" s="37" t="s">
        <v>157</v>
      </c>
      <c r="C257" s="1">
        <v>45324</v>
      </c>
      <c r="D257" s="37" t="s">
        <v>157</v>
      </c>
      <c r="E257">
        <v>0.16795488352498</v>
      </c>
      <c r="F257">
        <v>0.16795488352498</v>
      </c>
    </row>
    <row r="258" spans="1:6" x14ac:dyDescent="0.2">
      <c r="A258">
        <v>87</v>
      </c>
      <c r="B258" s="37" t="s">
        <v>158</v>
      </c>
      <c r="C258" s="1">
        <v>45443</v>
      </c>
      <c r="D258" s="37" t="s">
        <v>158</v>
      </c>
      <c r="E258">
        <v>0.40399764045293801</v>
      </c>
      <c r="F258">
        <v>0.40399764045293801</v>
      </c>
    </row>
    <row r="259" spans="1:6" x14ac:dyDescent="0.2">
      <c r="A259">
        <v>87</v>
      </c>
      <c r="B259" s="37" t="s">
        <v>159</v>
      </c>
      <c r="C259" s="1">
        <v>45300</v>
      </c>
      <c r="D259" s="37" t="s">
        <v>159</v>
      </c>
      <c r="E259">
        <v>6.3811219385492293E-2</v>
      </c>
      <c r="F259">
        <v>6.3811219385492293E-2</v>
      </c>
    </row>
    <row r="260" spans="1:6" x14ac:dyDescent="0.2">
      <c r="A260">
        <v>88</v>
      </c>
      <c r="B260" s="37" t="s">
        <v>1017</v>
      </c>
      <c r="C260" s="1">
        <v>45493</v>
      </c>
      <c r="D260" s="37" t="s">
        <v>1017</v>
      </c>
      <c r="E260">
        <v>0.16810587284496201</v>
      </c>
      <c r="F260">
        <v>0.16810587284496201</v>
      </c>
    </row>
    <row r="261" spans="1:6" x14ac:dyDescent="0.2">
      <c r="A261">
        <v>88</v>
      </c>
      <c r="B261" s="37" t="s">
        <v>1018</v>
      </c>
      <c r="C261" s="1">
        <v>45462</v>
      </c>
      <c r="D261" s="37" t="s">
        <v>1018</v>
      </c>
      <c r="E261">
        <v>4.5558369166561502E-2</v>
      </c>
      <c r="F261">
        <v>4.5558369166561502E-2</v>
      </c>
    </row>
    <row r="262" spans="1:6" x14ac:dyDescent="0.2">
      <c r="A262">
        <v>88</v>
      </c>
      <c r="B262" s="37" t="s">
        <v>601</v>
      </c>
      <c r="C262" s="1">
        <v>45438</v>
      </c>
      <c r="D262" s="37" t="s">
        <v>601</v>
      </c>
      <c r="E262">
        <v>0.26066277352241801</v>
      </c>
      <c r="F262">
        <v>0.26066277352241801</v>
      </c>
    </row>
    <row r="263" spans="1:6" x14ac:dyDescent="0.2">
      <c r="A263">
        <v>88</v>
      </c>
      <c r="B263" s="37" t="s">
        <v>602</v>
      </c>
      <c r="C263" s="1">
        <v>45530</v>
      </c>
      <c r="D263" s="37" t="s">
        <v>602</v>
      </c>
      <c r="E263">
        <v>0.11174229114961701</v>
      </c>
      <c r="F263">
        <v>0.11174229114961701</v>
      </c>
    </row>
    <row r="264" spans="1:6" x14ac:dyDescent="0.2">
      <c r="A264">
        <v>88</v>
      </c>
      <c r="B264" s="37" t="s">
        <v>603</v>
      </c>
      <c r="C264" s="1">
        <v>45458</v>
      </c>
      <c r="D264" s="37" t="s">
        <v>603</v>
      </c>
      <c r="E264">
        <v>0.263589901704813</v>
      </c>
      <c r="F264">
        <v>0.263589901704813</v>
      </c>
    </row>
    <row r="265" spans="1:6" x14ac:dyDescent="0.2">
      <c r="A265">
        <v>89</v>
      </c>
      <c r="B265" s="37" t="s">
        <v>1019</v>
      </c>
      <c r="C265" s="1">
        <v>45601</v>
      </c>
      <c r="D265" s="37" t="s">
        <v>1019</v>
      </c>
      <c r="E265">
        <v>5.4574826125821901E-2</v>
      </c>
      <c r="F265">
        <v>5.4574826125821901E-2</v>
      </c>
    </row>
    <row r="266" spans="1:6" x14ac:dyDescent="0.2">
      <c r="A266">
        <v>89</v>
      </c>
      <c r="B266" s="37" t="s">
        <v>1020</v>
      </c>
      <c r="C266" s="1">
        <v>45521</v>
      </c>
      <c r="D266" s="37" t="s">
        <v>1020</v>
      </c>
      <c r="E266">
        <v>0.590693121934457</v>
      </c>
      <c r="F266">
        <v>0.590693121934457</v>
      </c>
    </row>
    <row r="267" spans="1:6" x14ac:dyDescent="0.2">
      <c r="A267">
        <v>89</v>
      </c>
      <c r="B267" s="37" t="s">
        <v>1021</v>
      </c>
      <c r="C267" s="1">
        <v>45614</v>
      </c>
      <c r="D267" s="37" t="s">
        <v>1021</v>
      </c>
      <c r="E267">
        <v>0.105337794537728</v>
      </c>
      <c r="F267">
        <v>0.105337794537728</v>
      </c>
    </row>
    <row r="268" spans="1:6" x14ac:dyDescent="0.2">
      <c r="A268">
        <v>89</v>
      </c>
      <c r="B268" s="37" t="s">
        <v>604</v>
      </c>
      <c r="C268" s="1">
        <v>45636</v>
      </c>
      <c r="D268" s="37" t="s">
        <v>604</v>
      </c>
      <c r="E268">
        <v>0.211243997849933</v>
      </c>
      <c r="F268">
        <v>0.211243997849933</v>
      </c>
    </row>
    <row r="269" spans="1:6" x14ac:dyDescent="0.2">
      <c r="A269">
        <v>89</v>
      </c>
      <c r="B269" s="37" t="s">
        <v>605</v>
      </c>
      <c r="C269" s="1">
        <v>45504</v>
      </c>
      <c r="D269" s="37" t="s">
        <v>605</v>
      </c>
      <c r="E269">
        <v>4.97983347201187E-2</v>
      </c>
      <c r="F269">
        <v>4.97983347201187E-2</v>
      </c>
    </row>
    <row r="270" spans="1:6" x14ac:dyDescent="0.2">
      <c r="A270">
        <v>90</v>
      </c>
      <c r="B270" s="37" t="s">
        <v>160</v>
      </c>
      <c r="C270" s="1">
        <v>45552</v>
      </c>
      <c r="D270" s="37" t="s">
        <v>160</v>
      </c>
      <c r="E270">
        <v>5.3215720101496597E-2</v>
      </c>
      <c r="F270">
        <v>5.3215720101496597E-2</v>
      </c>
    </row>
    <row r="271" spans="1:6" x14ac:dyDescent="0.2">
      <c r="A271">
        <v>91</v>
      </c>
      <c r="B271" s="37" t="s">
        <v>1022</v>
      </c>
      <c r="C271" s="1">
        <v>45362</v>
      </c>
      <c r="D271" s="37" t="s">
        <v>1022</v>
      </c>
      <c r="E271">
        <v>4.44271126355636E-2</v>
      </c>
      <c r="F271">
        <v>4.44271126355636E-2</v>
      </c>
    </row>
    <row r="272" spans="1:6" x14ac:dyDescent="0.2">
      <c r="A272">
        <v>92</v>
      </c>
      <c r="B272" s="37" t="s">
        <v>1023</v>
      </c>
      <c r="C272" s="1">
        <v>45452</v>
      </c>
      <c r="D272" s="37" t="s">
        <v>1023</v>
      </c>
      <c r="E272">
        <v>0.21171429908841499</v>
      </c>
      <c r="F272">
        <v>0.21171429908841499</v>
      </c>
    </row>
    <row r="273" spans="1:9" x14ac:dyDescent="0.2">
      <c r="A273">
        <v>92</v>
      </c>
      <c r="B273" s="37" t="s">
        <v>1024</v>
      </c>
      <c r="C273" s="1">
        <v>45453</v>
      </c>
      <c r="D273" s="37" t="s">
        <v>1024</v>
      </c>
      <c r="E273">
        <v>7.6430093716386302E-2</v>
      </c>
      <c r="F273">
        <v>7.6430093716386302E-2</v>
      </c>
    </row>
    <row r="274" spans="1:9" x14ac:dyDescent="0.2">
      <c r="A274">
        <v>92</v>
      </c>
      <c r="B274" s="37" t="s">
        <v>1025</v>
      </c>
      <c r="C274" s="1">
        <v>45429</v>
      </c>
      <c r="D274" s="37" t="s">
        <v>1025</v>
      </c>
      <c r="E274">
        <v>0.29385044643426</v>
      </c>
      <c r="F274">
        <v>0.29385044643426</v>
      </c>
    </row>
    <row r="275" spans="1:9" x14ac:dyDescent="0.2">
      <c r="A275">
        <v>92</v>
      </c>
      <c r="B275" s="37" t="s">
        <v>161</v>
      </c>
      <c r="C275" s="1">
        <v>45517</v>
      </c>
      <c r="D275" s="37" t="s">
        <v>161</v>
      </c>
      <c r="E275">
        <v>0.101567272551517</v>
      </c>
      <c r="F275">
        <v>0.101567272551517</v>
      </c>
      <c r="I275" s="2"/>
    </row>
    <row r="276" spans="1:9" x14ac:dyDescent="0.2">
      <c r="A276">
        <v>93</v>
      </c>
      <c r="B276" s="37" t="s">
        <v>162</v>
      </c>
      <c r="C276" s="1">
        <v>45395</v>
      </c>
      <c r="D276" s="37" t="s">
        <v>162</v>
      </c>
      <c r="E276">
        <v>0.20866566929955099</v>
      </c>
      <c r="F276">
        <v>0.20866566929955099</v>
      </c>
    </row>
    <row r="277" spans="1:9" x14ac:dyDescent="0.2">
      <c r="A277">
        <v>93</v>
      </c>
      <c r="B277" s="37" t="s">
        <v>163</v>
      </c>
      <c r="C277" s="1">
        <v>45478</v>
      </c>
      <c r="D277" s="37" t="s">
        <v>163</v>
      </c>
      <c r="E277">
        <v>1.61858963781434E-2</v>
      </c>
      <c r="F277">
        <v>1.61858963781434E-2</v>
      </c>
    </row>
    <row r="278" spans="1:9" x14ac:dyDescent="0.2">
      <c r="A278">
        <v>94</v>
      </c>
      <c r="B278" s="37" t="s">
        <v>606</v>
      </c>
      <c r="C278" s="1">
        <v>45475</v>
      </c>
      <c r="D278" s="37" t="s">
        <v>606</v>
      </c>
      <c r="E278">
        <v>8.3258532212365996E-2</v>
      </c>
      <c r="F278">
        <v>8.3258532212365996E-2</v>
      </c>
    </row>
    <row r="279" spans="1:9" x14ac:dyDescent="0.2">
      <c r="A279">
        <v>94</v>
      </c>
      <c r="B279" s="37" t="s">
        <v>607</v>
      </c>
      <c r="C279" s="1">
        <v>45305</v>
      </c>
      <c r="D279" s="37" t="s">
        <v>607</v>
      </c>
      <c r="E279">
        <v>0.21657792620545499</v>
      </c>
      <c r="F279">
        <v>0.21657792620545499</v>
      </c>
    </row>
    <row r="280" spans="1:9" x14ac:dyDescent="0.2">
      <c r="A280">
        <v>94</v>
      </c>
      <c r="B280" s="37" t="s">
        <v>608</v>
      </c>
      <c r="C280" s="1">
        <v>45342</v>
      </c>
      <c r="D280" s="37" t="s">
        <v>608</v>
      </c>
      <c r="E280">
        <v>0.139710425870954</v>
      </c>
      <c r="F280">
        <v>0.139710425870954</v>
      </c>
    </row>
    <row r="281" spans="1:9" x14ac:dyDescent="0.2">
      <c r="A281">
        <v>94</v>
      </c>
      <c r="B281" s="37" t="s">
        <v>609</v>
      </c>
      <c r="C281" s="1">
        <v>45446</v>
      </c>
      <c r="D281" s="37" t="s">
        <v>609</v>
      </c>
      <c r="E281">
        <v>0.18358234269521101</v>
      </c>
      <c r="F281">
        <v>0.18358234269521101</v>
      </c>
    </row>
    <row r="282" spans="1:9" x14ac:dyDescent="0.2">
      <c r="A282">
        <v>95</v>
      </c>
      <c r="B282" s="37" t="s">
        <v>1026</v>
      </c>
      <c r="C282" s="1">
        <v>45566</v>
      </c>
      <c r="D282" s="37" t="s">
        <v>1026</v>
      </c>
      <c r="E282">
        <v>0.16261472842333499</v>
      </c>
      <c r="F282">
        <v>0.16261472842333499</v>
      </c>
    </row>
    <row r="283" spans="1:9" x14ac:dyDescent="0.2">
      <c r="A283">
        <v>95</v>
      </c>
      <c r="B283" s="37" t="s">
        <v>1027</v>
      </c>
      <c r="C283" s="1">
        <v>45568</v>
      </c>
      <c r="D283" s="37" t="s">
        <v>1027</v>
      </c>
      <c r="E283">
        <v>1.1206173178829E-2</v>
      </c>
      <c r="F283">
        <v>1.1206173178829E-2</v>
      </c>
    </row>
    <row r="284" spans="1:9" x14ac:dyDescent="0.2">
      <c r="A284">
        <v>96</v>
      </c>
      <c r="B284" s="37" t="s">
        <v>1028</v>
      </c>
      <c r="C284" s="1">
        <v>45616</v>
      </c>
      <c r="D284" s="37" t="s">
        <v>1028</v>
      </c>
      <c r="E284">
        <v>0.150227912036588</v>
      </c>
      <c r="F284">
        <v>0.150227912036588</v>
      </c>
    </row>
    <row r="285" spans="1:9" x14ac:dyDescent="0.2">
      <c r="A285">
        <v>97</v>
      </c>
      <c r="B285" s="37" t="s">
        <v>1029</v>
      </c>
      <c r="C285" s="1">
        <v>45407</v>
      </c>
      <c r="D285" s="37" t="s">
        <v>1029</v>
      </c>
      <c r="E285">
        <v>0.34506355590725901</v>
      </c>
      <c r="F285">
        <v>0.34506355590725901</v>
      </c>
    </row>
    <row r="286" spans="1:9" x14ac:dyDescent="0.2">
      <c r="A286">
        <v>97</v>
      </c>
      <c r="B286" s="37" t="s">
        <v>1030</v>
      </c>
      <c r="C286" s="1">
        <v>45359</v>
      </c>
      <c r="D286" s="37" t="s">
        <v>1030</v>
      </c>
      <c r="E286">
        <v>0.14441640193140301</v>
      </c>
      <c r="F286">
        <v>0.14441640193140301</v>
      </c>
    </row>
    <row r="287" spans="1:9" x14ac:dyDescent="0.2">
      <c r="A287">
        <v>97</v>
      </c>
      <c r="B287" s="37" t="s">
        <v>1031</v>
      </c>
      <c r="C287" s="1">
        <v>45359</v>
      </c>
      <c r="D287" s="37" t="s">
        <v>1031</v>
      </c>
      <c r="E287">
        <v>0.145558496664146</v>
      </c>
      <c r="F287">
        <v>0.145558496664146</v>
      </c>
    </row>
    <row r="288" spans="1:9" x14ac:dyDescent="0.2">
      <c r="A288">
        <v>97</v>
      </c>
      <c r="B288" s="37" t="s">
        <v>1032</v>
      </c>
      <c r="C288" s="1">
        <v>45387</v>
      </c>
      <c r="D288" s="37" t="s">
        <v>1032</v>
      </c>
      <c r="E288">
        <v>7.4516374127045995E-2</v>
      </c>
      <c r="F288">
        <v>7.4516374127045995E-2</v>
      </c>
    </row>
    <row r="289" spans="1:6" x14ac:dyDescent="0.2">
      <c r="A289">
        <v>98</v>
      </c>
      <c r="B289" s="37" t="s">
        <v>610</v>
      </c>
      <c r="C289" s="1">
        <v>45471</v>
      </c>
      <c r="D289" s="37" t="s">
        <v>610</v>
      </c>
      <c r="E289">
        <v>0.60946959994247696</v>
      </c>
      <c r="F289">
        <v>0.60946959994247696</v>
      </c>
    </row>
    <row r="290" spans="1:6" x14ac:dyDescent="0.2">
      <c r="A290">
        <v>99</v>
      </c>
      <c r="B290" s="37" t="s">
        <v>1033</v>
      </c>
      <c r="C290" s="1">
        <v>45587</v>
      </c>
      <c r="D290" s="37" t="s">
        <v>1033</v>
      </c>
      <c r="E290">
        <v>0.39845229544225003</v>
      </c>
      <c r="F290">
        <v>0.39845229544225003</v>
      </c>
    </row>
    <row r="291" spans="1:6" x14ac:dyDescent="0.2">
      <c r="A291">
        <v>99</v>
      </c>
      <c r="B291" s="37" t="s">
        <v>164</v>
      </c>
      <c r="C291" s="1">
        <v>45520</v>
      </c>
      <c r="D291" s="37" t="s">
        <v>164</v>
      </c>
      <c r="E291">
        <v>0.21759155577693701</v>
      </c>
      <c r="F291">
        <v>0.21759155577693701</v>
      </c>
    </row>
    <row r="292" spans="1:6" x14ac:dyDescent="0.2">
      <c r="A292">
        <v>99</v>
      </c>
      <c r="B292" s="37" t="s">
        <v>165</v>
      </c>
      <c r="C292" s="1">
        <v>45515</v>
      </c>
      <c r="D292" s="37" t="s">
        <v>165</v>
      </c>
      <c r="E292">
        <v>0.31671511984133699</v>
      </c>
      <c r="F292">
        <v>0.31671511984133699</v>
      </c>
    </row>
    <row r="293" spans="1:6" x14ac:dyDescent="0.2">
      <c r="A293">
        <v>100</v>
      </c>
      <c r="B293" s="37" t="s">
        <v>1034</v>
      </c>
      <c r="C293" s="1">
        <v>45358</v>
      </c>
      <c r="D293" s="37" t="s">
        <v>1034</v>
      </c>
      <c r="E293">
        <v>0.20981806052719701</v>
      </c>
      <c r="F293">
        <v>0.20981806052719701</v>
      </c>
    </row>
    <row r="294" spans="1:6" x14ac:dyDescent="0.2">
      <c r="A294">
        <v>100</v>
      </c>
      <c r="B294" s="37" t="s">
        <v>166</v>
      </c>
      <c r="C294" s="1">
        <v>45595</v>
      </c>
      <c r="D294" s="37" t="s">
        <v>166</v>
      </c>
      <c r="E294">
        <v>0.281182760161728</v>
      </c>
      <c r="F294">
        <v>0.281182760161728</v>
      </c>
    </row>
    <row r="295" spans="1:6" x14ac:dyDescent="0.2">
      <c r="A295">
        <v>100</v>
      </c>
      <c r="B295" s="37" t="s">
        <v>611</v>
      </c>
      <c r="C295" s="1">
        <v>45311</v>
      </c>
      <c r="D295" s="37" t="s">
        <v>611</v>
      </c>
      <c r="E295">
        <v>0.11201038606741499</v>
      </c>
      <c r="F295">
        <v>0.11201038606741499</v>
      </c>
    </row>
    <row r="296" spans="1:6" x14ac:dyDescent="0.2">
      <c r="A296">
        <v>101</v>
      </c>
      <c r="B296" s="37" t="s">
        <v>167</v>
      </c>
      <c r="C296" s="1">
        <v>45372</v>
      </c>
      <c r="D296" s="37" t="s">
        <v>167</v>
      </c>
      <c r="E296">
        <v>0.105862864552918</v>
      </c>
      <c r="F296">
        <v>0.105862864552918</v>
      </c>
    </row>
    <row r="297" spans="1:6" x14ac:dyDescent="0.2">
      <c r="A297">
        <v>101</v>
      </c>
      <c r="B297" s="37" t="s">
        <v>168</v>
      </c>
      <c r="C297" s="1">
        <v>45504</v>
      </c>
      <c r="D297" s="37" t="s">
        <v>168</v>
      </c>
      <c r="E297">
        <v>0.109151784185519</v>
      </c>
      <c r="F297">
        <v>0.109151784185519</v>
      </c>
    </row>
    <row r="298" spans="1:6" x14ac:dyDescent="0.2">
      <c r="A298">
        <v>101</v>
      </c>
      <c r="B298" s="37" t="s">
        <v>169</v>
      </c>
      <c r="C298" s="1">
        <v>45327</v>
      </c>
      <c r="D298" s="37" t="s">
        <v>169</v>
      </c>
      <c r="E298">
        <v>0.26197608291857299</v>
      </c>
      <c r="F298">
        <v>0.26197608291857299</v>
      </c>
    </row>
    <row r="299" spans="1:6" x14ac:dyDescent="0.2">
      <c r="A299">
        <v>102</v>
      </c>
      <c r="B299" s="37" t="s">
        <v>170</v>
      </c>
      <c r="C299" s="1">
        <v>45512</v>
      </c>
      <c r="D299" s="37" t="s">
        <v>170</v>
      </c>
      <c r="E299">
        <v>0.16296153231399799</v>
      </c>
      <c r="F299">
        <v>0.16296153231399799</v>
      </c>
    </row>
    <row r="300" spans="1:6" x14ac:dyDescent="0.2">
      <c r="A300">
        <v>102</v>
      </c>
      <c r="B300" s="37" t="s">
        <v>1035</v>
      </c>
      <c r="C300" s="1">
        <v>45428</v>
      </c>
      <c r="D300" s="37" t="s">
        <v>1035</v>
      </c>
      <c r="E300">
        <v>7.9823723779158806E-2</v>
      </c>
      <c r="F300">
        <v>7.9823723779158806E-2</v>
      </c>
    </row>
    <row r="301" spans="1:6" x14ac:dyDescent="0.2">
      <c r="A301">
        <v>103</v>
      </c>
      <c r="B301" s="37" t="s">
        <v>171</v>
      </c>
      <c r="C301" s="1">
        <v>45542</v>
      </c>
      <c r="D301" s="37" t="s">
        <v>171</v>
      </c>
      <c r="E301">
        <v>0.286095950407872</v>
      </c>
      <c r="F301">
        <v>0.286095950407872</v>
      </c>
    </row>
    <row r="302" spans="1:6" x14ac:dyDescent="0.2">
      <c r="A302">
        <v>103</v>
      </c>
      <c r="B302" s="37" t="s">
        <v>172</v>
      </c>
      <c r="C302" s="1">
        <v>45373</v>
      </c>
      <c r="D302" s="37" t="s">
        <v>172</v>
      </c>
      <c r="E302">
        <v>0.161200123571069</v>
      </c>
      <c r="F302">
        <v>0.161200123571069</v>
      </c>
    </row>
    <row r="303" spans="1:6" x14ac:dyDescent="0.2">
      <c r="A303">
        <v>103</v>
      </c>
      <c r="B303" s="37" t="s">
        <v>173</v>
      </c>
      <c r="C303" s="1">
        <v>45624</v>
      </c>
      <c r="D303" s="37" t="s">
        <v>173</v>
      </c>
      <c r="E303">
        <v>8.5433186721801904E-2</v>
      </c>
      <c r="F303">
        <v>8.5433186721801904E-2</v>
      </c>
    </row>
    <row r="304" spans="1:6" x14ac:dyDescent="0.2">
      <c r="A304">
        <v>104</v>
      </c>
      <c r="B304" s="37" t="s">
        <v>612</v>
      </c>
      <c r="C304" s="1">
        <v>45505</v>
      </c>
      <c r="D304" s="37" t="s">
        <v>612</v>
      </c>
      <c r="E304">
        <v>1.7124346818588401E-2</v>
      </c>
      <c r="F304">
        <v>1.7124346818588401E-2</v>
      </c>
    </row>
    <row r="305" spans="1:6" x14ac:dyDescent="0.2">
      <c r="A305">
        <v>104</v>
      </c>
      <c r="B305" s="37" t="s">
        <v>613</v>
      </c>
      <c r="C305" s="1">
        <v>45489</v>
      </c>
      <c r="D305" s="37" t="s">
        <v>613</v>
      </c>
      <c r="E305">
        <v>0.19286964625344399</v>
      </c>
      <c r="F305">
        <v>0.19286964625344399</v>
      </c>
    </row>
    <row r="306" spans="1:6" x14ac:dyDescent="0.2">
      <c r="A306">
        <v>104</v>
      </c>
      <c r="B306" s="37" t="s">
        <v>614</v>
      </c>
      <c r="C306" s="1">
        <v>45552</v>
      </c>
      <c r="D306" s="37" t="s">
        <v>614</v>
      </c>
      <c r="E306">
        <v>2.8064917776899501E-2</v>
      </c>
      <c r="F306">
        <v>2.8064917776899501E-2</v>
      </c>
    </row>
    <row r="307" spans="1:6" x14ac:dyDescent="0.2">
      <c r="A307">
        <v>104</v>
      </c>
      <c r="B307" s="37" t="s">
        <v>615</v>
      </c>
      <c r="C307" s="1">
        <v>45300</v>
      </c>
      <c r="D307" s="37" t="s">
        <v>615</v>
      </c>
      <c r="E307">
        <v>0.28982600439579398</v>
      </c>
      <c r="F307">
        <v>0.28982600439579398</v>
      </c>
    </row>
    <row r="308" spans="1:6" x14ac:dyDescent="0.2">
      <c r="A308">
        <v>104</v>
      </c>
      <c r="B308" s="37" t="s">
        <v>1036</v>
      </c>
      <c r="C308" s="1">
        <v>45578</v>
      </c>
      <c r="D308" s="37" t="s">
        <v>1036</v>
      </c>
      <c r="E308">
        <v>0.26141402543703202</v>
      </c>
      <c r="F308">
        <v>0.26141402543703202</v>
      </c>
    </row>
    <row r="309" spans="1:6" x14ac:dyDescent="0.2">
      <c r="A309">
        <v>104</v>
      </c>
      <c r="B309" s="37" t="s">
        <v>174</v>
      </c>
      <c r="C309" s="1">
        <v>45358</v>
      </c>
      <c r="D309" s="37" t="s">
        <v>174</v>
      </c>
      <c r="E309">
        <v>0.56385093202758096</v>
      </c>
      <c r="F309">
        <v>0.56385093202758096</v>
      </c>
    </row>
    <row r="310" spans="1:6" x14ac:dyDescent="0.2">
      <c r="A310">
        <v>105</v>
      </c>
      <c r="B310" s="37" t="s">
        <v>1037</v>
      </c>
      <c r="C310" s="1">
        <v>45644</v>
      </c>
      <c r="D310" s="37" t="s">
        <v>1037</v>
      </c>
      <c r="E310">
        <v>0.151630809290072</v>
      </c>
      <c r="F310">
        <v>0.151630809290072</v>
      </c>
    </row>
    <row r="311" spans="1:6" x14ac:dyDescent="0.2">
      <c r="A311">
        <v>105</v>
      </c>
      <c r="B311" s="37" t="s">
        <v>1038</v>
      </c>
      <c r="C311" s="1">
        <v>45406</v>
      </c>
      <c r="D311" s="37" t="s">
        <v>1038</v>
      </c>
      <c r="E311">
        <v>0.113075935211224</v>
      </c>
      <c r="F311">
        <v>0.113075935211224</v>
      </c>
    </row>
    <row r="312" spans="1:6" x14ac:dyDescent="0.2">
      <c r="A312">
        <v>105</v>
      </c>
      <c r="B312" s="37" t="s">
        <v>1039</v>
      </c>
      <c r="C312" s="1">
        <v>45619</v>
      </c>
      <c r="D312" s="37" t="s">
        <v>1039</v>
      </c>
      <c r="E312">
        <v>5.1499298049186903E-2</v>
      </c>
      <c r="F312">
        <v>5.1499298049186903E-2</v>
      </c>
    </row>
    <row r="313" spans="1:6" x14ac:dyDescent="0.2">
      <c r="A313">
        <v>106</v>
      </c>
      <c r="B313" s="37" t="s">
        <v>175</v>
      </c>
      <c r="C313" s="1">
        <v>45378</v>
      </c>
      <c r="D313" s="37" t="s">
        <v>175</v>
      </c>
      <c r="E313">
        <v>0.10920439858597</v>
      </c>
      <c r="F313">
        <v>0.10920439858597</v>
      </c>
    </row>
    <row r="314" spans="1:6" x14ac:dyDescent="0.2">
      <c r="A314">
        <v>106</v>
      </c>
      <c r="B314" s="37" t="s">
        <v>176</v>
      </c>
      <c r="C314" s="1">
        <v>45337</v>
      </c>
      <c r="D314" s="37" t="s">
        <v>176</v>
      </c>
      <c r="E314">
        <v>0.39241335243050701</v>
      </c>
      <c r="F314">
        <v>0.39241335243050701</v>
      </c>
    </row>
    <row r="315" spans="1:6" x14ac:dyDescent="0.2">
      <c r="A315">
        <v>106</v>
      </c>
      <c r="B315" s="37" t="s">
        <v>177</v>
      </c>
      <c r="C315" s="1">
        <v>45318</v>
      </c>
      <c r="D315" s="37" t="s">
        <v>177</v>
      </c>
      <c r="E315">
        <v>7.0560404871584395E-2</v>
      </c>
      <c r="F315">
        <v>7.0560404871584395E-2</v>
      </c>
    </row>
    <row r="316" spans="1:6" x14ac:dyDescent="0.2">
      <c r="A316">
        <v>106</v>
      </c>
      <c r="B316" s="37" t="s">
        <v>616</v>
      </c>
      <c r="C316" s="1">
        <v>45340</v>
      </c>
      <c r="D316" s="37" t="s">
        <v>616</v>
      </c>
      <c r="E316">
        <v>0.163308610729169</v>
      </c>
      <c r="F316">
        <v>0.163308610729169</v>
      </c>
    </row>
    <row r="317" spans="1:6" x14ac:dyDescent="0.2">
      <c r="A317">
        <v>106</v>
      </c>
      <c r="B317" s="37" t="s">
        <v>617</v>
      </c>
      <c r="C317" s="1">
        <v>45427</v>
      </c>
      <c r="D317" s="37" t="s">
        <v>617</v>
      </c>
      <c r="E317">
        <v>0.20009046273747999</v>
      </c>
      <c r="F317">
        <v>0.20009046273747999</v>
      </c>
    </row>
    <row r="318" spans="1:6" x14ac:dyDescent="0.2">
      <c r="A318">
        <v>107</v>
      </c>
      <c r="B318" s="37" t="s">
        <v>1040</v>
      </c>
      <c r="C318" s="1">
        <v>45428</v>
      </c>
      <c r="D318" s="37" t="s">
        <v>1040</v>
      </c>
      <c r="E318">
        <v>0.210840208641382</v>
      </c>
      <c r="F318">
        <v>0.210840208641382</v>
      </c>
    </row>
    <row r="319" spans="1:6" x14ac:dyDescent="0.2">
      <c r="A319">
        <v>107</v>
      </c>
      <c r="B319" s="37" t="s">
        <v>1041</v>
      </c>
      <c r="C319" s="1">
        <v>45499</v>
      </c>
      <c r="D319" s="37" t="s">
        <v>1041</v>
      </c>
      <c r="E319">
        <v>0.12501281546326701</v>
      </c>
      <c r="F319">
        <v>0.12501281546326701</v>
      </c>
    </row>
    <row r="320" spans="1:6" x14ac:dyDescent="0.2">
      <c r="A320">
        <v>107</v>
      </c>
      <c r="B320" s="37" t="s">
        <v>1042</v>
      </c>
      <c r="C320" s="1">
        <v>45504</v>
      </c>
      <c r="D320" s="37" t="s">
        <v>1042</v>
      </c>
      <c r="E320">
        <v>7.9093520249541305E-2</v>
      </c>
      <c r="F320">
        <v>7.9093520249541305E-2</v>
      </c>
    </row>
    <row r="321" spans="1:6" x14ac:dyDescent="0.2">
      <c r="A321">
        <v>107</v>
      </c>
      <c r="B321" s="37" t="s">
        <v>1043</v>
      </c>
      <c r="C321" s="1">
        <v>45516</v>
      </c>
      <c r="D321" s="37" t="s">
        <v>1043</v>
      </c>
      <c r="E321">
        <v>0.309761017203663</v>
      </c>
      <c r="F321">
        <v>0.309761017203663</v>
      </c>
    </row>
    <row r="322" spans="1:6" x14ac:dyDescent="0.2">
      <c r="A322">
        <v>107</v>
      </c>
      <c r="B322" s="37" t="s">
        <v>1044</v>
      </c>
      <c r="C322" s="1">
        <v>45546</v>
      </c>
      <c r="D322" s="37" t="s">
        <v>1044</v>
      </c>
      <c r="E322">
        <v>3.0161479493656801E-2</v>
      </c>
      <c r="F322">
        <v>3.0161479493656801E-2</v>
      </c>
    </row>
    <row r="323" spans="1:6" x14ac:dyDescent="0.2">
      <c r="A323">
        <v>108</v>
      </c>
      <c r="B323" s="37" t="s">
        <v>1045</v>
      </c>
      <c r="C323" s="1">
        <v>45533</v>
      </c>
      <c r="D323" s="37" t="s">
        <v>1045</v>
      </c>
      <c r="E323">
        <v>4.96697016933225E-2</v>
      </c>
      <c r="F323">
        <v>4.96697016933225E-2</v>
      </c>
    </row>
    <row r="324" spans="1:6" x14ac:dyDescent="0.2">
      <c r="A324">
        <v>108</v>
      </c>
      <c r="B324" s="37" t="s">
        <v>1046</v>
      </c>
      <c r="C324" s="1">
        <v>45514</v>
      </c>
      <c r="D324" s="37" t="s">
        <v>1046</v>
      </c>
      <c r="E324">
        <v>0.18842768197300599</v>
      </c>
      <c r="F324">
        <v>0.18842768197300599</v>
      </c>
    </row>
    <row r="325" spans="1:6" x14ac:dyDescent="0.2">
      <c r="A325">
        <v>108</v>
      </c>
      <c r="B325" s="37" t="s">
        <v>1047</v>
      </c>
      <c r="C325" s="1">
        <v>45305</v>
      </c>
      <c r="D325" s="37" t="s">
        <v>1047</v>
      </c>
      <c r="E325">
        <v>0.53663872150076297</v>
      </c>
      <c r="F325">
        <v>0.53663872150076297</v>
      </c>
    </row>
    <row r="326" spans="1:6" x14ac:dyDescent="0.2">
      <c r="A326">
        <v>109</v>
      </c>
      <c r="B326" s="37" t="s">
        <v>178</v>
      </c>
      <c r="C326" s="1">
        <v>45429</v>
      </c>
      <c r="D326" s="37" t="s">
        <v>178</v>
      </c>
      <c r="E326">
        <v>0.100253203459502</v>
      </c>
      <c r="F326">
        <v>0.100253203459502</v>
      </c>
    </row>
    <row r="327" spans="1:6" x14ac:dyDescent="0.2">
      <c r="A327">
        <v>109</v>
      </c>
      <c r="B327" s="37" t="s">
        <v>618</v>
      </c>
      <c r="C327" s="1">
        <v>45340</v>
      </c>
      <c r="D327" s="37" t="s">
        <v>618</v>
      </c>
      <c r="E327">
        <v>0.13151489117468601</v>
      </c>
      <c r="F327">
        <v>0.13151489117468601</v>
      </c>
    </row>
    <row r="328" spans="1:6" x14ac:dyDescent="0.2">
      <c r="A328">
        <v>110</v>
      </c>
      <c r="B328" s="37" t="s">
        <v>179</v>
      </c>
      <c r="C328" s="1">
        <v>45441</v>
      </c>
      <c r="D328" s="37" t="s">
        <v>179</v>
      </c>
      <c r="E328">
        <v>0.21294422265020099</v>
      </c>
      <c r="F328">
        <v>0.21294422265020099</v>
      </c>
    </row>
    <row r="329" spans="1:6" x14ac:dyDescent="0.2">
      <c r="A329">
        <v>111</v>
      </c>
      <c r="B329" s="37" t="s">
        <v>619</v>
      </c>
      <c r="C329" s="1">
        <v>45596</v>
      </c>
      <c r="D329" s="37" t="s">
        <v>619</v>
      </c>
      <c r="E329">
        <v>0.23406374081960499</v>
      </c>
      <c r="F329">
        <v>0.23406374081960499</v>
      </c>
    </row>
    <row r="330" spans="1:6" x14ac:dyDescent="0.2">
      <c r="A330">
        <v>111</v>
      </c>
      <c r="B330" s="37" t="s">
        <v>180</v>
      </c>
      <c r="C330" s="1">
        <v>45617</v>
      </c>
      <c r="D330" s="37" t="s">
        <v>180</v>
      </c>
      <c r="E330">
        <v>0.17494519988784801</v>
      </c>
      <c r="F330">
        <v>0.17494519988784801</v>
      </c>
    </row>
    <row r="331" spans="1:6" x14ac:dyDescent="0.2">
      <c r="A331">
        <v>111</v>
      </c>
      <c r="B331" s="37" t="s">
        <v>620</v>
      </c>
      <c r="C331" s="1">
        <v>45321</v>
      </c>
      <c r="D331" s="37" t="s">
        <v>620</v>
      </c>
      <c r="E331">
        <v>7.1161795677812403E-2</v>
      </c>
      <c r="F331">
        <v>7.1161795677812403E-2</v>
      </c>
    </row>
    <row r="332" spans="1:6" x14ac:dyDescent="0.2">
      <c r="A332">
        <v>111</v>
      </c>
      <c r="B332" s="37" t="s">
        <v>181</v>
      </c>
      <c r="C332" s="1">
        <v>45489</v>
      </c>
      <c r="D332" s="37" t="s">
        <v>181</v>
      </c>
      <c r="E332">
        <v>0.18701647258107301</v>
      </c>
      <c r="F332">
        <v>0.18701647258107301</v>
      </c>
    </row>
    <row r="333" spans="1:6" x14ac:dyDescent="0.2">
      <c r="A333">
        <v>111</v>
      </c>
      <c r="B333" s="37" t="s">
        <v>182</v>
      </c>
      <c r="C333" s="1">
        <v>45583</v>
      </c>
      <c r="D333" s="37" t="s">
        <v>182</v>
      </c>
      <c r="E333">
        <v>0.44073483211678099</v>
      </c>
      <c r="F333">
        <v>0.44073483211678099</v>
      </c>
    </row>
    <row r="334" spans="1:6" x14ac:dyDescent="0.2">
      <c r="A334">
        <v>111</v>
      </c>
      <c r="B334" s="37" t="s">
        <v>183</v>
      </c>
      <c r="C334" s="1">
        <v>45472</v>
      </c>
      <c r="D334" s="37" t="s">
        <v>183</v>
      </c>
      <c r="E334">
        <v>0.13057629913535199</v>
      </c>
      <c r="F334">
        <v>0.13057629913535199</v>
      </c>
    </row>
    <row r="335" spans="1:6" x14ac:dyDescent="0.2">
      <c r="A335">
        <v>112</v>
      </c>
      <c r="B335" s="37" t="s">
        <v>1048</v>
      </c>
      <c r="C335" s="1">
        <v>45473</v>
      </c>
      <c r="D335" s="37" t="s">
        <v>1048</v>
      </c>
      <c r="E335">
        <v>0.143603913077059</v>
      </c>
      <c r="F335">
        <v>0.143603913077059</v>
      </c>
    </row>
    <row r="336" spans="1:6" x14ac:dyDescent="0.2">
      <c r="A336">
        <v>112</v>
      </c>
      <c r="B336" s="37" t="s">
        <v>1049</v>
      </c>
      <c r="C336" s="1">
        <v>45474</v>
      </c>
      <c r="D336" s="37" t="s">
        <v>1049</v>
      </c>
      <c r="E336">
        <v>0.420872810960289</v>
      </c>
      <c r="F336">
        <v>0.420872810960289</v>
      </c>
    </row>
    <row r="337" spans="1:6" x14ac:dyDescent="0.2">
      <c r="A337">
        <v>113</v>
      </c>
      <c r="B337" s="37" t="s">
        <v>1050</v>
      </c>
      <c r="C337" s="1">
        <v>45342</v>
      </c>
      <c r="D337" s="37" t="s">
        <v>1050</v>
      </c>
      <c r="E337">
        <v>0.25133513478055602</v>
      </c>
      <c r="F337">
        <v>0.25133513478055602</v>
      </c>
    </row>
    <row r="338" spans="1:6" x14ac:dyDescent="0.2">
      <c r="A338">
        <v>114</v>
      </c>
      <c r="B338" s="37" t="s">
        <v>184</v>
      </c>
      <c r="C338" s="1">
        <v>45529</v>
      </c>
      <c r="D338" s="37" t="s">
        <v>184</v>
      </c>
      <c r="E338">
        <v>0.29400346657736398</v>
      </c>
      <c r="F338">
        <v>0.29400346657736398</v>
      </c>
    </row>
    <row r="339" spans="1:6" x14ac:dyDescent="0.2">
      <c r="A339">
        <v>114</v>
      </c>
      <c r="B339" s="37" t="s">
        <v>621</v>
      </c>
      <c r="C339" s="1">
        <v>45390</v>
      </c>
      <c r="D339" s="37" t="s">
        <v>621</v>
      </c>
      <c r="E339">
        <v>0.42938196369613202</v>
      </c>
      <c r="F339">
        <v>0.42938196369613202</v>
      </c>
    </row>
    <row r="340" spans="1:6" x14ac:dyDescent="0.2">
      <c r="A340">
        <v>114</v>
      </c>
      <c r="B340" s="37" t="s">
        <v>622</v>
      </c>
      <c r="C340" s="1">
        <v>45476</v>
      </c>
      <c r="D340" s="37" t="s">
        <v>622</v>
      </c>
      <c r="E340">
        <v>0.20704645526049401</v>
      </c>
      <c r="F340">
        <v>0.20704645526049401</v>
      </c>
    </row>
    <row r="341" spans="1:6" x14ac:dyDescent="0.2">
      <c r="A341">
        <v>114</v>
      </c>
      <c r="B341" s="37" t="s">
        <v>185</v>
      </c>
      <c r="C341" s="1">
        <v>45641</v>
      </c>
      <c r="D341" s="37" t="s">
        <v>185</v>
      </c>
      <c r="E341">
        <v>0.15680069845470099</v>
      </c>
      <c r="F341">
        <v>0.15680069845470099</v>
      </c>
    </row>
    <row r="342" spans="1:6" x14ac:dyDescent="0.2">
      <c r="A342">
        <v>114</v>
      </c>
      <c r="B342" s="37" t="s">
        <v>1051</v>
      </c>
      <c r="C342" s="1">
        <v>45578</v>
      </c>
      <c r="D342" s="37" t="s">
        <v>1051</v>
      </c>
      <c r="E342">
        <v>0.45618094398554898</v>
      </c>
      <c r="F342">
        <v>0.45618094398554898</v>
      </c>
    </row>
    <row r="343" spans="1:6" x14ac:dyDescent="0.2">
      <c r="A343">
        <v>114</v>
      </c>
      <c r="B343" s="37" t="s">
        <v>1052</v>
      </c>
      <c r="C343" s="1">
        <v>45342</v>
      </c>
      <c r="D343" s="37" t="s">
        <v>1052</v>
      </c>
      <c r="E343">
        <v>5.0918386760780802E-2</v>
      </c>
      <c r="F343">
        <v>5.0918386760780802E-2</v>
      </c>
    </row>
    <row r="344" spans="1:6" x14ac:dyDescent="0.2">
      <c r="A344">
        <v>115</v>
      </c>
      <c r="B344" s="37" t="s">
        <v>1053</v>
      </c>
      <c r="C344" s="1">
        <v>45478</v>
      </c>
      <c r="D344" s="37" t="s">
        <v>1053</v>
      </c>
      <c r="E344">
        <v>6.7769631901644402E-3</v>
      </c>
      <c r="F344">
        <v>6.7769631901644402E-3</v>
      </c>
    </row>
    <row r="345" spans="1:6" x14ac:dyDescent="0.2">
      <c r="A345">
        <v>115</v>
      </c>
      <c r="B345" s="37" t="s">
        <v>1054</v>
      </c>
      <c r="C345" s="1">
        <v>45477</v>
      </c>
      <c r="D345" s="37" t="s">
        <v>1054</v>
      </c>
      <c r="E345">
        <v>0.44126188630163599</v>
      </c>
      <c r="F345">
        <v>0.44126188630163599</v>
      </c>
    </row>
    <row r="346" spans="1:6" x14ac:dyDescent="0.2">
      <c r="A346">
        <v>115</v>
      </c>
      <c r="B346" s="37" t="s">
        <v>1055</v>
      </c>
      <c r="C346" s="1">
        <v>45377</v>
      </c>
      <c r="D346" s="37" t="s">
        <v>1055</v>
      </c>
      <c r="E346">
        <v>0.156907504923289</v>
      </c>
      <c r="F346">
        <v>0.156907504923289</v>
      </c>
    </row>
    <row r="347" spans="1:6" x14ac:dyDescent="0.2">
      <c r="A347">
        <v>115</v>
      </c>
      <c r="B347" s="37" t="s">
        <v>186</v>
      </c>
      <c r="C347" s="1">
        <v>45323</v>
      </c>
      <c r="D347" s="37" t="s">
        <v>186</v>
      </c>
      <c r="E347">
        <v>0.19333847695145301</v>
      </c>
      <c r="F347">
        <v>0.19333847695145301</v>
      </c>
    </row>
    <row r="348" spans="1:6" x14ac:dyDescent="0.2">
      <c r="A348">
        <v>116</v>
      </c>
      <c r="B348" s="37" t="s">
        <v>1056</v>
      </c>
      <c r="C348" s="1">
        <v>45415</v>
      </c>
      <c r="D348" s="37" t="s">
        <v>1056</v>
      </c>
      <c r="E348">
        <v>0.32533340676078898</v>
      </c>
      <c r="F348">
        <v>0.32533340676078898</v>
      </c>
    </row>
    <row r="349" spans="1:6" x14ac:dyDescent="0.2">
      <c r="A349">
        <v>117</v>
      </c>
      <c r="B349" s="37" t="s">
        <v>1057</v>
      </c>
      <c r="C349" s="1">
        <v>45327</v>
      </c>
      <c r="D349" s="37" t="s">
        <v>1057</v>
      </c>
      <c r="E349">
        <v>8.7404200516332298E-2</v>
      </c>
      <c r="F349">
        <v>8.7404200516332298E-2</v>
      </c>
    </row>
    <row r="350" spans="1:6" x14ac:dyDescent="0.2">
      <c r="A350">
        <v>117</v>
      </c>
      <c r="B350" s="37" t="s">
        <v>1058</v>
      </c>
      <c r="C350" s="1">
        <v>45616</v>
      </c>
      <c r="D350" s="37" t="s">
        <v>1058</v>
      </c>
      <c r="E350">
        <v>0.15675578221831599</v>
      </c>
      <c r="F350">
        <v>0.15675578221831599</v>
      </c>
    </row>
    <row r="351" spans="1:6" x14ac:dyDescent="0.2">
      <c r="A351">
        <v>117</v>
      </c>
      <c r="B351" s="37" t="s">
        <v>1059</v>
      </c>
      <c r="C351" s="1">
        <v>45366</v>
      </c>
      <c r="D351" s="37" t="s">
        <v>1059</v>
      </c>
      <c r="E351">
        <v>0.250560622447074</v>
      </c>
      <c r="F351">
        <v>0.250560622447074</v>
      </c>
    </row>
    <row r="352" spans="1:6" x14ac:dyDescent="0.2">
      <c r="A352">
        <v>118</v>
      </c>
      <c r="B352" s="37" t="s">
        <v>187</v>
      </c>
      <c r="C352" s="1">
        <v>45481</v>
      </c>
      <c r="D352" s="37" t="s">
        <v>187</v>
      </c>
      <c r="E352">
        <v>0.205588009793501</v>
      </c>
      <c r="F352">
        <v>0.205588009793501</v>
      </c>
    </row>
    <row r="353" spans="1:6" x14ac:dyDescent="0.2">
      <c r="A353">
        <v>118</v>
      </c>
      <c r="B353" s="37" t="s">
        <v>188</v>
      </c>
      <c r="C353" s="1">
        <v>45387</v>
      </c>
      <c r="D353" s="37" t="s">
        <v>188</v>
      </c>
      <c r="E353">
        <v>6.9832476987081102E-2</v>
      </c>
      <c r="F353">
        <v>6.9832476987081102E-2</v>
      </c>
    </row>
    <row r="354" spans="1:6" x14ac:dyDescent="0.2">
      <c r="A354">
        <v>118</v>
      </c>
      <c r="B354" s="37" t="s">
        <v>189</v>
      </c>
      <c r="C354" s="1">
        <v>45331</v>
      </c>
      <c r="D354" s="37" t="s">
        <v>189</v>
      </c>
      <c r="E354">
        <v>0.30381148033549399</v>
      </c>
      <c r="F354">
        <v>0.30381148033549399</v>
      </c>
    </row>
    <row r="355" spans="1:6" x14ac:dyDescent="0.2">
      <c r="A355">
        <v>118</v>
      </c>
      <c r="B355" s="37" t="s">
        <v>190</v>
      </c>
      <c r="C355" s="1">
        <v>45370</v>
      </c>
      <c r="D355" s="37" t="s">
        <v>190</v>
      </c>
      <c r="E355">
        <v>0.13075998095525801</v>
      </c>
      <c r="F355">
        <v>0.13075998095525801</v>
      </c>
    </row>
    <row r="356" spans="1:6" x14ac:dyDescent="0.2">
      <c r="A356">
        <v>118</v>
      </c>
      <c r="B356" s="37" t="s">
        <v>191</v>
      </c>
      <c r="C356" s="1">
        <v>45515</v>
      </c>
      <c r="D356" s="37" t="s">
        <v>191</v>
      </c>
      <c r="E356">
        <v>0.114578322179896</v>
      </c>
      <c r="F356">
        <v>0.114578322179896</v>
      </c>
    </row>
    <row r="357" spans="1:6" x14ac:dyDescent="0.2">
      <c r="A357">
        <v>118</v>
      </c>
      <c r="B357" s="37" t="s">
        <v>192</v>
      </c>
      <c r="C357" s="1">
        <v>45490</v>
      </c>
      <c r="D357" s="37" t="s">
        <v>192</v>
      </c>
      <c r="E357">
        <v>0.21130644536491899</v>
      </c>
      <c r="F357">
        <v>0.21130644536491899</v>
      </c>
    </row>
    <row r="358" spans="1:6" x14ac:dyDescent="0.2">
      <c r="A358">
        <v>119</v>
      </c>
      <c r="B358" s="37" t="s">
        <v>1060</v>
      </c>
      <c r="C358" s="1">
        <v>45608</v>
      </c>
      <c r="D358" s="37" t="s">
        <v>1060</v>
      </c>
      <c r="E358">
        <v>5.0690661662089E-2</v>
      </c>
      <c r="F358">
        <v>5.0690661662089E-2</v>
      </c>
    </row>
    <row r="359" spans="1:6" x14ac:dyDescent="0.2">
      <c r="A359">
        <v>119</v>
      </c>
      <c r="B359" s="37" t="s">
        <v>1061</v>
      </c>
      <c r="C359" s="1">
        <v>45414</v>
      </c>
      <c r="D359" s="37" t="s">
        <v>1061</v>
      </c>
      <c r="E359">
        <v>0.117020343375242</v>
      </c>
      <c r="F359">
        <v>0.117020343375242</v>
      </c>
    </row>
    <row r="360" spans="1:6" x14ac:dyDescent="0.2">
      <c r="A360">
        <v>119</v>
      </c>
      <c r="B360" s="37" t="s">
        <v>193</v>
      </c>
      <c r="C360" s="1">
        <v>45642</v>
      </c>
      <c r="D360" s="37" t="s">
        <v>193</v>
      </c>
      <c r="E360">
        <v>9.9855561766361706E-2</v>
      </c>
      <c r="F360">
        <v>9.9855561766361706E-2</v>
      </c>
    </row>
    <row r="361" spans="1:6" x14ac:dyDescent="0.2">
      <c r="A361">
        <v>120</v>
      </c>
      <c r="B361" s="37" t="s">
        <v>194</v>
      </c>
      <c r="C361" s="1">
        <v>45638</v>
      </c>
      <c r="D361" s="37" t="s">
        <v>194</v>
      </c>
      <c r="E361">
        <v>0.13735017666655799</v>
      </c>
      <c r="F361">
        <v>0.13735017666655799</v>
      </c>
    </row>
    <row r="362" spans="1:6" x14ac:dyDescent="0.2">
      <c r="A362">
        <v>120</v>
      </c>
      <c r="B362" s="37" t="s">
        <v>195</v>
      </c>
      <c r="C362" s="1">
        <v>45340</v>
      </c>
      <c r="D362" s="37" t="s">
        <v>195</v>
      </c>
      <c r="E362">
        <v>0.121236496221721</v>
      </c>
      <c r="F362">
        <v>0.121236496221721</v>
      </c>
    </row>
    <row r="363" spans="1:6" x14ac:dyDescent="0.2">
      <c r="A363">
        <v>121</v>
      </c>
      <c r="B363" s="37" t="s">
        <v>623</v>
      </c>
      <c r="C363" s="1">
        <v>45521</v>
      </c>
      <c r="D363" s="37" t="s">
        <v>623</v>
      </c>
      <c r="E363">
        <v>0.17957653374045801</v>
      </c>
      <c r="F363">
        <v>0.17957653374045801</v>
      </c>
    </row>
    <row r="364" spans="1:6" x14ac:dyDescent="0.2">
      <c r="A364">
        <v>121</v>
      </c>
      <c r="B364" s="37" t="s">
        <v>624</v>
      </c>
      <c r="C364" s="1">
        <v>45624</v>
      </c>
      <c r="D364" s="37" t="s">
        <v>624</v>
      </c>
      <c r="E364">
        <v>1.43499791994887E-2</v>
      </c>
      <c r="F364">
        <v>1.43499791994887E-2</v>
      </c>
    </row>
    <row r="365" spans="1:6" x14ac:dyDescent="0.2">
      <c r="A365">
        <v>121</v>
      </c>
      <c r="B365" s="37" t="s">
        <v>625</v>
      </c>
      <c r="C365" s="1">
        <v>45366</v>
      </c>
      <c r="D365" s="37" t="s">
        <v>625</v>
      </c>
      <c r="E365">
        <v>0.131133916447809</v>
      </c>
      <c r="F365">
        <v>0.131133916447809</v>
      </c>
    </row>
    <row r="366" spans="1:6" x14ac:dyDescent="0.2">
      <c r="A366">
        <v>121</v>
      </c>
      <c r="B366" s="37" t="s">
        <v>626</v>
      </c>
      <c r="C366" s="1">
        <v>45476</v>
      </c>
      <c r="D366" s="37" t="s">
        <v>626</v>
      </c>
      <c r="E366">
        <v>6.0681620345940997E-2</v>
      </c>
      <c r="F366">
        <v>6.0681620345940997E-2</v>
      </c>
    </row>
    <row r="367" spans="1:6" x14ac:dyDescent="0.2">
      <c r="A367">
        <v>122</v>
      </c>
      <c r="B367" s="37" t="s">
        <v>1062</v>
      </c>
      <c r="C367" s="1">
        <v>45511</v>
      </c>
      <c r="D367" s="37" t="s">
        <v>1062</v>
      </c>
      <c r="E367">
        <v>0.44508211209926901</v>
      </c>
      <c r="F367">
        <v>0.44508211209926901</v>
      </c>
    </row>
    <row r="368" spans="1:6" x14ac:dyDescent="0.2">
      <c r="A368">
        <v>122</v>
      </c>
      <c r="B368" s="37" t="s">
        <v>1063</v>
      </c>
      <c r="C368" s="1">
        <v>45468</v>
      </c>
      <c r="D368" s="37" t="s">
        <v>1063</v>
      </c>
      <c r="E368">
        <v>0.43650761001521399</v>
      </c>
      <c r="F368">
        <v>0.43650761001521399</v>
      </c>
    </row>
    <row r="369" spans="1:6" x14ac:dyDescent="0.2">
      <c r="A369">
        <v>123</v>
      </c>
      <c r="B369" s="37" t="s">
        <v>1064</v>
      </c>
      <c r="C369" s="1">
        <v>45394</v>
      </c>
      <c r="D369" s="37" t="s">
        <v>1064</v>
      </c>
      <c r="E369">
        <v>5.7223226766352699E-2</v>
      </c>
      <c r="F369">
        <v>5.7223226766352699E-2</v>
      </c>
    </row>
    <row r="370" spans="1:6" x14ac:dyDescent="0.2">
      <c r="A370">
        <v>123</v>
      </c>
      <c r="B370" s="37" t="s">
        <v>1065</v>
      </c>
      <c r="C370" s="1">
        <v>45385</v>
      </c>
      <c r="D370" s="37" t="s">
        <v>1065</v>
      </c>
      <c r="E370">
        <v>0.224258141158522</v>
      </c>
      <c r="F370">
        <v>0.224258141158522</v>
      </c>
    </row>
    <row r="371" spans="1:6" x14ac:dyDescent="0.2">
      <c r="A371">
        <v>124</v>
      </c>
      <c r="B371" s="37" t="s">
        <v>1066</v>
      </c>
      <c r="C371" s="1">
        <v>45412</v>
      </c>
      <c r="D371" s="37" t="s">
        <v>1066</v>
      </c>
      <c r="E371">
        <v>0.2098078042549</v>
      </c>
      <c r="F371">
        <v>0.2098078042549</v>
      </c>
    </row>
    <row r="372" spans="1:6" x14ac:dyDescent="0.2">
      <c r="A372">
        <v>124</v>
      </c>
      <c r="B372" s="37" t="s">
        <v>627</v>
      </c>
      <c r="C372" s="1">
        <v>45455</v>
      </c>
      <c r="D372" s="37" t="s">
        <v>627</v>
      </c>
      <c r="E372">
        <v>0.14568038126504201</v>
      </c>
      <c r="F372">
        <v>0.14568038126504201</v>
      </c>
    </row>
    <row r="373" spans="1:6" x14ac:dyDescent="0.2">
      <c r="A373">
        <v>125</v>
      </c>
      <c r="B373" s="37" t="s">
        <v>1067</v>
      </c>
      <c r="C373" s="1">
        <v>45302</v>
      </c>
      <c r="D373" s="37" t="s">
        <v>1067</v>
      </c>
      <c r="E373">
        <v>8.3137919278832399E-3</v>
      </c>
      <c r="F373">
        <v>8.3137919278832399E-3</v>
      </c>
    </row>
    <row r="374" spans="1:6" x14ac:dyDescent="0.2">
      <c r="A374">
        <v>125</v>
      </c>
      <c r="B374" s="37" t="s">
        <v>1068</v>
      </c>
      <c r="C374" s="1">
        <v>45507</v>
      </c>
      <c r="D374" s="37" t="s">
        <v>1068</v>
      </c>
      <c r="E374">
        <v>0.40574756043498</v>
      </c>
      <c r="F374">
        <v>0.40574756043498</v>
      </c>
    </row>
    <row r="375" spans="1:6" x14ac:dyDescent="0.2">
      <c r="A375">
        <v>126</v>
      </c>
      <c r="B375" s="37" t="s">
        <v>196</v>
      </c>
      <c r="C375" s="1">
        <v>45339</v>
      </c>
      <c r="D375" s="37" t="s">
        <v>196</v>
      </c>
      <c r="E375">
        <v>0.10926031519000701</v>
      </c>
      <c r="F375">
        <v>0.10926031519000701</v>
      </c>
    </row>
    <row r="376" spans="1:6" x14ac:dyDescent="0.2">
      <c r="A376">
        <v>126</v>
      </c>
      <c r="B376" s="37" t="s">
        <v>197</v>
      </c>
      <c r="C376" s="1">
        <v>45528</v>
      </c>
      <c r="D376" s="37" t="s">
        <v>197</v>
      </c>
      <c r="E376">
        <v>0.15101019795061399</v>
      </c>
      <c r="F376">
        <v>0.15101019795061399</v>
      </c>
    </row>
    <row r="377" spans="1:6" x14ac:dyDescent="0.2">
      <c r="A377">
        <v>126</v>
      </c>
      <c r="B377" s="37" t="s">
        <v>628</v>
      </c>
      <c r="C377" s="1">
        <v>45620</v>
      </c>
      <c r="D377" s="37" t="s">
        <v>628</v>
      </c>
      <c r="E377">
        <v>5.5979664048979201E-2</v>
      </c>
      <c r="F377">
        <v>5.5979664048979201E-2</v>
      </c>
    </row>
    <row r="378" spans="1:6" x14ac:dyDescent="0.2">
      <c r="A378">
        <v>126</v>
      </c>
      <c r="B378" s="37" t="s">
        <v>629</v>
      </c>
      <c r="C378" s="1">
        <v>45546</v>
      </c>
      <c r="D378" s="37" t="s">
        <v>629</v>
      </c>
      <c r="E378">
        <v>0.18762481154647201</v>
      </c>
      <c r="F378">
        <v>0.18762481154647201</v>
      </c>
    </row>
    <row r="379" spans="1:6" x14ac:dyDescent="0.2">
      <c r="A379">
        <v>126</v>
      </c>
      <c r="B379" s="37" t="s">
        <v>630</v>
      </c>
      <c r="C379" s="1">
        <v>45554</v>
      </c>
      <c r="D379" s="37" t="s">
        <v>630</v>
      </c>
      <c r="E379">
        <v>7.2489115662798503E-2</v>
      </c>
      <c r="F379">
        <v>7.2489115662798503E-2</v>
      </c>
    </row>
    <row r="380" spans="1:6" x14ac:dyDescent="0.2">
      <c r="A380">
        <v>126</v>
      </c>
      <c r="B380" s="37" t="s">
        <v>198</v>
      </c>
      <c r="C380" s="1">
        <v>45470</v>
      </c>
      <c r="D380" s="37" t="s">
        <v>198</v>
      </c>
      <c r="E380">
        <v>0.12681349449207399</v>
      </c>
      <c r="F380">
        <v>0.12681349449207399</v>
      </c>
    </row>
    <row r="381" spans="1:6" x14ac:dyDescent="0.2">
      <c r="A381">
        <v>126</v>
      </c>
      <c r="B381" s="37" t="s">
        <v>199</v>
      </c>
      <c r="C381" s="1">
        <v>45629</v>
      </c>
      <c r="D381" s="37" t="s">
        <v>199</v>
      </c>
      <c r="E381">
        <v>9.03319448521403E-2</v>
      </c>
      <c r="F381">
        <v>9.03319448521403E-2</v>
      </c>
    </row>
    <row r="382" spans="1:6" x14ac:dyDescent="0.2">
      <c r="A382">
        <v>127</v>
      </c>
      <c r="B382" s="37" t="s">
        <v>1069</v>
      </c>
      <c r="C382" s="1">
        <v>45483</v>
      </c>
      <c r="D382" s="37" t="s">
        <v>1069</v>
      </c>
      <c r="E382">
        <v>9.9728392807251501E-2</v>
      </c>
      <c r="F382">
        <v>9.9728392807251501E-2</v>
      </c>
    </row>
    <row r="383" spans="1:6" x14ac:dyDescent="0.2">
      <c r="A383">
        <v>128</v>
      </c>
      <c r="B383" s="37" t="s">
        <v>1070</v>
      </c>
      <c r="C383" s="1">
        <v>45338</v>
      </c>
      <c r="D383" s="37" t="s">
        <v>1070</v>
      </c>
      <c r="E383">
        <v>0.196223768981199</v>
      </c>
      <c r="F383">
        <v>0.196223768981199</v>
      </c>
    </row>
    <row r="384" spans="1:6" x14ac:dyDescent="0.2">
      <c r="A384">
        <v>129</v>
      </c>
      <c r="B384" s="37" t="s">
        <v>200</v>
      </c>
      <c r="C384" s="1">
        <v>45352</v>
      </c>
      <c r="D384" s="37" t="s">
        <v>200</v>
      </c>
      <c r="E384">
        <v>0.20608526814610501</v>
      </c>
      <c r="F384">
        <v>0.20608526814610501</v>
      </c>
    </row>
    <row r="385" spans="1:6" x14ac:dyDescent="0.2">
      <c r="A385">
        <v>130</v>
      </c>
      <c r="B385" s="37" t="s">
        <v>1071</v>
      </c>
      <c r="C385" s="1">
        <v>45302</v>
      </c>
      <c r="D385" s="37" t="s">
        <v>1071</v>
      </c>
      <c r="E385">
        <v>0.21900492450484299</v>
      </c>
      <c r="F385">
        <v>0.21900492450484299</v>
      </c>
    </row>
    <row r="386" spans="1:6" x14ac:dyDescent="0.2">
      <c r="A386">
        <v>130</v>
      </c>
      <c r="B386" s="37" t="s">
        <v>1072</v>
      </c>
      <c r="C386" s="1">
        <v>45526</v>
      </c>
      <c r="D386" s="37" t="s">
        <v>1072</v>
      </c>
      <c r="E386">
        <v>0.11197542683806901</v>
      </c>
      <c r="F386">
        <v>0.11197542683806901</v>
      </c>
    </row>
    <row r="387" spans="1:6" x14ac:dyDescent="0.2">
      <c r="A387">
        <v>130</v>
      </c>
      <c r="B387" s="37" t="s">
        <v>631</v>
      </c>
      <c r="C387" s="1">
        <v>45516</v>
      </c>
      <c r="D387" s="37" t="s">
        <v>631</v>
      </c>
      <c r="E387">
        <v>7.3384986276761904E-2</v>
      </c>
      <c r="F387">
        <v>7.3384986276761904E-2</v>
      </c>
    </row>
    <row r="388" spans="1:6" x14ac:dyDescent="0.2">
      <c r="A388">
        <v>130</v>
      </c>
      <c r="B388" s="37" t="s">
        <v>632</v>
      </c>
      <c r="C388" s="1">
        <v>45481</v>
      </c>
      <c r="D388" s="37" t="s">
        <v>632</v>
      </c>
      <c r="E388">
        <v>8.0907967317660701E-2</v>
      </c>
      <c r="F388">
        <v>8.0907967317660701E-2</v>
      </c>
    </row>
    <row r="389" spans="1:6" x14ac:dyDescent="0.2">
      <c r="A389">
        <v>131</v>
      </c>
      <c r="B389" s="37" t="s">
        <v>201</v>
      </c>
      <c r="C389" s="1">
        <v>45631</v>
      </c>
      <c r="D389" s="37" t="s">
        <v>201</v>
      </c>
      <c r="E389">
        <v>3.3684878388960802E-2</v>
      </c>
      <c r="F389">
        <v>3.3684878388960802E-2</v>
      </c>
    </row>
    <row r="390" spans="1:6" x14ac:dyDescent="0.2">
      <c r="A390">
        <v>131</v>
      </c>
      <c r="B390" s="37" t="s">
        <v>633</v>
      </c>
      <c r="C390" s="1">
        <v>45492</v>
      </c>
      <c r="D390" s="37" t="s">
        <v>633</v>
      </c>
      <c r="E390">
        <v>0.37333829861189599</v>
      </c>
      <c r="F390">
        <v>0.37333829861189599</v>
      </c>
    </row>
    <row r="391" spans="1:6" x14ac:dyDescent="0.2">
      <c r="A391">
        <v>131</v>
      </c>
      <c r="B391" s="37" t="s">
        <v>1073</v>
      </c>
      <c r="C391" s="1">
        <v>45536</v>
      </c>
      <c r="D391" s="37" t="s">
        <v>1073</v>
      </c>
      <c r="E391">
        <v>5.1834129035616502E-2</v>
      </c>
      <c r="F391">
        <v>5.1834129035616502E-2</v>
      </c>
    </row>
    <row r="392" spans="1:6" x14ac:dyDescent="0.2">
      <c r="A392">
        <v>132</v>
      </c>
      <c r="B392" s="37" t="s">
        <v>1074</v>
      </c>
      <c r="C392" s="1">
        <v>45365</v>
      </c>
      <c r="D392" s="37" t="s">
        <v>1074</v>
      </c>
      <c r="E392">
        <v>0.110822179475615</v>
      </c>
      <c r="F392">
        <v>0.110822179475615</v>
      </c>
    </row>
    <row r="393" spans="1:6" x14ac:dyDescent="0.2">
      <c r="A393">
        <v>132</v>
      </c>
      <c r="B393" s="37" t="s">
        <v>1075</v>
      </c>
      <c r="C393" s="1">
        <v>45534</v>
      </c>
      <c r="D393" s="37" t="s">
        <v>1075</v>
      </c>
      <c r="E393">
        <v>0.258887645403791</v>
      </c>
      <c r="F393">
        <v>0.258887645403791</v>
      </c>
    </row>
    <row r="394" spans="1:6" x14ac:dyDescent="0.2">
      <c r="A394">
        <v>132</v>
      </c>
      <c r="B394" s="37" t="s">
        <v>1076</v>
      </c>
      <c r="C394" s="1">
        <v>45485</v>
      </c>
      <c r="D394" s="37" t="s">
        <v>1076</v>
      </c>
      <c r="E394">
        <v>8.7762250804630099E-2</v>
      </c>
      <c r="F394">
        <v>8.7762250804630099E-2</v>
      </c>
    </row>
    <row r="395" spans="1:6" x14ac:dyDescent="0.2">
      <c r="A395">
        <v>132</v>
      </c>
      <c r="B395" s="37" t="s">
        <v>1077</v>
      </c>
      <c r="C395" s="1">
        <v>45440</v>
      </c>
      <c r="D395" s="37" t="s">
        <v>1077</v>
      </c>
      <c r="E395">
        <v>0.129848004376345</v>
      </c>
      <c r="F395">
        <v>0.129848004376345</v>
      </c>
    </row>
    <row r="396" spans="1:6" x14ac:dyDescent="0.2">
      <c r="A396">
        <v>132</v>
      </c>
      <c r="B396" s="37" t="s">
        <v>1078</v>
      </c>
      <c r="C396" s="1">
        <v>45427</v>
      </c>
      <c r="D396" s="37" t="s">
        <v>1078</v>
      </c>
      <c r="E396">
        <v>9.8164874251263898E-2</v>
      </c>
      <c r="F396">
        <v>9.8164874251263898E-2</v>
      </c>
    </row>
    <row r="397" spans="1:6" x14ac:dyDescent="0.2">
      <c r="A397">
        <v>133</v>
      </c>
      <c r="B397" s="37" t="s">
        <v>1079</v>
      </c>
      <c r="C397" s="1">
        <v>45639</v>
      </c>
      <c r="D397" s="37" t="s">
        <v>1079</v>
      </c>
      <c r="E397">
        <v>0.11475264116098099</v>
      </c>
      <c r="F397">
        <v>0.11475264116098099</v>
      </c>
    </row>
    <row r="398" spans="1:6" x14ac:dyDescent="0.2">
      <c r="A398">
        <v>133</v>
      </c>
      <c r="B398" s="37" t="s">
        <v>1080</v>
      </c>
      <c r="C398" s="1">
        <v>45502</v>
      </c>
      <c r="D398" s="37" t="s">
        <v>1080</v>
      </c>
      <c r="E398">
        <v>0.13978338142399599</v>
      </c>
      <c r="F398">
        <v>0.13978338142399599</v>
      </c>
    </row>
    <row r="399" spans="1:6" x14ac:dyDescent="0.2">
      <c r="A399">
        <v>133</v>
      </c>
      <c r="B399" s="37" t="s">
        <v>1081</v>
      </c>
      <c r="C399" s="1">
        <v>45442</v>
      </c>
      <c r="D399" s="37" t="s">
        <v>1081</v>
      </c>
      <c r="E399">
        <v>0.113385435814472</v>
      </c>
      <c r="F399">
        <v>0.113385435814472</v>
      </c>
    </row>
    <row r="400" spans="1:6" x14ac:dyDescent="0.2">
      <c r="A400">
        <v>133</v>
      </c>
      <c r="B400" s="37" t="s">
        <v>1082</v>
      </c>
      <c r="C400" s="1">
        <v>45438</v>
      </c>
      <c r="D400" s="37" t="s">
        <v>1082</v>
      </c>
      <c r="E400">
        <v>0.114227128235437</v>
      </c>
      <c r="F400">
        <v>0.114227128235437</v>
      </c>
    </row>
    <row r="401" spans="1:6" x14ac:dyDescent="0.2">
      <c r="A401">
        <v>134</v>
      </c>
      <c r="B401" s="37" t="s">
        <v>202</v>
      </c>
      <c r="C401" s="1">
        <v>45430</v>
      </c>
      <c r="D401" s="37" t="s">
        <v>202</v>
      </c>
      <c r="E401">
        <v>0.38070000294867601</v>
      </c>
      <c r="F401">
        <v>0.38070000294867601</v>
      </c>
    </row>
    <row r="402" spans="1:6" x14ac:dyDescent="0.2">
      <c r="A402">
        <v>134</v>
      </c>
      <c r="B402" s="37" t="s">
        <v>203</v>
      </c>
      <c r="C402" s="1">
        <v>45337</v>
      </c>
      <c r="D402" s="37" t="s">
        <v>203</v>
      </c>
      <c r="E402">
        <v>6.7486807204888505E-2</v>
      </c>
      <c r="F402">
        <v>6.7486807204888505E-2</v>
      </c>
    </row>
    <row r="403" spans="1:6" x14ac:dyDescent="0.2">
      <c r="A403">
        <v>134</v>
      </c>
      <c r="B403" s="37" t="s">
        <v>204</v>
      </c>
      <c r="C403" s="1">
        <v>45380</v>
      </c>
      <c r="D403" s="37" t="s">
        <v>204</v>
      </c>
      <c r="E403">
        <v>0.349200299798407</v>
      </c>
      <c r="F403">
        <v>0.349200299798407</v>
      </c>
    </row>
    <row r="404" spans="1:6" x14ac:dyDescent="0.2">
      <c r="A404">
        <v>134</v>
      </c>
      <c r="B404" s="37" t="s">
        <v>205</v>
      </c>
      <c r="C404" s="1">
        <v>45380</v>
      </c>
      <c r="D404" s="37" t="s">
        <v>205</v>
      </c>
      <c r="E404">
        <v>0.18605708134004501</v>
      </c>
      <c r="F404">
        <v>0.18605708134004501</v>
      </c>
    </row>
    <row r="405" spans="1:6" x14ac:dyDescent="0.2">
      <c r="A405">
        <v>135</v>
      </c>
      <c r="B405" s="37" t="s">
        <v>206</v>
      </c>
      <c r="C405" s="1">
        <v>45507</v>
      </c>
      <c r="D405" s="37" t="s">
        <v>206</v>
      </c>
      <c r="E405">
        <v>0.13946217520360801</v>
      </c>
      <c r="F405">
        <v>0.13946217520360801</v>
      </c>
    </row>
    <row r="406" spans="1:6" x14ac:dyDescent="0.2">
      <c r="A406">
        <v>135</v>
      </c>
      <c r="B406" s="37" t="s">
        <v>207</v>
      </c>
      <c r="C406" s="1">
        <v>45413</v>
      </c>
      <c r="D406" s="37" t="s">
        <v>207</v>
      </c>
      <c r="E406">
        <v>5.3366445285021699E-2</v>
      </c>
      <c r="F406">
        <v>5.3366445285021699E-2</v>
      </c>
    </row>
    <row r="407" spans="1:6" x14ac:dyDescent="0.2">
      <c r="A407">
        <v>135</v>
      </c>
      <c r="B407" s="37" t="s">
        <v>208</v>
      </c>
      <c r="C407" s="1">
        <v>45393</v>
      </c>
      <c r="D407" s="37" t="s">
        <v>208</v>
      </c>
      <c r="E407">
        <v>3.4338964300021001E-2</v>
      </c>
      <c r="F407">
        <v>3.4338964300021001E-2</v>
      </c>
    </row>
    <row r="408" spans="1:6" x14ac:dyDescent="0.2">
      <c r="A408">
        <v>136</v>
      </c>
      <c r="B408" s="37" t="s">
        <v>209</v>
      </c>
      <c r="C408" s="1">
        <v>45342</v>
      </c>
      <c r="D408" s="37" t="s">
        <v>209</v>
      </c>
      <c r="E408">
        <v>0.102241760488037</v>
      </c>
      <c r="F408">
        <v>0.102241760488037</v>
      </c>
    </row>
    <row r="409" spans="1:6" x14ac:dyDescent="0.2">
      <c r="A409">
        <v>136</v>
      </c>
      <c r="B409" s="37" t="s">
        <v>210</v>
      </c>
      <c r="C409" s="1">
        <v>45648</v>
      </c>
      <c r="D409" s="37" t="s">
        <v>210</v>
      </c>
      <c r="E409">
        <v>0.14869375861331799</v>
      </c>
      <c r="F409">
        <v>0.14869375861331799</v>
      </c>
    </row>
    <row r="410" spans="1:6" x14ac:dyDescent="0.2">
      <c r="A410">
        <v>136</v>
      </c>
      <c r="B410" s="37" t="s">
        <v>634</v>
      </c>
      <c r="C410" s="1">
        <v>45547</v>
      </c>
      <c r="D410" s="37" t="s">
        <v>634</v>
      </c>
      <c r="E410">
        <v>0.13379003759762501</v>
      </c>
      <c r="F410">
        <v>0.13379003759762501</v>
      </c>
    </row>
    <row r="411" spans="1:6" x14ac:dyDescent="0.2">
      <c r="A411">
        <v>136</v>
      </c>
      <c r="B411" s="37" t="s">
        <v>635</v>
      </c>
      <c r="C411" s="1">
        <v>45379</v>
      </c>
      <c r="D411" s="37" t="s">
        <v>635</v>
      </c>
      <c r="E411">
        <v>0.11793869749923901</v>
      </c>
      <c r="F411">
        <v>0.11793869749923901</v>
      </c>
    </row>
    <row r="412" spans="1:6" x14ac:dyDescent="0.2">
      <c r="A412">
        <v>137</v>
      </c>
      <c r="B412" s="37" t="s">
        <v>1083</v>
      </c>
      <c r="C412" s="1">
        <v>45472</v>
      </c>
      <c r="D412" s="37" t="s">
        <v>1083</v>
      </c>
      <c r="E412">
        <v>0.26961998010407301</v>
      </c>
      <c r="F412">
        <v>0.26961998010407301</v>
      </c>
    </row>
    <row r="413" spans="1:6" x14ac:dyDescent="0.2">
      <c r="A413">
        <v>137</v>
      </c>
      <c r="B413" s="37" t="s">
        <v>211</v>
      </c>
      <c r="C413" s="1">
        <v>45649</v>
      </c>
      <c r="D413" s="37" t="s">
        <v>211</v>
      </c>
      <c r="E413">
        <v>7.7155649106215904E-2</v>
      </c>
      <c r="F413">
        <v>7.7155649106215904E-2</v>
      </c>
    </row>
    <row r="414" spans="1:6" x14ac:dyDescent="0.2">
      <c r="A414">
        <v>137</v>
      </c>
      <c r="B414" s="37" t="s">
        <v>212</v>
      </c>
      <c r="C414" s="1">
        <v>45630</v>
      </c>
      <c r="D414" s="37" t="s">
        <v>212</v>
      </c>
      <c r="E414">
        <v>0.43822773011510302</v>
      </c>
      <c r="F414">
        <v>0.43822773011510302</v>
      </c>
    </row>
    <row r="415" spans="1:6" x14ac:dyDescent="0.2">
      <c r="A415">
        <v>137</v>
      </c>
      <c r="B415" s="37" t="s">
        <v>213</v>
      </c>
      <c r="C415" s="1">
        <v>45322</v>
      </c>
      <c r="D415" s="37" t="s">
        <v>213</v>
      </c>
      <c r="E415">
        <v>6.3757356218893405E-2</v>
      </c>
      <c r="F415">
        <v>6.3757356218893405E-2</v>
      </c>
    </row>
    <row r="416" spans="1:6" x14ac:dyDescent="0.2">
      <c r="A416">
        <v>137</v>
      </c>
      <c r="B416" s="37" t="s">
        <v>214</v>
      </c>
      <c r="C416" s="1">
        <v>45494</v>
      </c>
      <c r="D416" s="37" t="s">
        <v>214</v>
      </c>
      <c r="E416">
        <v>6.4393867046725603E-2</v>
      </c>
      <c r="F416">
        <v>6.4393867046725603E-2</v>
      </c>
    </row>
    <row r="417" spans="1:6" x14ac:dyDescent="0.2">
      <c r="A417">
        <v>138</v>
      </c>
      <c r="B417" s="37" t="s">
        <v>636</v>
      </c>
      <c r="C417" s="1">
        <v>45587</v>
      </c>
      <c r="D417" s="37" t="s">
        <v>636</v>
      </c>
      <c r="E417">
        <v>5.6935513099188803E-2</v>
      </c>
      <c r="F417">
        <v>5.6935513099188803E-2</v>
      </c>
    </row>
    <row r="418" spans="1:6" x14ac:dyDescent="0.2">
      <c r="A418">
        <v>138</v>
      </c>
      <c r="B418" s="37" t="s">
        <v>637</v>
      </c>
      <c r="C418" s="1">
        <v>45354</v>
      </c>
      <c r="D418" s="37" t="s">
        <v>637</v>
      </c>
      <c r="E418">
        <v>0.10274485538361</v>
      </c>
      <c r="F418">
        <v>0.10274485538361</v>
      </c>
    </row>
    <row r="419" spans="1:6" x14ac:dyDescent="0.2">
      <c r="A419">
        <v>138</v>
      </c>
      <c r="B419" s="37" t="s">
        <v>638</v>
      </c>
      <c r="C419" s="1">
        <v>45655</v>
      </c>
      <c r="D419" s="37" t="s">
        <v>638</v>
      </c>
      <c r="E419">
        <v>5.5622631930480101E-2</v>
      </c>
      <c r="F419">
        <v>5.5622631930480101E-2</v>
      </c>
    </row>
    <row r="420" spans="1:6" x14ac:dyDescent="0.2">
      <c r="A420">
        <v>138</v>
      </c>
      <c r="B420" s="37" t="s">
        <v>639</v>
      </c>
      <c r="C420" s="1">
        <v>45363</v>
      </c>
      <c r="D420" s="37" t="s">
        <v>639</v>
      </c>
      <c r="E420">
        <v>7.4251377315886796E-2</v>
      </c>
      <c r="F420">
        <v>7.4251377315886796E-2</v>
      </c>
    </row>
    <row r="421" spans="1:6" x14ac:dyDescent="0.2">
      <c r="A421">
        <v>139</v>
      </c>
      <c r="B421" s="37" t="s">
        <v>215</v>
      </c>
      <c r="C421" s="1">
        <v>45531</v>
      </c>
      <c r="D421" s="37" t="s">
        <v>215</v>
      </c>
      <c r="E421">
        <v>8.0737896241331306E-2</v>
      </c>
      <c r="F421">
        <v>8.0737896241331306E-2</v>
      </c>
    </row>
    <row r="422" spans="1:6" x14ac:dyDescent="0.2">
      <c r="A422">
        <v>139</v>
      </c>
      <c r="B422" s="37" t="s">
        <v>216</v>
      </c>
      <c r="C422" s="1">
        <v>45485</v>
      </c>
      <c r="D422" s="37" t="s">
        <v>216</v>
      </c>
      <c r="E422">
        <v>8.22097744866052E-2</v>
      </c>
      <c r="F422">
        <v>8.22097744866052E-2</v>
      </c>
    </row>
    <row r="423" spans="1:6" x14ac:dyDescent="0.2">
      <c r="A423">
        <v>139</v>
      </c>
      <c r="B423" s="37" t="s">
        <v>217</v>
      </c>
      <c r="C423" s="1">
        <v>45412</v>
      </c>
      <c r="D423" s="37" t="s">
        <v>217</v>
      </c>
      <c r="E423">
        <v>0.224739780765491</v>
      </c>
      <c r="F423">
        <v>0.224739780765491</v>
      </c>
    </row>
    <row r="424" spans="1:6" x14ac:dyDescent="0.2">
      <c r="A424">
        <v>139</v>
      </c>
      <c r="B424" s="37" t="s">
        <v>640</v>
      </c>
      <c r="C424" s="1">
        <v>45588</v>
      </c>
      <c r="D424" s="37" t="s">
        <v>640</v>
      </c>
      <c r="E424">
        <v>0.37136643775085798</v>
      </c>
      <c r="F424">
        <v>0.37136643775085798</v>
      </c>
    </row>
    <row r="425" spans="1:6" x14ac:dyDescent="0.2">
      <c r="A425">
        <v>139</v>
      </c>
      <c r="B425" s="37" t="s">
        <v>641</v>
      </c>
      <c r="C425" s="1">
        <v>45506</v>
      </c>
      <c r="D425" s="37" t="s">
        <v>641</v>
      </c>
      <c r="E425">
        <v>0.20115364008687001</v>
      </c>
      <c r="F425">
        <v>0.20115364008687001</v>
      </c>
    </row>
    <row r="426" spans="1:6" x14ac:dyDescent="0.2">
      <c r="A426">
        <v>139</v>
      </c>
      <c r="B426" s="37" t="s">
        <v>642</v>
      </c>
      <c r="C426" s="1">
        <v>45552</v>
      </c>
      <c r="D426" s="37" t="s">
        <v>642</v>
      </c>
      <c r="E426">
        <v>0.306458462730543</v>
      </c>
      <c r="F426">
        <v>0.306458462730543</v>
      </c>
    </row>
    <row r="427" spans="1:6" x14ac:dyDescent="0.2">
      <c r="A427">
        <v>139</v>
      </c>
      <c r="B427" s="37" t="s">
        <v>643</v>
      </c>
      <c r="C427" s="1">
        <v>45413</v>
      </c>
      <c r="D427" s="37" t="s">
        <v>643</v>
      </c>
      <c r="E427">
        <v>0.235990307411166</v>
      </c>
      <c r="F427">
        <v>0.235990307411166</v>
      </c>
    </row>
    <row r="428" spans="1:6" x14ac:dyDescent="0.2">
      <c r="A428">
        <v>140</v>
      </c>
      <c r="B428" s="37" t="s">
        <v>218</v>
      </c>
      <c r="C428" s="1">
        <v>45421</v>
      </c>
      <c r="D428" s="37" t="s">
        <v>218</v>
      </c>
      <c r="E428">
        <v>8.4228644464603902E-2</v>
      </c>
      <c r="F428">
        <v>8.4228644464603902E-2</v>
      </c>
    </row>
    <row r="429" spans="1:6" x14ac:dyDescent="0.2">
      <c r="A429">
        <v>140</v>
      </c>
      <c r="B429" s="37" t="s">
        <v>219</v>
      </c>
      <c r="C429" s="1">
        <v>45627</v>
      </c>
      <c r="D429" s="37" t="s">
        <v>219</v>
      </c>
      <c r="E429">
        <v>0.23125828495359599</v>
      </c>
      <c r="F429">
        <v>0.23125828495359599</v>
      </c>
    </row>
    <row r="430" spans="1:6" x14ac:dyDescent="0.2">
      <c r="A430">
        <v>140</v>
      </c>
      <c r="B430" s="37" t="s">
        <v>644</v>
      </c>
      <c r="C430" s="1">
        <v>45434</v>
      </c>
      <c r="D430" s="37" t="s">
        <v>644</v>
      </c>
      <c r="E430">
        <v>0.135699210161946</v>
      </c>
      <c r="F430">
        <v>0.135699210161946</v>
      </c>
    </row>
    <row r="431" spans="1:6" x14ac:dyDescent="0.2">
      <c r="A431">
        <v>141</v>
      </c>
      <c r="B431" s="37" t="s">
        <v>220</v>
      </c>
      <c r="C431" s="1">
        <v>45581</v>
      </c>
      <c r="D431" s="37" t="s">
        <v>220</v>
      </c>
      <c r="E431">
        <v>0.256445760377632</v>
      </c>
      <c r="F431">
        <v>0.256445760377632</v>
      </c>
    </row>
    <row r="432" spans="1:6" x14ac:dyDescent="0.2">
      <c r="A432">
        <v>141</v>
      </c>
      <c r="B432" s="37" t="s">
        <v>221</v>
      </c>
      <c r="C432" s="1">
        <v>45590</v>
      </c>
      <c r="D432" s="37" t="s">
        <v>221</v>
      </c>
      <c r="E432">
        <v>0.11955445964759</v>
      </c>
      <c r="F432">
        <v>0.11955445964759</v>
      </c>
    </row>
    <row r="433" spans="1:6" x14ac:dyDescent="0.2">
      <c r="A433">
        <v>142</v>
      </c>
      <c r="B433" s="37" t="s">
        <v>1084</v>
      </c>
      <c r="C433" s="1">
        <v>45604</v>
      </c>
      <c r="D433" s="37" t="s">
        <v>1084</v>
      </c>
      <c r="E433">
        <v>0.165601719273297</v>
      </c>
      <c r="F433">
        <v>0.165601719273297</v>
      </c>
    </row>
    <row r="434" spans="1:6" x14ac:dyDescent="0.2">
      <c r="A434">
        <v>142</v>
      </c>
      <c r="B434" s="37" t="s">
        <v>1085</v>
      </c>
      <c r="C434" s="1">
        <v>45355</v>
      </c>
      <c r="D434" s="37" t="s">
        <v>1085</v>
      </c>
      <c r="E434">
        <v>0.15013760872951501</v>
      </c>
      <c r="F434">
        <v>0.15013760872951501</v>
      </c>
    </row>
    <row r="435" spans="1:6" x14ac:dyDescent="0.2">
      <c r="A435">
        <v>144</v>
      </c>
      <c r="B435" s="37" t="s">
        <v>1086</v>
      </c>
      <c r="C435" s="1">
        <v>45638</v>
      </c>
      <c r="D435" s="37" t="s">
        <v>1086</v>
      </c>
      <c r="E435">
        <v>0.31954375157466303</v>
      </c>
      <c r="F435">
        <v>0.31954375157466303</v>
      </c>
    </row>
    <row r="436" spans="1:6" x14ac:dyDescent="0.2">
      <c r="A436">
        <v>145</v>
      </c>
      <c r="B436" s="37" t="s">
        <v>1087</v>
      </c>
      <c r="C436" s="1">
        <v>45331</v>
      </c>
      <c r="D436" s="37" t="s">
        <v>1087</v>
      </c>
      <c r="E436">
        <v>0.234330762037783</v>
      </c>
      <c r="F436">
        <v>0.234330762037783</v>
      </c>
    </row>
    <row r="437" spans="1:6" x14ac:dyDescent="0.2">
      <c r="A437">
        <v>145</v>
      </c>
      <c r="B437" s="37" t="s">
        <v>222</v>
      </c>
      <c r="C437" s="1">
        <v>45511</v>
      </c>
      <c r="D437" s="37" t="s">
        <v>222</v>
      </c>
      <c r="E437">
        <v>0.20508967328400299</v>
      </c>
      <c r="F437">
        <v>0.20508967328400299</v>
      </c>
    </row>
    <row r="438" spans="1:6" x14ac:dyDescent="0.2">
      <c r="A438">
        <v>145</v>
      </c>
      <c r="B438" s="37" t="s">
        <v>223</v>
      </c>
      <c r="C438" s="1">
        <v>45609</v>
      </c>
      <c r="D438" s="37" t="s">
        <v>223</v>
      </c>
      <c r="E438">
        <v>0.117679900856448</v>
      </c>
      <c r="F438">
        <v>0.117679900856448</v>
      </c>
    </row>
    <row r="439" spans="1:6" x14ac:dyDescent="0.2">
      <c r="A439">
        <v>145</v>
      </c>
      <c r="B439" s="37" t="s">
        <v>224</v>
      </c>
      <c r="C439" s="1">
        <v>45501</v>
      </c>
      <c r="D439" s="37" t="s">
        <v>224</v>
      </c>
      <c r="E439">
        <v>6.3194832703707099E-2</v>
      </c>
      <c r="F439">
        <v>6.3194832703707099E-2</v>
      </c>
    </row>
    <row r="440" spans="1:6" x14ac:dyDescent="0.2">
      <c r="A440">
        <v>145</v>
      </c>
      <c r="B440" s="37" t="s">
        <v>1088</v>
      </c>
      <c r="C440" s="1">
        <v>45395</v>
      </c>
      <c r="D440" s="37" t="s">
        <v>1088</v>
      </c>
      <c r="E440">
        <v>0.156047394903544</v>
      </c>
      <c r="F440">
        <v>0.156047394903544</v>
      </c>
    </row>
    <row r="441" spans="1:6" x14ac:dyDescent="0.2">
      <c r="A441">
        <v>146</v>
      </c>
      <c r="B441" s="37" t="s">
        <v>225</v>
      </c>
      <c r="C441" s="1">
        <v>45457</v>
      </c>
      <c r="D441" s="37" t="s">
        <v>225</v>
      </c>
      <c r="E441">
        <v>0.317039910596501</v>
      </c>
      <c r="F441">
        <v>0.317039910596501</v>
      </c>
    </row>
    <row r="442" spans="1:6" x14ac:dyDescent="0.2">
      <c r="A442">
        <v>146</v>
      </c>
      <c r="B442" s="37" t="s">
        <v>226</v>
      </c>
      <c r="C442" s="1">
        <v>45583</v>
      </c>
      <c r="D442" s="37" t="s">
        <v>226</v>
      </c>
      <c r="E442">
        <v>0.13031459651233901</v>
      </c>
      <c r="F442">
        <v>0.13031459651233901</v>
      </c>
    </row>
    <row r="443" spans="1:6" x14ac:dyDescent="0.2">
      <c r="A443">
        <v>147</v>
      </c>
      <c r="B443" s="37" t="s">
        <v>1089</v>
      </c>
      <c r="C443" s="1">
        <v>45377</v>
      </c>
      <c r="D443" s="37" t="s">
        <v>1089</v>
      </c>
      <c r="E443">
        <v>2.9412076895431499E-2</v>
      </c>
      <c r="F443">
        <v>2.9412076895431499E-2</v>
      </c>
    </row>
    <row r="444" spans="1:6" x14ac:dyDescent="0.2">
      <c r="A444">
        <v>147</v>
      </c>
      <c r="B444" s="37" t="s">
        <v>227</v>
      </c>
      <c r="C444" s="1">
        <v>45654</v>
      </c>
      <c r="D444" s="37" t="s">
        <v>227</v>
      </c>
      <c r="E444">
        <v>0.16010256461893299</v>
      </c>
      <c r="F444">
        <v>0.16010256461893299</v>
      </c>
    </row>
    <row r="445" spans="1:6" x14ac:dyDescent="0.2">
      <c r="A445">
        <v>148</v>
      </c>
      <c r="B445" s="37" t="s">
        <v>1090</v>
      </c>
      <c r="C445" s="1">
        <v>45463</v>
      </c>
      <c r="D445" s="37" t="s">
        <v>1090</v>
      </c>
      <c r="E445">
        <v>0.51230313247678805</v>
      </c>
      <c r="F445">
        <v>0.51230313247678805</v>
      </c>
    </row>
    <row r="446" spans="1:6" x14ac:dyDescent="0.2">
      <c r="A446">
        <v>149</v>
      </c>
      <c r="B446" s="37" t="s">
        <v>645</v>
      </c>
      <c r="C446" s="1">
        <v>45445</v>
      </c>
      <c r="D446" s="37" t="s">
        <v>645</v>
      </c>
      <c r="E446">
        <v>0.28307208344319001</v>
      </c>
      <c r="F446">
        <v>0.28307208344319001</v>
      </c>
    </row>
    <row r="447" spans="1:6" x14ac:dyDescent="0.2">
      <c r="A447">
        <v>149</v>
      </c>
      <c r="B447" s="37" t="s">
        <v>646</v>
      </c>
      <c r="C447" s="1">
        <v>45448</v>
      </c>
      <c r="D447" s="37" t="s">
        <v>646</v>
      </c>
      <c r="E447">
        <v>0.11617879783386099</v>
      </c>
      <c r="F447">
        <v>0.11617879783386099</v>
      </c>
    </row>
    <row r="448" spans="1:6" x14ac:dyDescent="0.2">
      <c r="A448">
        <v>150</v>
      </c>
      <c r="B448" s="37" t="s">
        <v>647</v>
      </c>
      <c r="C448" s="1">
        <v>45406</v>
      </c>
      <c r="D448" s="37" t="s">
        <v>647</v>
      </c>
      <c r="E448">
        <v>6.2324116870799397E-2</v>
      </c>
      <c r="F448">
        <v>6.2324116870799397E-2</v>
      </c>
    </row>
    <row r="449" spans="1:6" x14ac:dyDescent="0.2">
      <c r="A449">
        <v>150</v>
      </c>
      <c r="B449" s="37" t="s">
        <v>1091</v>
      </c>
      <c r="C449" s="1">
        <v>45321</v>
      </c>
      <c r="D449" s="37" t="s">
        <v>1091</v>
      </c>
      <c r="E449">
        <v>0.25799810599184497</v>
      </c>
      <c r="F449">
        <v>0.25799810599184497</v>
      </c>
    </row>
    <row r="450" spans="1:6" x14ac:dyDescent="0.2">
      <c r="A450">
        <v>150</v>
      </c>
      <c r="B450" s="37" t="s">
        <v>1092</v>
      </c>
      <c r="C450" s="1">
        <v>45568</v>
      </c>
      <c r="D450" s="37" t="s">
        <v>1092</v>
      </c>
      <c r="E450">
        <v>9.1800384507268601E-2</v>
      </c>
      <c r="F450">
        <v>9.1800384507268601E-2</v>
      </c>
    </row>
    <row r="451" spans="1:6" x14ac:dyDescent="0.2">
      <c r="A451">
        <v>150</v>
      </c>
      <c r="B451" s="37" t="s">
        <v>1093</v>
      </c>
      <c r="C451" s="1">
        <v>45329</v>
      </c>
      <c r="D451" s="37" t="s">
        <v>1093</v>
      </c>
      <c r="E451">
        <v>0.113197223134351</v>
      </c>
      <c r="F451">
        <v>0.113197223134351</v>
      </c>
    </row>
    <row r="452" spans="1:6" x14ac:dyDescent="0.2">
      <c r="A452">
        <v>151</v>
      </c>
      <c r="B452" s="37" t="s">
        <v>1094</v>
      </c>
      <c r="C452" s="1">
        <v>45646</v>
      </c>
      <c r="D452" s="37" t="s">
        <v>1094</v>
      </c>
      <c r="E452">
        <v>3.78028048074978E-2</v>
      </c>
      <c r="F452">
        <v>3.78028048074978E-2</v>
      </c>
    </row>
    <row r="453" spans="1:6" x14ac:dyDescent="0.2">
      <c r="A453">
        <v>151</v>
      </c>
      <c r="B453" s="37" t="s">
        <v>1095</v>
      </c>
      <c r="C453" s="1">
        <v>45426</v>
      </c>
      <c r="D453" s="37" t="s">
        <v>1095</v>
      </c>
      <c r="E453">
        <v>0.23926534934500701</v>
      </c>
      <c r="F453">
        <v>0.23926534934500701</v>
      </c>
    </row>
    <row r="454" spans="1:6" x14ac:dyDescent="0.2">
      <c r="A454">
        <v>151</v>
      </c>
      <c r="B454" s="37" t="s">
        <v>228</v>
      </c>
      <c r="C454" s="1">
        <v>45302</v>
      </c>
      <c r="D454" s="37" t="s">
        <v>228</v>
      </c>
      <c r="E454">
        <v>0.17795601455978199</v>
      </c>
      <c r="F454">
        <v>0.17795601455978199</v>
      </c>
    </row>
    <row r="455" spans="1:6" x14ac:dyDescent="0.2">
      <c r="A455">
        <v>151</v>
      </c>
      <c r="B455" s="37" t="s">
        <v>229</v>
      </c>
      <c r="C455" s="1">
        <v>45409</v>
      </c>
      <c r="D455" s="37" t="s">
        <v>229</v>
      </c>
      <c r="E455">
        <v>0.39489528779100602</v>
      </c>
      <c r="F455">
        <v>0.39489528779100602</v>
      </c>
    </row>
    <row r="456" spans="1:6" x14ac:dyDescent="0.2">
      <c r="A456">
        <v>151</v>
      </c>
      <c r="B456" s="37" t="s">
        <v>648</v>
      </c>
      <c r="C456" s="1">
        <v>45530</v>
      </c>
      <c r="D456" s="37" t="s">
        <v>648</v>
      </c>
      <c r="E456">
        <v>5.07971959710894E-2</v>
      </c>
      <c r="F456">
        <v>5.07971959710894E-2</v>
      </c>
    </row>
    <row r="457" spans="1:6" x14ac:dyDescent="0.2">
      <c r="A457">
        <v>152</v>
      </c>
      <c r="B457" s="37" t="s">
        <v>649</v>
      </c>
      <c r="C457" s="1">
        <v>45297</v>
      </c>
      <c r="D457" s="37" t="s">
        <v>649</v>
      </c>
      <c r="E457">
        <v>1.41929327734788E-2</v>
      </c>
      <c r="F457">
        <v>1.41929327734788E-2</v>
      </c>
    </row>
    <row r="458" spans="1:6" x14ac:dyDescent="0.2">
      <c r="A458">
        <v>152</v>
      </c>
      <c r="B458" s="37" t="s">
        <v>650</v>
      </c>
      <c r="C458" s="1">
        <v>45296</v>
      </c>
      <c r="D458" s="37" t="s">
        <v>650</v>
      </c>
      <c r="E458">
        <v>7.8355909862923803E-2</v>
      </c>
      <c r="F458">
        <v>7.8355909862923803E-2</v>
      </c>
    </row>
    <row r="459" spans="1:6" x14ac:dyDescent="0.2">
      <c r="A459">
        <v>152</v>
      </c>
      <c r="B459" s="37" t="s">
        <v>651</v>
      </c>
      <c r="C459" s="1">
        <v>45648</v>
      </c>
      <c r="D459" s="37" t="s">
        <v>651</v>
      </c>
      <c r="E459">
        <v>3.3523747672566301E-2</v>
      </c>
      <c r="F459">
        <v>3.3523747672566301E-2</v>
      </c>
    </row>
    <row r="460" spans="1:6" x14ac:dyDescent="0.2">
      <c r="A460">
        <v>153</v>
      </c>
      <c r="B460" s="37" t="s">
        <v>1096</v>
      </c>
      <c r="C460" s="1">
        <v>45557</v>
      </c>
      <c r="D460" s="37" t="s">
        <v>1096</v>
      </c>
      <c r="E460">
        <v>0.47343221654340101</v>
      </c>
      <c r="F460">
        <v>0.47343221654340101</v>
      </c>
    </row>
    <row r="461" spans="1:6" x14ac:dyDescent="0.2">
      <c r="A461">
        <v>153</v>
      </c>
      <c r="B461" s="37" t="s">
        <v>652</v>
      </c>
      <c r="C461" s="1">
        <v>45421</v>
      </c>
      <c r="D461" s="37" t="s">
        <v>652</v>
      </c>
      <c r="E461">
        <v>0.85259928519003803</v>
      </c>
      <c r="F461">
        <v>0.85259928519003803</v>
      </c>
    </row>
    <row r="462" spans="1:6" x14ac:dyDescent="0.2">
      <c r="A462">
        <v>154</v>
      </c>
      <c r="B462" s="37" t="s">
        <v>653</v>
      </c>
      <c r="C462" s="1">
        <v>45511</v>
      </c>
      <c r="D462" s="37" t="s">
        <v>653</v>
      </c>
      <c r="E462">
        <v>0.27213391677523602</v>
      </c>
      <c r="F462">
        <v>0.27213391677523602</v>
      </c>
    </row>
    <row r="463" spans="1:6" x14ac:dyDescent="0.2">
      <c r="A463">
        <v>154</v>
      </c>
      <c r="B463" s="37" t="s">
        <v>654</v>
      </c>
      <c r="C463" s="1">
        <v>45489</v>
      </c>
      <c r="D463" s="37" t="s">
        <v>654</v>
      </c>
      <c r="E463">
        <v>0.33746609513992998</v>
      </c>
      <c r="F463">
        <v>0.33746609513992998</v>
      </c>
    </row>
    <row r="464" spans="1:6" x14ac:dyDescent="0.2">
      <c r="A464">
        <v>155</v>
      </c>
      <c r="B464" s="37" t="s">
        <v>1097</v>
      </c>
      <c r="C464" s="1">
        <v>45476</v>
      </c>
      <c r="D464" s="37" t="s">
        <v>1097</v>
      </c>
      <c r="E464">
        <v>0.20366776118761101</v>
      </c>
      <c r="F464">
        <v>0.20366776118761101</v>
      </c>
    </row>
    <row r="465" spans="1:6" x14ac:dyDescent="0.2">
      <c r="A465">
        <v>156</v>
      </c>
      <c r="B465" s="37" t="s">
        <v>1098</v>
      </c>
      <c r="C465" s="1">
        <v>45427</v>
      </c>
      <c r="D465" s="37" t="s">
        <v>1098</v>
      </c>
      <c r="E465">
        <v>0.21453467712205901</v>
      </c>
      <c r="F465">
        <v>0.21453467712205901</v>
      </c>
    </row>
    <row r="466" spans="1:6" x14ac:dyDescent="0.2">
      <c r="A466">
        <v>156</v>
      </c>
      <c r="B466" s="37" t="s">
        <v>1099</v>
      </c>
      <c r="C466" s="1">
        <v>45396</v>
      </c>
      <c r="D466" s="37" t="s">
        <v>1099</v>
      </c>
      <c r="E466">
        <v>0.16324806334773201</v>
      </c>
      <c r="F466">
        <v>0.16324806334773201</v>
      </c>
    </row>
    <row r="467" spans="1:6" x14ac:dyDescent="0.2">
      <c r="A467">
        <v>157</v>
      </c>
      <c r="B467" s="37" t="s">
        <v>230</v>
      </c>
      <c r="C467" s="1">
        <v>45304</v>
      </c>
      <c r="D467" s="37" t="s">
        <v>230</v>
      </c>
      <c r="E467">
        <v>0.270128894275455</v>
      </c>
      <c r="F467">
        <v>0.270128894275455</v>
      </c>
    </row>
    <row r="468" spans="1:6" x14ac:dyDescent="0.2">
      <c r="A468">
        <v>157</v>
      </c>
      <c r="B468" s="37" t="s">
        <v>231</v>
      </c>
      <c r="C468" s="1">
        <v>45316</v>
      </c>
      <c r="D468" s="37" t="s">
        <v>231</v>
      </c>
      <c r="E468">
        <v>2.5300741748789601E-2</v>
      </c>
      <c r="F468">
        <v>2.5300741748789601E-2</v>
      </c>
    </row>
    <row r="469" spans="1:6" x14ac:dyDescent="0.2">
      <c r="A469">
        <v>157</v>
      </c>
      <c r="B469" s="37" t="s">
        <v>232</v>
      </c>
      <c r="C469" s="1">
        <v>45472</v>
      </c>
      <c r="D469" s="37" t="s">
        <v>232</v>
      </c>
      <c r="E469">
        <v>0.306837666027998</v>
      </c>
      <c r="F469">
        <v>0.306837666027998</v>
      </c>
    </row>
    <row r="470" spans="1:6" x14ac:dyDescent="0.2">
      <c r="A470">
        <v>158</v>
      </c>
      <c r="B470" s="37" t="s">
        <v>1100</v>
      </c>
      <c r="C470" s="1">
        <v>45592</v>
      </c>
      <c r="D470" s="37" t="s">
        <v>1100</v>
      </c>
      <c r="E470">
        <v>6.9421569695520893E-2</v>
      </c>
      <c r="F470">
        <v>6.9421569695520893E-2</v>
      </c>
    </row>
    <row r="471" spans="1:6" x14ac:dyDescent="0.2">
      <c r="A471">
        <v>158</v>
      </c>
      <c r="B471" s="37" t="s">
        <v>655</v>
      </c>
      <c r="C471" s="1">
        <v>45429</v>
      </c>
      <c r="D471" s="37" t="s">
        <v>655</v>
      </c>
      <c r="E471">
        <v>0.55898483482253503</v>
      </c>
      <c r="F471">
        <v>0.55898483482253503</v>
      </c>
    </row>
    <row r="472" spans="1:6" x14ac:dyDescent="0.2">
      <c r="A472">
        <v>159</v>
      </c>
      <c r="B472" s="37" t="s">
        <v>1101</v>
      </c>
      <c r="C472" s="1">
        <v>45648</v>
      </c>
      <c r="D472" s="37" t="s">
        <v>1101</v>
      </c>
      <c r="E472">
        <v>0.65427330837442699</v>
      </c>
      <c r="F472">
        <v>0.65427330837442699</v>
      </c>
    </row>
    <row r="473" spans="1:6" x14ac:dyDescent="0.2">
      <c r="A473">
        <v>159</v>
      </c>
      <c r="B473" s="37" t="s">
        <v>1102</v>
      </c>
      <c r="C473" s="1">
        <v>45654</v>
      </c>
      <c r="D473" s="37" t="s">
        <v>1102</v>
      </c>
      <c r="E473">
        <v>0.28082795793715098</v>
      </c>
      <c r="F473">
        <v>0.28082795793715098</v>
      </c>
    </row>
    <row r="474" spans="1:6" x14ac:dyDescent="0.2">
      <c r="A474">
        <v>159</v>
      </c>
      <c r="B474" s="37" t="s">
        <v>233</v>
      </c>
      <c r="C474" s="1">
        <v>45642</v>
      </c>
      <c r="D474" s="37" t="s">
        <v>233</v>
      </c>
      <c r="E474">
        <v>0.53728863506146596</v>
      </c>
      <c r="F474">
        <v>0.53728863506146596</v>
      </c>
    </row>
    <row r="475" spans="1:6" x14ac:dyDescent="0.2">
      <c r="A475">
        <v>160</v>
      </c>
      <c r="B475" s="37" t="s">
        <v>1103</v>
      </c>
      <c r="C475" s="1">
        <v>45491</v>
      </c>
      <c r="D475" s="37" t="s">
        <v>1103</v>
      </c>
      <c r="E475">
        <v>6.8797233686520201E-2</v>
      </c>
      <c r="F475">
        <v>6.8797233686520201E-2</v>
      </c>
    </row>
    <row r="476" spans="1:6" x14ac:dyDescent="0.2">
      <c r="A476">
        <v>160</v>
      </c>
      <c r="B476" s="37" t="s">
        <v>656</v>
      </c>
      <c r="C476" s="1">
        <v>45356</v>
      </c>
      <c r="D476" s="37" t="s">
        <v>656</v>
      </c>
      <c r="E476">
        <v>0.30844495243912101</v>
      </c>
      <c r="F476">
        <v>0.30844495243912101</v>
      </c>
    </row>
    <row r="477" spans="1:6" x14ac:dyDescent="0.2">
      <c r="A477">
        <v>161</v>
      </c>
      <c r="B477" s="37" t="s">
        <v>1104</v>
      </c>
      <c r="C477" s="1">
        <v>45295</v>
      </c>
      <c r="D477" s="37" t="s">
        <v>1104</v>
      </c>
      <c r="E477">
        <v>0.149804707511108</v>
      </c>
      <c r="F477">
        <v>0.149804707511108</v>
      </c>
    </row>
    <row r="478" spans="1:6" x14ac:dyDescent="0.2">
      <c r="A478">
        <v>161</v>
      </c>
      <c r="B478" s="37" t="s">
        <v>1105</v>
      </c>
      <c r="C478" s="1">
        <v>45483</v>
      </c>
      <c r="D478" s="37" t="s">
        <v>1105</v>
      </c>
      <c r="E478">
        <v>0.22372469748461399</v>
      </c>
      <c r="F478">
        <v>0.22372469748461399</v>
      </c>
    </row>
    <row r="479" spans="1:6" x14ac:dyDescent="0.2">
      <c r="A479">
        <v>161</v>
      </c>
      <c r="B479" s="37" t="s">
        <v>234</v>
      </c>
      <c r="C479" s="1">
        <v>45313</v>
      </c>
      <c r="D479" s="37" t="s">
        <v>234</v>
      </c>
      <c r="E479">
        <v>0.1215438425481</v>
      </c>
      <c r="F479">
        <v>0.1215438425481</v>
      </c>
    </row>
    <row r="480" spans="1:6" x14ac:dyDescent="0.2">
      <c r="A480">
        <v>162</v>
      </c>
      <c r="B480" s="37" t="s">
        <v>1106</v>
      </c>
      <c r="C480" s="1">
        <v>45365</v>
      </c>
      <c r="D480" s="37" t="s">
        <v>1106</v>
      </c>
      <c r="E480">
        <v>9.5359030926777097E-2</v>
      </c>
      <c r="F480">
        <v>9.5359030926777097E-2</v>
      </c>
    </row>
    <row r="481" spans="1:6" x14ac:dyDescent="0.2">
      <c r="A481">
        <v>162</v>
      </c>
      <c r="B481" s="37" t="s">
        <v>1107</v>
      </c>
      <c r="C481" s="1">
        <v>45392</v>
      </c>
      <c r="D481" s="37" t="s">
        <v>1107</v>
      </c>
      <c r="E481">
        <v>4.7323857126926397E-2</v>
      </c>
      <c r="F481">
        <v>4.7323857126926397E-2</v>
      </c>
    </row>
    <row r="482" spans="1:6" x14ac:dyDescent="0.2">
      <c r="A482">
        <v>163</v>
      </c>
      <c r="B482" s="37" t="s">
        <v>1108</v>
      </c>
      <c r="C482" s="1">
        <v>45580</v>
      </c>
      <c r="D482" s="37" t="s">
        <v>1108</v>
      </c>
      <c r="E482">
        <v>0.26198116856164</v>
      </c>
      <c r="F482">
        <v>0.26198116856164</v>
      </c>
    </row>
    <row r="483" spans="1:6" x14ac:dyDescent="0.2">
      <c r="A483">
        <v>163</v>
      </c>
      <c r="B483" s="37" t="s">
        <v>235</v>
      </c>
      <c r="C483" s="1">
        <v>45378</v>
      </c>
      <c r="D483" s="37" t="s">
        <v>235</v>
      </c>
      <c r="E483">
        <v>3.7643523385101699E-2</v>
      </c>
      <c r="F483">
        <v>3.7643523385101699E-2</v>
      </c>
    </row>
    <row r="484" spans="1:6" x14ac:dyDescent="0.2">
      <c r="A484">
        <v>163</v>
      </c>
      <c r="B484" s="37" t="s">
        <v>236</v>
      </c>
      <c r="C484" s="1">
        <v>45456</v>
      </c>
      <c r="D484" s="37" t="s">
        <v>236</v>
      </c>
      <c r="E484">
        <v>0.139568633160433</v>
      </c>
      <c r="F484">
        <v>0.139568633160433</v>
      </c>
    </row>
    <row r="485" spans="1:6" x14ac:dyDescent="0.2">
      <c r="A485">
        <v>163</v>
      </c>
      <c r="B485" s="37" t="s">
        <v>237</v>
      </c>
      <c r="C485" s="1">
        <v>45483</v>
      </c>
      <c r="D485" s="37" t="s">
        <v>237</v>
      </c>
      <c r="E485">
        <v>0.171273589810613</v>
      </c>
      <c r="F485">
        <v>0.171273589810613</v>
      </c>
    </row>
    <row r="486" spans="1:6" x14ac:dyDescent="0.2">
      <c r="A486">
        <v>164</v>
      </c>
      <c r="B486" s="37" t="s">
        <v>238</v>
      </c>
      <c r="C486" s="1">
        <v>45364</v>
      </c>
      <c r="D486" s="37" t="s">
        <v>238</v>
      </c>
      <c r="E486">
        <v>2.5002058626641E-2</v>
      </c>
      <c r="F486">
        <v>2.5002058626641E-2</v>
      </c>
    </row>
    <row r="487" spans="1:6" x14ac:dyDescent="0.2">
      <c r="A487">
        <v>164</v>
      </c>
      <c r="B487" s="37" t="s">
        <v>239</v>
      </c>
      <c r="C487" s="1">
        <v>45547</v>
      </c>
      <c r="D487" s="37" t="s">
        <v>239</v>
      </c>
      <c r="E487">
        <v>0.10179081075237199</v>
      </c>
      <c r="F487">
        <v>0.10179081075237199</v>
      </c>
    </row>
    <row r="488" spans="1:6" x14ac:dyDescent="0.2">
      <c r="A488">
        <v>165</v>
      </c>
      <c r="B488" s="37" t="s">
        <v>240</v>
      </c>
      <c r="C488" s="1">
        <v>45642</v>
      </c>
      <c r="D488" s="37" t="s">
        <v>240</v>
      </c>
      <c r="E488">
        <v>0.116884159656395</v>
      </c>
      <c r="F488">
        <v>0.116884159656395</v>
      </c>
    </row>
    <row r="489" spans="1:6" x14ac:dyDescent="0.2">
      <c r="A489">
        <v>165</v>
      </c>
      <c r="B489" s="37" t="s">
        <v>1109</v>
      </c>
      <c r="C489" s="1">
        <v>45544</v>
      </c>
      <c r="D489" s="37" t="s">
        <v>1109</v>
      </c>
      <c r="E489">
        <v>0.36369589403610902</v>
      </c>
      <c r="F489">
        <v>0.36369589403610902</v>
      </c>
    </row>
    <row r="490" spans="1:6" x14ac:dyDescent="0.2">
      <c r="A490">
        <v>166</v>
      </c>
      <c r="B490" s="37" t="s">
        <v>1110</v>
      </c>
      <c r="C490" s="1">
        <v>45597</v>
      </c>
      <c r="D490" s="37" t="s">
        <v>1110</v>
      </c>
      <c r="E490">
        <v>0.11759379593977599</v>
      </c>
      <c r="F490">
        <v>0.11759379593977599</v>
      </c>
    </row>
    <row r="491" spans="1:6" x14ac:dyDescent="0.2">
      <c r="A491">
        <v>166</v>
      </c>
      <c r="B491" s="37" t="s">
        <v>1111</v>
      </c>
      <c r="C491" s="1">
        <v>45523</v>
      </c>
      <c r="D491" s="37" t="s">
        <v>1111</v>
      </c>
      <c r="E491">
        <v>0.116865306930407</v>
      </c>
      <c r="F491">
        <v>0.116865306930407</v>
      </c>
    </row>
    <row r="492" spans="1:6" x14ac:dyDescent="0.2">
      <c r="A492">
        <v>166</v>
      </c>
      <c r="B492" s="37" t="s">
        <v>657</v>
      </c>
      <c r="C492" s="1">
        <v>45470</v>
      </c>
      <c r="D492" s="37" t="s">
        <v>657</v>
      </c>
      <c r="E492">
        <v>4.0978121764210403E-2</v>
      </c>
      <c r="F492">
        <v>4.0978121764210403E-2</v>
      </c>
    </row>
    <row r="493" spans="1:6" x14ac:dyDescent="0.2">
      <c r="A493">
        <v>167</v>
      </c>
      <c r="B493" s="37" t="s">
        <v>241</v>
      </c>
      <c r="C493" s="1">
        <v>45475</v>
      </c>
      <c r="D493" s="37" t="s">
        <v>241</v>
      </c>
      <c r="E493">
        <v>0.18404934654081401</v>
      </c>
      <c r="F493">
        <v>0.18404934654081401</v>
      </c>
    </row>
    <row r="494" spans="1:6" x14ac:dyDescent="0.2">
      <c r="A494">
        <v>167</v>
      </c>
      <c r="B494" s="37" t="s">
        <v>658</v>
      </c>
      <c r="C494" s="1">
        <v>45322</v>
      </c>
      <c r="D494" s="37" t="s">
        <v>658</v>
      </c>
      <c r="E494">
        <v>0.218740333652231</v>
      </c>
      <c r="F494">
        <v>0.218740333652231</v>
      </c>
    </row>
    <row r="495" spans="1:6" x14ac:dyDescent="0.2">
      <c r="A495">
        <v>167</v>
      </c>
      <c r="B495" s="37" t="s">
        <v>659</v>
      </c>
      <c r="C495" s="1">
        <v>45599</v>
      </c>
      <c r="D495" s="37" t="s">
        <v>659</v>
      </c>
      <c r="E495">
        <v>0.13608754191501801</v>
      </c>
      <c r="F495">
        <v>0.13608754191501801</v>
      </c>
    </row>
    <row r="496" spans="1:6" x14ac:dyDescent="0.2">
      <c r="A496">
        <v>167</v>
      </c>
      <c r="B496" s="37" t="s">
        <v>660</v>
      </c>
      <c r="C496" s="1">
        <v>45556</v>
      </c>
      <c r="D496" s="37" t="s">
        <v>660</v>
      </c>
      <c r="E496">
        <v>0.153901317425922</v>
      </c>
      <c r="F496">
        <v>0.153901317425922</v>
      </c>
    </row>
    <row r="497" spans="1:6" x14ac:dyDescent="0.2">
      <c r="A497">
        <v>168</v>
      </c>
      <c r="B497" s="37" t="s">
        <v>1112</v>
      </c>
      <c r="C497" s="1">
        <v>45610</v>
      </c>
      <c r="D497" s="37" t="s">
        <v>1112</v>
      </c>
      <c r="E497">
        <v>8.6054574817671495E-2</v>
      </c>
      <c r="F497">
        <v>8.6054574817671495E-2</v>
      </c>
    </row>
    <row r="498" spans="1:6" x14ac:dyDescent="0.2">
      <c r="A498">
        <v>168</v>
      </c>
      <c r="B498" s="37" t="s">
        <v>1113</v>
      </c>
      <c r="C498" s="1">
        <v>45387</v>
      </c>
      <c r="D498" s="37" t="s">
        <v>1113</v>
      </c>
      <c r="E498">
        <v>8.4652703206196903E-2</v>
      </c>
      <c r="F498">
        <v>8.4652703206196903E-2</v>
      </c>
    </row>
    <row r="499" spans="1:6" x14ac:dyDescent="0.2">
      <c r="A499">
        <v>169</v>
      </c>
      <c r="B499" s="37" t="s">
        <v>242</v>
      </c>
      <c r="C499" s="1">
        <v>45561</v>
      </c>
      <c r="D499" s="37" t="s">
        <v>242</v>
      </c>
      <c r="E499">
        <v>0.11770729267573</v>
      </c>
      <c r="F499">
        <v>0.11770729267573</v>
      </c>
    </row>
    <row r="500" spans="1:6" x14ac:dyDescent="0.2">
      <c r="A500">
        <v>169</v>
      </c>
      <c r="B500" s="37" t="s">
        <v>243</v>
      </c>
      <c r="C500" s="1">
        <v>45432</v>
      </c>
      <c r="D500" s="37" t="s">
        <v>243</v>
      </c>
      <c r="E500">
        <v>6.6766099716594404E-2</v>
      </c>
      <c r="F500">
        <v>6.6766099716594404E-2</v>
      </c>
    </row>
    <row r="501" spans="1:6" x14ac:dyDescent="0.2">
      <c r="A501">
        <v>170</v>
      </c>
      <c r="B501" s="37" t="s">
        <v>661</v>
      </c>
      <c r="C501" s="1">
        <v>45462</v>
      </c>
      <c r="D501" s="37" t="s">
        <v>661</v>
      </c>
      <c r="E501">
        <v>0.202074201936566</v>
      </c>
      <c r="F501">
        <v>0.202074201936566</v>
      </c>
    </row>
    <row r="502" spans="1:6" x14ac:dyDescent="0.2">
      <c r="A502">
        <v>170</v>
      </c>
      <c r="B502" s="37" t="s">
        <v>244</v>
      </c>
      <c r="C502" s="1">
        <v>45434</v>
      </c>
      <c r="D502" s="37" t="s">
        <v>244</v>
      </c>
      <c r="E502">
        <v>0.40391320746798798</v>
      </c>
      <c r="F502">
        <v>0.40391320746798798</v>
      </c>
    </row>
    <row r="503" spans="1:6" x14ac:dyDescent="0.2">
      <c r="A503">
        <v>171</v>
      </c>
      <c r="B503" s="37" t="s">
        <v>662</v>
      </c>
      <c r="C503" s="1">
        <v>45477</v>
      </c>
      <c r="D503" s="37" t="s">
        <v>662</v>
      </c>
      <c r="E503">
        <v>0.27211564616765999</v>
      </c>
      <c r="F503">
        <v>0.27211564616765999</v>
      </c>
    </row>
    <row r="504" spans="1:6" x14ac:dyDescent="0.2">
      <c r="A504">
        <v>171</v>
      </c>
      <c r="B504" s="37" t="s">
        <v>663</v>
      </c>
      <c r="C504" s="1">
        <v>45352</v>
      </c>
      <c r="D504" s="37" t="s">
        <v>663</v>
      </c>
      <c r="E504">
        <v>0.357942434081095</v>
      </c>
      <c r="F504">
        <v>0.357942434081095</v>
      </c>
    </row>
    <row r="505" spans="1:6" x14ac:dyDescent="0.2">
      <c r="A505">
        <v>171</v>
      </c>
      <c r="B505" s="37" t="s">
        <v>245</v>
      </c>
      <c r="C505" s="1">
        <v>45324</v>
      </c>
      <c r="D505" s="37" t="s">
        <v>245</v>
      </c>
      <c r="E505">
        <v>9.4942675652628997E-2</v>
      </c>
      <c r="F505">
        <v>9.4942675652628997E-2</v>
      </c>
    </row>
    <row r="506" spans="1:6" x14ac:dyDescent="0.2">
      <c r="A506">
        <v>172</v>
      </c>
      <c r="B506" s="37" t="s">
        <v>1114</v>
      </c>
      <c r="C506" s="1">
        <v>45628</v>
      </c>
      <c r="D506" s="37" t="s">
        <v>1114</v>
      </c>
      <c r="E506">
        <v>0.19333390488212299</v>
      </c>
      <c r="F506">
        <v>0.19333390488212299</v>
      </c>
    </row>
    <row r="507" spans="1:6" x14ac:dyDescent="0.2">
      <c r="A507">
        <v>173</v>
      </c>
      <c r="B507" s="37" t="s">
        <v>1115</v>
      </c>
      <c r="C507" s="1">
        <v>45292</v>
      </c>
      <c r="D507" s="37" t="s">
        <v>1115</v>
      </c>
      <c r="E507">
        <v>0.18196197865615399</v>
      </c>
      <c r="F507">
        <v>0.18196197865615399</v>
      </c>
    </row>
    <row r="508" spans="1:6" x14ac:dyDescent="0.2">
      <c r="A508">
        <v>173</v>
      </c>
      <c r="B508" s="37" t="s">
        <v>246</v>
      </c>
      <c r="C508" s="1">
        <v>45558</v>
      </c>
      <c r="D508" s="37" t="s">
        <v>246</v>
      </c>
      <c r="E508">
        <v>7.4950657124881401E-2</v>
      </c>
      <c r="F508">
        <v>7.4950657124881401E-2</v>
      </c>
    </row>
    <row r="509" spans="1:6" x14ac:dyDescent="0.2">
      <c r="A509">
        <v>173</v>
      </c>
      <c r="B509" s="37" t="s">
        <v>1116</v>
      </c>
      <c r="C509" s="1">
        <v>45305</v>
      </c>
      <c r="D509" s="37" t="s">
        <v>1116</v>
      </c>
      <c r="E509">
        <v>0.23773630914881699</v>
      </c>
      <c r="F509">
        <v>0.23773630914881699</v>
      </c>
    </row>
    <row r="510" spans="1:6" x14ac:dyDescent="0.2">
      <c r="A510">
        <v>173</v>
      </c>
      <c r="B510" s="37" t="s">
        <v>1117</v>
      </c>
      <c r="C510" s="1">
        <v>45299</v>
      </c>
      <c r="D510" s="37" t="s">
        <v>1117</v>
      </c>
      <c r="E510">
        <v>0.20637258780145601</v>
      </c>
      <c r="F510">
        <v>0.20637258780145601</v>
      </c>
    </row>
    <row r="511" spans="1:6" x14ac:dyDescent="0.2">
      <c r="A511">
        <v>173</v>
      </c>
      <c r="B511" s="37" t="s">
        <v>1118</v>
      </c>
      <c r="C511" s="1">
        <v>45555</v>
      </c>
      <c r="D511" s="37" t="s">
        <v>1118</v>
      </c>
      <c r="E511">
        <v>0.126298453896281</v>
      </c>
      <c r="F511">
        <v>0.126298453896281</v>
      </c>
    </row>
    <row r="512" spans="1:6" x14ac:dyDescent="0.2">
      <c r="A512">
        <v>174</v>
      </c>
      <c r="B512" s="37" t="s">
        <v>1119</v>
      </c>
      <c r="C512" s="1">
        <v>45653</v>
      </c>
      <c r="D512" s="37" t="s">
        <v>1119</v>
      </c>
      <c r="E512">
        <v>0.116567718483211</v>
      </c>
      <c r="F512">
        <v>0.116567718483211</v>
      </c>
    </row>
    <row r="513" spans="1:6" x14ac:dyDescent="0.2">
      <c r="A513">
        <v>174</v>
      </c>
      <c r="B513" s="37" t="s">
        <v>247</v>
      </c>
      <c r="C513" s="1">
        <v>45328</v>
      </c>
      <c r="D513" s="37" t="s">
        <v>247</v>
      </c>
      <c r="E513">
        <v>2.1299917440456399E-2</v>
      </c>
      <c r="F513">
        <v>2.1299917440456399E-2</v>
      </c>
    </row>
    <row r="514" spans="1:6" x14ac:dyDescent="0.2">
      <c r="A514">
        <v>174</v>
      </c>
      <c r="B514" s="37" t="s">
        <v>248</v>
      </c>
      <c r="C514" s="1">
        <v>45347</v>
      </c>
      <c r="D514" s="37" t="s">
        <v>248</v>
      </c>
      <c r="E514">
        <v>0.13281164239065099</v>
      </c>
      <c r="F514">
        <v>0.13281164239065099</v>
      </c>
    </row>
    <row r="515" spans="1:6" x14ac:dyDescent="0.2">
      <c r="A515">
        <v>174</v>
      </c>
      <c r="B515" s="37" t="s">
        <v>664</v>
      </c>
      <c r="C515" s="1">
        <v>45343</v>
      </c>
      <c r="D515" s="37" t="s">
        <v>664</v>
      </c>
      <c r="E515">
        <v>0.140452162356905</v>
      </c>
      <c r="F515">
        <v>0.140452162356905</v>
      </c>
    </row>
    <row r="516" spans="1:6" x14ac:dyDescent="0.2">
      <c r="A516">
        <v>175</v>
      </c>
      <c r="B516" s="37" t="s">
        <v>249</v>
      </c>
      <c r="C516" s="1">
        <v>45387</v>
      </c>
      <c r="D516" s="37" t="s">
        <v>249</v>
      </c>
      <c r="E516">
        <v>0.260767979707413</v>
      </c>
      <c r="F516">
        <v>0.260767979707413</v>
      </c>
    </row>
    <row r="517" spans="1:6" x14ac:dyDescent="0.2">
      <c r="A517">
        <v>175</v>
      </c>
      <c r="B517" s="37" t="s">
        <v>250</v>
      </c>
      <c r="C517" s="1">
        <v>45553</v>
      </c>
      <c r="D517" s="37" t="s">
        <v>250</v>
      </c>
      <c r="E517">
        <v>0.36031211370799998</v>
      </c>
      <c r="F517">
        <v>0.36031211370799998</v>
      </c>
    </row>
    <row r="518" spans="1:6" x14ac:dyDescent="0.2">
      <c r="A518">
        <v>175</v>
      </c>
      <c r="B518" s="37" t="s">
        <v>251</v>
      </c>
      <c r="C518" s="1">
        <v>45395</v>
      </c>
      <c r="D518" s="37" t="s">
        <v>251</v>
      </c>
      <c r="E518">
        <v>0.208928659044926</v>
      </c>
      <c r="F518">
        <v>0.208928659044926</v>
      </c>
    </row>
    <row r="519" spans="1:6" x14ac:dyDescent="0.2">
      <c r="A519">
        <v>175</v>
      </c>
      <c r="B519" s="37" t="s">
        <v>252</v>
      </c>
      <c r="C519" s="1">
        <v>45498</v>
      </c>
      <c r="D519" s="37" t="s">
        <v>252</v>
      </c>
      <c r="E519">
        <v>0.33001003313053001</v>
      </c>
      <c r="F519">
        <v>0.33001003313053001</v>
      </c>
    </row>
    <row r="520" spans="1:6" x14ac:dyDescent="0.2">
      <c r="A520">
        <v>176</v>
      </c>
      <c r="B520" s="37" t="s">
        <v>665</v>
      </c>
      <c r="C520" s="1">
        <v>45640</v>
      </c>
      <c r="D520" s="37" t="s">
        <v>665</v>
      </c>
      <c r="E520">
        <v>8.6713728307067903E-2</v>
      </c>
      <c r="F520">
        <v>8.6713728307067903E-2</v>
      </c>
    </row>
    <row r="521" spans="1:6" x14ac:dyDescent="0.2">
      <c r="A521">
        <v>176</v>
      </c>
      <c r="B521" s="37" t="s">
        <v>666</v>
      </c>
      <c r="C521" s="1">
        <v>45430</v>
      </c>
      <c r="D521" s="37" t="s">
        <v>666</v>
      </c>
      <c r="E521">
        <v>0.135430783106433</v>
      </c>
      <c r="F521">
        <v>0.135430783106433</v>
      </c>
    </row>
    <row r="522" spans="1:6" x14ac:dyDescent="0.2">
      <c r="A522">
        <v>176</v>
      </c>
      <c r="B522" s="37" t="s">
        <v>253</v>
      </c>
      <c r="C522" s="1">
        <v>45360</v>
      </c>
      <c r="D522" s="37" t="s">
        <v>253</v>
      </c>
      <c r="E522">
        <v>0.29222605661915702</v>
      </c>
      <c r="F522">
        <v>0.29222605661915702</v>
      </c>
    </row>
    <row r="523" spans="1:6" x14ac:dyDescent="0.2">
      <c r="A523">
        <v>177</v>
      </c>
      <c r="B523" s="37" t="s">
        <v>1120</v>
      </c>
      <c r="C523" s="1">
        <v>45575</v>
      </c>
      <c r="D523" s="37" t="s">
        <v>1120</v>
      </c>
      <c r="E523">
        <v>6.1924507511342902E-2</v>
      </c>
      <c r="F523">
        <v>6.1924507511342902E-2</v>
      </c>
    </row>
    <row r="524" spans="1:6" x14ac:dyDescent="0.2">
      <c r="A524">
        <v>177</v>
      </c>
      <c r="B524" s="37" t="s">
        <v>1121</v>
      </c>
      <c r="C524" s="1">
        <v>45602</v>
      </c>
      <c r="D524" s="37" t="s">
        <v>1121</v>
      </c>
      <c r="E524">
        <v>0.56017569687120605</v>
      </c>
      <c r="F524">
        <v>0.56017569687120605</v>
      </c>
    </row>
    <row r="525" spans="1:6" x14ac:dyDescent="0.2">
      <c r="A525">
        <v>178</v>
      </c>
      <c r="B525" s="37" t="s">
        <v>667</v>
      </c>
      <c r="C525" s="1">
        <v>45460</v>
      </c>
      <c r="D525" s="37" t="s">
        <v>667</v>
      </c>
      <c r="E525">
        <v>0.17741828655053299</v>
      </c>
      <c r="F525">
        <v>0.17741828655053299</v>
      </c>
    </row>
    <row r="526" spans="1:6" x14ac:dyDescent="0.2">
      <c r="A526">
        <v>178</v>
      </c>
      <c r="B526" s="37" t="s">
        <v>254</v>
      </c>
      <c r="C526" s="1">
        <v>45594</v>
      </c>
      <c r="D526" s="37" t="s">
        <v>254</v>
      </c>
      <c r="E526">
        <v>0.27923426017684699</v>
      </c>
      <c r="F526">
        <v>0.27923426017684699</v>
      </c>
    </row>
    <row r="527" spans="1:6" x14ac:dyDescent="0.2">
      <c r="A527">
        <v>178</v>
      </c>
      <c r="B527" s="37" t="s">
        <v>255</v>
      </c>
      <c r="C527" s="1">
        <v>45653</v>
      </c>
      <c r="D527" s="37" t="s">
        <v>255</v>
      </c>
      <c r="E527">
        <v>0.30071855533682001</v>
      </c>
      <c r="F527">
        <v>0.30071855533682001</v>
      </c>
    </row>
    <row r="528" spans="1:6" x14ac:dyDescent="0.2">
      <c r="A528">
        <v>179</v>
      </c>
      <c r="B528" s="37" t="s">
        <v>1122</v>
      </c>
      <c r="C528" s="1">
        <v>45474</v>
      </c>
      <c r="D528" s="37" t="s">
        <v>1122</v>
      </c>
      <c r="E528">
        <v>0.212804779955205</v>
      </c>
      <c r="F528">
        <v>0.212804779955205</v>
      </c>
    </row>
    <row r="529" spans="1:6" x14ac:dyDescent="0.2">
      <c r="A529">
        <v>179</v>
      </c>
      <c r="B529" s="37" t="s">
        <v>256</v>
      </c>
      <c r="C529" s="1">
        <v>45438</v>
      </c>
      <c r="D529" s="37" t="s">
        <v>256</v>
      </c>
      <c r="E529">
        <v>0.40520496805306</v>
      </c>
      <c r="F529">
        <v>0.40520496805306</v>
      </c>
    </row>
    <row r="530" spans="1:6" x14ac:dyDescent="0.2">
      <c r="A530">
        <v>179</v>
      </c>
      <c r="B530" s="37" t="s">
        <v>668</v>
      </c>
      <c r="C530" s="1">
        <v>45511</v>
      </c>
      <c r="D530" s="37" t="s">
        <v>668</v>
      </c>
      <c r="E530">
        <v>0.19201662341266401</v>
      </c>
      <c r="F530">
        <v>0.19201662341266401</v>
      </c>
    </row>
    <row r="531" spans="1:6" x14ac:dyDescent="0.2">
      <c r="A531">
        <v>179</v>
      </c>
      <c r="B531" s="37" t="s">
        <v>669</v>
      </c>
      <c r="C531" s="1">
        <v>45379</v>
      </c>
      <c r="D531" s="37" t="s">
        <v>669</v>
      </c>
      <c r="E531">
        <v>0.20446015414417401</v>
      </c>
      <c r="F531">
        <v>0.20446015414417401</v>
      </c>
    </row>
    <row r="532" spans="1:6" x14ac:dyDescent="0.2">
      <c r="A532">
        <v>179</v>
      </c>
      <c r="B532" s="37" t="s">
        <v>670</v>
      </c>
      <c r="C532" s="1">
        <v>45517</v>
      </c>
      <c r="D532" s="37" t="s">
        <v>670</v>
      </c>
      <c r="E532">
        <v>0.14867650221989201</v>
      </c>
      <c r="F532">
        <v>0.14867650221989201</v>
      </c>
    </row>
    <row r="533" spans="1:6" x14ac:dyDescent="0.2">
      <c r="A533">
        <v>180</v>
      </c>
      <c r="B533" s="37" t="s">
        <v>257</v>
      </c>
      <c r="C533" s="1">
        <v>45514</v>
      </c>
      <c r="D533" s="37" t="s">
        <v>257</v>
      </c>
      <c r="E533">
        <v>0.12757545893501401</v>
      </c>
      <c r="F533">
        <v>0.12757545893501401</v>
      </c>
    </row>
    <row r="534" spans="1:6" x14ac:dyDescent="0.2">
      <c r="A534">
        <v>180</v>
      </c>
      <c r="B534" s="37" t="s">
        <v>258</v>
      </c>
      <c r="C534" s="1">
        <v>45366</v>
      </c>
      <c r="D534" s="37" t="s">
        <v>258</v>
      </c>
      <c r="E534">
        <v>0.122239674185213</v>
      </c>
      <c r="F534">
        <v>0.122239674185213</v>
      </c>
    </row>
    <row r="535" spans="1:6" x14ac:dyDescent="0.2">
      <c r="A535">
        <v>180</v>
      </c>
      <c r="B535" s="37" t="s">
        <v>671</v>
      </c>
      <c r="C535" s="1">
        <v>45640</v>
      </c>
      <c r="D535" s="37" t="s">
        <v>671</v>
      </c>
      <c r="E535">
        <v>0.101056847033139</v>
      </c>
      <c r="F535">
        <v>0.101056847033139</v>
      </c>
    </row>
    <row r="536" spans="1:6" x14ac:dyDescent="0.2">
      <c r="A536">
        <v>181</v>
      </c>
      <c r="B536" s="37" t="s">
        <v>259</v>
      </c>
      <c r="C536" s="1">
        <v>45374</v>
      </c>
      <c r="D536" s="37" t="s">
        <v>259</v>
      </c>
      <c r="E536">
        <v>0.22286497316647</v>
      </c>
      <c r="F536">
        <v>0.22286497316647</v>
      </c>
    </row>
    <row r="537" spans="1:6" x14ac:dyDescent="0.2">
      <c r="A537">
        <v>181</v>
      </c>
      <c r="B537" s="37" t="s">
        <v>260</v>
      </c>
      <c r="C537" s="1">
        <v>45458</v>
      </c>
      <c r="D537" s="37" t="s">
        <v>260</v>
      </c>
      <c r="E537">
        <v>0.11811334444980399</v>
      </c>
      <c r="F537">
        <v>0.11811334444980399</v>
      </c>
    </row>
    <row r="538" spans="1:6" x14ac:dyDescent="0.2">
      <c r="A538">
        <v>181</v>
      </c>
      <c r="B538" s="37" t="s">
        <v>261</v>
      </c>
      <c r="C538" s="1">
        <v>45413</v>
      </c>
      <c r="D538" s="37" t="s">
        <v>261</v>
      </c>
      <c r="E538">
        <v>0.13356223135301901</v>
      </c>
      <c r="F538">
        <v>0.13356223135301901</v>
      </c>
    </row>
    <row r="539" spans="1:6" x14ac:dyDescent="0.2">
      <c r="A539">
        <v>181</v>
      </c>
      <c r="B539" s="37" t="s">
        <v>262</v>
      </c>
      <c r="C539" s="1">
        <v>45586</v>
      </c>
      <c r="D539" s="37" t="s">
        <v>262</v>
      </c>
      <c r="E539">
        <v>0.11075603661637</v>
      </c>
      <c r="F539">
        <v>0.11075603661637</v>
      </c>
    </row>
    <row r="540" spans="1:6" x14ac:dyDescent="0.2">
      <c r="A540">
        <v>181</v>
      </c>
      <c r="B540" s="37" t="s">
        <v>263</v>
      </c>
      <c r="C540" s="1">
        <v>45387</v>
      </c>
      <c r="D540" s="37" t="s">
        <v>263</v>
      </c>
      <c r="E540">
        <v>0.20439651045577001</v>
      </c>
      <c r="F540">
        <v>0.20439651045577001</v>
      </c>
    </row>
    <row r="541" spans="1:6" x14ac:dyDescent="0.2">
      <c r="A541">
        <v>182</v>
      </c>
      <c r="B541" s="37" t="s">
        <v>1123</v>
      </c>
      <c r="C541" s="1">
        <v>45350</v>
      </c>
      <c r="D541" s="37" t="s">
        <v>1123</v>
      </c>
      <c r="E541">
        <v>0.218072378081585</v>
      </c>
      <c r="F541">
        <v>0.218072378081585</v>
      </c>
    </row>
    <row r="542" spans="1:6" x14ac:dyDescent="0.2">
      <c r="A542">
        <v>182</v>
      </c>
      <c r="B542" s="37" t="s">
        <v>1124</v>
      </c>
      <c r="C542" s="1">
        <v>45467</v>
      </c>
      <c r="D542" s="37" t="s">
        <v>1124</v>
      </c>
      <c r="E542">
        <v>3.2325996481411899E-2</v>
      </c>
      <c r="F542">
        <v>3.2325996481411899E-2</v>
      </c>
    </row>
    <row r="543" spans="1:6" x14ac:dyDescent="0.2">
      <c r="A543">
        <v>183</v>
      </c>
      <c r="B543" s="37" t="s">
        <v>1125</v>
      </c>
      <c r="C543" s="1">
        <v>45636</v>
      </c>
      <c r="D543" s="37" t="s">
        <v>1125</v>
      </c>
      <c r="E543">
        <v>0.369437783157684</v>
      </c>
      <c r="F543">
        <v>0.369437783157684</v>
      </c>
    </row>
    <row r="544" spans="1:6" x14ac:dyDescent="0.2">
      <c r="A544">
        <v>183</v>
      </c>
      <c r="B544" s="37" t="s">
        <v>264</v>
      </c>
      <c r="C544" s="1">
        <v>45431</v>
      </c>
      <c r="D544" s="37" t="s">
        <v>264</v>
      </c>
      <c r="E544">
        <v>0.17082801856704399</v>
      </c>
      <c r="F544">
        <v>0.17082801856704399</v>
      </c>
    </row>
    <row r="545" spans="1:6" x14ac:dyDescent="0.2">
      <c r="A545">
        <v>183</v>
      </c>
      <c r="B545" s="37" t="s">
        <v>265</v>
      </c>
      <c r="C545" s="1">
        <v>45375</v>
      </c>
      <c r="D545" s="37" t="s">
        <v>265</v>
      </c>
      <c r="E545">
        <v>0.405487033558801</v>
      </c>
      <c r="F545">
        <v>0.405487033558801</v>
      </c>
    </row>
    <row r="546" spans="1:6" x14ac:dyDescent="0.2">
      <c r="A546">
        <v>183</v>
      </c>
      <c r="B546" s="37" t="s">
        <v>266</v>
      </c>
      <c r="C546" s="1">
        <v>45639</v>
      </c>
      <c r="D546" s="37" t="s">
        <v>266</v>
      </c>
      <c r="E546">
        <v>0.14251191465391899</v>
      </c>
      <c r="F546">
        <v>0.14251191465391899</v>
      </c>
    </row>
    <row r="547" spans="1:6" x14ac:dyDescent="0.2">
      <c r="A547">
        <v>184</v>
      </c>
      <c r="B547" s="37" t="s">
        <v>1126</v>
      </c>
      <c r="C547" s="1">
        <v>45413</v>
      </c>
      <c r="D547" s="37" t="s">
        <v>1126</v>
      </c>
      <c r="E547">
        <v>7.1499228230494094E-2</v>
      </c>
      <c r="F547">
        <v>7.1499228230494094E-2</v>
      </c>
    </row>
    <row r="548" spans="1:6" x14ac:dyDescent="0.2">
      <c r="A548">
        <v>184</v>
      </c>
      <c r="B548" s="37" t="s">
        <v>672</v>
      </c>
      <c r="C548" s="1">
        <v>45542</v>
      </c>
      <c r="D548" s="37" t="s">
        <v>672</v>
      </c>
      <c r="E548">
        <v>0.15800736602107901</v>
      </c>
      <c r="F548">
        <v>0.15800736602107901</v>
      </c>
    </row>
    <row r="549" spans="1:6" x14ac:dyDescent="0.2">
      <c r="A549">
        <v>185</v>
      </c>
      <c r="B549" s="37" t="s">
        <v>673</v>
      </c>
      <c r="C549" s="1">
        <v>45574</v>
      </c>
      <c r="D549" s="37" t="s">
        <v>673</v>
      </c>
      <c r="E549">
        <v>3.3106084860909699E-2</v>
      </c>
      <c r="F549">
        <v>3.3106084860909699E-2</v>
      </c>
    </row>
    <row r="550" spans="1:6" x14ac:dyDescent="0.2">
      <c r="A550">
        <v>185</v>
      </c>
      <c r="B550" s="37" t="s">
        <v>674</v>
      </c>
      <c r="C550" s="1">
        <v>45622</v>
      </c>
      <c r="D550" s="37" t="s">
        <v>674</v>
      </c>
      <c r="E550">
        <v>0.21170376431320201</v>
      </c>
      <c r="F550">
        <v>0.21170376431320201</v>
      </c>
    </row>
    <row r="551" spans="1:6" x14ac:dyDescent="0.2">
      <c r="A551">
        <v>185</v>
      </c>
      <c r="B551" s="37" t="s">
        <v>675</v>
      </c>
      <c r="C551" s="1">
        <v>45650</v>
      </c>
      <c r="D551" s="37" t="s">
        <v>675</v>
      </c>
      <c r="E551">
        <v>0.50478968042621497</v>
      </c>
      <c r="F551">
        <v>0.50478968042621497</v>
      </c>
    </row>
    <row r="552" spans="1:6" x14ac:dyDescent="0.2">
      <c r="A552">
        <v>186</v>
      </c>
      <c r="B552" s="37" t="s">
        <v>267</v>
      </c>
      <c r="C552" s="1">
        <v>45415</v>
      </c>
      <c r="D552" s="37" t="s">
        <v>267</v>
      </c>
      <c r="E552">
        <v>7.7745285641040704E-2</v>
      </c>
      <c r="F552">
        <v>7.7745285641040704E-2</v>
      </c>
    </row>
    <row r="553" spans="1:6" x14ac:dyDescent="0.2">
      <c r="A553">
        <v>186</v>
      </c>
      <c r="B553" s="37" t="s">
        <v>268</v>
      </c>
      <c r="C553" s="1">
        <v>45514</v>
      </c>
      <c r="D553" s="37" t="s">
        <v>268</v>
      </c>
      <c r="E553">
        <v>0.37343048161258602</v>
      </c>
      <c r="F553">
        <v>0.37343048161258602</v>
      </c>
    </row>
    <row r="554" spans="1:6" x14ac:dyDescent="0.2">
      <c r="A554">
        <v>186</v>
      </c>
      <c r="B554" s="37" t="s">
        <v>269</v>
      </c>
      <c r="C554" s="1">
        <v>45452</v>
      </c>
      <c r="D554" s="37" t="s">
        <v>269</v>
      </c>
      <c r="E554">
        <v>0.33599612541525398</v>
      </c>
      <c r="F554">
        <v>0.33599612541525398</v>
      </c>
    </row>
    <row r="555" spans="1:6" x14ac:dyDescent="0.2">
      <c r="A555">
        <v>187</v>
      </c>
      <c r="B555" s="37" t="s">
        <v>1127</v>
      </c>
      <c r="C555" s="1">
        <v>45587</v>
      </c>
      <c r="D555" s="37" t="s">
        <v>1127</v>
      </c>
      <c r="E555">
        <v>4.2137521469858302E-2</v>
      </c>
      <c r="F555">
        <v>4.2137521469858302E-2</v>
      </c>
    </row>
    <row r="556" spans="1:6" x14ac:dyDescent="0.2">
      <c r="A556">
        <v>187</v>
      </c>
      <c r="B556" s="37" t="s">
        <v>676</v>
      </c>
      <c r="C556" s="1">
        <v>45564</v>
      </c>
      <c r="D556" s="37" t="s">
        <v>676</v>
      </c>
      <c r="E556">
        <v>6.9276790657530604E-2</v>
      </c>
      <c r="F556">
        <v>6.9276790657530604E-2</v>
      </c>
    </row>
    <row r="557" spans="1:6" x14ac:dyDescent="0.2">
      <c r="A557">
        <v>188</v>
      </c>
      <c r="B557" s="37" t="s">
        <v>270</v>
      </c>
      <c r="C557" s="1">
        <v>45408</v>
      </c>
      <c r="D557" s="37" t="s">
        <v>270</v>
      </c>
      <c r="E557">
        <v>0.20909752132769099</v>
      </c>
      <c r="F557">
        <v>0.20909752132769099</v>
      </c>
    </row>
    <row r="558" spans="1:6" x14ac:dyDescent="0.2">
      <c r="A558">
        <v>188</v>
      </c>
      <c r="B558" s="37" t="s">
        <v>271</v>
      </c>
      <c r="C558" s="1">
        <v>45409</v>
      </c>
      <c r="D558" s="37" t="s">
        <v>271</v>
      </c>
      <c r="E558">
        <v>0.10173621150935599</v>
      </c>
      <c r="F558">
        <v>0.10173621150935599</v>
      </c>
    </row>
    <row r="559" spans="1:6" x14ac:dyDescent="0.2">
      <c r="A559">
        <v>188</v>
      </c>
      <c r="B559" s="37" t="s">
        <v>272</v>
      </c>
      <c r="C559" s="1">
        <v>45387</v>
      </c>
      <c r="D559" s="37" t="s">
        <v>272</v>
      </c>
      <c r="E559">
        <v>7.22569105224352E-2</v>
      </c>
      <c r="F559">
        <v>7.22569105224352E-2</v>
      </c>
    </row>
    <row r="560" spans="1:6" x14ac:dyDescent="0.2">
      <c r="A560">
        <v>189</v>
      </c>
      <c r="B560" s="37" t="s">
        <v>1128</v>
      </c>
      <c r="C560" s="1">
        <v>45573</v>
      </c>
      <c r="D560" s="37" t="s">
        <v>1128</v>
      </c>
      <c r="E560">
        <v>0.26717829288029099</v>
      </c>
      <c r="F560">
        <v>0.26717829288029099</v>
      </c>
    </row>
    <row r="561" spans="1:6" x14ac:dyDescent="0.2">
      <c r="A561">
        <v>189</v>
      </c>
      <c r="B561" s="37" t="s">
        <v>1129</v>
      </c>
      <c r="C561" s="1">
        <v>45407</v>
      </c>
      <c r="D561" s="37" t="s">
        <v>1129</v>
      </c>
      <c r="E561">
        <v>0.174485525850855</v>
      </c>
      <c r="F561">
        <v>0.174485525850855</v>
      </c>
    </row>
    <row r="562" spans="1:6" x14ac:dyDescent="0.2">
      <c r="A562">
        <v>189</v>
      </c>
      <c r="B562" s="37" t="s">
        <v>1130</v>
      </c>
      <c r="C562" s="1">
        <v>45605</v>
      </c>
      <c r="D562" s="37" t="s">
        <v>1130</v>
      </c>
      <c r="E562">
        <v>0.176446286964482</v>
      </c>
      <c r="F562">
        <v>0.176446286964482</v>
      </c>
    </row>
    <row r="563" spans="1:6" x14ac:dyDescent="0.2">
      <c r="A563">
        <v>189</v>
      </c>
      <c r="B563" s="37" t="s">
        <v>1131</v>
      </c>
      <c r="C563" s="1">
        <v>45508</v>
      </c>
      <c r="D563" s="37" t="s">
        <v>1131</v>
      </c>
      <c r="E563">
        <v>0.14473802983565101</v>
      </c>
      <c r="F563">
        <v>0.14473802983565101</v>
      </c>
    </row>
    <row r="564" spans="1:6" x14ac:dyDescent="0.2">
      <c r="A564">
        <v>189</v>
      </c>
      <c r="B564" s="37" t="s">
        <v>1132</v>
      </c>
      <c r="C564" s="1">
        <v>45492</v>
      </c>
      <c r="D564" s="37" t="s">
        <v>1132</v>
      </c>
      <c r="E564">
        <v>0.21141091254797401</v>
      </c>
      <c r="F564">
        <v>0.21141091254797401</v>
      </c>
    </row>
    <row r="565" spans="1:6" x14ac:dyDescent="0.2">
      <c r="A565">
        <v>190</v>
      </c>
      <c r="B565" s="37" t="s">
        <v>1133</v>
      </c>
      <c r="C565" s="1">
        <v>45559</v>
      </c>
      <c r="D565" s="37" t="s">
        <v>1133</v>
      </c>
      <c r="E565">
        <v>6.1079002170163599E-2</v>
      </c>
      <c r="F565">
        <v>6.1079002170163599E-2</v>
      </c>
    </row>
    <row r="566" spans="1:6" x14ac:dyDescent="0.2">
      <c r="A566">
        <v>190</v>
      </c>
      <c r="B566" s="37" t="s">
        <v>273</v>
      </c>
      <c r="C566" s="1">
        <v>45324</v>
      </c>
      <c r="D566" s="37" t="s">
        <v>273</v>
      </c>
      <c r="E566">
        <v>7.2999869407483195E-2</v>
      </c>
      <c r="F566">
        <v>7.2999869407483195E-2</v>
      </c>
    </row>
    <row r="567" spans="1:6" x14ac:dyDescent="0.2">
      <c r="A567">
        <v>190</v>
      </c>
      <c r="B567" s="37" t="s">
        <v>274</v>
      </c>
      <c r="C567" s="1">
        <v>45322</v>
      </c>
      <c r="D567" s="37" t="s">
        <v>274</v>
      </c>
      <c r="E567">
        <v>0.177426367687258</v>
      </c>
      <c r="F567">
        <v>0.177426367687258</v>
      </c>
    </row>
    <row r="568" spans="1:6" x14ac:dyDescent="0.2">
      <c r="A568">
        <v>190</v>
      </c>
      <c r="B568" s="37" t="s">
        <v>1134</v>
      </c>
      <c r="C568" s="1">
        <v>45583</v>
      </c>
      <c r="D568" s="37" t="s">
        <v>1134</v>
      </c>
      <c r="E568">
        <v>0.176793672335192</v>
      </c>
      <c r="F568">
        <v>0.176793672335192</v>
      </c>
    </row>
    <row r="569" spans="1:6" x14ac:dyDescent="0.2">
      <c r="A569">
        <v>190</v>
      </c>
      <c r="B569" s="37" t="s">
        <v>677</v>
      </c>
      <c r="C569" s="1">
        <v>45434</v>
      </c>
      <c r="D569" s="37" t="s">
        <v>677</v>
      </c>
      <c r="E569">
        <v>0.166339735804102</v>
      </c>
      <c r="F569">
        <v>0.166339735804102</v>
      </c>
    </row>
    <row r="570" spans="1:6" x14ac:dyDescent="0.2">
      <c r="A570">
        <v>191</v>
      </c>
      <c r="B570" s="37" t="s">
        <v>275</v>
      </c>
      <c r="C570" s="1">
        <v>45593</v>
      </c>
      <c r="D570" s="37" t="s">
        <v>275</v>
      </c>
      <c r="E570">
        <v>6.6765906805846195E-2</v>
      </c>
      <c r="F570">
        <v>6.6765906805846195E-2</v>
      </c>
    </row>
    <row r="571" spans="1:6" x14ac:dyDescent="0.2">
      <c r="A571">
        <v>191</v>
      </c>
      <c r="B571" s="37" t="s">
        <v>276</v>
      </c>
      <c r="C571" s="1">
        <v>45414</v>
      </c>
      <c r="D571" s="37" t="s">
        <v>276</v>
      </c>
      <c r="E571">
        <v>0.24118138971745401</v>
      </c>
      <c r="F571">
        <v>0.24118138971745401</v>
      </c>
    </row>
    <row r="572" spans="1:6" x14ac:dyDescent="0.2">
      <c r="A572">
        <v>192</v>
      </c>
      <c r="B572" s="37" t="s">
        <v>1135</v>
      </c>
      <c r="C572" s="1">
        <v>45590</v>
      </c>
      <c r="D572" s="37" t="s">
        <v>1135</v>
      </c>
      <c r="E572">
        <v>8.60836202476183E-2</v>
      </c>
      <c r="F572">
        <v>8.60836202476183E-2</v>
      </c>
    </row>
    <row r="573" spans="1:6" x14ac:dyDescent="0.2">
      <c r="A573">
        <v>192</v>
      </c>
      <c r="B573" s="37" t="s">
        <v>277</v>
      </c>
      <c r="C573" s="1">
        <v>45371</v>
      </c>
      <c r="D573" s="37" t="s">
        <v>277</v>
      </c>
      <c r="E573">
        <v>0.18493123723218599</v>
      </c>
      <c r="F573">
        <v>0.18493123723218599</v>
      </c>
    </row>
    <row r="574" spans="1:6" x14ac:dyDescent="0.2">
      <c r="A574">
        <v>193</v>
      </c>
      <c r="B574" s="37" t="s">
        <v>1136</v>
      </c>
      <c r="C574" s="1">
        <v>45340</v>
      </c>
      <c r="D574" s="37" t="s">
        <v>1136</v>
      </c>
      <c r="E574">
        <v>0.19213405069546899</v>
      </c>
      <c r="F574">
        <v>0.19213405069546899</v>
      </c>
    </row>
    <row r="575" spans="1:6" x14ac:dyDescent="0.2">
      <c r="A575">
        <v>193</v>
      </c>
      <c r="B575" s="37" t="s">
        <v>1137</v>
      </c>
      <c r="C575" s="1">
        <v>45293</v>
      </c>
      <c r="D575" s="37" t="s">
        <v>1137</v>
      </c>
      <c r="E575">
        <v>0.119748074976776</v>
      </c>
      <c r="F575">
        <v>0.119748074976776</v>
      </c>
    </row>
    <row r="576" spans="1:6" x14ac:dyDescent="0.2">
      <c r="A576">
        <v>193</v>
      </c>
      <c r="B576" s="37" t="s">
        <v>678</v>
      </c>
      <c r="C576" s="1">
        <v>45544</v>
      </c>
      <c r="D576" s="37" t="s">
        <v>678</v>
      </c>
      <c r="E576">
        <v>0.28298894645356698</v>
      </c>
      <c r="F576">
        <v>0.28298894645356698</v>
      </c>
    </row>
    <row r="577" spans="1:6" x14ac:dyDescent="0.2">
      <c r="A577">
        <v>193</v>
      </c>
      <c r="B577" s="37" t="s">
        <v>679</v>
      </c>
      <c r="C577" s="1">
        <v>45651</v>
      </c>
      <c r="D577" s="37" t="s">
        <v>679</v>
      </c>
      <c r="E577">
        <v>0.32287641693089802</v>
      </c>
      <c r="F577">
        <v>0.32287641693089802</v>
      </c>
    </row>
    <row r="578" spans="1:6" x14ac:dyDescent="0.2">
      <c r="A578">
        <v>193</v>
      </c>
      <c r="B578" s="37" t="s">
        <v>278</v>
      </c>
      <c r="C578" s="1">
        <v>45320</v>
      </c>
      <c r="D578" s="37" t="s">
        <v>278</v>
      </c>
      <c r="E578">
        <v>0.28095897131228997</v>
      </c>
      <c r="F578">
        <v>0.28095897131228997</v>
      </c>
    </row>
    <row r="579" spans="1:6" x14ac:dyDescent="0.2">
      <c r="A579">
        <v>193</v>
      </c>
      <c r="B579" s="37" t="s">
        <v>279</v>
      </c>
      <c r="C579" s="1">
        <v>45506</v>
      </c>
      <c r="D579" s="37" t="s">
        <v>279</v>
      </c>
      <c r="E579">
        <v>0.213873393374757</v>
      </c>
      <c r="F579">
        <v>0.213873393374757</v>
      </c>
    </row>
    <row r="580" spans="1:6" x14ac:dyDescent="0.2">
      <c r="A580">
        <v>193</v>
      </c>
      <c r="B580" s="37" t="s">
        <v>1138</v>
      </c>
      <c r="C580" s="1">
        <v>45456</v>
      </c>
      <c r="D580" s="37" t="s">
        <v>1138</v>
      </c>
      <c r="E580">
        <v>8.7138581474274904E-2</v>
      </c>
      <c r="F580">
        <v>8.7138581474274904E-2</v>
      </c>
    </row>
    <row r="581" spans="1:6" x14ac:dyDescent="0.2">
      <c r="A581">
        <v>194</v>
      </c>
      <c r="B581" s="37" t="s">
        <v>1139</v>
      </c>
      <c r="C581" s="1">
        <v>45535</v>
      </c>
      <c r="D581" s="37" t="s">
        <v>1139</v>
      </c>
      <c r="E581">
        <v>0.30300578994454302</v>
      </c>
      <c r="F581">
        <v>0.30300578994454302</v>
      </c>
    </row>
    <row r="582" spans="1:6" x14ac:dyDescent="0.2">
      <c r="A582">
        <v>194</v>
      </c>
      <c r="B582" s="37" t="s">
        <v>1140</v>
      </c>
      <c r="C582" s="1">
        <v>45318</v>
      </c>
      <c r="D582" s="37" t="s">
        <v>1140</v>
      </c>
      <c r="E582">
        <v>0.16187758497476401</v>
      </c>
      <c r="F582">
        <v>0.16187758497476401</v>
      </c>
    </row>
    <row r="583" spans="1:6" x14ac:dyDescent="0.2">
      <c r="A583">
        <v>194</v>
      </c>
      <c r="B583" s="37" t="s">
        <v>280</v>
      </c>
      <c r="C583" s="1">
        <v>45332</v>
      </c>
      <c r="D583" s="37" t="s">
        <v>280</v>
      </c>
      <c r="E583">
        <v>9.0426988616110496E-2</v>
      </c>
      <c r="F583">
        <v>9.0426988616110496E-2</v>
      </c>
    </row>
    <row r="584" spans="1:6" x14ac:dyDescent="0.2">
      <c r="A584">
        <v>195</v>
      </c>
      <c r="B584" s="37" t="s">
        <v>281</v>
      </c>
      <c r="C584" s="1">
        <v>45613</v>
      </c>
      <c r="D584" s="37" t="s">
        <v>281</v>
      </c>
      <c r="E584">
        <v>0.24251515704725399</v>
      </c>
      <c r="F584">
        <v>0.24251515704725399</v>
      </c>
    </row>
    <row r="585" spans="1:6" x14ac:dyDescent="0.2">
      <c r="A585">
        <v>195</v>
      </c>
      <c r="B585" s="37" t="s">
        <v>680</v>
      </c>
      <c r="C585" s="1">
        <v>45335</v>
      </c>
      <c r="D585" s="37" t="s">
        <v>680</v>
      </c>
      <c r="E585">
        <v>0.66396068292662902</v>
      </c>
      <c r="F585">
        <v>0.66396068292662902</v>
      </c>
    </row>
    <row r="586" spans="1:6" x14ac:dyDescent="0.2">
      <c r="A586">
        <v>195</v>
      </c>
      <c r="B586" s="37" t="s">
        <v>681</v>
      </c>
      <c r="C586" s="1">
        <v>45394</v>
      </c>
      <c r="D586" s="37" t="s">
        <v>681</v>
      </c>
      <c r="E586">
        <v>0.43271941376627399</v>
      </c>
      <c r="F586">
        <v>0.43271941376627399</v>
      </c>
    </row>
    <row r="587" spans="1:6" x14ac:dyDescent="0.2">
      <c r="A587">
        <v>195</v>
      </c>
      <c r="B587" s="37" t="s">
        <v>1141</v>
      </c>
      <c r="C587" s="1">
        <v>45309</v>
      </c>
      <c r="D587" s="37" t="s">
        <v>1141</v>
      </c>
      <c r="E587">
        <v>0.104000767561803</v>
      </c>
      <c r="F587">
        <v>0.104000767561803</v>
      </c>
    </row>
    <row r="588" spans="1:6" x14ac:dyDescent="0.2">
      <c r="A588">
        <v>195</v>
      </c>
      <c r="B588" s="37" t="s">
        <v>1142</v>
      </c>
      <c r="C588" s="1">
        <v>45621</v>
      </c>
      <c r="D588" s="37" t="s">
        <v>1142</v>
      </c>
      <c r="E588">
        <v>0.36454066122699602</v>
      </c>
      <c r="F588">
        <v>0.36454066122699602</v>
      </c>
    </row>
    <row r="589" spans="1:6" x14ac:dyDescent="0.2">
      <c r="A589">
        <v>195</v>
      </c>
      <c r="B589" s="37" t="s">
        <v>1143</v>
      </c>
      <c r="C589" s="1">
        <v>45598</v>
      </c>
      <c r="D589" s="37" t="s">
        <v>1143</v>
      </c>
      <c r="E589">
        <v>0.317866573171394</v>
      </c>
      <c r="F589">
        <v>0.317866573171394</v>
      </c>
    </row>
    <row r="590" spans="1:6" x14ac:dyDescent="0.2">
      <c r="A590">
        <v>196</v>
      </c>
      <c r="B590" s="37" t="s">
        <v>1144</v>
      </c>
      <c r="C590" s="1">
        <v>45474</v>
      </c>
      <c r="D590" s="37" t="s">
        <v>1144</v>
      </c>
      <c r="E590">
        <v>0.185167618780997</v>
      </c>
      <c r="F590">
        <v>0.185167618780997</v>
      </c>
    </row>
    <row r="591" spans="1:6" x14ac:dyDescent="0.2">
      <c r="A591">
        <v>196</v>
      </c>
      <c r="B591" s="37" t="s">
        <v>282</v>
      </c>
      <c r="C591" s="1">
        <v>45409</v>
      </c>
      <c r="D591" s="37" t="s">
        <v>282</v>
      </c>
      <c r="E591">
        <v>0.12703633627067801</v>
      </c>
      <c r="F591">
        <v>0.12703633627067801</v>
      </c>
    </row>
    <row r="592" spans="1:6" x14ac:dyDescent="0.2">
      <c r="A592">
        <v>196</v>
      </c>
      <c r="B592" s="37" t="s">
        <v>283</v>
      </c>
      <c r="C592" s="1">
        <v>45578</v>
      </c>
      <c r="D592" s="37" t="s">
        <v>283</v>
      </c>
      <c r="E592">
        <v>0.31657456830294001</v>
      </c>
      <c r="F592">
        <v>0.31657456830294001</v>
      </c>
    </row>
    <row r="593" spans="1:6" x14ac:dyDescent="0.2">
      <c r="A593">
        <v>197</v>
      </c>
      <c r="B593" s="37" t="s">
        <v>1145</v>
      </c>
      <c r="C593" s="1">
        <v>45481</v>
      </c>
      <c r="D593" s="37" t="s">
        <v>1145</v>
      </c>
      <c r="E593">
        <v>4.05636233791433E-2</v>
      </c>
      <c r="F593">
        <v>4.05636233791433E-2</v>
      </c>
    </row>
    <row r="594" spans="1:6" x14ac:dyDescent="0.2">
      <c r="A594">
        <v>197</v>
      </c>
      <c r="B594" s="37" t="s">
        <v>284</v>
      </c>
      <c r="C594" s="1">
        <v>45441</v>
      </c>
      <c r="D594" s="37" t="s">
        <v>284</v>
      </c>
      <c r="E594">
        <v>0.40819842613416302</v>
      </c>
      <c r="F594">
        <v>0.40819842613416302</v>
      </c>
    </row>
    <row r="595" spans="1:6" x14ac:dyDescent="0.2">
      <c r="A595">
        <v>198</v>
      </c>
      <c r="B595" s="37" t="s">
        <v>285</v>
      </c>
      <c r="C595" s="1">
        <v>45547</v>
      </c>
      <c r="D595" s="37" t="s">
        <v>285</v>
      </c>
      <c r="E595">
        <v>0.27804369071796597</v>
      </c>
      <c r="F595">
        <v>0.27804369071796597</v>
      </c>
    </row>
    <row r="596" spans="1:6" x14ac:dyDescent="0.2">
      <c r="A596">
        <v>198</v>
      </c>
      <c r="B596" s="37" t="s">
        <v>682</v>
      </c>
      <c r="C596" s="1">
        <v>45409</v>
      </c>
      <c r="D596" s="37" t="s">
        <v>682</v>
      </c>
      <c r="E596">
        <v>0.125527268280205</v>
      </c>
      <c r="F596">
        <v>0.125527268280205</v>
      </c>
    </row>
    <row r="597" spans="1:6" x14ac:dyDescent="0.2">
      <c r="A597">
        <v>198</v>
      </c>
      <c r="B597" s="37" t="s">
        <v>286</v>
      </c>
      <c r="C597" s="1">
        <v>45624</v>
      </c>
      <c r="D597" s="37" t="s">
        <v>286</v>
      </c>
      <c r="E597">
        <v>0.27684636414021402</v>
      </c>
      <c r="F597">
        <v>0.27684636414021402</v>
      </c>
    </row>
    <row r="598" spans="1:6" x14ac:dyDescent="0.2">
      <c r="A598">
        <v>198</v>
      </c>
      <c r="B598" s="37" t="s">
        <v>287</v>
      </c>
      <c r="C598" s="1">
        <v>45423</v>
      </c>
      <c r="D598" s="37" t="s">
        <v>287</v>
      </c>
      <c r="E598">
        <v>9.4098370060146402E-2</v>
      </c>
      <c r="F598">
        <v>9.4098370060146402E-2</v>
      </c>
    </row>
    <row r="599" spans="1:6" x14ac:dyDescent="0.2">
      <c r="A599">
        <v>199</v>
      </c>
      <c r="B599" s="37" t="s">
        <v>1146</v>
      </c>
      <c r="C599" s="1">
        <v>45307</v>
      </c>
      <c r="D599" s="37" t="s">
        <v>1146</v>
      </c>
      <c r="E599">
        <v>0.26880647234051203</v>
      </c>
      <c r="F599">
        <v>0.26880647234051203</v>
      </c>
    </row>
    <row r="600" spans="1:6" x14ac:dyDescent="0.2">
      <c r="A600">
        <v>200</v>
      </c>
      <c r="B600" s="37" t="s">
        <v>1147</v>
      </c>
      <c r="C600" s="1">
        <v>45536</v>
      </c>
      <c r="D600" s="37" t="s">
        <v>1147</v>
      </c>
      <c r="E600">
        <v>0.146319460705988</v>
      </c>
      <c r="F600">
        <v>0.146319460705988</v>
      </c>
    </row>
    <row r="601" spans="1:6" x14ac:dyDescent="0.2">
      <c r="A601">
        <v>200</v>
      </c>
      <c r="B601" s="37" t="s">
        <v>1148</v>
      </c>
      <c r="C601" s="1">
        <v>45534</v>
      </c>
      <c r="D601" s="37" t="s">
        <v>1148</v>
      </c>
      <c r="E601">
        <v>6.7300250512169701E-2</v>
      </c>
      <c r="F601">
        <v>6.7300250512169701E-2</v>
      </c>
    </row>
    <row r="602" spans="1:6" x14ac:dyDescent="0.2">
      <c r="A602">
        <v>200</v>
      </c>
      <c r="B602" s="37" t="s">
        <v>1149</v>
      </c>
      <c r="C602" s="1">
        <v>45367</v>
      </c>
      <c r="D602" s="37" t="s">
        <v>1149</v>
      </c>
      <c r="E602">
        <v>0.201937479615241</v>
      </c>
      <c r="F602">
        <v>0.201937479615241</v>
      </c>
    </row>
    <row r="603" spans="1:6" x14ac:dyDescent="0.2">
      <c r="A603">
        <v>201</v>
      </c>
      <c r="B603" s="37" t="s">
        <v>1150</v>
      </c>
      <c r="C603" s="1">
        <v>45349</v>
      </c>
      <c r="D603" s="37" t="s">
        <v>1150</v>
      </c>
      <c r="E603">
        <v>0.16715709415598701</v>
      </c>
      <c r="F603">
        <v>0.16715709415598701</v>
      </c>
    </row>
    <row r="604" spans="1:6" x14ac:dyDescent="0.2">
      <c r="A604">
        <v>201</v>
      </c>
      <c r="B604" s="37" t="s">
        <v>1151</v>
      </c>
      <c r="C604" s="1">
        <v>45650</v>
      </c>
      <c r="D604" s="37" t="s">
        <v>1151</v>
      </c>
      <c r="E604">
        <v>0.27762432548909</v>
      </c>
      <c r="F604">
        <v>0.27762432548909</v>
      </c>
    </row>
    <row r="605" spans="1:6" x14ac:dyDescent="0.2">
      <c r="A605">
        <v>202</v>
      </c>
      <c r="B605" s="37" t="s">
        <v>288</v>
      </c>
      <c r="C605" s="1">
        <v>45581</v>
      </c>
      <c r="D605" s="37" t="s">
        <v>288</v>
      </c>
      <c r="E605">
        <v>3.58840100109497E-2</v>
      </c>
      <c r="F605">
        <v>3.58840100109497E-2</v>
      </c>
    </row>
    <row r="606" spans="1:6" x14ac:dyDescent="0.2">
      <c r="A606">
        <v>202</v>
      </c>
      <c r="B606" s="37" t="s">
        <v>1152</v>
      </c>
      <c r="C606" s="1">
        <v>45408</v>
      </c>
      <c r="D606" s="37" t="s">
        <v>1152</v>
      </c>
      <c r="E606">
        <v>6.2912173637547003E-2</v>
      </c>
      <c r="F606">
        <v>6.2912173637547003E-2</v>
      </c>
    </row>
    <row r="607" spans="1:6" x14ac:dyDescent="0.2">
      <c r="A607">
        <v>202</v>
      </c>
      <c r="B607" s="37" t="s">
        <v>1153</v>
      </c>
      <c r="C607" s="1">
        <v>45367</v>
      </c>
      <c r="D607" s="37" t="s">
        <v>1153</v>
      </c>
      <c r="E607">
        <v>0.21832867989027099</v>
      </c>
      <c r="F607">
        <v>0.21832867989027099</v>
      </c>
    </row>
    <row r="608" spans="1:6" x14ac:dyDescent="0.2">
      <c r="A608">
        <v>202</v>
      </c>
      <c r="B608" s="37" t="s">
        <v>1154</v>
      </c>
      <c r="C608" s="1">
        <v>45624</v>
      </c>
      <c r="D608" s="37" t="s">
        <v>1154</v>
      </c>
      <c r="E608">
        <v>9.2405387581680307E-2</v>
      </c>
      <c r="F608">
        <v>9.2405387581680307E-2</v>
      </c>
    </row>
    <row r="609" spans="1:6" x14ac:dyDescent="0.2">
      <c r="A609">
        <v>202</v>
      </c>
      <c r="B609" s="37" t="s">
        <v>1155</v>
      </c>
      <c r="C609" s="1">
        <v>45319</v>
      </c>
      <c r="D609" s="37" t="s">
        <v>1155</v>
      </c>
      <c r="E609">
        <v>0.35549083528966702</v>
      </c>
      <c r="F609">
        <v>0.35549083528966702</v>
      </c>
    </row>
    <row r="610" spans="1:6" x14ac:dyDescent="0.2">
      <c r="A610">
        <v>202</v>
      </c>
      <c r="B610" s="37" t="s">
        <v>683</v>
      </c>
      <c r="C610" s="1">
        <v>45469</v>
      </c>
      <c r="D610" s="37" t="s">
        <v>683</v>
      </c>
      <c r="E610">
        <v>0.185239969153564</v>
      </c>
      <c r="F610">
        <v>0.185239969153564</v>
      </c>
    </row>
    <row r="611" spans="1:6" x14ac:dyDescent="0.2">
      <c r="A611">
        <v>203</v>
      </c>
      <c r="B611" s="37" t="s">
        <v>289</v>
      </c>
      <c r="C611" s="1">
        <v>45365</v>
      </c>
      <c r="D611" s="37" t="s">
        <v>289</v>
      </c>
      <c r="E611">
        <v>0.44942175780266802</v>
      </c>
      <c r="F611">
        <v>0.44942175780266802</v>
      </c>
    </row>
    <row r="612" spans="1:6" x14ac:dyDescent="0.2">
      <c r="A612">
        <v>203</v>
      </c>
      <c r="B612" s="37" t="s">
        <v>1156</v>
      </c>
      <c r="C612" s="1">
        <v>45619</v>
      </c>
      <c r="D612" s="37" t="s">
        <v>1156</v>
      </c>
      <c r="E612">
        <v>4.5455103433331701E-2</v>
      </c>
      <c r="F612">
        <v>4.5455103433331701E-2</v>
      </c>
    </row>
    <row r="613" spans="1:6" x14ac:dyDescent="0.2">
      <c r="A613">
        <v>203</v>
      </c>
      <c r="B613" s="37" t="s">
        <v>684</v>
      </c>
      <c r="C613" s="1">
        <v>45337</v>
      </c>
      <c r="D613" s="37" t="s">
        <v>684</v>
      </c>
      <c r="E613">
        <v>0.31380430793483699</v>
      </c>
      <c r="F613">
        <v>0.31380430793483699</v>
      </c>
    </row>
    <row r="614" spans="1:6" x14ac:dyDescent="0.2">
      <c r="A614">
        <v>204</v>
      </c>
      <c r="B614" s="37" t="s">
        <v>1157</v>
      </c>
      <c r="C614" s="1">
        <v>45427</v>
      </c>
      <c r="D614" s="37" t="s">
        <v>1157</v>
      </c>
      <c r="E614">
        <v>4.7204722961109002E-2</v>
      </c>
      <c r="F614">
        <v>4.7204722961109002E-2</v>
      </c>
    </row>
    <row r="615" spans="1:6" x14ac:dyDescent="0.2">
      <c r="A615">
        <v>204</v>
      </c>
      <c r="B615" s="37" t="s">
        <v>1158</v>
      </c>
      <c r="C615" s="1">
        <v>45389</v>
      </c>
      <c r="D615" s="37" t="s">
        <v>1158</v>
      </c>
      <c r="E615">
        <v>0.63170735929396005</v>
      </c>
      <c r="F615">
        <v>0.63170735929396005</v>
      </c>
    </row>
    <row r="616" spans="1:6" x14ac:dyDescent="0.2">
      <c r="A616">
        <v>204</v>
      </c>
      <c r="B616" s="37" t="s">
        <v>1159</v>
      </c>
      <c r="C616" s="1">
        <v>45509</v>
      </c>
      <c r="D616" s="37" t="s">
        <v>1159</v>
      </c>
      <c r="E616">
        <v>4.32983597444212E-2</v>
      </c>
      <c r="F616">
        <v>4.32983597444212E-2</v>
      </c>
    </row>
    <row r="617" spans="1:6" x14ac:dyDescent="0.2">
      <c r="A617">
        <v>205</v>
      </c>
      <c r="B617" s="37" t="s">
        <v>1160</v>
      </c>
      <c r="C617" s="1">
        <v>45570</v>
      </c>
      <c r="D617" s="37" t="s">
        <v>1160</v>
      </c>
      <c r="E617">
        <v>0.10463033637553899</v>
      </c>
      <c r="F617">
        <v>0.10463033637553899</v>
      </c>
    </row>
    <row r="618" spans="1:6" x14ac:dyDescent="0.2">
      <c r="A618">
        <v>205</v>
      </c>
      <c r="B618" s="37" t="s">
        <v>1161</v>
      </c>
      <c r="C618" s="1">
        <v>45446</v>
      </c>
      <c r="D618" s="37" t="s">
        <v>1161</v>
      </c>
      <c r="E618">
        <v>0.19075917360441599</v>
      </c>
      <c r="F618">
        <v>0.19075917360441599</v>
      </c>
    </row>
    <row r="619" spans="1:6" x14ac:dyDescent="0.2">
      <c r="A619">
        <v>206</v>
      </c>
      <c r="B619" s="37" t="s">
        <v>1162</v>
      </c>
      <c r="C619" s="1">
        <v>45457</v>
      </c>
      <c r="D619" s="37" t="s">
        <v>1162</v>
      </c>
      <c r="E619">
        <v>0.55641596416911798</v>
      </c>
      <c r="F619">
        <v>0.55641596416911798</v>
      </c>
    </row>
    <row r="620" spans="1:6" x14ac:dyDescent="0.2">
      <c r="A620">
        <v>206</v>
      </c>
      <c r="B620" s="37" t="s">
        <v>1163</v>
      </c>
      <c r="C620" s="1">
        <v>45631</v>
      </c>
      <c r="D620" s="37" t="s">
        <v>1163</v>
      </c>
      <c r="E620">
        <v>1.43386886123879E-2</v>
      </c>
      <c r="F620">
        <v>1.43386886123879E-2</v>
      </c>
    </row>
    <row r="621" spans="1:6" x14ac:dyDescent="0.2">
      <c r="A621">
        <v>206</v>
      </c>
      <c r="B621" s="37" t="s">
        <v>685</v>
      </c>
      <c r="C621" s="1">
        <v>45351</v>
      </c>
      <c r="D621" s="37" t="s">
        <v>685</v>
      </c>
      <c r="E621">
        <v>0.17677332183410899</v>
      </c>
      <c r="F621">
        <v>0.17677332183410899</v>
      </c>
    </row>
    <row r="622" spans="1:6" x14ac:dyDescent="0.2">
      <c r="A622">
        <v>206</v>
      </c>
      <c r="B622" s="37" t="s">
        <v>686</v>
      </c>
      <c r="C622" s="1">
        <v>45308</v>
      </c>
      <c r="D622" s="37" t="s">
        <v>686</v>
      </c>
      <c r="E622">
        <v>0.107569981778065</v>
      </c>
      <c r="F622">
        <v>0.107569981778065</v>
      </c>
    </row>
    <row r="623" spans="1:6" x14ac:dyDescent="0.2">
      <c r="A623">
        <v>206</v>
      </c>
      <c r="B623" s="37" t="s">
        <v>687</v>
      </c>
      <c r="C623" s="1">
        <v>45483</v>
      </c>
      <c r="D623" s="37" t="s">
        <v>687</v>
      </c>
      <c r="E623">
        <v>0.11095380143552</v>
      </c>
      <c r="F623">
        <v>0.11095380143552</v>
      </c>
    </row>
    <row r="624" spans="1:6" x14ac:dyDescent="0.2">
      <c r="A624">
        <v>207</v>
      </c>
      <c r="B624" s="37" t="s">
        <v>1164</v>
      </c>
      <c r="C624" s="1">
        <v>45445</v>
      </c>
      <c r="D624" s="37" t="s">
        <v>1164</v>
      </c>
      <c r="E624">
        <v>4.6978061725755298E-2</v>
      </c>
      <c r="F624">
        <v>4.6978061725755298E-2</v>
      </c>
    </row>
    <row r="625" spans="1:6" x14ac:dyDescent="0.2">
      <c r="A625">
        <v>207</v>
      </c>
      <c r="B625" s="37" t="s">
        <v>290</v>
      </c>
      <c r="C625" s="1">
        <v>45372</v>
      </c>
      <c r="D625" s="37" t="s">
        <v>290</v>
      </c>
      <c r="E625">
        <v>5.4029660730251901E-2</v>
      </c>
      <c r="F625">
        <v>5.4029660730251901E-2</v>
      </c>
    </row>
    <row r="626" spans="1:6" x14ac:dyDescent="0.2">
      <c r="A626">
        <v>208</v>
      </c>
      <c r="B626" s="37" t="s">
        <v>1165</v>
      </c>
      <c r="C626" s="1">
        <v>45616</v>
      </c>
      <c r="D626" s="37" t="s">
        <v>1165</v>
      </c>
      <c r="E626">
        <v>0.207816120478134</v>
      </c>
      <c r="F626">
        <v>0.207816120478134</v>
      </c>
    </row>
    <row r="627" spans="1:6" x14ac:dyDescent="0.2">
      <c r="A627">
        <v>208</v>
      </c>
      <c r="B627" s="37" t="s">
        <v>1166</v>
      </c>
      <c r="C627" s="1">
        <v>45404</v>
      </c>
      <c r="D627" s="37" t="s">
        <v>1166</v>
      </c>
      <c r="E627">
        <v>0.28040080140240098</v>
      </c>
      <c r="F627">
        <v>0.28040080140240098</v>
      </c>
    </row>
    <row r="628" spans="1:6" x14ac:dyDescent="0.2">
      <c r="A628">
        <v>209</v>
      </c>
      <c r="B628" s="37" t="s">
        <v>291</v>
      </c>
      <c r="C628" s="1">
        <v>45568</v>
      </c>
      <c r="D628" s="37" t="s">
        <v>291</v>
      </c>
      <c r="E628">
        <v>0.143603114797308</v>
      </c>
      <c r="F628">
        <v>0.143603114797308</v>
      </c>
    </row>
    <row r="629" spans="1:6" x14ac:dyDescent="0.2">
      <c r="A629">
        <v>210</v>
      </c>
      <c r="B629" s="37" t="s">
        <v>1167</v>
      </c>
      <c r="C629" s="1">
        <v>45532</v>
      </c>
      <c r="D629" s="37" t="s">
        <v>1167</v>
      </c>
      <c r="E629">
        <v>0.120338776243236</v>
      </c>
      <c r="F629">
        <v>0.120338776243236</v>
      </c>
    </row>
    <row r="630" spans="1:6" x14ac:dyDescent="0.2">
      <c r="A630">
        <v>211</v>
      </c>
      <c r="B630" s="37" t="s">
        <v>1168</v>
      </c>
      <c r="C630" s="1">
        <v>45383</v>
      </c>
      <c r="D630" s="37" t="s">
        <v>1168</v>
      </c>
      <c r="E630">
        <v>0.43161776248361999</v>
      </c>
      <c r="F630">
        <v>0.43161776248361999</v>
      </c>
    </row>
    <row r="631" spans="1:6" x14ac:dyDescent="0.2">
      <c r="A631">
        <v>211</v>
      </c>
      <c r="B631" s="37" t="s">
        <v>1169</v>
      </c>
      <c r="C631" s="1">
        <v>45564</v>
      </c>
      <c r="D631" s="37" t="s">
        <v>1169</v>
      </c>
      <c r="E631">
        <v>0.189914414649067</v>
      </c>
      <c r="F631">
        <v>0.189914414649067</v>
      </c>
    </row>
    <row r="632" spans="1:6" x14ac:dyDescent="0.2">
      <c r="A632">
        <v>211</v>
      </c>
      <c r="B632" s="37" t="s">
        <v>1170</v>
      </c>
      <c r="C632" s="1">
        <v>45626</v>
      </c>
      <c r="D632" s="37" t="s">
        <v>1170</v>
      </c>
      <c r="E632">
        <v>0.122731339733475</v>
      </c>
      <c r="F632">
        <v>0.122731339733475</v>
      </c>
    </row>
    <row r="633" spans="1:6" x14ac:dyDescent="0.2">
      <c r="A633">
        <v>212</v>
      </c>
      <c r="B633" s="37" t="s">
        <v>1171</v>
      </c>
      <c r="C633" s="1">
        <v>45537</v>
      </c>
      <c r="D633" s="37" t="s">
        <v>1171</v>
      </c>
      <c r="E633">
        <v>5.8897387707082298E-2</v>
      </c>
      <c r="F633">
        <v>5.8897387707082298E-2</v>
      </c>
    </row>
    <row r="634" spans="1:6" x14ac:dyDescent="0.2">
      <c r="A634">
        <v>212</v>
      </c>
      <c r="B634" s="37" t="s">
        <v>292</v>
      </c>
      <c r="C634" s="1">
        <v>45409</v>
      </c>
      <c r="D634" s="37" t="s">
        <v>292</v>
      </c>
      <c r="E634">
        <v>0.30244114218423801</v>
      </c>
      <c r="F634">
        <v>0.30244114218423801</v>
      </c>
    </row>
    <row r="635" spans="1:6" x14ac:dyDescent="0.2">
      <c r="A635">
        <v>213</v>
      </c>
      <c r="B635" s="37" t="s">
        <v>293</v>
      </c>
      <c r="C635" s="1">
        <v>45563</v>
      </c>
      <c r="D635" s="37" t="s">
        <v>293</v>
      </c>
      <c r="E635">
        <v>0.194662118079232</v>
      </c>
      <c r="F635">
        <v>0.194662118079232</v>
      </c>
    </row>
    <row r="636" spans="1:6" x14ac:dyDescent="0.2">
      <c r="A636">
        <v>213</v>
      </c>
      <c r="B636" s="37" t="s">
        <v>294</v>
      </c>
      <c r="C636" s="1">
        <v>45399</v>
      </c>
      <c r="D636" s="37" t="s">
        <v>294</v>
      </c>
      <c r="E636">
        <v>2.2806501472954498E-2</v>
      </c>
      <c r="F636">
        <v>2.2806501472954498E-2</v>
      </c>
    </row>
    <row r="637" spans="1:6" x14ac:dyDescent="0.2">
      <c r="A637">
        <v>214</v>
      </c>
      <c r="B637" s="37" t="s">
        <v>1172</v>
      </c>
      <c r="C637" s="1">
        <v>45369</v>
      </c>
      <c r="D637" s="37" t="s">
        <v>1172</v>
      </c>
      <c r="E637">
        <v>0.17254882455836601</v>
      </c>
      <c r="F637">
        <v>0.17254882455836601</v>
      </c>
    </row>
    <row r="638" spans="1:6" x14ac:dyDescent="0.2">
      <c r="A638">
        <v>214</v>
      </c>
      <c r="B638" s="37" t="s">
        <v>688</v>
      </c>
      <c r="C638" s="1">
        <v>45393</v>
      </c>
      <c r="D638" s="37" t="s">
        <v>688</v>
      </c>
      <c r="E638">
        <v>0.47397616659637998</v>
      </c>
      <c r="F638">
        <v>0.47397616659637998</v>
      </c>
    </row>
    <row r="639" spans="1:6" x14ac:dyDescent="0.2">
      <c r="A639">
        <v>214</v>
      </c>
      <c r="B639" s="37" t="s">
        <v>295</v>
      </c>
      <c r="C639" s="1">
        <v>45540</v>
      </c>
      <c r="D639" s="37" t="s">
        <v>295</v>
      </c>
      <c r="E639">
        <v>0.174436750548706</v>
      </c>
      <c r="F639">
        <v>0.174436750548706</v>
      </c>
    </row>
    <row r="640" spans="1:6" x14ac:dyDescent="0.2">
      <c r="A640">
        <v>214</v>
      </c>
      <c r="B640" s="37" t="s">
        <v>296</v>
      </c>
      <c r="C640" s="1">
        <v>45441</v>
      </c>
      <c r="D640" s="37" t="s">
        <v>296</v>
      </c>
      <c r="E640">
        <v>8.0393335498388799E-2</v>
      </c>
      <c r="F640">
        <v>8.0393335498388799E-2</v>
      </c>
    </row>
    <row r="641" spans="1:6" x14ac:dyDescent="0.2">
      <c r="A641">
        <v>216</v>
      </c>
      <c r="B641" s="37" t="s">
        <v>1173</v>
      </c>
      <c r="C641" s="1">
        <v>45527</v>
      </c>
      <c r="D641" s="37" t="s">
        <v>1173</v>
      </c>
      <c r="E641">
        <v>0.13062783459083199</v>
      </c>
      <c r="F641">
        <v>0.13062783459083199</v>
      </c>
    </row>
    <row r="642" spans="1:6" x14ac:dyDescent="0.2">
      <c r="A642">
        <v>216</v>
      </c>
      <c r="B642" s="37" t="s">
        <v>1174</v>
      </c>
      <c r="C642" s="1">
        <v>45327</v>
      </c>
      <c r="D642" s="37" t="s">
        <v>1174</v>
      </c>
      <c r="E642">
        <v>0.145793095885004</v>
      </c>
      <c r="F642">
        <v>0.145793095885004</v>
      </c>
    </row>
    <row r="643" spans="1:6" x14ac:dyDescent="0.2">
      <c r="A643">
        <v>216</v>
      </c>
      <c r="B643" s="37" t="s">
        <v>1175</v>
      </c>
      <c r="C643" s="1">
        <v>45559</v>
      </c>
      <c r="D643" s="37" t="s">
        <v>1175</v>
      </c>
      <c r="E643">
        <v>0.296808696307723</v>
      </c>
      <c r="F643">
        <v>0.296808696307723</v>
      </c>
    </row>
    <row r="644" spans="1:6" x14ac:dyDescent="0.2">
      <c r="A644">
        <v>216</v>
      </c>
      <c r="B644" s="37" t="s">
        <v>297</v>
      </c>
      <c r="C644" s="1">
        <v>45404</v>
      </c>
      <c r="D644" s="37" t="s">
        <v>297</v>
      </c>
      <c r="E644">
        <v>0.312621216298822</v>
      </c>
      <c r="F644">
        <v>0.312621216298822</v>
      </c>
    </row>
    <row r="645" spans="1:6" x14ac:dyDescent="0.2">
      <c r="A645">
        <v>217</v>
      </c>
      <c r="B645" s="37" t="s">
        <v>1176</v>
      </c>
      <c r="C645" s="1">
        <v>45384</v>
      </c>
      <c r="D645" s="37" t="s">
        <v>1176</v>
      </c>
      <c r="E645">
        <v>6.1633401820854403E-2</v>
      </c>
      <c r="F645">
        <v>6.1633401820854403E-2</v>
      </c>
    </row>
    <row r="646" spans="1:6" x14ac:dyDescent="0.2">
      <c r="A646">
        <v>217</v>
      </c>
      <c r="B646" s="37" t="s">
        <v>1177</v>
      </c>
      <c r="C646" s="1">
        <v>45622</v>
      </c>
      <c r="D646" s="37" t="s">
        <v>1177</v>
      </c>
      <c r="E646">
        <v>7.2780827559729699E-2</v>
      </c>
      <c r="F646">
        <v>7.2780827559729699E-2</v>
      </c>
    </row>
    <row r="647" spans="1:6" x14ac:dyDescent="0.2">
      <c r="A647">
        <v>218</v>
      </c>
      <c r="B647" s="37" t="s">
        <v>298</v>
      </c>
      <c r="C647" s="1">
        <v>45416</v>
      </c>
      <c r="D647" s="37" t="s">
        <v>298</v>
      </c>
      <c r="E647">
        <v>0.47682087928962402</v>
      </c>
      <c r="F647">
        <v>0.47682087928962402</v>
      </c>
    </row>
    <row r="648" spans="1:6" x14ac:dyDescent="0.2">
      <c r="A648">
        <v>218</v>
      </c>
      <c r="B648" s="37" t="s">
        <v>689</v>
      </c>
      <c r="C648" s="1">
        <v>45345</v>
      </c>
      <c r="D648" s="37" t="s">
        <v>689</v>
      </c>
      <c r="E648">
        <v>0.259458804763194</v>
      </c>
      <c r="F648">
        <v>0.259458804763194</v>
      </c>
    </row>
    <row r="649" spans="1:6" x14ac:dyDescent="0.2">
      <c r="A649">
        <v>219</v>
      </c>
      <c r="B649" s="37" t="s">
        <v>299</v>
      </c>
      <c r="C649" s="1">
        <v>45585</v>
      </c>
      <c r="D649" s="37" t="s">
        <v>299</v>
      </c>
      <c r="E649">
        <v>0.132213329382705</v>
      </c>
      <c r="F649">
        <v>0.132213329382705</v>
      </c>
    </row>
    <row r="650" spans="1:6" x14ac:dyDescent="0.2">
      <c r="A650">
        <v>219</v>
      </c>
      <c r="B650" s="37" t="s">
        <v>300</v>
      </c>
      <c r="C650" s="1">
        <v>45370</v>
      </c>
      <c r="D650" s="37" t="s">
        <v>300</v>
      </c>
      <c r="E650">
        <v>0.145916491058454</v>
      </c>
      <c r="F650">
        <v>0.145916491058454</v>
      </c>
    </row>
    <row r="651" spans="1:6" x14ac:dyDescent="0.2">
      <c r="A651">
        <v>219</v>
      </c>
      <c r="B651" s="37" t="s">
        <v>301</v>
      </c>
      <c r="C651" s="1">
        <v>45537</v>
      </c>
      <c r="D651" s="37" t="s">
        <v>301</v>
      </c>
      <c r="E651">
        <v>0.431428292099862</v>
      </c>
      <c r="F651">
        <v>0.431428292099862</v>
      </c>
    </row>
    <row r="652" spans="1:6" x14ac:dyDescent="0.2">
      <c r="A652">
        <v>219</v>
      </c>
      <c r="B652" s="37" t="s">
        <v>302</v>
      </c>
      <c r="C652" s="1">
        <v>45535</v>
      </c>
      <c r="D652" s="37" t="s">
        <v>302</v>
      </c>
      <c r="E652">
        <v>9.4636202945113698E-2</v>
      </c>
      <c r="F652">
        <v>9.4636202945113698E-2</v>
      </c>
    </row>
    <row r="653" spans="1:6" x14ac:dyDescent="0.2">
      <c r="A653">
        <v>219</v>
      </c>
      <c r="B653" s="37" t="s">
        <v>303</v>
      </c>
      <c r="C653" s="1">
        <v>45304</v>
      </c>
      <c r="D653" s="37" t="s">
        <v>303</v>
      </c>
      <c r="E653">
        <v>0.48121623688628001</v>
      </c>
      <c r="F653">
        <v>0.48121623688628001</v>
      </c>
    </row>
    <row r="654" spans="1:6" x14ac:dyDescent="0.2">
      <c r="A654">
        <v>220</v>
      </c>
      <c r="B654" s="37" t="s">
        <v>304</v>
      </c>
      <c r="C654" s="1">
        <v>45393</v>
      </c>
      <c r="D654" s="37" t="s">
        <v>304</v>
      </c>
      <c r="E654">
        <v>4.6146274249014498E-2</v>
      </c>
      <c r="F654">
        <v>4.6146274249014498E-2</v>
      </c>
    </row>
    <row r="655" spans="1:6" x14ac:dyDescent="0.2">
      <c r="A655">
        <v>220</v>
      </c>
      <c r="B655" s="37" t="s">
        <v>305</v>
      </c>
      <c r="C655" s="1">
        <v>45479</v>
      </c>
      <c r="D655" s="37" t="s">
        <v>305</v>
      </c>
      <c r="E655">
        <v>6.2459505127009998E-2</v>
      </c>
      <c r="F655">
        <v>6.2459505127009998E-2</v>
      </c>
    </row>
    <row r="656" spans="1:6" x14ac:dyDescent="0.2">
      <c r="A656">
        <v>220</v>
      </c>
      <c r="B656" s="37" t="s">
        <v>690</v>
      </c>
      <c r="C656" s="1">
        <v>45462</v>
      </c>
      <c r="D656" s="37" t="s">
        <v>690</v>
      </c>
      <c r="E656">
        <v>4.77125114997905E-2</v>
      </c>
      <c r="F656">
        <v>4.77125114997905E-2</v>
      </c>
    </row>
    <row r="657" spans="1:6" x14ac:dyDescent="0.2">
      <c r="A657">
        <v>220</v>
      </c>
      <c r="B657" s="37" t="s">
        <v>691</v>
      </c>
      <c r="C657" s="1">
        <v>45406</v>
      </c>
      <c r="D657" s="37" t="s">
        <v>691</v>
      </c>
      <c r="E657">
        <v>8.6545769340279605E-2</v>
      </c>
      <c r="F657">
        <v>8.6545769340279605E-2</v>
      </c>
    </row>
    <row r="658" spans="1:6" x14ac:dyDescent="0.2">
      <c r="A658">
        <v>220</v>
      </c>
      <c r="B658" s="37" t="s">
        <v>692</v>
      </c>
      <c r="C658" s="1">
        <v>45401</v>
      </c>
      <c r="D658" s="37" t="s">
        <v>692</v>
      </c>
      <c r="E658">
        <v>0.17082600458526001</v>
      </c>
      <c r="F658">
        <v>0.17082600458526001</v>
      </c>
    </row>
    <row r="659" spans="1:6" x14ac:dyDescent="0.2">
      <c r="A659">
        <v>220</v>
      </c>
      <c r="B659" s="37" t="s">
        <v>693</v>
      </c>
      <c r="C659" s="1">
        <v>45475</v>
      </c>
      <c r="D659" s="37" t="s">
        <v>693</v>
      </c>
      <c r="E659">
        <v>0.16917191320490799</v>
      </c>
      <c r="F659">
        <v>0.16917191320490799</v>
      </c>
    </row>
    <row r="660" spans="1:6" x14ac:dyDescent="0.2">
      <c r="A660">
        <v>221</v>
      </c>
      <c r="B660" s="37" t="s">
        <v>694</v>
      </c>
      <c r="C660" s="1">
        <v>45469</v>
      </c>
      <c r="D660" s="37" t="s">
        <v>694</v>
      </c>
      <c r="E660">
        <v>0.168974512544667</v>
      </c>
      <c r="F660">
        <v>0.168974512544667</v>
      </c>
    </row>
    <row r="661" spans="1:6" x14ac:dyDescent="0.2">
      <c r="A661">
        <v>221</v>
      </c>
      <c r="B661" s="37" t="s">
        <v>695</v>
      </c>
      <c r="C661" s="1">
        <v>45330</v>
      </c>
      <c r="D661" s="37" t="s">
        <v>695</v>
      </c>
      <c r="E661">
        <v>0.19099849015635101</v>
      </c>
      <c r="F661">
        <v>0.19099849015635101</v>
      </c>
    </row>
    <row r="662" spans="1:6" x14ac:dyDescent="0.2">
      <c r="A662">
        <v>222</v>
      </c>
      <c r="B662" s="37" t="s">
        <v>1178</v>
      </c>
      <c r="C662" s="1">
        <v>45445</v>
      </c>
      <c r="D662" s="37" t="s">
        <v>1178</v>
      </c>
      <c r="E662">
        <v>0.28995257461581098</v>
      </c>
      <c r="F662">
        <v>0.28995257461581098</v>
      </c>
    </row>
    <row r="663" spans="1:6" x14ac:dyDescent="0.2">
      <c r="A663">
        <v>222</v>
      </c>
      <c r="B663" s="37" t="s">
        <v>306</v>
      </c>
      <c r="C663" s="1">
        <v>45599</v>
      </c>
      <c r="D663" s="37" t="s">
        <v>306</v>
      </c>
      <c r="E663">
        <v>0.17468868372570301</v>
      </c>
      <c r="F663">
        <v>0.17468868372570301</v>
      </c>
    </row>
    <row r="664" spans="1:6" x14ac:dyDescent="0.2">
      <c r="A664">
        <v>222</v>
      </c>
      <c r="B664" s="37" t="s">
        <v>307</v>
      </c>
      <c r="C664" s="1">
        <v>45370</v>
      </c>
      <c r="D664" s="37" t="s">
        <v>307</v>
      </c>
      <c r="E664">
        <v>9.0388632852864498E-2</v>
      </c>
      <c r="F664">
        <v>9.0388632852864498E-2</v>
      </c>
    </row>
    <row r="665" spans="1:6" x14ac:dyDescent="0.2">
      <c r="A665">
        <v>222</v>
      </c>
      <c r="B665" s="37" t="s">
        <v>308</v>
      </c>
      <c r="C665" s="1">
        <v>45639</v>
      </c>
      <c r="D665" s="37" t="s">
        <v>308</v>
      </c>
      <c r="E665">
        <v>0.200375542448683</v>
      </c>
      <c r="F665">
        <v>0.200375542448683</v>
      </c>
    </row>
    <row r="666" spans="1:6" x14ac:dyDescent="0.2">
      <c r="A666">
        <v>222</v>
      </c>
      <c r="B666" s="37" t="s">
        <v>309</v>
      </c>
      <c r="C666" s="1">
        <v>45467</v>
      </c>
      <c r="D666" s="37" t="s">
        <v>309</v>
      </c>
      <c r="E666">
        <v>0.121643788565271</v>
      </c>
      <c r="F666">
        <v>0.121643788565271</v>
      </c>
    </row>
    <row r="667" spans="1:6" x14ac:dyDescent="0.2">
      <c r="A667">
        <v>222</v>
      </c>
      <c r="B667" s="37" t="s">
        <v>310</v>
      </c>
      <c r="C667" s="1">
        <v>45561</v>
      </c>
      <c r="D667" s="37" t="s">
        <v>310</v>
      </c>
      <c r="E667">
        <v>0.17722977561797201</v>
      </c>
      <c r="F667">
        <v>0.17722977561797201</v>
      </c>
    </row>
    <row r="668" spans="1:6" x14ac:dyDescent="0.2">
      <c r="A668">
        <v>223</v>
      </c>
      <c r="B668" s="37" t="s">
        <v>1179</v>
      </c>
      <c r="C668" s="1">
        <v>45477</v>
      </c>
      <c r="D668" s="37" t="s">
        <v>1179</v>
      </c>
      <c r="E668">
        <v>0.14552087785742601</v>
      </c>
      <c r="F668">
        <v>0.14552087785742601</v>
      </c>
    </row>
    <row r="669" spans="1:6" x14ac:dyDescent="0.2">
      <c r="A669">
        <v>223</v>
      </c>
      <c r="B669" s="37" t="s">
        <v>1180</v>
      </c>
      <c r="C669" s="1">
        <v>45494</v>
      </c>
      <c r="D669" s="37" t="s">
        <v>1180</v>
      </c>
      <c r="E669">
        <v>0.108428989577476</v>
      </c>
      <c r="F669">
        <v>0.108428989577476</v>
      </c>
    </row>
    <row r="670" spans="1:6" x14ac:dyDescent="0.2">
      <c r="A670">
        <v>223</v>
      </c>
      <c r="B670" s="37" t="s">
        <v>696</v>
      </c>
      <c r="C670" s="1">
        <v>45292</v>
      </c>
      <c r="D670" s="37" t="s">
        <v>696</v>
      </c>
      <c r="E670">
        <v>0.140615401548114</v>
      </c>
      <c r="F670">
        <v>0.140615401548114</v>
      </c>
    </row>
    <row r="671" spans="1:6" x14ac:dyDescent="0.2">
      <c r="A671">
        <v>223</v>
      </c>
      <c r="B671" s="37" t="s">
        <v>311</v>
      </c>
      <c r="C671" s="1">
        <v>45345</v>
      </c>
      <c r="D671" s="37" t="s">
        <v>311</v>
      </c>
      <c r="E671">
        <v>0.2076453864526</v>
      </c>
      <c r="F671">
        <v>0.2076453864526</v>
      </c>
    </row>
    <row r="672" spans="1:6" x14ac:dyDescent="0.2">
      <c r="A672">
        <v>224</v>
      </c>
      <c r="B672" s="37" t="s">
        <v>1181</v>
      </c>
      <c r="C672" s="1">
        <v>45371</v>
      </c>
      <c r="D672" s="37" t="s">
        <v>1181</v>
      </c>
      <c r="E672">
        <v>0.43225333993934201</v>
      </c>
      <c r="F672">
        <v>0.43225333993934201</v>
      </c>
    </row>
    <row r="673" spans="1:6" x14ac:dyDescent="0.2">
      <c r="A673">
        <v>224</v>
      </c>
      <c r="B673" s="37" t="s">
        <v>1182</v>
      </c>
      <c r="C673" s="1">
        <v>45315</v>
      </c>
      <c r="D673" s="37" t="s">
        <v>1182</v>
      </c>
      <c r="E673">
        <v>7.1393066665251997E-2</v>
      </c>
      <c r="F673">
        <v>7.1393066665251997E-2</v>
      </c>
    </row>
    <row r="674" spans="1:6" x14ac:dyDescent="0.2">
      <c r="A674">
        <v>224</v>
      </c>
      <c r="B674" s="37" t="s">
        <v>1183</v>
      </c>
      <c r="C674" s="1">
        <v>45403</v>
      </c>
      <c r="D674" s="37" t="s">
        <v>1183</v>
      </c>
      <c r="E674">
        <v>0.27554734640152201</v>
      </c>
      <c r="F674">
        <v>0.27554734640152201</v>
      </c>
    </row>
    <row r="675" spans="1:6" x14ac:dyDescent="0.2">
      <c r="A675">
        <v>224</v>
      </c>
      <c r="B675" s="37" t="s">
        <v>1184</v>
      </c>
      <c r="C675" s="1">
        <v>45463</v>
      </c>
      <c r="D675" s="37" t="s">
        <v>1184</v>
      </c>
      <c r="E675">
        <v>2.8398912696797202E-2</v>
      </c>
      <c r="F675">
        <v>2.8398912696797202E-2</v>
      </c>
    </row>
    <row r="676" spans="1:6" x14ac:dyDescent="0.2">
      <c r="A676">
        <v>225</v>
      </c>
      <c r="B676" s="37" t="s">
        <v>1185</v>
      </c>
      <c r="C676" s="1">
        <v>45462</v>
      </c>
      <c r="D676" s="37" t="s">
        <v>1185</v>
      </c>
      <c r="E676">
        <v>0.158980710451326</v>
      </c>
      <c r="F676">
        <v>0.158980710451326</v>
      </c>
    </row>
    <row r="677" spans="1:6" x14ac:dyDescent="0.2">
      <c r="A677">
        <v>226</v>
      </c>
      <c r="B677" s="37" t="s">
        <v>312</v>
      </c>
      <c r="C677" s="1">
        <v>45449</v>
      </c>
      <c r="D677" s="37" t="s">
        <v>312</v>
      </c>
      <c r="E677">
        <v>0.40170125111189903</v>
      </c>
      <c r="F677">
        <v>0.40170125111189903</v>
      </c>
    </row>
    <row r="678" spans="1:6" x14ac:dyDescent="0.2">
      <c r="A678">
        <v>226</v>
      </c>
      <c r="B678" s="37" t="s">
        <v>313</v>
      </c>
      <c r="C678" s="1">
        <v>45347</v>
      </c>
      <c r="D678" s="37" t="s">
        <v>313</v>
      </c>
      <c r="E678">
        <v>0.103258215286962</v>
      </c>
      <c r="F678">
        <v>0.103258215286962</v>
      </c>
    </row>
    <row r="679" spans="1:6" x14ac:dyDescent="0.2">
      <c r="A679">
        <v>227</v>
      </c>
      <c r="B679" s="37" t="s">
        <v>1186</v>
      </c>
      <c r="C679" s="1">
        <v>45367</v>
      </c>
      <c r="D679" s="37" t="s">
        <v>1186</v>
      </c>
      <c r="E679">
        <v>0.36575240115882002</v>
      </c>
      <c r="F679">
        <v>0.36575240115882002</v>
      </c>
    </row>
    <row r="680" spans="1:6" x14ac:dyDescent="0.2">
      <c r="A680">
        <v>227</v>
      </c>
      <c r="B680" s="37" t="s">
        <v>1187</v>
      </c>
      <c r="C680" s="1">
        <v>45437</v>
      </c>
      <c r="D680" s="37" t="s">
        <v>1187</v>
      </c>
      <c r="E680">
        <v>0.370269997608347</v>
      </c>
      <c r="F680">
        <v>0.370269997608347</v>
      </c>
    </row>
    <row r="681" spans="1:6" x14ac:dyDescent="0.2">
      <c r="A681">
        <v>227</v>
      </c>
      <c r="B681" s="37" t="s">
        <v>697</v>
      </c>
      <c r="C681" s="1">
        <v>45425</v>
      </c>
      <c r="D681" s="37" t="s">
        <v>697</v>
      </c>
      <c r="E681">
        <v>4.2652229445199502E-2</v>
      </c>
      <c r="F681">
        <v>4.2652229445199502E-2</v>
      </c>
    </row>
    <row r="682" spans="1:6" x14ac:dyDescent="0.2">
      <c r="A682">
        <v>228</v>
      </c>
      <c r="B682" s="37" t="s">
        <v>1188</v>
      </c>
      <c r="C682" s="1">
        <v>45641</v>
      </c>
      <c r="D682" s="37" t="s">
        <v>1188</v>
      </c>
      <c r="E682">
        <v>0.135058072686907</v>
      </c>
      <c r="F682">
        <v>0.135058072686907</v>
      </c>
    </row>
    <row r="683" spans="1:6" x14ac:dyDescent="0.2">
      <c r="A683">
        <v>228</v>
      </c>
      <c r="B683" s="37" t="s">
        <v>1189</v>
      </c>
      <c r="C683" s="1">
        <v>45320</v>
      </c>
      <c r="D683" s="37" t="s">
        <v>1189</v>
      </c>
      <c r="E683">
        <v>0.45759539652638898</v>
      </c>
      <c r="F683">
        <v>0.45759539652638898</v>
      </c>
    </row>
    <row r="684" spans="1:6" x14ac:dyDescent="0.2">
      <c r="A684">
        <v>228</v>
      </c>
      <c r="B684" s="37" t="s">
        <v>1190</v>
      </c>
      <c r="C684" s="1">
        <v>45297</v>
      </c>
      <c r="D684" s="37" t="s">
        <v>1190</v>
      </c>
      <c r="E684">
        <v>9.1611782829453606E-2</v>
      </c>
      <c r="F684">
        <v>9.1611782829453606E-2</v>
      </c>
    </row>
    <row r="685" spans="1:6" x14ac:dyDescent="0.2">
      <c r="A685">
        <v>229</v>
      </c>
      <c r="B685" s="37" t="s">
        <v>314</v>
      </c>
      <c r="C685" s="1">
        <v>45327</v>
      </c>
      <c r="D685" s="37" t="s">
        <v>314</v>
      </c>
      <c r="E685">
        <v>0.26210917297248698</v>
      </c>
      <c r="F685">
        <v>0.26210917297248698</v>
      </c>
    </row>
    <row r="686" spans="1:6" x14ac:dyDescent="0.2">
      <c r="A686">
        <v>229</v>
      </c>
      <c r="B686" s="37" t="s">
        <v>315</v>
      </c>
      <c r="C686" s="1">
        <v>45460</v>
      </c>
      <c r="D686" s="37" t="s">
        <v>315</v>
      </c>
      <c r="E686">
        <v>0.25280326249962398</v>
      </c>
      <c r="F686">
        <v>0.25280326249962398</v>
      </c>
    </row>
    <row r="687" spans="1:6" x14ac:dyDescent="0.2">
      <c r="A687">
        <v>229</v>
      </c>
      <c r="B687" s="37" t="s">
        <v>316</v>
      </c>
      <c r="C687" s="1">
        <v>45366</v>
      </c>
      <c r="D687" s="37" t="s">
        <v>316</v>
      </c>
      <c r="E687">
        <v>0.25769756166383601</v>
      </c>
      <c r="F687">
        <v>0.25769756166383601</v>
      </c>
    </row>
    <row r="688" spans="1:6" x14ac:dyDescent="0.2">
      <c r="A688">
        <v>229</v>
      </c>
      <c r="B688" s="37" t="s">
        <v>317</v>
      </c>
      <c r="C688" s="1">
        <v>45603</v>
      </c>
      <c r="D688" s="37" t="s">
        <v>317</v>
      </c>
      <c r="E688">
        <v>0.149082507707121</v>
      </c>
      <c r="F688">
        <v>0.149082507707121</v>
      </c>
    </row>
    <row r="689" spans="1:6" x14ac:dyDescent="0.2">
      <c r="A689">
        <v>230</v>
      </c>
      <c r="B689" s="37" t="s">
        <v>1191</v>
      </c>
      <c r="C689" s="1">
        <v>45576</v>
      </c>
      <c r="D689" s="37" t="s">
        <v>1191</v>
      </c>
      <c r="E689">
        <v>0.153159220223649</v>
      </c>
      <c r="F689">
        <v>0.153159220223649</v>
      </c>
    </row>
    <row r="690" spans="1:6" x14ac:dyDescent="0.2">
      <c r="A690">
        <v>230</v>
      </c>
      <c r="B690" s="37" t="s">
        <v>318</v>
      </c>
      <c r="C690" s="1">
        <v>45418</v>
      </c>
      <c r="D690" s="37" t="s">
        <v>318</v>
      </c>
      <c r="E690">
        <v>8.6413996746851199E-2</v>
      </c>
      <c r="F690">
        <v>8.6413996746851199E-2</v>
      </c>
    </row>
    <row r="691" spans="1:6" x14ac:dyDescent="0.2">
      <c r="A691">
        <v>230</v>
      </c>
      <c r="B691" s="37" t="s">
        <v>319</v>
      </c>
      <c r="C691" s="1">
        <v>45471</v>
      </c>
      <c r="D691" s="37" t="s">
        <v>319</v>
      </c>
      <c r="E691">
        <v>2.7352882116967198E-2</v>
      </c>
      <c r="F691">
        <v>2.7352882116967198E-2</v>
      </c>
    </row>
    <row r="692" spans="1:6" x14ac:dyDescent="0.2">
      <c r="A692">
        <v>230</v>
      </c>
      <c r="B692" s="37" t="s">
        <v>320</v>
      </c>
      <c r="C692" s="1">
        <v>45419</v>
      </c>
      <c r="D692" s="37" t="s">
        <v>320</v>
      </c>
      <c r="E692">
        <v>5.2343998585024303E-2</v>
      </c>
      <c r="F692">
        <v>5.2343998585024303E-2</v>
      </c>
    </row>
    <row r="693" spans="1:6" x14ac:dyDescent="0.2">
      <c r="A693">
        <v>230</v>
      </c>
      <c r="B693" s="37" t="s">
        <v>321</v>
      </c>
      <c r="C693" s="1">
        <v>45504</v>
      </c>
      <c r="D693" s="37" t="s">
        <v>321</v>
      </c>
      <c r="E693">
        <v>0.30777379848163999</v>
      </c>
      <c r="F693">
        <v>0.30777379848163999</v>
      </c>
    </row>
    <row r="694" spans="1:6" x14ac:dyDescent="0.2">
      <c r="A694">
        <v>231</v>
      </c>
      <c r="B694" s="37" t="s">
        <v>1192</v>
      </c>
      <c r="C694" s="1">
        <v>45469</v>
      </c>
      <c r="D694" s="37" t="s">
        <v>1192</v>
      </c>
      <c r="E694">
        <v>0.362551210004327</v>
      </c>
      <c r="F694">
        <v>0.362551210004327</v>
      </c>
    </row>
    <row r="695" spans="1:6" x14ac:dyDescent="0.2">
      <c r="A695">
        <v>231</v>
      </c>
      <c r="B695" s="37" t="s">
        <v>322</v>
      </c>
      <c r="C695" s="1">
        <v>45323</v>
      </c>
      <c r="D695" s="37" t="s">
        <v>322</v>
      </c>
      <c r="E695">
        <v>0.32629080657590198</v>
      </c>
      <c r="F695">
        <v>0.32629080657590198</v>
      </c>
    </row>
    <row r="696" spans="1:6" x14ac:dyDescent="0.2">
      <c r="A696">
        <v>231</v>
      </c>
      <c r="B696" s="37" t="s">
        <v>323</v>
      </c>
      <c r="C696" s="1">
        <v>45501</v>
      </c>
      <c r="D696" s="37" t="s">
        <v>323</v>
      </c>
      <c r="E696">
        <v>0.42251083860002298</v>
      </c>
      <c r="F696">
        <v>0.42251083860002298</v>
      </c>
    </row>
    <row r="697" spans="1:6" x14ac:dyDescent="0.2">
      <c r="A697">
        <v>232</v>
      </c>
      <c r="B697" s="37" t="s">
        <v>1193</v>
      </c>
      <c r="C697" s="1">
        <v>45375</v>
      </c>
      <c r="D697" s="37" t="s">
        <v>1193</v>
      </c>
      <c r="E697">
        <v>0.22570462149204101</v>
      </c>
      <c r="F697">
        <v>0.22570462149204101</v>
      </c>
    </row>
    <row r="698" spans="1:6" x14ac:dyDescent="0.2">
      <c r="A698">
        <v>232</v>
      </c>
      <c r="B698" s="37" t="s">
        <v>1194</v>
      </c>
      <c r="C698" s="1">
        <v>45610</v>
      </c>
      <c r="D698" s="37" t="s">
        <v>1194</v>
      </c>
      <c r="E698">
        <v>0.307688938286863</v>
      </c>
      <c r="F698">
        <v>0.307688938286863</v>
      </c>
    </row>
    <row r="699" spans="1:6" x14ac:dyDescent="0.2">
      <c r="A699">
        <v>232</v>
      </c>
      <c r="B699" s="37" t="s">
        <v>698</v>
      </c>
      <c r="C699" s="1">
        <v>45578</v>
      </c>
      <c r="D699" s="37" t="s">
        <v>698</v>
      </c>
      <c r="E699">
        <v>0.59124913629422804</v>
      </c>
      <c r="F699">
        <v>0.59124913629422804</v>
      </c>
    </row>
    <row r="700" spans="1:6" x14ac:dyDescent="0.2">
      <c r="A700">
        <v>233</v>
      </c>
      <c r="B700" s="37" t="s">
        <v>1195</v>
      </c>
      <c r="C700" s="1">
        <v>45441</v>
      </c>
      <c r="D700" s="37" t="s">
        <v>1195</v>
      </c>
      <c r="E700">
        <v>0.240914529362345</v>
      </c>
      <c r="F700">
        <v>0.240914529362345</v>
      </c>
    </row>
    <row r="701" spans="1:6" x14ac:dyDescent="0.2">
      <c r="A701">
        <v>233</v>
      </c>
      <c r="B701" s="37" t="s">
        <v>1196</v>
      </c>
      <c r="C701" s="1">
        <v>45648</v>
      </c>
      <c r="D701" s="37" t="s">
        <v>1196</v>
      </c>
      <c r="E701">
        <v>0.14338758301542801</v>
      </c>
      <c r="F701">
        <v>0.14338758301542801</v>
      </c>
    </row>
    <row r="702" spans="1:6" x14ac:dyDescent="0.2">
      <c r="A702">
        <v>233</v>
      </c>
      <c r="B702" s="37" t="s">
        <v>1197</v>
      </c>
      <c r="C702" s="1">
        <v>45422</v>
      </c>
      <c r="D702" s="37" t="s">
        <v>1197</v>
      </c>
      <c r="E702">
        <v>0.42657120481315902</v>
      </c>
      <c r="F702">
        <v>0.42657120481315902</v>
      </c>
    </row>
    <row r="703" spans="1:6" x14ac:dyDescent="0.2">
      <c r="A703">
        <v>234</v>
      </c>
      <c r="B703" s="37" t="s">
        <v>1198</v>
      </c>
      <c r="C703" s="1">
        <v>45353</v>
      </c>
      <c r="D703" s="37" t="s">
        <v>1198</v>
      </c>
      <c r="E703">
        <v>4.2773572961904198E-2</v>
      </c>
      <c r="F703">
        <v>4.2773572961904198E-2</v>
      </c>
    </row>
    <row r="704" spans="1:6" x14ac:dyDescent="0.2">
      <c r="A704">
        <v>235</v>
      </c>
      <c r="B704" s="37" t="s">
        <v>324</v>
      </c>
      <c r="C704" s="1">
        <v>45433</v>
      </c>
      <c r="D704" s="37" t="s">
        <v>324</v>
      </c>
      <c r="E704">
        <v>1.4295747190565099E-2</v>
      </c>
      <c r="F704">
        <v>1.4295747190565099E-2</v>
      </c>
    </row>
    <row r="705" spans="1:6" x14ac:dyDescent="0.2">
      <c r="A705">
        <v>235</v>
      </c>
      <c r="B705" s="37" t="s">
        <v>325</v>
      </c>
      <c r="C705" s="1">
        <v>45513</v>
      </c>
      <c r="D705" s="37" t="s">
        <v>325</v>
      </c>
      <c r="E705">
        <v>3.3667281127006399E-2</v>
      </c>
      <c r="F705">
        <v>3.3667281127006399E-2</v>
      </c>
    </row>
    <row r="706" spans="1:6" x14ac:dyDescent="0.2">
      <c r="A706">
        <v>236</v>
      </c>
      <c r="B706" s="37" t="s">
        <v>1199</v>
      </c>
      <c r="C706" s="1">
        <v>45480</v>
      </c>
      <c r="D706" s="37" t="s">
        <v>1199</v>
      </c>
      <c r="E706">
        <v>0.121760904743549</v>
      </c>
      <c r="F706">
        <v>0.121760904743549</v>
      </c>
    </row>
    <row r="707" spans="1:6" x14ac:dyDescent="0.2">
      <c r="A707">
        <v>236</v>
      </c>
      <c r="B707" s="37" t="s">
        <v>1200</v>
      </c>
      <c r="C707" s="1">
        <v>45454</v>
      </c>
      <c r="D707" s="37" t="s">
        <v>1200</v>
      </c>
      <c r="E707">
        <v>0.174502896362038</v>
      </c>
      <c r="F707">
        <v>0.174502896362038</v>
      </c>
    </row>
    <row r="708" spans="1:6" x14ac:dyDescent="0.2">
      <c r="A708">
        <v>237</v>
      </c>
      <c r="B708" s="37" t="s">
        <v>1201</v>
      </c>
      <c r="C708" s="1">
        <v>45417</v>
      </c>
      <c r="D708" s="37" t="s">
        <v>1201</v>
      </c>
      <c r="E708">
        <v>0.35781029295741301</v>
      </c>
      <c r="F708">
        <v>0.35781029295741301</v>
      </c>
    </row>
    <row r="709" spans="1:6" x14ac:dyDescent="0.2">
      <c r="A709">
        <v>238</v>
      </c>
      <c r="B709" s="37" t="s">
        <v>1202</v>
      </c>
      <c r="C709" s="1">
        <v>45593</v>
      </c>
      <c r="D709" s="37" t="s">
        <v>1202</v>
      </c>
      <c r="E709">
        <v>0.117586880260275</v>
      </c>
      <c r="F709">
        <v>0.117586880260275</v>
      </c>
    </row>
    <row r="710" spans="1:6" x14ac:dyDescent="0.2">
      <c r="A710">
        <v>238</v>
      </c>
      <c r="B710" s="37" t="s">
        <v>326</v>
      </c>
      <c r="C710" s="1">
        <v>45361</v>
      </c>
      <c r="D710" s="37" t="s">
        <v>326</v>
      </c>
      <c r="E710">
        <v>0.103989160324911</v>
      </c>
      <c r="F710">
        <v>0.103989160324911</v>
      </c>
    </row>
    <row r="711" spans="1:6" x14ac:dyDescent="0.2">
      <c r="A711">
        <v>238</v>
      </c>
      <c r="B711" s="37" t="s">
        <v>327</v>
      </c>
      <c r="C711" s="1">
        <v>45303</v>
      </c>
      <c r="D711" s="37" t="s">
        <v>327</v>
      </c>
      <c r="E711">
        <v>9.9372854374949804E-2</v>
      </c>
      <c r="F711">
        <v>9.9372854374949804E-2</v>
      </c>
    </row>
    <row r="712" spans="1:6" x14ac:dyDescent="0.2">
      <c r="A712">
        <v>238</v>
      </c>
      <c r="B712" s="37" t="s">
        <v>328</v>
      </c>
      <c r="C712" s="1">
        <v>45472</v>
      </c>
      <c r="D712" s="37" t="s">
        <v>328</v>
      </c>
      <c r="E712">
        <v>0.29765844191426799</v>
      </c>
      <c r="F712">
        <v>0.29765844191426799</v>
      </c>
    </row>
    <row r="713" spans="1:6" x14ac:dyDescent="0.2">
      <c r="A713">
        <v>238</v>
      </c>
      <c r="B713" s="37" t="s">
        <v>1203</v>
      </c>
      <c r="C713" s="1">
        <v>45542</v>
      </c>
      <c r="D713" s="37" t="s">
        <v>1203</v>
      </c>
      <c r="E713">
        <v>0.14103337357760901</v>
      </c>
      <c r="F713">
        <v>0.14103337357760901</v>
      </c>
    </row>
    <row r="714" spans="1:6" x14ac:dyDescent="0.2">
      <c r="A714">
        <v>239</v>
      </c>
      <c r="B714" s="37" t="s">
        <v>329</v>
      </c>
      <c r="C714" s="1">
        <v>45333</v>
      </c>
      <c r="D714" s="37" t="s">
        <v>329</v>
      </c>
      <c r="E714">
        <v>0.37448182100663402</v>
      </c>
      <c r="F714">
        <v>0.37448182100663402</v>
      </c>
    </row>
    <row r="715" spans="1:6" x14ac:dyDescent="0.2">
      <c r="A715">
        <v>240</v>
      </c>
      <c r="B715" s="37" t="s">
        <v>1204</v>
      </c>
      <c r="C715" s="1">
        <v>45651</v>
      </c>
      <c r="D715" s="37" t="s">
        <v>1204</v>
      </c>
      <c r="E715">
        <v>0.23247451452058199</v>
      </c>
      <c r="F715">
        <v>0.23247451452058199</v>
      </c>
    </row>
    <row r="716" spans="1:6" x14ac:dyDescent="0.2">
      <c r="A716">
        <v>240</v>
      </c>
      <c r="B716" s="37" t="s">
        <v>1205</v>
      </c>
      <c r="C716" s="1">
        <v>45578</v>
      </c>
      <c r="D716" s="37" t="s">
        <v>1205</v>
      </c>
      <c r="E716">
        <v>0.17981873593151801</v>
      </c>
      <c r="F716">
        <v>0.17981873593151801</v>
      </c>
    </row>
    <row r="717" spans="1:6" x14ac:dyDescent="0.2">
      <c r="A717">
        <v>240</v>
      </c>
      <c r="B717" s="37" t="s">
        <v>699</v>
      </c>
      <c r="C717" s="1">
        <v>45421</v>
      </c>
      <c r="D717" s="37" t="s">
        <v>699</v>
      </c>
      <c r="E717">
        <v>0.236302804628722</v>
      </c>
      <c r="F717">
        <v>0.236302804628722</v>
      </c>
    </row>
    <row r="718" spans="1:6" x14ac:dyDescent="0.2">
      <c r="A718">
        <v>240</v>
      </c>
      <c r="B718" s="37" t="s">
        <v>700</v>
      </c>
      <c r="C718" s="1">
        <v>45414</v>
      </c>
      <c r="D718" s="37" t="s">
        <v>700</v>
      </c>
      <c r="E718">
        <v>0.15342340303851701</v>
      </c>
      <c r="F718">
        <v>0.15342340303851701</v>
      </c>
    </row>
    <row r="719" spans="1:6" x14ac:dyDescent="0.2">
      <c r="A719">
        <v>241</v>
      </c>
      <c r="B719" s="37" t="s">
        <v>1206</v>
      </c>
      <c r="C719" s="1">
        <v>45544</v>
      </c>
      <c r="D719" s="37" t="s">
        <v>1206</v>
      </c>
      <c r="E719">
        <v>9.7919027056080299E-2</v>
      </c>
      <c r="F719">
        <v>9.7919027056080299E-2</v>
      </c>
    </row>
    <row r="720" spans="1:6" x14ac:dyDescent="0.2">
      <c r="A720">
        <v>241</v>
      </c>
      <c r="B720" s="37" t="s">
        <v>1207</v>
      </c>
      <c r="C720" s="1">
        <v>45299</v>
      </c>
      <c r="D720" s="37" t="s">
        <v>1207</v>
      </c>
      <c r="E720">
        <v>0.171331421783982</v>
      </c>
      <c r="F720">
        <v>0.171331421783982</v>
      </c>
    </row>
    <row r="721" spans="1:6" x14ac:dyDescent="0.2">
      <c r="A721">
        <v>241</v>
      </c>
      <c r="B721" s="37" t="s">
        <v>1208</v>
      </c>
      <c r="C721" s="1">
        <v>45353</v>
      </c>
      <c r="D721" s="37" t="s">
        <v>1208</v>
      </c>
      <c r="E721">
        <v>9.2857969539700602E-2</v>
      </c>
      <c r="F721">
        <v>9.2857969539700602E-2</v>
      </c>
    </row>
    <row r="722" spans="1:6" x14ac:dyDescent="0.2">
      <c r="A722">
        <v>242</v>
      </c>
      <c r="B722" s="37" t="s">
        <v>330</v>
      </c>
      <c r="C722" s="1">
        <v>45407</v>
      </c>
      <c r="D722" s="37" t="s">
        <v>330</v>
      </c>
      <c r="E722">
        <v>0.12198396900501</v>
      </c>
      <c r="F722">
        <v>0.12198396900501</v>
      </c>
    </row>
    <row r="723" spans="1:6" x14ac:dyDescent="0.2">
      <c r="A723">
        <v>242</v>
      </c>
      <c r="B723" s="37" t="s">
        <v>701</v>
      </c>
      <c r="C723" s="1">
        <v>45356</v>
      </c>
      <c r="D723" s="37" t="s">
        <v>701</v>
      </c>
      <c r="E723">
        <v>0.35016873952830901</v>
      </c>
      <c r="F723">
        <v>0.35016873952830901</v>
      </c>
    </row>
    <row r="724" spans="1:6" x14ac:dyDescent="0.2">
      <c r="A724">
        <v>242</v>
      </c>
      <c r="B724" s="37" t="s">
        <v>702</v>
      </c>
      <c r="C724" s="1">
        <v>45428</v>
      </c>
      <c r="D724" s="37" t="s">
        <v>702</v>
      </c>
      <c r="E724">
        <v>0.174020824603076</v>
      </c>
      <c r="F724">
        <v>0.174020824603076</v>
      </c>
    </row>
    <row r="725" spans="1:6" x14ac:dyDescent="0.2">
      <c r="A725">
        <v>242</v>
      </c>
      <c r="B725" s="37" t="s">
        <v>331</v>
      </c>
      <c r="C725" s="1">
        <v>45322</v>
      </c>
      <c r="D725" s="37" t="s">
        <v>331</v>
      </c>
      <c r="E725">
        <v>0.16274473294755601</v>
      </c>
      <c r="F725">
        <v>0.16274473294755601</v>
      </c>
    </row>
    <row r="726" spans="1:6" x14ac:dyDescent="0.2">
      <c r="A726">
        <v>243</v>
      </c>
      <c r="B726" s="37" t="s">
        <v>332</v>
      </c>
      <c r="C726" s="1">
        <v>45361</v>
      </c>
      <c r="D726" s="37" t="s">
        <v>332</v>
      </c>
      <c r="E726">
        <v>0.16479614006066701</v>
      </c>
      <c r="F726">
        <v>0.16479614006066701</v>
      </c>
    </row>
    <row r="727" spans="1:6" x14ac:dyDescent="0.2">
      <c r="A727">
        <v>244</v>
      </c>
      <c r="B727" s="37" t="s">
        <v>1209</v>
      </c>
      <c r="C727" s="1">
        <v>45380</v>
      </c>
      <c r="D727" s="37" t="s">
        <v>1209</v>
      </c>
      <c r="E727">
        <v>0.245386485967034</v>
      </c>
      <c r="F727">
        <v>0.245386485967034</v>
      </c>
    </row>
    <row r="728" spans="1:6" x14ac:dyDescent="0.2">
      <c r="A728">
        <v>244</v>
      </c>
      <c r="B728" s="37" t="s">
        <v>1210</v>
      </c>
      <c r="C728" s="1">
        <v>45382</v>
      </c>
      <c r="D728" s="37" t="s">
        <v>1210</v>
      </c>
      <c r="E728">
        <v>3.4456491216211603E-2</v>
      </c>
      <c r="F728">
        <v>3.4456491216211603E-2</v>
      </c>
    </row>
    <row r="729" spans="1:6" x14ac:dyDescent="0.2">
      <c r="A729">
        <v>244</v>
      </c>
      <c r="B729" s="37" t="s">
        <v>703</v>
      </c>
      <c r="C729" s="1">
        <v>45568</v>
      </c>
      <c r="D729" s="37" t="s">
        <v>703</v>
      </c>
      <c r="E729">
        <v>0.33114607432438298</v>
      </c>
      <c r="F729">
        <v>0.33114607432438298</v>
      </c>
    </row>
    <row r="730" spans="1:6" x14ac:dyDescent="0.2">
      <c r="A730">
        <v>245</v>
      </c>
      <c r="B730" s="37" t="s">
        <v>1211</v>
      </c>
      <c r="C730" s="1">
        <v>45448</v>
      </c>
      <c r="D730" s="37" t="s">
        <v>1211</v>
      </c>
      <c r="E730">
        <v>6.2131415073824699E-2</v>
      </c>
      <c r="F730">
        <v>6.2131415073824699E-2</v>
      </c>
    </row>
    <row r="731" spans="1:6" x14ac:dyDescent="0.2">
      <c r="A731">
        <v>245</v>
      </c>
      <c r="B731" s="37" t="s">
        <v>1212</v>
      </c>
      <c r="C731" s="1">
        <v>45584</v>
      </c>
      <c r="D731" s="37" t="s">
        <v>1212</v>
      </c>
      <c r="E731">
        <v>1.1238436642469001E-2</v>
      </c>
      <c r="F731">
        <v>1.1238436642469001E-2</v>
      </c>
    </row>
    <row r="732" spans="1:6" x14ac:dyDescent="0.2">
      <c r="A732">
        <v>246</v>
      </c>
      <c r="B732" s="37" t="s">
        <v>1213</v>
      </c>
      <c r="C732" s="1">
        <v>45551</v>
      </c>
      <c r="D732" s="37" t="s">
        <v>1213</v>
      </c>
      <c r="E732">
        <v>0.26838387788212698</v>
      </c>
      <c r="F732">
        <v>0.26838387788212698</v>
      </c>
    </row>
    <row r="733" spans="1:6" x14ac:dyDescent="0.2">
      <c r="A733">
        <v>246</v>
      </c>
      <c r="B733" s="37" t="s">
        <v>1214</v>
      </c>
      <c r="C733" s="1">
        <v>45641</v>
      </c>
      <c r="D733" s="37" t="s">
        <v>1214</v>
      </c>
      <c r="E733">
        <v>7.6999334005112399E-2</v>
      </c>
      <c r="F733">
        <v>7.6999334005112399E-2</v>
      </c>
    </row>
    <row r="734" spans="1:6" x14ac:dyDescent="0.2">
      <c r="A734">
        <v>246</v>
      </c>
      <c r="B734" s="37" t="s">
        <v>1215</v>
      </c>
      <c r="C734" s="1">
        <v>45495</v>
      </c>
      <c r="D734" s="37" t="s">
        <v>1215</v>
      </c>
      <c r="E734">
        <v>0.206966407593076</v>
      </c>
      <c r="F734">
        <v>0.206966407593076</v>
      </c>
    </row>
    <row r="735" spans="1:6" x14ac:dyDescent="0.2">
      <c r="A735">
        <v>246</v>
      </c>
      <c r="B735" s="37" t="s">
        <v>333</v>
      </c>
      <c r="C735" s="1">
        <v>45548</v>
      </c>
      <c r="D735" s="37" t="s">
        <v>333</v>
      </c>
      <c r="E735">
        <v>0.26614147871636001</v>
      </c>
      <c r="F735">
        <v>0.26614147871636001</v>
      </c>
    </row>
    <row r="736" spans="1:6" x14ac:dyDescent="0.2">
      <c r="A736">
        <v>247</v>
      </c>
      <c r="B736" s="37" t="s">
        <v>1216</v>
      </c>
      <c r="C736" s="1">
        <v>45431</v>
      </c>
      <c r="D736" s="37" t="s">
        <v>1216</v>
      </c>
      <c r="E736">
        <v>0.69315674368800195</v>
      </c>
      <c r="F736">
        <v>0.69315674368800195</v>
      </c>
    </row>
    <row r="737" spans="1:6" x14ac:dyDescent="0.2">
      <c r="A737">
        <v>247</v>
      </c>
      <c r="B737" s="37" t="s">
        <v>704</v>
      </c>
      <c r="C737" s="1">
        <v>45622</v>
      </c>
      <c r="D737" s="37" t="s">
        <v>704</v>
      </c>
      <c r="E737">
        <v>0.165847624667882</v>
      </c>
      <c r="F737">
        <v>0.165847624667882</v>
      </c>
    </row>
    <row r="738" spans="1:6" x14ac:dyDescent="0.2">
      <c r="A738">
        <v>248</v>
      </c>
      <c r="B738" s="37" t="s">
        <v>705</v>
      </c>
      <c r="C738" s="1">
        <v>45361</v>
      </c>
      <c r="D738" s="37" t="s">
        <v>705</v>
      </c>
      <c r="E738">
        <v>0.111169209224</v>
      </c>
      <c r="F738">
        <v>0.111169209224</v>
      </c>
    </row>
    <row r="739" spans="1:6" x14ac:dyDescent="0.2">
      <c r="A739">
        <v>248</v>
      </c>
      <c r="B739" s="37" t="s">
        <v>706</v>
      </c>
      <c r="C739" s="1">
        <v>45454</v>
      </c>
      <c r="D739" s="37" t="s">
        <v>706</v>
      </c>
      <c r="E739">
        <v>0.28799366183463898</v>
      </c>
      <c r="F739">
        <v>0.28799366183463898</v>
      </c>
    </row>
    <row r="740" spans="1:6" x14ac:dyDescent="0.2">
      <c r="A740">
        <v>248</v>
      </c>
      <c r="B740" s="37" t="s">
        <v>707</v>
      </c>
      <c r="C740" s="1">
        <v>45306</v>
      </c>
      <c r="D740" s="37" t="s">
        <v>707</v>
      </c>
      <c r="E740">
        <v>0.24958740804280599</v>
      </c>
      <c r="F740">
        <v>0.24958740804280599</v>
      </c>
    </row>
    <row r="741" spans="1:6" x14ac:dyDescent="0.2">
      <c r="A741">
        <v>248</v>
      </c>
      <c r="B741" s="37" t="s">
        <v>708</v>
      </c>
      <c r="C741" s="1">
        <v>45497</v>
      </c>
      <c r="D741" s="37" t="s">
        <v>708</v>
      </c>
      <c r="E741">
        <v>0.21745609621720899</v>
      </c>
      <c r="F741">
        <v>0.21745609621720899</v>
      </c>
    </row>
    <row r="742" spans="1:6" x14ac:dyDescent="0.2">
      <c r="A742">
        <v>248</v>
      </c>
      <c r="B742" s="37" t="s">
        <v>334</v>
      </c>
      <c r="C742" s="1">
        <v>45564</v>
      </c>
      <c r="D742" s="37" t="s">
        <v>334</v>
      </c>
      <c r="E742">
        <v>0.168903220028225</v>
      </c>
      <c r="F742">
        <v>0.168903220028225</v>
      </c>
    </row>
    <row r="743" spans="1:6" x14ac:dyDescent="0.2">
      <c r="A743">
        <v>248</v>
      </c>
      <c r="B743" s="37" t="s">
        <v>335</v>
      </c>
      <c r="C743" s="1">
        <v>45543</v>
      </c>
      <c r="D743" s="37" t="s">
        <v>335</v>
      </c>
      <c r="E743">
        <v>7.9354414918275995E-2</v>
      </c>
      <c r="F743">
        <v>7.9354414918275995E-2</v>
      </c>
    </row>
    <row r="744" spans="1:6" x14ac:dyDescent="0.2">
      <c r="A744">
        <v>248</v>
      </c>
      <c r="B744" s="37" t="s">
        <v>336</v>
      </c>
      <c r="C744" s="1">
        <v>45362</v>
      </c>
      <c r="D744" s="37" t="s">
        <v>336</v>
      </c>
      <c r="E744">
        <v>5.7016226967792599E-2</v>
      </c>
      <c r="F744">
        <v>5.7016226967792599E-2</v>
      </c>
    </row>
    <row r="745" spans="1:6" x14ac:dyDescent="0.2">
      <c r="A745">
        <v>249</v>
      </c>
      <c r="B745" s="37" t="s">
        <v>1217</v>
      </c>
      <c r="C745" s="1">
        <v>45558</v>
      </c>
      <c r="D745" s="37" t="s">
        <v>1217</v>
      </c>
      <c r="E745">
        <v>1.4579038144222199E-2</v>
      </c>
      <c r="F745">
        <v>1.4579038144222199E-2</v>
      </c>
    </row>
    <row r="746" spans="1:6" x14ac:dyDescent="0.2">
      <c r="A746">
        <v>249</v>
      </c>
      <c r="B746" s="37" t="s">
        <v>1218</v>
      </c>
      <c r="C746" s="1">
        <v>45508</v>
      </c>
      <c r="D746" s="37" t="s">
        <v>1218</v>
      </c>
      <c r="E746">
        <v>0.165100690364547</v>
      </c>
      <c r="F746">
        <v>0.165100690364547</v>
      </c>
    </row>
    <row r="747" spans="1:6" x14ac:dyDescent="0.2">
      <c r="A747">
        <v>249</v>
      </c>
      <c r="B747" s="37" t="s">
        <v>1219</v>
      </c>
      <c r="C747" s="1">
        <v>45624</v>
      </c>
      <c r="D747" s="37" t="s">
        <v>1219</v>
      </c>
      <c r="E747">
        <v>0.43441638346654099</v>
      </c>
      <c r="F747">
        <v>0.43441638346654099</v>
      </c>
    </row>
    <row r="748" spans="1:6" x14ac:dyDescent="0.2">
      <c r="A748">
        <v>249</v>
      </c>
      <c r="B748" s="37" t="s">
        <v>1220</v>
      </c>
      <c r="C748" s="1">
        <v>45398</v>
      </c>
      <c r="D748" s="37" t="s">
        <v>1220</v>
      </c>
      <c r="E748">
        <v>0.120898347310621</v>
      </c>
      <c r="F748">
        <v>0.120898347310621</v>
      </c>
    </row>
    <row r="749" spans="1:6" x14ac:dyDescent="0.2">
      <c r="A749">
        <v>249</v>
      </c>
      <c r="B749" s="37" t="s">
        <v>709</v>
      </c>
      <c r="C749" s="1">
        <v>45470</v>
      </c>
      <c r="D749" s="37" t="s">
        <v>709</v>
      </c>
      <c r="E749">
        <v>0.15566711740049199</v>
      </c>
      <c r="F749">
        <v>0.15566711740049199</v>
      </c>
    </row>
    <row r="750" spans="1:6" x14ac:dyDescent="0.2">
      <c r="A750">
        <v>249</v>
      </c>
      <c r="B750" s="37" t="s">
        <v>710</v>
      </c>
      <c r="C750" s="1">
        <v>45627</v>
      </c>
      <c r="D750" s="37" t="s">
        <v>710</v>
      </c>
      <c r="E750">
        <v>0.19219809883573599</v>
      </c>
      <c r="F750">
        <v>0.19219809883573599</v>
      </c>
    </row>
    <row r="751" spans="1:6" x14ac:dyDescent="0.2">
      <c r="A751">
        <v>249</v>
      </c>
      <c r="B751" s="37" t="s">
        <v>711</v>
      </c>
      <c r="C751" s="1">
        <v>45370</v>
      </c>
      <c r="D751" s="37" t="s">
        <v>711</v>
      </c>
      <c r="E751">
        <v>4.5713590247586998E-2</v>
      </c>
      <c r="F751">
        <v>4.5713590247586998E-2</v>
      </c>
    </row>
    <row r="752" spans="1:6" x14ac:dyDescent="0.2">
      <c r="A752">
        <v>250</v>
      </c>
      <c r="B752" s="37" t="s">
        <v>1221</v>
      </c>
      <c r="C752" s="1">
        <v>45322</v>
      </c>
      <c r="D752" s="37" t="s">
        <v>1221</v>
      </c>
      <c r="E752">
        <v>0.212415703876246</v>
      </c>
      <c r="F752">
        <v>0.212415703876246</v>
      </c>
    </row>
    <row r="753" spans="1:6" x14ac:dyDescent="0.2">
      <c r="A753">
        <v>250</v>
      </c>
      <c r="B753" s="37" t="s">
        <v>1222</v>
      </c>
      <c r="C753" s="1">
        <v>45525</v>
      </c>
      <c r="D753" s="37" t="s">
        <v>1222</v>
      </c>
      <c r="E753">
        <v>0.12724644352660999</v>
      </c>
      <c r="F753">
        <v>0.12724644352660999</v>
      </c>
    </row>
    <row r="754" spans="1:6" x14ac:dyDescent="0.2">
      <c r="A754">
        <v>250</v>
      </c>
      <c r="B754" s="37" t="s">
        <v>1223</v>
      </c>
      <c r="C754" s="1">
        <v>45563</v>
      </c>
      <c r="D754" s="37" t="s">
        <v>1223</v>
      </c>
      <c r="E754">
        <v>0.180422334194134</v>
      </c>
      <c r="F754">
        <v>0.180422334194134</v>
      </c>
    </row>
    <row r="755" spans="1:6" x14ac:dyDescent="0.2">
      <c r="A755">
        <v>250</v>
      </c>
      <c r="B755" s="37" t="s">
        <v>1224</v>
      </c>
      <c r="C755" s="1">
        <v>45302</v>
      </c>
      <c r="D755" s="37" t="s">
        <v>1224</v>
      </c>
      <c r="E755">
        <v>9.1002114735957498E-2</v>
      </c>
      <c r="F755">
        <v>9.1002114735957498E-2</v>
      </c>
    </row>
    <row r="756" spans="1:6" x14ac:dyDescent="0.2">
      <c r="A756">
        <v>251</v>
      </c>
      <c r="B756" s="37" t="s">
        <v>712</v>
      </c>
      <c r="C756" s="1">
        <v>45469</v>
      </c>
      <c r="D756" s="37" t="s">
        <v>712</v>
      </c>
      <c r="E756">
        <v>8.1523620826404603E-2</v>
      </c>
      <c r="F756">
        <v>8.1523620826404603E-2</v>
      </c>
    </row>
    <row r="757" spans="1:6" x14ac:dyDescent="0.2">
      <c r="A757">
        <v>251</v>
      </c>
      <c r="B757" s="37" t="s">
        <v>713</v>
      </c>
      <c r="C757" s="1">
        <v>45355</v>
      </c>
      <c r="D757" s="37" t="s">
        <v>713</v>
      </c>
      <c r="E757">
        <v>0.236485778156107</v>
      </c>
      <c r="F757">
        <v>0.236485778156107</v>
      </c>
    </row>
    <row r="758" spans="1:6" x14ac:dyDescent="0.2">
      <c r="A758">
        <v>252</v>
      </c>
      <c r="B758" s="37" t="s">
        <v>714</v>
      </c>
      <c r="C758" s="1">
        <v>45319</v>
      </c>
      <c r="D758" s="37" t="s">
        <v>714</v>
      </c>
      <c r="E758">
        <v>0.24062792156610699</v>
      </c>
      <c r="F758">
        <v>0.24062792156610699</v>
      </c>
    </row>
    <row r="759" spans="1:6" x14ac:dyDescent="0.2">
      <c r="A759">
        <v>252</v>
      </c>
      <c r="B759" s="37" t="s">
        <v>715</v>
      </c>
      <c r="C759" s="1">
        <v>45528</v>
      </c>
      <c r="D759" s="37" t="s">
        <v>715</v>
      </c>
      <c r="E759">
        <v>0.208915639694016</v>
      </c>
      <c r="F759">
        <v>0.208915639694016</v>
      </c>
    </row>
    <row r="760" spans="1:6" x14ac:dyDescent="0.2">
      <c r="A760">
        <v>253</v>
      </c>
      <c r="B760" s="37" t="s">
        <v>337</v>
      </c>
      <c r="C760" s="1">
        <v>45491</v>
      </c>
      <c r="D760" s="37" t="s">
        <v>337</v>
      </c>
      <c r="E760">
        <v>0.117886897707314</v>
      </c>
      <c r="F760">
        <v>0.117886897707314</v>
      </c>
    </row>
    <row r="761" spans="1:6" x14ac:dyDescent="0.2">
      <c r="A761">
        <v>253</v>
      </c>
      <c r="B761" s="37" t="s">
        <v>338</v>
      </c>
      <c r="C761" s="1">
        <v>45422</v>
      </c>
      <c r="D761" s="37" t="s">
        <v>338</v>
      </c>
      <c r="E761">
        <v>0.13103313547974499</v>
      </c>
      <c r="F761">
        <v>0.13103313547974499</v>
      </c>
    </row>
    <row r="762" spans="1:6" x14ac:dyDescent="0.2">
      <c r="A762">
        <v>253</v>
      </c>
      <c r="B762" s="37" t="s">
        <v>716</v>
      </c>
      <c r="C762" s="1">
        <v>45593</v>
      </c>
      <c r="D762" s="37" t="s">
        <v>716</v>
      </c>
      <c r="E762">
        <v>0.14407356637059501</v>
      </c>
      <c r="F762">
        <v>0.14407356637059501</v>
      </c>
    </row>
    <row r="763" spans="1:6" x14ac:dyDescent="0.2">
      <c r="A763">
        <v>254</v>
      </c>
      <c r="B763" s="37" t="s">
        <v>339</v>
      </c>
      <c r="C763" s="1">
        <v>45532</v>
      </c>
      <c r="D763" s="37" t="s">
        <v>339</v>
      </c>
      <c r="E763">
        <v>0.16634505537760599</v>
      </c>
      <c r="F763">
        <v>0.16634505537760599</v>
      </c>
    </row>
    <row r="764" spans="1:6" x14ac:dyDescent="0.2">
      <c r="A764">
        <v>254</v>
      </c>
      <c r="B764" s="37" t="s">
        <v>340</v>
      </c>
      <c r="C764" s="1">
        <v>45373</v>
      </c>
      <c r="D764" s="37" t="s">
        <v>340</v>
      </c>
      <c r="E764">
        <v>0.31669722885762602</v>
      </c>
      <c r="F764">
        <v>0.31669722885762602</v>
      </c>
    </row>
    <row r="765" spans="1:6" x14ac:dyDescent="0.2">
      <c r="A765">
        <v>255</v>
      </c>
      <c r="B765" s="37" t="s">
        <v>1225</v>
      </c>
      <c r="C765" s="1">
        <v>45307</v>
      </c>
      <c r="D765" s="37" t="s">
        <v>1225</v>
      </c>
      <c r="E765">
        <v>6.1566189095100698E-2</v>
      </c>
      <c r="F765">
        <v>6.1566189095100698E-2</v>
      </c>
    </row>
    <row r="766" spans="1:6" x14ac:dyDescent="0.2">
      <c r="A766">
        <v>255</v>
      </c>
      <c r="B766" s="37" t="s">
        <v>1226</v>
      </c>
      <c r="C766" s="1">
        <v>45292</v>
      </c>
      <c r="D766" s="37" t="s">
        <v>1226</v>
      </c>
      <c r="E766">
        <v>6.60947062405048E-2</v>
      </c>
      <c r="F766">
        <v>6.60947062405048E-2</v>
      </c>
    </row>
    <row r="767" spans="1:6" x14ac:dyDescent="0.2">
      <c r="A767">
        <v>255</v>
      </c>
      <c r="B767" s="37" t="s">
        <v>341</v>
      </c>
      <c r="C767" s="1">
        <v>45582</v>
      </c>
      <c r="D767" s="37" t="s">
        <v>341</v>
      </c>
      <c r="E767">
        <v>9.4191540610453095E-2</v>
      </c>
      <c r="F767">
        <v>9.4191540610453095E-2</v>
      </c>
    </row>
    <row r="768" spans="1:6" x14ac:dyDescent="0.2">
      <c r="A768">
        <v>256</v>
      </c>
      <c r="B768" s="37" t="s">
        <v>1227</v>
      </c>
      <c r="C768" s="1">
        <v>45440</v>
      </c>
      <c r="D768" s="37" t="s">
        <v>1227</v>
      </c>
      <c r="E768">
        <v>0.17593558619716801</v>
      </c>
      <c r="F768">
        <v>0.17593558619716801</v>
      </c>
    </row>
    <row r="769" spans="1:6" x14ac:dyDescent="0.2">
      <c r="A769">
        <v>256</v>
      </c>
      <c r="B769" s="37" t="s">
        <v>1228</v>
      </c>
      <c r="C769" s="1">
        <v>45401</v>
      </c>
      <c r="D769" s="37" t="s">
        <v>1228</v>
      </c>
      <c r="E769">
        <v>6.5203878406810606E-2</v>
      </c>
      <c r="F769">
        <v>6.5203878406810606E-2</v>
      </c>
    </row>
    <row r="770" spans="1:6" x14ac:dyDescent="0.2">
      <c r="A770">
        <v>256</v>
      </c>
      <c r="B770" s="37" t="s">
        <v>1229</v>
      </c>
      <c r="C770" s="1">
        <v>45532</v>
      </c>
      <c r="D770" s="37" t="s">
        <v>1229</v>
      </c>
      <c r="E770">
        <v>0.23059169703437599</v>
      </c>
      <c r="F770">
        <v>0.23059169703437599</v>
      </c>
    </row>
    <row r="771" spans="1:6" x14ac:dyDescent="0.2">
      <c r="A771">
        <v>256</v>
      </c>
      <c r="B771" s="37" t="s">
        <v>717</v>
      </c>
      <c r="C771" s="1">
        <v>45654</v>
      </c>
      <c r="D771" s="37" t="s">
        <v>717</v>
      </c>
      <c r="E771">
        <v>0.26742087106025503</v>
      </c>
      <c r="F771">
        <v>0.26742087106025503</v>
      </c>
    </row>
    <row r="772" spans="1:6" x14ac:dyDescent="0.2">
      <c r="A772">
        <v>257</v>
      </c>
      <c r="B772" s="37" t="s">
        <v>342</v>
      </c>
      <c r="C772" s="1">
        <v>45461</v>
      </c>
      <c r="D772" s="37" t="s">
        <v>342</v>
      </c>
      <c r="E772">
        <v>0.14479269971894601</v>
      </c>
      <c r="F772">
        <v>0.14479269971894601</v>
      </c>
    </row>
    <row r="773" spans="1:6" x14ac:dyDescent="0.2">
      <c r="A773">
        <v>258</v>
      </c>
      <c r="B773" s="37" t="s">
        <v>343</v>
      </c>
      <c r="C773" s="1">
        <v>45347</v>
      </c>
      <c r="D773" s="37" t="s">
        <v>343</v>
      </c>
      <c r="E773">
        <v>0.30548486484475201</v>
      </c>
      <c r="F773">
        <v>0.30548486484475201</v>
      </c>
    </row>
    <row r="774" spans="1:6" x14ac:dyDescent="0.2">
      <c r="A774">
        <v>258</v>
      </c>
      <c r="B774" s="37" t="s">
        <v>1230</v>
      </c>
      <c r="C774" s="1">
        <v>45438</v>
      </c>
      <c r="D774" s="37" t="s">
        <v>1230</v>
      </c>
      <c r="E774">
        <v>0.188691608760128</v>
      </c>
      <c r="F774">
        <v>0.188691608760128</v>
      </c>
    </row>
    <row r="775" spans="1:6" x14ac:dyDescent="0.2">
      <c r="A775">
        <v>259</v>
      </c>
      <c r="B775" s="37" t="s">
        <v>718</v>
      </c>
      <c r="C775" s="1">
        <v>45397</v>
      </c>
      <c r="D775" s="37" t="s">
        <v>718</v>
      </c>
      <c r="E775">
        <v>0.34108579201086803</v>
      </c>
      <c r="F775">
        <v>0.34108579201086803</v>
      </c>
    </row>
    <row r="776" spans="1:6" x14ac:dyDescent="0.2">
      <c r="A776">
        <v>259</v>
      </c>
      <c r="B776" s="37" t="s">
        <v>719</v>
      </c>
      <c r="C776" s="1">
        <v>45468</v>
      </c>
      <c r="D776" s="37" t="s">
        <v>719</v>
      </c>
      <c r="E776">
        <v>0.219213916766512</v>
      </c>
      <c r="F776">
        <v>0.219213916766512</v>
      </c>
    </row>
    <row r="777" spans="1:6" x14ac:dyDescent="0.2">
      <c r="A777">
        <v>259</v>
      </c>
      <c r="B777" s="37" t="s">
        <v>344</v>
      </c>
      <c r="C777" s="1">
        <v>45309</v>
      </c>
      <c r="D777" s="37" t="s">
        <v>344</v>
      </c>
      <c r="E777">
        <v>0.21378254146990999</v>
      </c>
      <c r="F777">
        <v>0.21378254146990999</v>
      </c>
    </row>
    <row r="778" spans="1:6" x14ac:dyDescent="0.2">
      <c r="A778">
        <v>260</v>
      </c>
      <c r="B778" s="37" t="s">
        <v>345</v>
      </c>
      <c r="C778" s="1">
        <v>45492</v>
      </c>
      <c r="D778" s="37" t="s">
        <v>345</v>
      </c>
      <c r="E778">
        <v>0.45299556696553001</v>
      </c>
      <c r="F778">
        <v>0.45299556696553001</v>
      </c>
    </row>
    <row r="779" spans="1:6" x14ac:dyDescent="0.2">
      <c r="A779">
        <v>260</v>
      </c>
      <c r="B779" s="37" t="s">
        <v>346</v>
      </c>
      <c r="C779" s="1">
        <v>45381</v>
      </c>
      <c r="D779" s="37" t="s">
        <v>346</v>
      </c>
      <c r="E779">
        <v>0.17413646244132999</v>
      </c>
      <c r="F779">
        <v>0.17413646244132999</v>
      </c>
    </row>
    <row r="780" spans="1:6" x14ac:dyDescent="0.2">
      <c r="A780">
        <v>260</v>
      </c>
      <c r="B780" s="37" t="s">
        <v>347</v>
      </c>
      <c r="C780" s="1">
        <v>45500</v>
      </c>
      <c r="D780" s="37" t="s">
        <v>347</v>
      </c>
      <c r="E780">
        <v>4.13811392084555E-2</v>
      </c>
      <c r="F780">
        <v>4.13811392084555E-2</v>
      </c>
    </row>
    <row r="781" spans="1:6" x14ac:dyDescent="0.2">
      <c r="A781">
        <v>260</v>
      </c>
      <c r="B781" s="37" t="s">
        <v>720</v>
      </c>
      <c r="C781" s="1">
        <v>45593</v>
      </c>
      <c r="D781" s="37" t="s">
        <v>720</v>
      </c>
      <c r="E781">
        <v>0.26954822985620902</v>
      </c>
      <c r="F781">
        <v>0.26954822985620902</v>
      </c>
    </row>
    <row r="782" spans="1:6" x14ac:dyDescent="0.2">
      <c r="A782">
        <v>260</v>
      </c>
      <c r="B782" s="37" t="s">
        <v>721</v>
      </c>
      <c r="C782" s="1">
        <v>45582</v>
      </c>
      <c r="D782" s="37" t="s">
        <v>721</v>
      </c>
      <c r="E782">
        <v>0.39588502896134597</v>
      </c>
      <c r="F782">
        <v>0.39588502896134597</v>
      </c>
    </row>
    <row r="783" spans="1:6" x14ac:dyDescent="0.2">
      <c r="A783">
        <v>261</v>
      </c>
      <c r="B783" s="37" t="s">
        <v>348</v>
      </c>
      <c r="C783" s="1">
        <v>45312</v>
      </c>
      <c r="D783" s="37" t="s">
        <v>348</v>
      </c>
      <c r="E783">
        <v>0.17795362636074</v>
      </c>
      <c r="F783">
        <v>0.17795362636074</v>
      </c>
    </row>
    <row r="784" spans="1:6" x14ac:dyDescent="0.2">
      <c r="A784">
        <v>261</v>
      </c>
      <c r="B784" s="37" t="s">
        <v>349</v>
      </c>
      <c r="C784" s="1">
        <v>45572</v>
      </c>
      <c r="D784" s="37" t="s">
        <v>349</v>
      </c>
      <c r="E784">
        <v>0.180376348537273</v>
      </c>
      <c r="F784">
        <v>0.180376348537273</v>
      </c>
    </row>
    <row r="785" spans="1:6" x14ac:dyDescent="0.2">
      <c r="A785">
        <v>261</v>
      </c>
      <c r="B785" s="37" t="s">
        <v>350</v>
      </c>
      <c r="C785" s="1">
        <v>45634</v>
      </c>
      <c r="D785" s="37" t="s">
        <v>350</v>
      </c>
      <c r="E785">
        <v>0.31726821151609502</v>
      </c>
      <c r="F785">
        <v>0.31726821151609502</v>
      </c>
    </row>
    <row r="786" spans="1:6" x14ac:dyDescent="0.2">
      <c r="A786">
        <v>261</v>
      </c>
      <c r="B786" s="37" t="s">
        <v>351</v>
      </c>
      <c r="C786" s="1">
        <v>45474</v>
      </c>
      <c r="D786" s="37" t="s">
        <v>351</v>
      </c>
      <c r="E786">
        <v>5.3441114294268899E-2</v>
      </c>
      <c r="F786">
        <v>5.3441114294268899E-2</v>
      </c>
    </row>
    <row r="787" spans="1:6" x14ac:dyDescent="0.2">
      <c r="A787">
        <v>261</v>
      </c>
      <c r="B787" s="37" t="s">
        <v>1231</v>
      </c>
      <c r="C787" s="1">
        <v>45623</v>
      </c>
      <c r="D787" s="37" t="s">
        <v>1231</v>
      </c>
      <c r="E787">
        <v>0.37816590730782301</v>
      </c>
      <c r="F787">
        <v>0.37816590730782301</v>
      </c>
    </row>
    <row r="788" spans="1:6" x14ac:dyDescent="0.2">
      <c r="A788">
        <v>261</v>
      </c>
      <c r="B788" s="37" t="s">
        <v>1232</v>
      </c>
      <c r="C788" s="1">
        <v>45346</v>
      </c>
      <c r="D788" s="37" t="s">
        <v>1232</v>
      </c>
      <c r="E788">
        <v>0.26667691078154798</v>
      </c>
      <c r="F788">
        <v>0.26667691078154798</v>
      </c>
    </row>
    <row r="789" spans="1:6" x14ac:dyDescent="0.2">
      <c r="A789">
        <v>262</v>
      </c>
      <c r="B789" s="37" t="s">
        <v>1233</v>
      </c>
      <c r="C789" s="1">
        <v>45501</v>
      </c>
      <c r="D789" s="37" t="s">
        <v>1233</v>
      </c>
      <c r="E789">
        <v>0.39169586635394499</v>
      </c>
      <c r="F789">
        <v>0.39169586635394499</v>
      </c>
    </row>
    <row r="790" spans="1:6" x14ac:dyDescent="0.2">
      <c r="A790">
        <v>262</v>
      </c>
      <c r="B790" s="37" t="s">
        <v>1234</v>
      </c>
      <c r="C790" s="1">
        <v>45445</v>
      </c>
      <c r="D790" s="37" t="s">
        <v>1234</v>
      </c>
      <c r="E790">
        <v>6.0376037874732703E-2</v>
      </c>
      <c r="F790">
        <v>6.0376037874732703E-2</v>
      </c>
    </row>
    <row r="791" spans="1:6" x14ac:dyDescent="0.2">
      <c r="A791">
        <v>262</v>
      </c>
      <c r="B791" s="37" t="s">
        <v>1235</v>
      </c>
      <c r="C791" s="1">
        <v>45449</v>
      </c>
      <c r="D791" s="37" t="s">
        <v>1235</v>
      </c>
      <c r="E791">
        <v>8.2246326744947404E-2</v>
      </c>
      <c r="F791">
        <v>8.2246326744947404E-2</v>
      </c>
    </row>
    <row r="792" spans="1:6" x14ac:dyDescent="0.2">
      <c r="A792">
        <v>262</v>
      </c>
      <c r="B792" s="37" t="s">
        <v>352</v>
      </c>
      <c r="C792" s="1">
        <v>45452</v>
      </c>
      <c r="D792" s="37" t="s">
        <v>352</v>
      </c>
      <c r="E792">
        <v>0.16111859401763701</v>
      </c>
      <c r="F792">
        <v>0.16111859401763701</v>
      </c>
    </row>
    <row r="793" spans="1:6" x14ac:dyDescent="0.2">
      <c r="A793">
        <v>262</v>
      </c>
      <c r="B793" s="37" t="s">
        <v>353</v>
      </c>
      <c r="C793" s="1">
        <v>45457</v>
      </c>
      <c r="D793" s="37" t="s">
        <v>353</v>
      </c>
      <c r="E793">
        <v>0.18219156269762399</v>
      </c>
      <c r="F793">
        <v>0.18219156269762399</v>
      </c>
    </row>
    <row r="794" spans="1:6" x14ac:dyDescent="0.2">
      <c r="A794">
        <v>263</v>
      </c>
      <c r="B794" s="37" t="s">
        <v>722</v>
      </c>
      <c r="C794" s="1">
        <v>45622</v>
      </c>
      <c r="D794" s="37" t="s">
        <v>722</v>
      </c>
      <c r="E794">
        <v>6.1736738192739199E-2</v>
      </c>
      <c r="F794">
        <v>6.1736738192739199E-2</v>
      </c>
    </row>
    <row r="795" spans="1:6" x14ac:dyDescent="0.2">
      <c r="A795">
        <v>263</v>
      </c>
      <c r="B795" s="37" t="s">
        <v>723</v>
      </c>
      <c r="C795" s="1">
        <v>45517</v>
      </c>
      <c r="D795" s="37" t="s">
        <v>723</v>
      </c>
      <c r="E795">
        <v>5.5523860415409999E-2</v>
      </c>
      <c r="F795">
        <v>5.5523860415409999E-2</v>
      </c>
    </row>
    <row r="796" spans="1:6" x14ac:dyDescent="0.2">
      <c r="A796">
        <v>263</v>
      </c>
      <c r="B796" s="37" t="s">
        <v>354</v>
      </c>
      <c r="C796" s="1">
        <v>45474</v>
      </c>
      <c r="D796" s="37" t="s">
        <v>354</v>
      </c>
      <c r="E796">
        <v>0.172275874635649</v>
      </c>
      <c r="F796">
        <v>0.172275874635649</v>
      </c>
    </row>
    <row r="797" spans="1:6" x14ac:dyDescent="0.2">
      <c r="A797">
        <v>263</v>
      </c>
      <c r="B797" s="37" t="s">
        <v>355</v>
      </c>
      <c r="C797" s="1">
        <v>45625</v>
      </c>
      <c r="D797" s="37" t="s">
        <v>355</v>
      </c>
      <c r="E797">
        <v>4.9395955164926897E-2</v>
      </c>
      <c r="F797">
        <v>4.9395955164926897E-2</v>
      </c>
    </row>
    <row r="798" spans="1:6" x14ac:dyDescent="0.2">
      <c r="A798">
        <v>264</v>
      </c>
      <c r="B798" s="37" t="s">
        <v>1236</v>
      </c>
      <c r="C798" s="1">
        <v>45488</v>
      </c>
      <c r="D798" s="37" t="s">
        <v>1236</v>
      </c>
      <c r="E798">
        <v>0.32574238156819302</v>
      </c>
      <c r="F798">
        <v>0.32574238156819302</v>
      </c>
    </row>
    <row r="799" spans="1:6" x14ac:dyDescent="0.2">
      <c r="A799">
        <v>264</v>
      </c>
      <c r="B799" s="37" t="s">
        <v>1237</v>
      </c>
      <c r="C799" s="1">
        <v>45624</v>
      </c>
      <c r="D799" s="37" t="s">
        <v>1237</v>
      </c>
      <c r="E799">
        <v>0.18607734698240599</v>
      </c>
      <c r="F799">
        <v>0.18607734698240599</v>
      </c>
    </row>
    <row r="800" spans="1:6" x14ac:dyDescent="0.2">
      <c r="A800">
        <v>264</v>
      </c>
      <c r="B800" s="37" t="s">
        <v>1238</v>
      </c>
      <c r="C800" s="1">
        <v>45370</v>
      </c>
      <c r="D800" s="37" t="s">
        <v>1238</v>
      </c>
      <c r="E800">
        <v>1.56048889420269E-2</v>
      </c>
      <c r="F800">
        <v>1.56048889420269E-2</v>
      </c>
    </row>
    <row r="801" spans="1:6" x14ac:dyDescent="0.2">
      <c r="A801">
        <v>264</v>
      </c>
      <c r="B801" s="37" t="s">
        <v>1239</v>
      </c>
      <c r="C801" s="1">
        <v>45521</v>
      </c>
      <c r="D801" s="37" t="s">
        <v>1239</v>
      </c>
      <c r="E801">
        <v>0.26299240417353398</v>
      </c>
      <c r="F801">
        <v>0.26299240417353398</v>
      </c>
    </row>
    <row r="802" spans="1:6" x14ac:dyDescent="0.2">
      <c r="A802">
        <v>264</v>
      </c>
      <c r="B802" s="37" t="s">
        <v>1240</v>
      </c>
      <c r="C802" s="1">
        <v>45631</v>
      </c>
      <c r="D802" s="37" t="s">
        <v>1240</v>
      </c>
      <c r="E802">
        <v>0.133284229339204</v>
      </c>
      <c r="F802">
        <v>0.133284229339204</v>
      </c>
    </row>
    <row r="803" spans="1:6" x14ac:dyDescent="0.2">
      <c r="A803">
        <v>264</v>
      </c>
      <c r="B803" s="37" t="s">
        <v>356</v>
      </c>
      <c r="C803" s="1">
        <v>45652</v>
      </c>
      <c r="D803" s="37" t="s">
        <v>356</v>
      </c>
      <c r="E803">
        <v>1.6832169744706998E-2</v>
      </c>
      <c r="F803">
        <v>1.6832169744706998E-2</v>
      </c>
    </row>
    <row r="804" spans="1:6" x14ac:dyDescent="0.2">
      <c r="A804">
        <v>265</v>
      </c>
      <c r="B804" s="37" t="s">
        <v>1241</v>
      </c>
      <c r="C804" s="1">
        <v>45597</v>
      </c>
      <c r="D804" s="37" t="s">
        <v>1241</v>
      </c>
      <c r="E804">
        <v>0.120772727570112</v>
      </c>
      <c r="F804">
        <v>0.120772727570112</v>
      </c>
    </row>
    <row r="805" spans="1:6" x14ac:dyDescent="0.2">
      <c r="A805">
        <v>265</v>
      </c>
      <c r="B805" s="37" t="s">
        <v>1242</v>
      </c>
      <c r="C805" s="1">
        <v>45655</v>
      </c>
      <c r="D805" s="37" t="s">
        <v>1242</v>
      </c>
      <c r="E805">
        <v>5.7742941235597298E-2</v>
      </c>
      <c r="F805">
        <v>5.7742941235597298E-2</v>
      </c>
    </row>
    <row r="806" spans="1:6" x14ac:dyDescent="0.2">
      <c r="A806">
        <v>265</v>
      </c>
      <c r="B806" s="37" t="s">
        <v>1243</v>
      </c>
      <c r="C806" s="1">
        <v>45327</v>
      </c>
      <c r="D806" s="37" t="s">
        <v>1243</v>
      </c>
      <c r="E806">
        <v>0.12315589315592999</v>
      </c>
      <c r="F806">
        <v>0.12315589315592999</v>
      </c>
    </row>
    <row r="807" spans="1:6" x14ac:dyDescent="0.2">
      <c r="A807">
        <v>266</v>
      </c>
      <c r="B807" s="37" t="s">
        <v>357</v>
      </c>
      <c r="C807" s="1">
        <v>45295</v>
      </c>
      <c r="D807" s="37" t="s">
        <v>357</v>
      </c>
      <c r="E807">
        <v>0.19323367284696</v>
      </c>
      <c r="F807">
        <v>0.19323367284696</v>
      </c>
    </row>
    <row r="808" spans="1:6" x14ac:dyDescent="0.2">
      <c r="A808">
        <v>266</v>
      </c>
      <c r="B808" s="37" t="s">
        <v>358</v>
      </c>
      <c r="C808" s="1">
        <v>45517</v>
      </c>
      <c r="D808" s="37" t="s">
        <v>358</v>
      </c>
      <c r="E808">
        <v>8.9763240912362804E-2</v>
      </c>
      <c r="F808">
        <v>8.9763240912362804E-2</v>
      </c>
    </row>
    <row r="809" spans="1:6" x14ac:dyDescent="0.2">
      <c r="A809">
        <v>266</v>
      </c>
      <c r="B809" s="37" t="s">
        <v>359</v>
      </c>
      <c r="C809" s="1">
        <v>45309</v>
      </c>
      <c r="D809" s="37" t="s">
        <v>359</v>
      </c>
      <c r="E809">
        <v>9.8291035140816302E-2</v>
      </c>
      <c r="F809">
        <v>9.8291035140816302E-2</v>
      </c>
    </row>
    <row r="810" spans="1:6" x14ac:dyDescent="0.2">
      <c r="A810">
        <v>267</v>
      </c>
      <c r="B810" s="37" t="s">
        <v>360</v>
      </c>
      <c r="C810" s="1">
        <v>45517</v>
      </c>
      <c r="D810" s="37" t="s">
        <v>360</v>
      </c>
      <c r="E810">
        <v>0.34241304877861301</v>
      </c>
      <c r="F810">
        <v>0.34241304877861301</v>
      </c>
    </row>
    <row r="811" spans="1:6" x14ac:dyDescent="0.2">
      <c r="A811">
        <v>267</v>
      </c>
      <c r="B811" s="37" t="s">
        <v>361</v>
      </c>
      <c r="C811" s="1">
        <v>45388</v>
      </c>
      <c r="D811" s="37" t="s">
        <v>361</v>
      </c>
      <c r="E811">
        <v>9.4393656224018699E-2</v>
      </c>
      <c r="F811">
        <v>9.4393656224018699E-2</v>
      </c>
    </row>
    <row r="812" spans="1:6" x14ac:dyDescent="0.2">
      <c r="A812">
        <v>268</v>
      </c>
      <c r="B812" s="37" t="s">
        <v>362</v>
      </c>
      <c r="C812" s="1">
        <v>45297</v>
      </c>
      <c r="D812" s="37" t="s">
        <v>362</v>
      </c>
      <c r="E812">
        <v>0.176141106289949</v>
      </c>
      <c r="F812">
        <v>0.176141106289949</v>
      </c>
    </row>
    <row r="813" spans="1:6" x14ac:dyDescent="0.2">
      <c r="A813">
        <v>268</v>
      </c>
      <c r="B813" s="37" t="s">
        <v>724</v>
      </c>
      <c r="C813" s="1">
        <v>45473</v>
      </c>
      <c r="D813" s="37" t="s">
        <v>724</v>
      </c>
      <c r="E813">
        <v>0.120484747972115</v>
      </c>
      <c r="F813">
        <v>0.120484747972115</v>
      </c>
    </row>
    <row r="814" spans="1:6" x14ac:dyDescent="0.2">
      <c r="A814">
        <v>270</v>
      </c>
      <c r="B814" s="37" t="s">
        <v>1244</v>
      </c>
      <c r="C814" s="1">
        <v>45519</v>
      </c>
      <c r="D814" s="37" t="s">
        <v>1244</v>
      </c>
      <c r="E814">
        <v>8.3834003794618694E-2</v>
      </c>
      <c r="F814">
        <v>8.3834003794618694E-2</v>
      </c>
    </row>
    <row r="815" spans="1:6" x14ac:dyDescent="0.2">
      <c r="A815">
        <v>270</v>
      </c>
      <c r="B815" s="37" t="s">
        <v>1245</v>
      </c>
      <c r="C815" s="1">
        <v>45556</v>
      </c>
      <c r="D815" s="37" t="s">
        <v>1245</v>
      </c>
      <c r="E815">
        <v>0.13934266934225201</v>
      </c>
      <c r="F815">
        <v>0.13934266934225201</v>
      </c>
    </row>
    <row r="816" spans="1:6" x14ac:dyDescent="0.2">
      <c r="A816">
        <v>270</v>
      </c>
      <c r="B816" s="37" t="s">
        <v>1246</v>
      </c>
      <c r="C816" s="1">
        <v>45505</v>
      </c>
      <c r="D816" s="37" t="s">
        <v>1246</v>
      </c>
      <c r="E816">
        <v>0.13017802619170199</v>
      </c>
      <c r="F816">
        <v>0.13017802619170199</v>
      </c>
    </row>
    <row r="817" spans="1:6" x14ac:dyDescent="0.2">
      <c r="A817">
        <v>271</v>
      </c>
      <c r="B817" s="37" t="s">
        <v>363</v>
      </c>
      <c r="C817" s="1">
        <v>45508</v>
      </c>
      <c r="D817" s="37" t="s">
        <v>363</v>
      </c>
      <c r="E817">
        <v>0.20091866680826601</v>
      </c>
      <c r="F817">
        <v>0.20091866680826601</v>
      </c>
    </row>
    <row r="818" spans="1:6" x14ac:dyDescent="0.2">
      <c r="A818">
        <v>271</v>
      </c>
      <c r="B818" s="37" t="s">
        <v>364</v>
      </c>
      <c r="C818" s="1">
        <v>45415</v>
      </c>
      <c r="D818" s="37" t="s">
        <v>364</v>
      </c>
      <c r="E818">
        <v>5.8177936625364701E-3</v>
      </c>
      <c r="F818">
        <v>5.8177936625364701E-3</v>
      </c>
    </row>
    <row r="819" spans="1:6" x14ac:dyDescent="0.2">
      <c r="A819">
        <v>271</v>
      </c>
      <c r="B819" s="37" t="s">
        <v>1247</v>
      </c>
      <c r="C819" s="1">
        <v>45456</v>
      </c>
      <c r="D819" s="37" t="s">
        <v>1247</v>
      </c>
      <c r="E819">
        <v>0.23644331784171199</v>
      </c>
      <c r="F819">
        <v>0.23644331784171199</v>
      </c>
    </row>
    <row r="820" spans="1:6" x14ac:dyDescent="0.2">
      <c r="A820">
        <v>271</v>
      </c>
      <c r="B820" s="37" t="s">
        <v>725</v>
      </c>
      <c r="C820" s="1">
        <v>45653</v>
      </c>
      <c r="D820" s="37" t="s">
        <v>725</v>
      </c>
      <c r="E820">
        <v>0.232178091878777</v>
      </c>
      <c r="F820">
        <v>0.232178091878777</v>
      </c>
    </row>
    <row r="821" spans="1:6" x14ac:dyDescent="0.2">
      <c r="A821">
        <v>271</v>
      </c>
      <c r="B821" s="37" t="s">
        <v>726</v>
      </c>
      <c r="C821" s="1">
        <v>45485</v>
      </c>
      <c r="D821" s="37" t="s">
        <v>726</v>
      </c>
      <c r="E821">
        <v>0.18650035175639401</v>
      </c>
      <c r="F821">
        <v>0.18650035175639401</v>
      </c>
    </row>
    <row r="822" spans="1:6" x14ac:dyDescent="0.2">
      <c r="A822">
        <v>273</v>
      </c>
      <c r="B822" s="37" t="s">
        <v>727</v>
      </c>
      <c r="C822" s="1">
        <v>45647</v>
      </c>
      <c r="D822" s="37" t="s">
        <v>727</v>
      </c>
      <c r="E822">
        <v>4.8343431747746399E-2</v>
      </c>
      <c r="F822">
        <v>4.8343431747746399E-2</v>
      </c>
    </row>
    <row r="823" spans="1:6" x14ac:dyDescent="0.2">
      <c r="A823">
        <v>274</v>
      </c>
      <c r="B823" s="37" t="s">
        <v>1248</v>
      </c>
      <c r="C823" s="1">
        <v>45525</v>
      </c>
      <c r="D823" s="37" t="s">
        <v>1248</v>
      </c>
      <c r="E823">
        <v>0.21718251957488499</v>
      </c>
      <c r="F823">
        <v>0.21718251957488499</v>
      </c>
    </row>
    <row r="824" spans="1:6" x14ac:dyDescent="0.2">
      <c r="A824">
        <v>275</v>
      </c>
      <c r="B824" s="37" t="s">
        <v>728</v>
      </c>
      <c r="C824" s="1">
        <v>45529</v>
      </c>
      <c r="D824" s="37" t="s">
        <v>728</v>
      </c>
      <c r="E824">
        <v>0.42406577559722602</v>
      </c>
      <c r="F824">
        <v>0.42406577559722602</v>
      </c>
    </row>
    <row r="825" spans="1:6" x14ac:dyDescent="0.2">
      <c r="A825">
        <v>275</v>
      </c>
      <c r="B825" s="37" t="s">
        <v>729</v>
      </c>
      <c r="C825" s="1">
        <v>45356</v>
      </c>
      <c r="D825" s="37" t="s">
        <v>729</v>
      </c>
      <c r="E825">
        <v>0.23731427271996999</v>
      </c>
      <c r="F825">
        <v>0.23731427271996999</v>
      </c>
    </row>
    <row r="826" spans="1:6" x14ac:dyDescent="0.2">
      <c r="A826">
        <v>275</v>
      </c>
      <c r="B826" s="37" t="s">
        <v>365</v>
      </c>
      <c r="C826" s="1">
        <v>45556</v>
      </c>
      <c r="D826" s="37" t="s">
        <v>365</v>
      </c>
      <c r="E826">
        <v>6.6710119773343596E-2</v>
      </c>
      <c r="F826">
        <v>6.6710119773343596E-2</v>
      </c>
    </row>
    <row r="827" spans="1:6" x14ac:dyDescent="0.2">
      <c r="A827">
        <v>275</v>
      </c>
      <c r="B827" s="37" t="s">
        <v>366</v>
      </c>
      <c r="C827" s="1">
        <v>45523</v>
      </c>
      <c r="D827" s="37" t="s">
        <v>366</v>
      </c>
      <c r="E827">
        <v>0.149603307276889</v>
      </c>
      <c r="F827">
        <v>0.149603307276889</v>
      </c>
    </row>
    <row r="828" spans="1:6" x14ac:dyDescent="0.2">
      <c r="A828">
        <v>276</v>
      </c>
      <c r="B828" s="37" t="s">
        <v>1249</v>
      </c>
      <c r="C828" s="1">
        <v>45494</v>
      </c>
      <c r="D828" s="37" t="s">
        <v>1249</v>
      </c>
      <c r="E828">
        <v>0.22397193165690399</v>
      </c>
      <c r="F828">
        <v>0.22397193165690399</v>
      </c>
    </row>
    <row r="829" spans="1:6" x14ac:dyDescent="0.2">
      <c r="A829">
        <v>276</v>
      </c>
      <c r="B829" s="37" t="s">
        <v>1250</v>
      </c>
      <c r="C829" s="1">
        <v>45370</v>
      </c>
      <c r="D829" s="37" t="s">
        <v>1250</v>
      </c>
      <c r="E829">
        <v>4.8002615078259099E-2</v>
      </c>
      <c r="F829">
        <v>4.8002615078259099E-2</v>
      </c>
    </row>
    <row r="830" spans="1:6" x14ac:dyDescent="0.2">
      <c r="A830">
        <v>276</v>
      </c>
      <c r="B830" s="37" t="s">
        <v>1251</v>
      </c>
      <c r="C830" s="1">
        <v>45639</v>
      </c>
      <c r="D830" s="37" t="s">
        <v>1251</v>
      </c>
      <c r="E830">
        <v>0.15689731181883901</v>
      </c>
      <c r="F830">
        <v>0.15689731181883901</v>
      </c>
    </row>
    <row r="831" spans="1:6" x14ac:dyDescent="0.2">
      <c r="A831">
        <v>276</v>
      </c>
      <c r="B831" s="37" t="s">
        <v>1252</v>
      </c>
      <c r="C831" s="1">
        <v>45629</v>
      </c>
      <c r="D831" s="37" t="s">
        <v>1252</v>
      </c>
      <c r="E831">
        <v>9.51618901917438E-2</v>
      </c>
      <c r="F831">
        <v>9.51618901917438E-2</v>
      </c>
    </row>
    <row r="832" spans="1:6" x14ac:dyDescent="0.2">
      <c r="A832">
        <v>277</v>
      </c>
      <c r="B832" s="37" t="s">
        <v>730</v>
      </c>
      <c r="C832" s="1">
        <v>45324</v>
      </c>
      <c r="D832" s="37" t="s">
        <v>730</v>
      </c>
      <c r="E832">
        <v>0.144292996423938</v>
      </c>
      <c r="F832">
        <v>0.144292996423938</v>
      </c>
    </row>
    <row r="833" spans="1:6" x14ac:dyDescent="0.2">
      <c r="A833">
        <v>277</v>
      </c>
      <c r="B833" s="37" t="s">
        <v>731</v>
      </c>
      <c r="C833" s="1">
        <v>45531</v>
      </c>
      <c r="D833" s="37" t="s">
        <v>731</v>
      </c>
      <c r="E833">
        <v>0.115816387036577</v>
      </c>
      <c r="F833">
        <v>0.115816387036577</v>
      </c>
    </row>
    <row r="834" spans="1:6" x14ac:dyDescent="0.2">
      <c r="A834">
        <v>277</v>
      </c>
      <c r="B834" s="37" t="s">
        <v>732</v>
      </c>
      <c r="C834" s="1">
        <v>45453</v>
      </c>
      <c r="D834" s="37" t="s">
        <v>732</v>
      </c>
      <c r="E834">
        <v>0.27978300272836998</v>
      </c>
      <c r="F834">
        <v>0.27978300272836998</v>
      </c>
    </row>
    <row r="835" spans="1:6" x14ac:dyDescent="0.2">
      <c r="A835">
        <v>277</v>
      </c>
      <c r="B835" s="37" t="s">
        <v>733</v>
      </c>
      <c r="C835" s="1">
        <v>45560</v>
      </c>
      <c r="D835" s="37" t="s">
        <v>733</v>
      </c>
      <c r="E835">
        <v>0.13257347012135001</v>
      </c>
      <c r="F835">
        <v>0.13257347012135001</v>
      </c>
    </row>
    <row r="836" spans="1:6" x14ac:dyDescent="0.2">
      <c r="A836">
        <v>277</v>
      </c>
      <c r="B836" s="37" t="s">
        <v>734</v>
      </c>
      <c r="C836" s="1">
        <v>45390</v>
      </c>
      <c r="D836" s="37" t="s">
        <v>734</v>
      </c>
      <c r="E836">
        <v>0.18674451940933501</v>
      </c>
      <c r="F836">
        <v>0.18674451940933501</v>
      </c>
    </row>
    <row r="837" spans="1:6" x14ac:dyDescent="0.2">
      <c r="A837">
        <v>277</v>
      </c>
      <c r="B837" s="37" t="s">
        <v>735</v>
      </c>
      <c r="C837" s="1">
        <v>45403</v>
      </c>
      <c r="D837" s="37" t="s">
        <v>735</v>
      </c>
      <c r="E837">
        <v>0.31342318772816302</v>
      </c>
      <c r="F837">
        <v>0.31342318772816302</v>
      </c>
    </row>
    <row r="838" spans="1:6" x14ac:dyDescent="0.2">
      <c r="A838">
        <v>277</v>
      </c>
      <c r="B838" s="37" t="s">
        <v>736</v>
      </c>
      <c r="C838" s="1">
        <v>45400</v>
      </c>
      <c r="D838" s="37" t="s">
        <v>736</v>
      </c>
      <c r="E838">
        <v>0.20936498904770601</v>
      </c>
      <c r="F838">
        <v>0.20936498904770601</v>
      </c>
    </row>
    <row r="839" spans="1:6" x14ac:dyDescent="0.2">
      <c r="A839">
        <v>278</v>
      </c>
      <c r="B839" s="37" t="s">
        <v>367</v>
      </c>
      <c r="C839" s="1">
        <v>45521</v>
      </c>
      <c r="D839" s="37" t="s">
        <v>367</v>
      </c>
      <c r="E839">
        <v>0.15014788566602799</v>
      </c>
      <c r="F839">
        <v>0.15014788566602799</v>
      </c>
    </row>
    <row r="840" spans="1:6" x14ac:dyDescent="0.2">
      <c r="A840">
        <v>278</v>
      </c>
      <c r="B840" s="37" t="s">
        <v>368</v>
      </c>
      <c r="C840" s="1">
        <v>45549</v>
      </c>
      <c r="D840" s="37" t="s">
        <v>368</v>
      </c>
      <c r="E840">
        <v>0.62924180795679896</v>
      </c>
      <c r="F840">
        <v>0.62924180795679896</v>
      </c>
    </row>
    <row r="841" spans="1:6" x14ac:dyDescent="0.2">
      <c r="A841">
        <v>278</v>
      </c>
      <c r="B841" s="37" t="s">
        <v>1253</v>
      </c>
      <c r="C841" s="1">
        <v>45618</v>
      </c>
      <c r="D841" s="37" t="s">
        <v>1253</v>
      </c>
      <c r="E841">
        <v>0.110605058249733</v>
      </c>
      <c r="F841">
        <v>0.110605058249733</v>
      </c>
    </row>
    <row r="842" spans="1:6" x14ac:dyDescent="0.2">
      <c r="A842">
        <v>279</v>
      </c>
      <c r="B842" s="37" t="s">
        <v>1254</v>
      </c>
      <c r="C842" s="1">
        <v>45350</v>
      </c>
      <c r="D842" s="37" t="s">
        <v>1254</v>
      </c>
      <c r="E842">
        <v>0.176766141721799</v>
      </c>
      <c r="F842">
        <v>0.176766141721799</v>
      </c>
    </row>
    <row r="843" spans="1:6" x14ac:dyDescent="0.2">
      <c r="A843">
        <v>280</v>
      </c>
      <c r="B843" s="37" t="s">
        <v>1255</v>
      </c>
      <c r="C843" s="1">
        <v>45579</v>
      </c>
      <c r="D843" s="37" t="s">
        <v>1255</v>
      </c>
      <c r="E843">
        <v>0.41511394792620099</v>
      </c>
      <c r="F843">
        <v>0.41511394792620099</v>
      </c>
    </row>
    <row r="844" spans="1:6" x14ac:dyDescent="0.2">
      <c r="A844">
        <v>280</v>
      </c>
      <c r="B844" s="37" t="s">
        <v>1256</v>
      </c>
      <c r="C844" s="1">
        <v>45487</v>
      </c>
      <c r="D844" s="37" t="s">
        <v>1256</v>
      </c>
      <c r="E844">
        <v>0.195844010220285</v>
      </c>
      <c r="F844">
        <v>0.195844010220285</v>
      </c>
    </row>
    <row r="845" spans="1:6" x14ac:dyDescent="0.2">
      <c r="A845">
        <v>280</v>
      </c>
      <c r="B845" s="37" t="s">
        <v>369</v>
      </c>
      <c r="C845" s="1">
        <v>45365</v>
      </c>
      <c r="D845" s="37" t="s">
        <v>369</v>
      </c>
      <c r="E845">
        <v>2.7381382498947799E-2</v>
      </c>
      <c r="F845">
        <v>2.7381382498947799E-2</v>
      </c>
    </row>
    <row r="846" spans="1:6" x14ac:dyDescent="0.2">
      <c r="A846">
        <v>280</v>
      </c>
      <c r="B846" s="37" t="s">
        <v>370</v>
      </c>
      <c r="C846" s="1">
        <v>45301</v>
      </c>
      <c r="D846" s="37" t="s">
        <v>370</v>
      </c>
      <c r="E846">
        <v>0.24882290847011301</v>
      </c>
      <c r="F846">
        <v>0.24882290847011301</v>
      </c>
    </row>
    <row r="847" spans="1:6" x14ac:dyDescent="0.2">
      <c r="A847">
        <v>281</v>
      </c>
      <c r="B847" s="37" t="s">
        <v>371</v>
      </c>
      <c r="C847" s="1">
        <v>45602</v>
      </c>
      <c r="D847" s="37" t="s">
        <v>371</v>
      </c>
      <c r="E847">
        <v>0.112692680001935</v>
      </c>
      <c r="F847">
        <v>0.112692680001935</v>
      </c>
    </row>
    <row r="848" spans="1:6" x14ac:dyDescent="0.2">
      <c r="A848">
        <v>281</v>
      </c>
      <c r="B848" s="37" t="s">
        <v>372</v>
      </c>
      <c r="C848" s="1">
        <v>45320</v>
      </c>
      <c r="D848" s="37" t="s">
        <v>372</v>
      </c>
      <c r="E848">
        <v>0.22053896295145001</v>
      </c>
      <c r="F848">
        <v>0.22053896295145001</v>
      </c>
    </row>
    <row r="849" spans="1:6" x14ac:dyDescent="0.2">
      <c r="A849">
        <v>281</v>
      </c>
      <c r="B849" s="37" t="s">
        <v>373</v>
      </c>
      <c r="C849" s="1">
        <v>45548</v>
      </c>
      <c r="D849" s="37" t="s">
        <v>373</v>
      </c>
      <c r="E849">
        <v>0.231350080483811</v>
      </c>
      <c r="F849">
        <v>0.231350080483811</v>
      </c>
    </row>
    <row r="850" spans="1:6" x14ac:dyDescent="0.2">
      <c r="A850">
        <v>281</v>
      </c>
      <c r="B850" s="37" t="s">
        <v>1257</v>
      </c>
      <c r="C850" s="1">
        <v>45486</v>
      </c>
      <c r="D850" s="37" t="s">
        <v>1257</v>
      </c>
      <c r="E850">
        <v>9.5049891719219695E-2</v>
      </c>
      <c r="F850">
        <v>9.5049891719219695E-2</v>
      </c>
    </row>
    <row r="851" spans="1:6" x14ac:dyDescent="0.2">
      <c r="A851">
        <v>282</v>
      </c>
      <c r="B851" s="37" t="s">
        <v>1258</v>
      </c>
      <c r="C851" s="1">
        <v>45511</v>
      </c>
      <c r="D851" s="37" t="s">
        <v>1258</v>
      </c>
      <c r="E851">
        <v>0.23606027711328501</v>
      </c>
      <c r="F851">
        <v>0.23606027711328501</v>
      </c>
    </row>
    <row r="852" spans="1:6" x14ac:dyDescent="0.2">
      <c r="A852">
        <v>283</v>
      </c>
      <c r="B852" s="37" t="s">
        <v>1259</v>
      </c>
      <c r="C852" s="1">
        <v>45471</v>
      </c>
      <c r="D852" s="37" t="s">
        <v>1259</v>
      </c>
      <c r="E852">
        <v>0.222453771749376</v>
      </c>
      <c r="F852">
        <v>0.222453771749376</v>
      </c>
    </row>
    <row r="853" spans="1:6" x14ac:dyDescent="0.2">
      <c r="A853">
        <v>283</v>
      </c>
      <c r="B853" s="37" t="s">
        <v>1260</v>
      </c>
      <c r="C853" s="1">
        <v>45596</v>
      </c>
      <c r="D853" s="37" t="s">
        <v>1260</v>
      </c>
      <c r="E853">
        <v>0.24958953769588799</v>
      </c>
      <c r="F853">
        <v>0.24958953769588799</v>
      </c>
    </row>
    <row r="854" spans="1:6" x14ac:dyDescent="0.2">
      <c r="A854">
        <v>284</v>
      </c>
      <c r="B854" s="37" t="s">
        <v>1261</v>
      </c>
      <c r="C854" s="1">
        <v>45381</v>
      </c>
      <c r="D854" s="37" t="s">
        <v>1261</v>
      </c>
      <c r="E854">
        <v>0.242546011082517</v>
      </c>
      <c r="F854">
        <v>0.242546011082517</v>
      </c>
    </row>
    <row r="855" spans="1:6" x14ac:dyDescent="0.2">
      <c r="A855">
        <v>284</v>
      </c>
      <c r="B855" s="37" t="s">
        <v>1262</v>
      </c>
      <c r="C855" s="1">
        <v>45482</v>
      </c>
      <c r="D855" s="37" t="s">
        <v>1262</v>
      </c>
      <c r="E855">
        <v>0.107649684342963</v>
      </c>
      <c r="F855">
        <v>0.107649684342963</v>
      </c>
    </row>
    <row r="856" spans="1:6" x14ac:dyDescent="0.2">
      <c r="A856">
        <v>285</v>
      </c>
      <c r="B856" s="37" t="s">
        <v>737</v>
      </c>
      <c r="C856" s="1">
        <v>45469</v>
      </c>
      <c r="D856" s="37" t="s">
        <v>737</v>
      </c>
      <c r="E856">
        <v>0.227112500422257</v>
      </c>
      <c r="F856">
        <v>0.227112500422257</v>
      </c>
    </row>
    <row r="857" spans="1:6" x14ac:dyDescent="0.2">
      <c r="A857">
        <v>286</v>
      </c>
      <c r="B857" s="37" t="s">
        <v>1263</v>
      </c>
      <c r="C857" s="1">
        <v>45491</v>
      </c>
      <c r="D857" s="37" t="s">
        <v>1263</v>
      </c>
      <c r="E857">
        <v>0.37111087370830997</v>
      </c>
      <c r="F857">
        <v>0.37111087370830997</v>
      </c>
    </row>
    <row r="858" spans="1:6" x14ac:dyDescent="0.2">
      <c r="A858">
        <v>286</v>
      </c>
      <c r="B858" s="37" t="s">
        <v>738</v>
      </c>
      <c r="C858" s="1">
        <v>45486</v>
      </c>
      <c r="D858" s="37" t="s">
        <v>738</v>
      </c>
      <c r="E858">
        <v>0.12776350929972599</v>
      </c>
      <c r="F858">
        <v>0.12776350929972599</v>
      </c>
    </row>
    <row r="859" spans="1:6" x14ac:dyDescent="0.2">
      <c r="A859">
        <v>287</v>
      </c>
      <c r="B859" s="37" t="s">
        <v>1264</v>
      </c>
      <c r="C859" s="1">
        <v>45435</v>
      </c>
      <c r="D859" s="37" t="s">
        <v>1264</v>
      </c>
      <c r="E859">
        <v>0.103987893119104</v>
      </c>
      <c r="F859">
        <v>0.103987893119104</v>
      </c>
    </row>
    <row r="860" spans="1:6" x14ac:dyDescent="0.2">
      <c r="A860">
        <v>288</v>
      </c>
      <c r="B860" s="37" t="s">
        <v>739</v>
      </c>
      <c r="C860" s="1">
        <v>45420</v>
      </c>
      <c r="D860" s="37" t="s">
        <v>739</v>
      </c>
      <c r="E860">
        <v>8.7596168851124603E-2</v>
      </c>
      <c r="F860">
        <v>8.7596168851124603E-2</v>
      </c>
    </row>
    <row r="861" spans="1:6" x14ac:dyDescent="0.2">
      <c r="A861">
        <v>288</v>
      </c>
      <c r="B861" s="37" t="s">
        <v>740</v>
      </c>
      <c r="C861" s="1">
        <v>45505</v>
      </c>
      <c r="D861" s="37" t="s">
        <v>740</v>
      </c>
      <c r="E861">
        <v>8.6126531122123498E-2</v>
      </c>
      <c r="F861">
        <v>8.6126531122123498E-2</v>
      </c>
    </row>
    <row r="862" spans="1:6" x14ac:dyDescent="0.2">
      <c r="A862">
        <v>289</v>
      </c>
      <c r="B862" s="37" t="s">
        <v>1265</v>
      </c>
      <c r="C862" s="1">
        <v>45476</v>
      </c>
      <c r="D862" s="37" t="s">
        <v>1265</v>
      </c>
      <c r="E862">
        <v>0.42372673570428798</v>
      </c>
      <c r="F862">
        <v>0.42372673570428798</v>
      </c>
    </row>
    <row r="863" spans="1:6" x14ac:dyDescent="0.2">
      <c r="A863">
        <v>290</v>
      </c>
      <c r="B863" s="37" t="s">
        <v>374</v>
      </c>
      <c r="C863" s="1">
        <v>45360</v>
      </c>
      <c r="D863" s="37" t="s">
        <v>374</v>
      </c>
      <c r="E863">
        <v>0.12605040575976501</v>
      </c>
      <c r="F863">
        <v>0.12605040575976501</v>
      </c>
    </row>
    <row r="864" spans="1:6" x14ac:dyDescent="0.2">
      <c r="A864">
        <v>290</v>
      </c>
      <c r="B864" s="37" t="s">
        <v>375</v>
      </c>
      <c r="C864" s="1">
        <v>45505</v>
      </c>
      <c r="D864" s="37" t="s">
        <v>375</v>
      </c>
      <c r="E864">
        <v>4.9027221037410598E-2</v>
      </c>
      <c r="F864">
        <v>4.9027221037410598E-2</v>
      </c>
    </row>
    <row r="865" spans="1:6" x14ac:dyDescent="0.2">
      <c r="A865">
        <v>290</v>
      </c>
      <c r="B865" s="37" t="s">
        <v>376</v>
      </c>
      <c r="C865" s="1">
        <v>45465</v>
      </c>
      <c r="D865" s="37" t="s">
        <v>376</v>
      </c>
      <c r="E865">
        <v>7.18024112228242E-2</v>
      </c>
      <c r="F865">
        <v>7.18024112228242E-2</v>
      </c>
    </row>
    <row r="866" spans="1:6" x14ac:dyDescent="0.2">
      <c r="A866">
        <v>290</v>
      </c>
      <c r="B866" s="37" t="s">
        <v>377</v>
      </c>
      <c r="C866" s="1">
        <v>45591</v>
      </c>
      <c r="D866" s="37" t="s">
        <v>377</v>
      </c>
      <c r="E866">
        <v>0.17624152937696</v>
      </c>
      <c r="F866">
        <v>0.17624152937696</v>
      </c>
    </row>
    <row r="867" spans="1:6" x14ac:dyDescent="0.2">
      <c r="A867">
        <v>291</v>
      </c>
      <c r="B867" s="37" t="s">
        <v>1266</v>
      </c>
      <c r="C867" s="1">
        <v>45644</v>
      </c>
      <c r="D867" s="37" t="s">
        <v>1266</v>
      </c>
      <c r="E867">
        <v>0.206601127582311</v>
      </c>
      <c r="F867">
        <v>0.206601127582311</v>
      </c>
    </row>
    <row r="868" spans="1:6" x14ac:dyDescent="0.2">
      <c r="A868">
        <v>291</v>
      </c>
      <c r="B868" s="37" t="s">
        <v>1267</v>
      </c>
      <c r="C868" s="1">
        <v>45292</v>
      </c>
      <c r="D868" s="37" t="s">
        <v>1267</v>
      </c>
      <c r="E868">
        <v>0.11601638341215</v>
      </c>
      <c r="F868">
        <v>0.11601638341215</v>
      </c>
    </row>
    <row r="869" spans="1:6" x14ac:dyDescent="0.2">
      <c r="A869">
        <v>292</v>
      </c>
      <c r="B869" s="37" t="s">
        <v>1268</v>
      </c>
      <c r="C869" s="1">
        <v>45339</v>
      </c>
      <c r="D869" s="37" t="s">
        <v>1268</v>
      </c>
      <c r="E869">
        <v>3.5769598278168398E-2</v>
      </c>
      <c r="F869">
        <v>3.5769598278168398E-2</v>
      </c>
    </row>
    <row r="870" spans="1:6" x14ac:dyDescent="0.2">
      <c r="A870">
        <v>293</v>
      </c>
      <c r="B870" s="37" t="s">
        <v>741</v>
      </c>
      <c r="C870" s="1">
        <v>45430</v>
      </c>
      <c r="D870" s="37" t="s">
        <v>741</v>
      </c>
      <c r="E870">
        <v>0.104288193254921</v>
      </c>
      <c r="F870">
        <v>0.104288193254921</v>
      </c>
    </row>
    <row r="871" spans="1:6" x14ac:dyDescent="0.2">
      <c r="A871">
        <v>294</v>
      </c>
      <c r="B871" s="37" t="s">
        <v>1269</v>
      </c>
      <c r="C871" s="1">
        <v>45415</v>
      </c>
      <c r="D871" s="37" t="s">
        <v>1269</v>
      </c>
      <c r="E871">
        <v>0.239718757449009</v>
      </c>
      <c r="F871">
        <v>0.239718757449009</v>
      </c>
    </row>
    <row r="872" spans="1:6" x14ac:dyDescent="0.2">
      <c r="A872">
        <v>294</v>
      </c>
      <c r="B872" s="37" t="s">
        <v>1270</v>
      </c>
      <c r="C872" s="1">
        <v>45334</v>
      </c>
      <c r="D872" s="37" t="s">
        <v>1270</v>
      </c>
      <c r="E872">
        <v>1.8332960849327E-2</v>
      </c>
      <c r="F872">
        <v>1.8332960849327E-2</v>
      </c>
    </row>
    <row r="873" spans="1:6" x14ac:dyDescent="0.2">
      <c r="A873">
        <v>294</v>
      </c>
      <c r="B873" s="37" t="s">
        <v>1271</v>
      </c>
      <c r="C873" s="1">
        <v>45318</v>
      </c>
      <c r="D873" s="37" t="s">
        <v>1271</v>
      </c>
      <c r="E873">
        <v>0.118530304494324</v>
      </c>
      <c r="F873">
        <v>0.118530304494324</v>
      </c>
    </row>
    <row r="874" spans="1:6" x14ac:dyDescent="0.2">
      <c r="A874">
        <v>294</v>
      </c>
      <c r="B874" s="37" t="s">
        <v>742</v>
      </c>
      <c r="C874" s="1">
        <v>45519</v>
      </c>
      <c r="D874" s="37" t="s">
        <v>742</v>
      </c>
      <c r="E874">
        <v>4.34192733039079E-2</v>
      </c>
      <c r="F874">
        <v>4.34192733039079E-2</v>
      </c>
    </row>
    <row r="875" spans="1:6" x14ac:dyDescent="0.2">
      <c r="A875">
        <v>294</v>
      </c>
      <c r="B875" s="37" t="s">
        <v>378</v>
      </c>
      <c r="C875" s="1">
        <v>45524</v>
      </c>
      <c r="D875" s="37" t="s">
        <v>378</v>
      </c>
      <c r="E875">
        <v>0.146387185344379</v>
      </c>
      <c r="F875">
        <v>0.146387185344379</v>
      </c>
    </row>
    <row r="876" spans="1:6" x14ac:dyDescent="0.2">
      <c r="A876">
        <v>295</v>
      </c>
      <c r="B876" s="37" t="s">
        <v>379</v>
      </c>
      <c r="C876" s="1">
        <v>45368</v>
      </c>
      <c r="D876" s="37" t="s">
        <v>379</v>
      </c>
      <c r="E876">
        <v>0.20820527638036301</v>
      </c>
      <c r="F876">
        <v>0.20820527638036301</v>
      </c>
    </row>
    <row r="877" spans="1:6" x14ac:dyDescent="0.2">
      <c r="A877">
        <v>295</v>
      </c>
      <c r="B877" s="37" t="s">
        <v>380</v>
      </c>
      <c r="C877" s="1">
        <v>45294</v>
      </c>
      <c r="D877" s="37" t="s">
        <v>380</v>
      </c>
      <c r="E877">
        <v>0.228085293395004</v>
      </c>
      <c r="F877">
        <v>0.228085293395004</v>
      </c>
    </row>
    <row r="878" spans="1:6" x14ac:dyDescent="0.2">
      <c r="A878">
        <v>295</v>
      </c>
      <c r="B878" s="37" t="s">
        <v>743</v>
      </c>
      <c r="C878" s="1">
        <v>45303</v>
      </c>
      <c r="D878" s="37" t="s">
        <v>743</v>
      </c>
      <c r="E878">
        <v>0.19965190326749099</v>
      </c>
      <c r="F878">
        <v>0.19965190326749099</v>
      </c>
    </row>
    <row r="879" spans="1:6" x14ac:dyDescent="0.2">
      <c r="A879">
        <v>295</v>
      </c>
      <c r="B879" s="37" t="s">
        <v>744</v>
      </c>
      <c r="C879" s="1">
        <v>45635</v>
      </c>
      <c r="D879" s="37" t="s">
        <v>744</v>
      </c>
      <c r="E879">
        <v>6.4529092644347294E-2</v>
      </c>
      <c r="F879">
        <v>6.4529092644347294E-2</v>
      </c>
    </row>
    <row r="880" spans="1:6" x14ac:dyDescent="0.2">
      <c r="A880">
        <v>296</v>
      </c>
      <c r="B880" s="37" t="s">
        <v>1272</v>
      </c>
      <c r="C880" s="1">
        <v>45544</v>
      </c>
      <c r="D880" s="37" t="s">
        <v>1272</v>
      </c>
      <c r="E880">
        <v>0.20191917752359001</v>
      </c>
      <c r="F880">
        <v>0.20191917752359001</v>
      </c>
    </row>
    <row r="881" spans="1:6" x14ac:dyDescent="0.2">
      <c r="A881">
        <v>296</v>
      </c>
      <c r="B881" s="37" t="s">
        <v>1273</v>
      </c>
      <c r="C881" s="1">
        <v>45308</v>
      </c>
      <c r="D881" s="37" t="s">
        <v>1273</v>
      </c>
      <c r="E881">
        <v>0.16493314993495001</v>
      </c>
      <c r="F881">
        <v>0.16493314993495001</v>
      </c>
    </row>
    <row r="882" spans="1:6" x14ac:dyDescent="0.2">
      <c r="A882">
        <v>296</v>
      </c>
      <c r="B882" s="37" t="s">
        <v>381</v>
      </c>
      <c r="C882" s="1">
        <v>45569</v>
      </c>
      <c r="D882" s="37" t="s">
        <v>381</v>
      </c>
      <c r="E882">
        <v>7.30181130389468E-2</v>
      </c>
      <c r="F882">
        <v>7.30181130389468E-2</v>
      </c>
    </row>
    <row r="883" spans="1:6" x14ac:dyDescent="0.2">
      <c r="A883">
        <v>296</v>
      </c>
      <c r="B883" s="37" t="s">
        <v>382</v>
      </c>
      <c r="C883" s="1">
        <v>45520</v>
      </c>
      <c r="D883" s="37" t="s">
        <v>382</v>
      </c>
      <c r="E883">
        <v>7.53686090240656E-2</v>
      </c>
      <c r="F883">
        <v>7.53686090240656E-2</v>
      </c>
    </row>
    <row r="884" spans="1:6" x14ac:dyDescent="0.2">
      <c r="A884">
        <v>296</v>
      </c>
      <c r="B884" s="37" t="s">
        <v>383</v>
      </c>
      <c r="C884" s="1">
        <v>45460</v>
      </c>
      <c r="D884" s="37" t="s">
        <v>383</v>
      </c>
      <c r="E884">
        <v>6.4471412996854396E-2</v>
      </c>
      <c r="F884">
        <v>6.4471412996854396E-2</v>
      </c>
    </row>
    <row r="885" spans="1:6" x14ac:dyDescent="0.2">
      <c r="A885">
        <v>297</v>
      </c>
      <c r="B885" s="37" t="s">
        <v>1274</v>
      </c>
      <c r="C885" s="1">
        <v>45635</v>
      </c>
      <c r="D885" s="37" t="s">
        <v>1274</v>
      </c>
      <c r="E885">
        <v>0.36590545660700002</v>
      </c>
      <c r="F885">
        <v>0.36590545660700002</v>
      </c>
    </row>
    <row r="886" spans="1:6" x14ac:dyDescent="0.2">
      <c r="A886">
        <v>297</v>
      </c>
      <c r="B886" s="37" t="s">
        <v>384</v>
      </c>
      <c r="C886" s="1">
        <v>45608</v>
      </c>
      <c r="D886" s="37" t="s">
        <v>384</v>
      </c>
      <c r="E886">
        <v>0.378934681725275</v>
      </c>
      <c r="F886">
        <v>0.378934681725275</v>
      </c>
    </row>
    <row r="887" spans="1:6" x14ac:dyDescent="0.2">
      <c r="A887">
        <v>297</v>
      </c>
      <c r="B887" s="37" t="s">
        <v>385</v>
      </c>
      <c r="C887" s="1">
        <v>45566</v>
      </c>
      <c r="D887" s="37" t="s">
        <v>385</v>
      </c>
      <c r="E887">
        <v>8.6289532671875793E-2</v>
      </c>
      <c r="F887">
        <v>8.6289532671875793E-2</v>
      </c>
    </row>
    <row r="888" spans="1:6" x14ac:dyDescent="0.2">
      <c r="A888">
        <v>297</v>
      </c>
      <c r="B888" s="37" t="s">
        <v>386</v>
      </c>
      <c r="C888" s="1">
        <v>45594</v>
      </c>
      <c r="D888" s="37" t="s">
        <v>386</v>
      </c>
      <c r="E888">
        <v>0.239496747159956</v>
      </c>
      <c r="F888">
        <v>0.239496747159956</v>
      </c>
    </row>
    <row r="889" spans="1:6" x14ac:dyDescent="0.2">
      <c r="A889">
        <v>297</v>
      </c>
      <c r="B889" s="37" t="s">
        <v>745</v>
      </c>
      <c r="C889" s="1">
        <v>45502</v>
      </c>
      <c r="D889" s="37" t="s">
        <v>745</v>
      </c>
      <c r="E889">
        <v>0.241108642429571</v>
      </c>
      <c r="F889">
        <v>0.241108642429571</v>
      </c>
    </row>
    <row r="890" spans="1:6" x14ac:dyDescent="0.2">
      <c r="A890">
        <v>297</v>
      </c>
      <c r="B890" s="37" t="s">
        <v>746</v>
      </c>
      <c r="C890" s="1">
        <v>45601</v>
      </c>
      <c r="D890" s="37" t="s">
        <v>746</v>
      </c>
      <c r="E890">
        <v>0.31973681708822199</v>
      </c>
      <c r="F890">
        <v>0.31973681708822199</v>
      </c>
    </row>
    <row r="891" spans="1:6" x14ac:dyDescent="0.2">
      <c r="A891">
        <v>297</v>
      </c>
      <c r="B891" s="37" t="s">
        <v>747</v>
      </c>
      <c r="C891" s="1">
        <v>45554</v>
      </c>
      <c r="D891" s="37" t="s">
        <v>747</v>
      </c>
      <c r="E891">
        <v>6.3113645266047E-2</v>
      </c>
      <c r="F891">
        <v>6.3113645266047E-2</v>
      </c>
    </row>
    <row r="892" spans="1:6" x14ac:dyDescent="0.2">
      <c r="A892">
        <v>298</v>
      </c>
      <c r="B892" s="37" t="s">
        <v>1275</v>
      </c>
      <c r="C892" s="1">
        <v>45296</v>
      </c>
      <c r="D892" s="37" t="s">
        <v>1275</v>
      </c>
      <c r="E892">
        <v>0.20461037744625801</v>
      </c>
      <c r="F892">
        <v>0.20461037744625801</v>
      </c>
    </row>
    <row r="893" spans="1:6" x14ac:dyDescent="0.2">
      <c r="A893">
        <v>299</v>
      </c>
      <c r="B893" s="37" t="s">
        <v>1276</v>
      </c>
      <c r="C893" s="1">
        <v>45406</v>
      </c>
      <c r="D893" s="37" t="s">
        <v>1276</v>
      </c>
      <c r="E893">
        <v>6.16945138016253E-2</v>
      </c>
      <c r="F893">
        <v>6.16945138016253E-2</v>
      </c>
    </row>
    <row r="894" spans="1:6" x14ac:dyDescent="0.2">
      <c r="A894">
        <v>300</v>
      </c>
      <c r="B894" s="37" t="s">
        <v>1277</v>
      </c>
      <c r="C894" s="1">
        <v>45472</v>
      </c>
      <c r="D894" s="37" t="s">
        <v>1277</v>
      </c>
      <c r="E894">
        <v>0.234047392366829</v>
      </c>
      <c r="F894">
        <v>0.234047392366829</v>
      </c>
    </row>
    <row r="895" spans="1:6" x14ac:dyDescent="0.2">
      <c r="A895">
        <v>300</v>
      </c>
      <c r="B895" s="37" t="s">
        <v>1278</v>
      </c>
      <c r="C895" s="1">
        <v>45324</v>
      </c>
      <c r="D895" s="37" t="s">
        <v>1278</v>
      </c>
      <c r="E895">
        <v>0.24484864879437701</v>
      </c>
      <c r="F895">
        <v>0.24484864879437701</v>
      </c>
    </row>
    <row r="896" spans="1:6" x14ac:dyDescent="0.2">
      <c r="A896">
        <v>300</v>
      </c>
      <c r="B896" s="37" t="s">
        <v>1279</v>
      </c>
      <c r="C896" s="1">
        <v>45343</v>
      </c>
      <c r="D896" s="37" t="s">
        <v>1279</v>
      </c>
      <c r="E896">
        <v>0.11362749026079801</v>
      </c>
      <c r="F896">
        <v>0.11362749026079801</v>
      </c>
    </row>
    <row r="897" spans="1:6" x14ac:dyDescent="0.2">
      <c r="A897">
        <v>300</v>
      </c>
      <c r="B897" s="37" t="s">
        <v>748</v>
      </c>
      <c r="C897" s="1">
        <v>45293</v>
      </c>
      <c r="D897" s="37" t="s">
        <v>748</v>
      </c>
      <c r="E897">
        <v>0.15671130246485901</v>
      </c>
      <c r="F897">
        <v>0.15671130246485901</v>
      </c>
    </row>
    <row r="898" spans="1:6" x14ac:dyDescent="0.2">
      <c r="A898">
        <v>301</v>
      </c>
      <c r="B898" s="37" t="s">
        <v>1280</v>
      </c>
      <c r="C898" s="1">
        <v>45541</v>
      </c>
      <c r="D898" s="37" t="s">
        <v>1280</v>
      </c>
      <c r="E898">
        <v>0.33621521916837199</v>
      </c>
      <c r="F898">
        <v>0.33621521916837199</v>
      </c>
    </row>
    <row r="899" spans="1:6" x14ac:dyDescent="0.2">
      <c r="A899">
        <v>301</v>
      </c>
      <c r="B899" s="37" t="s">
        <v>1281</v>
      </c>
      <c r="C899" s="1">
        <v>45483</v>
      </c>
      <c r="D899" s="37" t="s">
        <v>1281</v>
      </c>
      <c r="E899">
        <v>0.28947018212397602</v>
      </c>
      <c r="F899">
        <v>0.28947018212397602</v>
      </c>
    </row>
    <row r="900" spans="1:6" x14ac:dyDescent="0.2">
      <c r="A900">
        <v>301</v>
      </c>
      <c r="B900" s="37" t="s">
        <v>387</v>
      </c>
      <c r="C900" s="1">
        <v>45453</v>
      </c>
      <c r="D900" s="37" t="s">
        <v>387</v>
      </c>
      <c r="E900">
        <v>0.16816165210070999</v>
      </c>
      <c r="F900">
        <v>0.16816165210070999</v>
      </c>
    </row>
    <row r="901" spans="1:6" x14ac:dyDescent="0.2">
      <c r="A901">
        <v>301</v>
      </c>
      <c r="B901" s="37" t="s">
        <v>388</v>
      </c>
      <c r="C901" s="1">
        <v>45351</v>
      </c>
      <c r="D901" s="37" t="s">
        <v>388</v>
      </c>
      <c r="E901">
        <v>0.117304686126687</v>
      </c>
      <c r="F901">
        <v>0.117304686126687</v>
      </c>
    </row>
    <row r="902" spans="1:6" x14ac:dyDescent="0.2">
      <c r="A902">
        <v>303</v>
      </c>
      <c r="B902" s="37" t="s">
        <v>749</v>
      </c>
      <c r="C902" s="1">
        <v>45563</v>
      </c>
      <c r="D902" s="37" t="s">
        <v>749</v>
      </c>
      <c r="E902">
        <v>1.8832178106280101E-2</v>
      </c>
      <c r="F902">
        <v>1.8832178106280101E-2</v>
      </c>
    </row>
    <row r="903" spans="1:6" x14ac:dyDescent="0.2">
      <c r="A903">
        <v>303</v>
      </c>
      <c r="B903" s="37" t="s">
        <v>750</v>
      </c>
      <c r="C903" s="1">
        <v>45555</v>
      </c>
      <c r="D903" s="37" t="s">
        <v>750</v>
      </c>
      <c r="E903">
        <v>0.21821529892487401</v>
      </c>
      <c r="F903">
        <v>0.21821529892487401</v>
      </c>
    </row>
    <row r="904" spans="1:6" x14ac:dyDescent="0.2">
      <c r="A904">
        <v>303</v>
      </c>
      <c r="B904" s="37" t="s">
        <v>389</v>
      </c>
      <c r="C904" s="1">
        <v>45488</v>
      </c>
      <c r="D904" s="37" t="s">
        <v>389</v>
      </c>
      <c r="E904">
        <v>0.26856675844564398</v>
      </c>
      <c r="F904">
        <v>0.26856675844564398</v>
      </c>
    </row>
    <row r="905" spans="1:6" x14ac:dyDescent="0.2">
      <c r="A905">
        <v>303</v>
      </c>
      <c r="B905" s="37" t="s">
        <v>390</v>
      </c>
      <c r="C905" s="1">
        <v>45559</v>
      </c>
      <c r="D905" s="37" t="s">
        <v>390</v>
      </c>
      <c r="E905">
        <v>0.19395303299878699</v>
      </c>
      <c r="F905">
        <v>0.19395303299878699</v>
      </c>
    </row>
    <row r="906" spans="1:6" x14ac:dyDescent="0.2">
      <c r="A906">
        <v>304</v>
      </c>
      <c r="B906" s="37" t="s">
        <v>391</v>
      </c>
      <c r="C906" s="1">
        <v>45650</v>
      </c>
      <c r="D906" s="37" t="s">
        <v>391</v>
      </c>
      <c r="E906">
        <v>0.12093956325991601</v>
      </c>
      <c r="F906">
        <v>0.12093956325991601</v>
      </c>
    </row>
    <row r="907" spans="1:6" x14ac:dyDescent="0.2">
      <c r="A907">
        <v>304</v>
      </c>
      <c r="B907" s="37" t="s">
        <v>1282</v>
      </c>
      <c r="C907" s="1">
        <v>45652</v>
      </c>
      <c r="D907" s="37" t="s">
        <v>1282</v>
      </c>
      <c r="E907">
        <v>0.22513378205991899</v>
      </c>
      <c r="F907">
        <v>0.22513378205991899</v>
      </c>
    </row>
    <row r="908" spans="1:6" x14ac:dyDescent="0.2">
      <c r="A908">
        <v>304</v>
      </c>
      <c r="B908" s="37" t="s">
        <v>1283</v>
      </c>
      <c r="C908" s="1">
        <v>45620</v>
      </c>
      <c r="D908" s="37" t="s">
        <v>1283</v>
      </c>
      <c r="E908">
        <v>0.331203671588229</v>
      </c>
      <c r="F908">
        <v>0.331203671588229</v>
      </c>
    </row>
    <row r="909" spans="1:6" x14ac:dyDescent="0.2">
      <c r="A909">
        <v>304</v>
      </c>
      <c r="B909" s="37" t="s">
        <v>1284</v>
      </c>
      <c r="C909" s="1">
        <v>45493</v>
      </c>
      <c r="D909" s="37" t="s">
        <v>1284</v>
      </c>
      <c r="E909">
        <v>0.19322278391324199</v>
      </c>
      <c r="F909">
        <v>0.19322278391324199</v>
      </c>
    </row>
    <row r="910" spans="1:6" x14ac:dyDescent="0.2">
      <c r="A910">
        <v>305</v>
      </c>
      <c r="B910" s="37" t="s">
        <v>1285</v>
      </c>
      <c r="C910" s="1">
        <v>45518</v>
      </c>
      <c r="D910" s="37" t="s">
        <v>1285</v>
      </c>
      <c r="E910">
        <v>0.14428597061777501</v>
      </c>
      <c r="F910">
        <v>0.14428597061777501</v>
      </c>
    </row>
    <row r="911" spans="1:6" x14ac:dyDescent="0.2">
      <c r="A911">
        <v>305</v>
      </c>
      <c r="B911" s="37" t="s">
        <v>751</v>
      </c>
      <c r="C911" s="1">
        <v>45557</v>
      </c>
      <c r="D911" s="37" t="s">
        <v>751</v>
      </c>
      <c r="E911">
        <v>0.29845968137753098</v>
      </c>
      <c r="F911">
        <v>0.29845968137753098</v>
      </c>
    </row>
    <row r="912" spans="1:6" x14ac:dyDescent="0.2">
      <c r="A912">
        <v>305</v>
      </c>
      <c r="B912" s="37" t="s">
        <v>752</v>
      </c>
      <c r="C912" s="1">
        <v>45311</v>
      </c>
      <c r="D912" s="37" t="s">
        <v>752</v>
      </c>
      <c r="E912">
        <v>0.121188820282893</v>
      </c>
      <c r="F912">
        <v>0.121188820282893</v>
      </c>
    </row>
    <row r="913" spans="1:6" x14ac:dyDescent="0.2">
      <c r="A913">
        <v>306</v>
      </c>
      <c r="B913" s="37" t="s">
        <v>1286</v>
      </c>
      <c r="C913" s="1">
        <v>45625</v>
      </c>
      <c r="D913" s="37" t="s">
        <v>1286</v>
      </c>
      <c r="E913">
        <v>0.294326365710745</v>
      </c>
      <c r="F913">
        <v>0.294326365710745</v>
      </c>
    </row>
    <row r="914" spans="1:6" x14ac:dyDescent="0.2">
      <c r="A914">
        <v>306</v>
      </c>
      <c r="B914" s="37" t="s">
        <v>1287</v>
      </c>
      <c r="C914" s="1">
        <v>45404</v>
      </c>
      <c r="D914" s="37" t="s">
        <v>1287</v>
      </c>
      <c r="E914">
        <v>0.16582406010846801</v>
      </c>
      <c r="F914">
        <v>0.16582406010846801</v>
      </c>
    </row>
    <row r="915" spans="1:6" x14ac:dyDescent="0.2">
      <c r="A915">
        <v>306</v>
      </c>
      <c r="B915" s="37" t="s">
        <v>753</v>
      </c>
      <c r="C915" s="1">
        <v>45648</v>
      </c>
      <c r="D915" s="37" t="s">
        <v>753</v>
      </c>
      <c r="E915">
        <v>4.44031229797546E-2</v>
      </c>
      <c r="F915">
        <v>4.44031229797546E-2</v>
      </c>
    </row>
    <row r="916" spans="1:6" x14ac:dyDescent="0.2">
      <c r="A916">
        <v>307</v>
      </c>
      <c r="B916" s="37" t="s">
        <v>1288</v>
      </c>
      <c r="C916" s="1">
        <v>45308</v>
      </c>
      <c r="D916" s="37" t="s">
        <v>1288</v>
      </c>
      <c r="E916">
        <v>0.10490530109259</v>
      </c>
      <c r="F916">
        <v>0.10490530109259</v>
      </c>
    </row>
    <row r="917" spans="1:6" x14ac:dyDescent="0.2">
      <c r="A917">
        <v>309</v>
      </c>
      <c r="B917" s="37" t="s">
        <v>1289</v>
      </c>
      <c r="C917" s="1">
        <v>45335</v>
      </c>
      <c r="D917" s="37" t="s">
        <v>1289</v>
      </c>
      <c r="E917">
        <v>9.9402818561252299E-2</v>
      </c>
      <c r="F917">
        <v>9.9402818561252299E-2</v>
      </c>
    </row>
    <row r="918" spans="1:6" x14ac:dyDescent="0.2">
      <c r="A918">
        <v>309</v>
      </c>
      <c r="B918" s="37" t="s">
        <v>1290</v>
      </c>
      <c r="C918" s="1">
        <v>45641</v>
      </c>
      <c r="D918" s="37" t="s">
        <v>1290</v>
      </c>
      <c r="E918">
        <v>0.203658643753858</v>
      </c>
      <c r="F918">
        <v>0.203658643753858</v>
      </c>
    </row>
    <row r="919" spans="1:6" x14ac:dyDescent="0.2">
      <c r="A919">
        <v>309</v>
      </c>
      <c r="B919" s="37" t="s">
        <v>392</v>
      </c>
      <c r="C919" s="1">
        <v>45364</v>
      </c>
      <c r="D919" s="37" t="s">
        <v>392</v>
      </c>
      <c r="E919">
        <v>0.263965715651438</v>
      </c>
      <c r="F919">
        <v>0.263965715651438</v>
      </c>
    </row>
    <row r="920" spans="1:6" x14ac:dyDescent="0.2">
      <c r="A920">
        <v>310</v>
      </c>
      <c r="B920" s="37" t="s">
        <v>754</v>
      </c>
      <c r="C920" s="1">
        <v>45381</v>
      </c>
      <c r="D920" s="37" t="s">
        <v>754</v>
      </c>
      <c r="E920">
        <v>0.35510811843507101</v>
      </c>
      <c r="F920">
        <v>0.35510811843507101</v>
      </c>
    </row>
    <row r="921" spans="1:6" x14ac:dyDescent="0.2">
      <c r="A921">
        <v>310</v>
      </c>
      <c r="B921" s="37" t="s">
        <v>755</v>
      </c>
      <c r="C921" s="1">
        <v>45654</v>
      </c>
      <c r="D921" s="37" t="s">
        <v>755</v>
      </c>
      <c r="E921">
        <v>0.167484813002792</v>
      </c>
      <c r="F921">
        <v>0.167484813002792</v>
      </c>
    </row>
    <row r="922" spans="1:6" x14ac:dyDescent="0.2">
      <c r="A922">
        <v>310</v>
      </c>
      <c r="B922" s="37" t="s">
        <v>756</v>
      </c>
      <c r="C922" s="1">
        <v>45292</v>
      </c>
      <c r="D922" s="37" t="s">
        <v>756</v>
      </c>
      <c r="E922">
        <v>0.208197082387547</v>
      </c>
      <c r="F922">
        <v>0.208197082387547</v>
      </c>
    </row>
    <row r="923" spans="1:6" x14ac:dyDescent="0.2">
      <c r="A923">
        <v>311</v>
      </c>
      <c r="B923" s="37" t="s">
        <v>1291</v>
      </c>
      <c r="C923" s="1">
        <v>45442</v>
      </c>
      <c r="D923" s="37" t="s">
        <v>1291</v>
      </c>
      <c r="E923">
        <v>9.7115753141194902E-2</v>
      </c>
      <c r="F923">
        <v>9.7115753141194902E-2</v>
      </c>
    </row>
    <row r="924" spans="1:6" x14ac:dyDescent="0.2">
      <c r="A924">
        <v>311</v>
      </c>
      <c r="B924" s="37" t="s">
        <v>1292</v>
      </c>
      <c r="C924" s="1">
        <v>45578</v>
      </c>
      <c r="D924" s="37" t="s">
        <v>1292</v>
      </c>
      <c r="E924">
        <v>0.217856337086968</v>
      </c>
      <c r="F924">
        <v>0.217856337086968</v>
      </c>
    </row>
    <row r="925" spans="1:6" x14ac:dyDescent="0.2">
      <c r="A925">
        <v>312</v>
      </c>
      <c r="B925" s="37" t="s">
        <v>1293</v>
      </c>
      <c r="C925" s="1">
        <v>45573</v>
      </c>
      <c r="D925" s="37" t="s">
        <v>1293</v>
      </c>
      <c r="E925">
        <v>1.6554617886673801E-2</v>
      </c>
      <c r="F925">
        <v>1.6554617886673801E-2</v>
      </c>
    </row>
    <row r="926" spans="1:6" x14ac:dyDescent="0.2">
      <c r="A926">
        <v>312</v>
      </c>
      <c r="B926" s="37" t="s">
        <v>1294</v>
      </c>
      <c r="C926" s="1">
        <v>45404</v>
      </c>
      <c r="D926" s="37" t="s">
        <v>1294</v>
      </c>
      <c r="E926">
        <v>0.21562262629211201</v>
      </c>
      <c r="F926">
        <v>0.21562262629211201</v>
      </c>
    </row>
    <row r="927" spans="1:6" x14ac:dyDescent="0.2">
      <c r="A927">
        <v>312</v>
      </c>
      <c r="B927" s="37" t="s">
        <v>1295</v>
      </c>
      <c r="C927" s="1">
        <v>45381</v>
      </c>
      <c r="D927" s="37" t="s">
        <v>1295</v>
      </c>
      <c r="E927">
        <v>0.270310679261071</v>
      </c>
      <c r="F927">
        <v>0.270310679261071</v>
      </c>
    </row>
    <row r="928" spans="1:6" x14ac:dyDescent="0.2">
      <c r="A928">
        <v>313</v>
      </c>
      <c r="B928" s="37" t="s">
        <v>393</v>
      </c>
      <c r="C928" s="1">
        <v>45515</v>
      </c>
      <c r="D928" s="37" t="s">
        <v>393</v>
      </c>
      <c r="E928">
        <v>0.54528053839287305</v>
      </c>
      <c r="F928">
        <v>0.54528053839287305</v>
      </c>
    </row>
    <row r="929" spans="1:6" x14ac:dyDescent="0.2">
      <c r="A929">
        <v>313</v>
      </c>
      <c r="B929" s="37" t="s">
        <v>757</v>
      </c>
      <c r="C929" s="1">
        <v>45417</v>
      </c>
      <c r="D929" s="37" t="s">
        <v>757</v>
      </c>
      <c r="E929">
        <v>0.32962355932998599</v>
      </c>
      <c r="F929">
        <v>0.32962355932998599</v>
      </c>
    </row>
    <row r="930" spans="1:6" x14ac:dyDescent="0.2">
      <c r="A930">
        <v>313</v>
      </c>
      <c r="B930" s="37" t="s">
        <v>758</v>
      </c>
      <c r="C930" s="1">
        <v>45332</v>
      </c>
      <c r="D930" s="37" t="s">
        <v>758</v>
      </c>
      <c r="E930">
        <v>9.3862870911240695E-2</v>
      </c>
      <c r="F930">
        <v>9.3862870911240695E-2</v>
      </c>
    </row>
    <row r="931" spans="1:6" x14ac:dyDescent="0.2">
      <c r="A931">
        <v>313</v>
      </c>
      <c r="B931" s="37" t="s">
        <v>759</v>
      </c>
      <c r="C931" s="1">
        <v>45315</v>
      </c>
      <c r="D931" s="37" t="s">
        <v>759</v>
      </c>
      <c r="E931">
        <v>0.128025519155091</v>
      </c>
      <c r="F931">
        <v>0.128025519155091</v>
      </c>
    </row>
    <row r="932" spans="1:6" x14ac:dyDescent="0.2">
      <c r="A932">
        <v>314</v>
      </c>
      <c r="B932" s="37" t="s">
        <v>1296</v>
      </c>
      <c r="C932" s="1">
        <v>45568</v>
      </c>
      <c r="D932" s="37" t="s">
        <v>1296</v>
      </c>
      <c r="E932">
        <v>0.25285855342458102</v>
      </c>
      <c r="F932">
        <v>0.25285855342458102</v>
      </c>
    </row>
    <row r="933" spans="1:6" x14ac:dyDescent="0.2">
      <c r="A933">
        <v>315</v>
      </c>
      <c r="B933" s="37" t="s">
        <v>1297</v>
      </c>
      <c r="C933" s="1">
        <v>45447</v>
      </c>
      <c r="D933" s="37" t="s">
        <v>1297</v>
      </c>
      <c r="E933">
        <v>0.25878929682069302</v>
      </c>
      <c r="F933">
        <v>0.25878929682069302</v>
      </c>
    </row>
    <row r="934" spans="1:6" x14ac:dyDescent="0.2">
      <c r="A934">
        <v>315</v>
      </c>
      <c r="B934" s="37" t="s">
        <v>1298</v>
      </c>
      <c r="C934" s="1">
        <v>45429</v>
      </c>
      <c r="D934" s="37" t="s">
        <v>1298</v>
      </c>
      <c r="E934">
        <v>9.5019146297001297E-2</v>
      </c>
      <c r="F934">
        <v>9.5019146297001297E-2</v>
      </c>
    </row>
    <row r="935" spans="1:6" x14ac:dyDescent="0.2">
      <c r="A935">
        <v>316</v>
      </c>
      <c r="B935" s="37" t="s">
        <v>760</v>
      </c>
      <c r="C935" s="1">
        <v>45485</v>
      </c>
      <c r="D935" s="37" t="s">
        <v>760</v>
      </c>
      <c r="E935">
        <v>0.37578004693985001</v>
      </c>
      <c r="F935">
        <v>0.37578004693985001</v>
      </c>
    </row>
    <row r="936" spans="1:6" x14ac:dyDescent="0.2">
      <c r="A936">
        <v>316</v>
      </c>
      <c r="B936" s="37" t="s">
        <v>761</v>
      </c>
      <c r="C936" s="1">
        <v>45615</v>
      </c>
      <c r="D936" s="37" t="s">
        <v>761</v>
      </c>
      <c r="E936">
        <v>0.36672388572834902</v>
      </c>
      <c r="F936">
        <v>0.36672388572834902</v>
      </c>
    </row>
    <row r="937" spans="1:6" x14ac:dyDescent="0.2">
      <c r="A937">
        <v>316</v>
      </c>
      <c r="B937" s="37" t="s">
        <v>1299</v>
      </c>
      <c r="C937" s="1">
        <v>45431</v>
      </c>
      <c r="D937" s="37" t="s">
        <v>1299</v>
      </c>
      <c r="E937">
        <v>0.27591274820731299</v>
      </c>
      <c r="F937">
        <v>0.27591274820731299</v>
      </c>
    </row>
    <row r="938" spans="1:6" x14ac:dyDescent="0.2">
      <c r="A938">
        <v>316</v>
      </c>
      <c r="B938" s="37" t="s">
        <v>1300</v>
      </c>
      <c r="C938" s="1">
        <v>45576</v>
      </c>
      <c r="D938" s="37" t="s">
        <v>1300</v>
      </c>
      <c r="E938">
        <v>9.6663767611911505E-2</v>
      </c>
      <c r="F938">
        <v>9.6663767611911505E-2</v>
      </c>
    </row>
    <row r="939" spans="1:6" x14ac:dyDescent="0.2">
      <c r="A939">
        <v>317</v>
      </c>
      <c r="B939" s="37" t="s">
        <v>1301</v>
      </c>
      <c r="C939" s="1">
        <v>45506</v>
      </c>
      <c r="D939" s="37" t="s">
        <v>1301</v>
      </c>
      <c r="E939">
        <v>0.739180709379193</v>
      </c>
      <c r="F939">
        <v>0.739180709379193</v>
      </c>
    </row>
    <row r="940" spans="1:6" x14ac:dyDescent="0.2">
      <c r="A940">
        <v>317</v>
      </c>
      <c r="B940" s="37" t="s">
        <v>394</v>
      </c>
      <c r="C940" s="1">
        <v>45448</v>
      </c>
      <c r="D940" s="37" t="s">
        <v>394</v>
      </c>
      <c r="E940">
        <v>0.16213120289337399</v>
      </c>
      <c r="F940">
        <v>0.16213120289337399</v>
      </c>
    </row>
    <row r="941" spans="1:6" x14ac:dyDescent="0.2">
      <c r="A941">
        <v>317</v>
      </c>
      <c r="B941" s="37" t="s">
        <v>762</v>
      </c>
      <c r="C941" s="1">
        <v>45449</v>
      </c>
      <c r="D941" s="37" t="s">
        <v>762</v>
      </c>
      <c r="E941">
        <v>2.5916199616859099E-2</v>
      </c>
      <c r="F941">
        <v>2.5916199616859099E-2</v>
      </c>
    </row>
    <row r="942" spans="1:6" x14ac:dyDescent="0.2">
      <c r="A942">
        <v>317</v>
      </c>
      <c r="B942" s="37" t="s">
        <v>763</v>
      </c>
      <c r="C942" s="1">
        <v>45348</v>
      </c>
      <c r="D942" s="37" t="s">
        <v>763</v>
      </c>
      <c r="E942">
        <v>0.115403820045375</v>
      </c>
      <c r="F942">
        <v>0.115403820045375</v>
      </c>
    </row>
    <row r="943" spans="1:6" x14ac:dyDescent="0.2">
      <c r="A943">
        <v>317</v>
      </c>
      <c r="B943" s="37" t="s">
        <v>764</v>
      </c>
      <c r="C943" s="1">
        <v>45522</v>
      </c>
      <c r="D943" s="37" t="s">
        <v>764</v>
      </c>
      <c r="E943">
        <v>0.183979880123009</v>
      </c>
      <c r="F943">
        <v>0.183979880123009</v>
      </c>
    </row>
    <row r="944" spans="1:6" x14ac:dyDescent="0.2">
      <c r="A944">
        <v>318</v>
      </c>
      <c r="B944" s="37" t="s">
        <v>1302</v>
      </c>
      <c r="C944" s="1">
        <v>45415</v>
      </c>
      <c r="D944" s="37" t="s">
        <v>1302</v>
      </c>
      <c r="E944">
        <v>7.6046370389680804E-2</v>
      </c>
      <c r="F944">
        <v>7.6046370389680804E-2</v>
      </c>
    </row>
    <row r="945" spans="1:6" x14ac:dyDescent="0.2">
      <c r="A945">
        <v>318</v>
      </c>
      <c r="B945" s="37" t="s">
        <v>1303</v>
      </c>
      <c r="C945" s="1">
        <v>45592</v>
      </c>
      <c r="D945" s="37" t="s">
        <v>1303</v>
      </c>
      <c r="E945">
        <v>0.20120167456983901</v>
      </c>
      <c r="F945">
        <v>0.20120167456983901</v>
      </c>
    </row>
    <row r="946" spans="1:6" x14ac:dyDescent="0.2">
      <c r="A946">
        <v>319</v>
      </c>
      <c r="B946" s="37" t="s">
        <v>1304</v>
      </c>
      <c r="C946" s="1">
        <v>45330</v>
      </c>
      <c r="D946" s="37" t="s">
        <v>1304</v>
      </c>
      <c r="E946">
        <v>0.67202757549213499</v>
      </c>
      <c r="F946">
        <v>0.67202757549213499</v>
      </c>
    </row>
    <row r="947" spans="1:6" x14ac:dyDescent="0.2">
      <c r="A947">
        <v>319</v>
      </c>
      <c r="B947" s="37" t="s">
        <v>1305</v>
      </c>
      <c r="C947" s="1">
        <v>45581</v>
      </c>
      <c r="D947" s="37" t="s">
        <v>1305</v>
      </c>
      <c r="E947">
        <v>0.16155079577496201</v>
      </c>
      <c r="F947">
        <v>0.16155079577496201</v>
      </c>
    </row>
    <row r="948" spans="1:6" x14ac:dyDescent="0.2">
      <c r="A948">
        <v>320</v>
      </c>
      <c r="B948" s="37" t="s">
        <v>1306</v>
      </c>
      <c r="C948" s="1">
        <v>45584</v>
      </c>
      <c r="D948" s="37" t="s">
        <v>1306</v>
      </c>
      <c r="E948">
        <v>0.14196061603759</v>
      </c>
      <c r="F948">
        <v>0.14196061603759</v>
      </c>
    </row>
    <row r="949" spans="1:6" x14ac:dyDescent="0.2">
      <c r="A949">
        <v>320</v>
      </c>
      <c r="B949" s="37" t="s">
        <v>1307</v>
      </c>
      <c r="C949" s="1">
        <v>45478</v>
      </c>
      <c r="D949" s="37" t="s">
        <v>1307</v>
      </c>
      <c r="E949">
        <v>0.22071397827300701</v>
      </c>
      <c r="F949">
        <v>0.22071397827300701</v>
      </c>
    </row>
    <row r="950" spans="1:6" x14ac:dyDescent="0.2">
      <c r="A950">
        <v>320</v>
      </c>
      <c r="B950" s="37" t="s">
        <v>765</v>
      </c>
      <c r="C950" s="1">
        <v>45389</v>
      </c>
      <c r="D950" s="37" t="s">
        <v>765</v>
      </c>
      <c r="E950">
        <v>0.47592670994240999</v>
      </c>
      <c r="F950">
        <v>0.47592670994240999</v>
      </c>
    </row>
    <row r="951" spans="1:6" x14ac:dyDescent="0.2">
      <c r="A951">
        <v>320</v>
      </c>
      <c r="B951" s="37" t="s">
        <v>766</v>
      </c>
      <c r="C951" s="1">
        <v>45493</v>
      </c>
      <c r="D951" s="37" t="s">
        <v>766</v>
      </c>
      <c r="E951">
        <v>9.1331766614156998E-2</v>
      </c>
      <c r="F951">
        <v>9.1331766614156998E-2</v>
      </c>
    </row>
    <row r="952" spans="1:6" x14ac:dyDescent="0.2">
      <c r="A952">
        <v>320</v>
      </c>
      <c r="B952" s="37" t="s">
        <v>767</v>
      </c>
      <c r="C952" s="1">
        <v>45295</v>
      </c>
      <c r="D952" s="37" t="s">
        <v>767</v>
      </c>
      <c r="E952">
        <v>0.26269103374959601</v>
      </c>
      <c r="F952">
        <v>0.26269103374959601</v>
      </c>
    </row>
    <row r="953" spans="1:6" x14ac:dyDescent="0.2">
      <c r="A953">
        <v>321</v>
      </c>
      <c r="B953" s="37" t="s">
        <v>768</v>
      </c>
      <c r="C953" s="1">
        <v>45628</v>
      </c>
      <c r="D953" s="37" t="s">
        <v>768</v>
      </c>
      <c r="E953">
        <v>0.18780704866252301</v>
      </c>
      <c r="F953">
        <v>0.18780704866252301</v>
      </c>
    </row>
    <row r="954" spans="1:6" x14ac:dyDescent="0.2">
      <c r="A954">
        <v>321</v>
      </c>
      <c r="B954" s="37" t="s">
        <v>769</v>
      </c>
      <c r="C954" s="1">
        <v>45530</v>
      </c>
      <c r="D954" s="37" t="s">
        <v>769</v>
      </c>
      <c r="E954">
        <v>0.39936550524465803</v>
      </c>
      <c r="F954">
        <v>0.39936550524465803</v>
      </c>
    </row>
    <row r="955" spans="1:6" x14ac:dyDescent="0.2">
      <c r="A955">
        <v>321</v>
      </c>
      <c r="B955" s="37" t="s">
        <v>770</v>
      </c>
      <c r="C955" s="1">
        <v>45504</v>
      </c>
      <c r="D955" s="37" t="s">
        <v>770</v>
      </c>
      <c r="E955">
        <v>0.117590977819916</v>
      </c>
      <c r="F955">
        <v>0.117590977819916</v>
      </c>
    </row>
    <row r="956" spans="1:6" x14ac:dyDescent="0.2">
      <c r="A956">
        <v>321</v>
      </c>
      <c r="B956" s="37" t="s">
        <v>771</v>
      </c>
      <c r="C956" s="1">
        <v>45570</v>
      </c>
      <c r="D956" s="37" t="s">
        <v>771</v>
      </c>
      <c r="E956">
        <v>0.12542027992006399</v>
      </c>
      <c r="F956">
        <v>0.12542027992006399</v>
      </c>
    </row>
    <row r="957" spans="1:6" x14ac:dyDescent="0.2">
      <c r="A957">
        <v>321</v>
      </c>
      <c r="B957" s="37" t="s">
        <v>772</v>
      </c>
      <c r="C957" s="1">
        <v>45655</v>
      </c>
      <c r="D957" s="37" t="s">
        <v>772</v>
      </c>
      <c r="E957">
        <v>0.236737428267142</v>
      </c>
      <c r="F957">
        <v>0.236737428267142</v>
      </c>
    </row>
    <row r="958" spans="1:6" x14ac:dyDescent="0.2">
      <c r="A958">
        <v>322</v>
      </c>
      <c r="B958" s="37" t="s">
        <v>395</v>
      </c>
      <c r="C958" s="1">
        <v>45582</v>
      </c>
      <c r="D958" s="37" t="s">
        <v>395</v>
      </c>
      <c r="E958">
        <v>5.20800907909265E-2</v>
      </c>
      <c r="F958">
        <v>5.20800907909265E-2</v>
      </c>
    </row>
    <row r="959" spans="1:6" x14ac:dyDescent="0.2">
      <c r="A959">
        <v>322</v>
      </c>
      <c r="B959" s="37" t="s">
        <v>396</v>
      </c>
      <c r="C959" s="1">
        <v>45654</v>
      </c>
      <c r="D959" s="37" t="s">
        <v>396</v>
      </c>
      <c r="E959">
        <v>3.9623699249155098E-2</v>
      </c>
      <c r="F959">
        <v>3.9623699249155098E-2</v>
      </c>
    </row>
    <row r="960" spans="1:6" x14ac:dyDescent="0.2">
      <c r="A960">
        <v>323</v>
      </c>
      <c r="B960" s="37" t="s">
        <v>1308</v>
      </c>
      <c r="C960" s="1">
        <v>45502</v>
      </c>
      <c r="D960" s="37" t="s">
        <v>1308</v>
      </c>
      <c r="E960">
        <v>0.15075200197039401</v>
      </c>
      <c r="F960">
        <v>0.15075200197039401</v>
      </c>
    </row>
    <row r="961" spans="1:6" x14ac:dyDescent="0.2">
      <c r="A961">
        <v>324</v>
      </c>
      <c r="B961" s="37" t="s">
        <v>1309</v>
      </c>
      <c r="C961" s="1">
        <v>45548</v>
      </c>
      <c r="D961" s="37" t="s">
        <v>1309</v>
      </c>
      <c r="E961">
        <v>0.28736843689902603</v>
      </c>
      <c r="F961">
        <v>0.28736843689902603</v>
      </c>
    </row>
    <row r="962" spans="1:6" x14ac:dyDescent="0.2">
      <c r="A962">
        <v>324</v>
      </c>
      <c r="B962" s="37" t="s">
        <v>1310</v>
      </c>
      <c r="C962" s="1">
        <v>45515</v>
      </c>
      <c r="D962" s="37" t="s">
        <v>1310</v>
      </c>
      <c r="E962">
        <v>0.26862452336798298</v>
      </c>
      <c r="F962">
        <v>0.26862452336798298</v>
      </c>
    </row>
    <row r="963" spans="1:6" x14ac:dyDescent="0.2">
      <c r="A963">
        <v>324</v>
      </c>
      <c r="B963" s="37" t="s">
        <v>397</v>
      </c>
      <c r="C963" s="1">
        <v>45352</v>
      </c>
      <c r="D963" s="37" t="s">
        <v>397</v>
      </c>
      <c r="E963">
        <v>0.112890685170215</v>
      </c>
      <c r="F963">
        <v>0.112890685170215</v>
      </c>
    </row>
    <row r="964" spans="1:6" x14ac:dyDescent="0.2">
      <c r="A964">
        <v>324</v>
      </c>
      <c r="B964" s="37" t="s">
        <v>398</v>
      </c>
      <c r="C964" s="1">
        <v>45484</v>
      </c>
      <c r="D964" s="37" t="s">
        <v>398</v>
      </c>
      <c r="E964">
        <v>0.57381076455248803</v>
      </c>
      <c r="F964">
        <v>0.57381076455248803</v>
      </c>
    </row>
    <row r="965" spans="1:6" x14ac:dyDescent="0.2">
      <c r="A965">
        <v>325</v>
      </c>
      <c r="B965" s="37" t="s">
        <v>1311</v>
      </c>
      <c r="C965" s="1">
        <v>45331</v>
      </c>
      <c r="D965" s="37" t="s">
        <v>1311</v>
      </c>
      <c r="E965">
        <v>0.18650122864007401</v>
      </c>
      <c r="F965">
        <v>0.18650122864007401</v>
      </c>
    </row>
    <row r="966" spans="1:6" x14ac:dyDescent="0.2">
      <c r="A966">
        <v>327</v>
      </c>
      <c r="B966" s="37" t="s">
        <v>1312</v>
      </c>
      <c r="C966" s="1">
        <v>45360</v>
      </c>
      <c r="D966" s="37" t="s">
        <v>1312</v>
      </c>
      <c r="E966">
        <v>0.21641844911053301</v>
      </c>
      <c r="F966">
        <v>0.21641844911053301</v>
      </c>
    </row>
    <row r="967" spans="1:6" x14ac:dyDescent="0.2">
      <c r="A967">
        <v>327</v>
      </c>
      <c r="B967" s="37" t="s">
        <v>773</v>
      </c>
      <c r="C967" s="1">
        <v>45416</v>
      </c>
      <c r="D967" s="37" t="s">
        <v>773</v>
      </c>
      <c r="E967">
        <v>8.6195912653327003E-2</v>
      </c>
      <c r="F967">
        <v>8.6195912653327003E-2</v>
      </c>
    </row>
    <row r="968" spans="1:6" x14ac:dyDescent="0.2">
      <c r="A968">
        <v>327</v>
      </c>
      <c r="B968" s="37" t="s">
        <v>774</v>
      </c>
      <c r="C968" s="1">
        <v>45477</v>
      </c>
      <c r="D968" s="37" t="s">
        <v>774</v>
      </c>
      <c r="E968">
        <v>0.351316137526893</v>
      </c>
      <c r="F968">
        <v>0.351316137526893</v>
      </c>
    </row>
    <row r="969" spans="1:6" x14ac:dyDescent="0.2">
      <c r="A969">
        <v>327</v>
      </c>
      <c r="B969" s="37" t="s">
        <v>399</v>
      </c>
      <c r="C969" s="1">
        <v>45342</v>
      </c>
      <c r="D969" s="37" t="s">
        <v>399</v>
      </c>
      <c r="E969">
        <v>9.9320443356309407E-2</v>
      </c>
      <c r="F969">
        <v>9.9320443356309407E-2</v>
      </c>
    </row>
    <row r="970" spans="1:6" x14ac:dyDescent="0.2">
      <c r="A970">
        <v>327</v>
      </c>
      <c r="B970" s="37" t="s">
        <v>400</v>
      </c>
      <c r="C970" s="1">
        <v>45300</v>
      </c>
      <c r="D970" s="37" t="s">
        <v>400</v>
      </c>
      <c r="E970">
        <v>0.16646568598450601</v>
      </c>
      <c r="F970">
        <v>0.16646568598450601</v>
      </c>
    </row>
    <row r="971" spans="1:6" x14ac:dyDescent="0.2">
      <c r="A971">
        <v>327</v>
      </c>
      <c r="B971" s="37" t="s">
        <v>401</v>
      </c>
      <c r="C971" s="1">
        <v>45319</v>
      </c>
      <c r="D971" s="37" t="s">
        <v>401</v>
      </c>
      <c r="E971">
        <v>9.7973437799268703E-2</v>
      </c>
      <c r="F971">
        <v>9.7973437799268703E-2</v>
      </c>
    </row>
    <row r="972" spans="1:6" x14ac:dyDescent="0.2">
      <c r="A972">
        <v>327</v>
      </c>
      <c r="B972" s="37" t="s">
        <v>402</v>
      </c>
      <c r="C972" s="1">
        <v>45484</v>
      </c>
      <c r="D972" s="37" t="s">
        <v>402</v>
      </c>
      <c r="E972">
        <v>0.49678395008196602</v>
      </c>
      <c r="F972">
        <v>0.49678395008196602</v>
      </c>
    </row>
    <row r="973" spans="1:6" x14ac:dyDescent="0.2">
      <c r="A973">
        <v>327</v>
      </c>
      <c r="B973" s="37" t="s">
        <v>1313</v>
      </c>
      <c r="C973" s="1">
        <v>45597</v>
      </c>
      <c r="D973" s="37" t="s">
        <v>1313</v>
      </c>
      <c r="E973">
        <v>0.38956879340956202</v>
      </c>
      <c r="F973">
        <v>0.38956879340956202</v>
      </c>
    </row>
    <row r="974" spans="1:6" x14ac:dyDescent="0.2">
      <c r="A974">
        <v>327</v>
      </c>
      <c r="B974" s="37" t="s">
        <v>1314</v>
      </c>
      <c r="C974" s="1">
        <v>45333</v>
      </c>
      <c r="D974" s="37" t="s">
        <v>1314</v>
      </c>
      <c r="E974">
        <v>0.123236088323336</v>
      </c>
      <c r="F974">
        <v>0.123236088323336</v>
      </c>
    </row>
    <row r="975" spans="1:6" x14ac:dyDescent="0.2">
      <c r="A975">
        <v>327</v>
      </c>
      <c r="B975" s="37" t="s">
        <v>403</v>
      </c>
      <c r="C975" s="1">
        <v>45509</v>
      </c>
      <c r="D975" s="37" t="s">
        <v>403</v>
      </c>
      <c r="E975">
        <v>0.258619440144781</v>
      </c>
      <c r="F975">
        <v>0.258619440144781</v>
      </c>
    </row>
    <row r="976" spans="1:6" x14ac:dyDescent="0.2">
      <c r="A976">
        <v>329</v>
      </c>
      <c r="B976" s="37" t="s">
        <v>1315</v>
      </c>
      <c r="C976" s="1">
        <v>45622</v>
      </c>
      <c r="D976" s="37" t="s">
        <v>1315</v>
      </c>
      <c r="E976">
        <v>0.21394446463558101</v>
      </c>
      <c r="F976">
        <v>0.21394446463558101</v>
      </c>
    </row>
    <row r="977" spans="1:6" x14ac:dyDescent="0.2">
      <c r="A977">
        <v>329</v>
      </c>
      <c r="B977" s="37" t="s">
        <v>1316</v>
      </c>
      <c r="C977" s="1">
        <v>45311</v>
      </c>
      <c r="D977" s="37" t="s">
        <v>1316</v>
      </c>
      <c r="E977">
        <v>4.5425303328972502E-2</v>
      </c>
      <c r="F977">
        <v>4.5425303328972502E-2</v>
      </c>
    </row>
    <row r="978" spans="1:6" x14ac:dyDescent="0.2">
      <c r="A978">
        <v>330</v>
      </c>
      <c r="B978" s="37" t="s">
        <v>775</v>
      </c>
      <c r="C978" s="1">
        <v>45567</v>
      </c>
      <c r="D978" s="37" t="s">
        <v>775</v>
      </c>
      <c r="E978">
        <v>7.8382879597760399E-2</v>
      </c>
      <c r="F978">
        <v>7.8382879597760399E-2</v>
      </c>
    </row>
    <row r="979" spans="1:6" x14ac:dyDescent="0.2">
      <c r="A979">
        <v>330</v>
      </c>
      <c r="B979" s="37" t="s">
        <v>776</v>
      </c>
      <c r="C979" s="1">
        <v>45432</v>
      </c>
      <c r="D979" s="37" t="s">
        <v>776</v>
      </c>
      <c r="E979">
        <v>0.20156623003427501</v>
      </c>
      <c r="F979">
        <v>0.20156623003427501</v>
      </c>
    </row>
    <row r="980" spans="1:6" x14ac:dyDescent="0.2">
      <c r="A980">
        <v>330</v>
      </c>
      <c r="B980" s="37" t="s">
        <v>777</v>
      </c>
      <c r="C980" s="1">
        <v>45495</v>
      </c>
      <c r="D980" s="37" t="s">
        <v>777</v>
      </c>
      <c r="E980">
        <v>2.96326160122437E-2</v>
      </c>
      <c r="F980">
        <v>2.96326160122437E-2</v>
      </c>
    </row>
    <row r="981" spans="1:6" x14ac:dyDescent="0.2">
      <c r="A981">
        <v>330</v>
      </c>
      <c r="B981" s="37" t="s">
        <v>778</v>
      </c>
      <c r="C981" s="1">
        <v>45594</v>
      </c>
      <c r="D981" s="37" t="s">
        <v>778</v>
      </c>
      <c r="E981">
        <v>0.25983414551811701</v>
      </c>
      <c r="F981">
        <v>0.25983414551811701</v>
      </c>
    </row>
    <row r="982" spans="1:6" x14ac:dyDescent="0.2">
      <c r="A982">
        <v>330</v>
      </c>
      <c r="B982" s="37" t="s">
        <v>779</v>
      </c>
      <c r="C982" s="1">
        <v>45389</v>
      </c>
      <c r="D982" s="37" t="s">
        <v>779</v>
      </c>
      <c r="E982">
        <v>9.7403906326069697E-2</v>
      </c>
      <c r="F982">
        <v>9.7403906326069697E-2</v>
      </c>
    </row>
    <row r="983" spans="1:6" x14ac:dyDescent="0.2">
      <c r="A983">
        <v>331</v>
      </c>
      <c r="B983" s="37" t="s">
        <v>1317</v>
      </c>
      <c r="C983" s="1">
        <v>45626</v>
      </c>
      <c r="D983" s="37" t="s">
        <v>1317</v>
      </c>
      <c r="E983">
        <v>0.40900686134473002</v>
      </c>
      <c r="F983">
        <v>0.40900686134473002</v>
      </c>
    </row>
    <row r="984" spans="1:6" x14ac:dyDescent="0.2">
      <c r="A984">
        <v>331</v>
      </c>
      <c r="B984" s="37" t="s">
        <v>780</v>
      </c>
      <c r="C984" s="1">
        <v>45588</v>
      </c>
      <c r="D984" s="37" t="s">
        <v>780</v>
      </c>
      <c r="E984">
        <v>0.50432700023852906</v>
      </c>
      <c r="F984">
        <v>0.50432700023852906</v>
      </c>
    </row>
    <row r="985" spans="1:6" x14ac:dyDescent="0.2">
      <c r="A985">
        <v>331</v>
      </c>
      <c r="B985" s="37" t="s">
        <v>1318</v>
      </c>
      <c r="C985" s="1">
        <v>45342</v>
      </c>
      <c r="D985" s="37" t="s">
        <v>1318</v>
      </c>
      <c r="E985">
        <v>0.23469795612205299</v>
      </c>
      <c r="F985">
        <v>0.23469795612205299</v>
      </c>
    </row>
    <row r="986" spans="1:6" x14ac:dyDescent="0.2">
      <c r="A986">
        <v>332</v>
      </c>
      <c r="B986" s="37" t="s">
        <v>404</v>
      </c>
      <c r="C986" s="1">
        <v>45552</v>
      </c>
      <c r="D986" s="37" t="s">
        <v>404</v>
      </c>
      <c r="E986">
        <v>0.25674909936248502</v>
      </c>
      <c r="F986">
        <v>0.25674909936248502</v>
      </c>
    </row>
    <row r="987" spans="1:6" x14ac:dyDescent="0.2">
      <c r="A987">
        <v>332</v>
      </c>
      <c r="B987" s="37" t="s">
        <v>405</v>
      </c>
      <c r="C987" s="1">
        <v>45472</v>
      </c>
      <c r="D987" s="37" t="s">
        <v>405</v>
      </c>
      <c r="E987">
        <v>0.19770178529605101</v>
      </c>
      <c r="F987">
        <v>0.19770178529605101</v>
      </c>
    </row>
    <row r="988" spans="1:6" x14ac:dyDescent="0.2">
      <c r="A988">
        <v>333</v>
      </c>
      <c r="B988" s="37" t="s">
        <v>1319</v>
      </c>
      <c r="C988" s="1">
        <v>45369</v>
      </c>
      <c r="D988" s="37" t="s">
        <v>1319</v>
      </c>
      <c r="E988">
        <v>0.26209886259833698</v>
      </c>
      <c r="F988">
        <v>0.26209886259833698</v>
      </c>
    </row>
    <row r="989" spans="1:6" x14ac:dyDescent="0.2">
      <c r="A989">
        <v>333</v>
      </c>
      <c r="B989" s="37" t="s">
        <v>1320</v>
      </c>
      <c r="C989" s="1">
        <v>45613</v>
      </c>
      <c r="D989" s="37" t="s">
        <v>1320</v>
      </c>
      <c r="E989">
        <v>0.24662481607740899</v>
      </c>
      <c r="F989">
        <v>0.24662481607740899</v>
      </c>
    </row>
    <row r="990" spans="1:6" x14ac:dyDescent="0.2">
      <c r="A990">
        <v>333</v>
      </c>
      <c r="B990" s="37" t="s">
        <v>1321</v>
      </c>
      <c r="C990" s="1">
        <v>45408</v>
      </c>
      <c r="D990" s="37" t="s">
        <v>1321</v>
      </c>
      <c r="E990">
        <v>0.34086182937598403</v>
      </c>
      <c r="F990">
        <v>0.34086182937598403</v>
      </c>
    </row>
    <row r="991" spans="1:6" x14ac:dyDescent="0.2">
      <c r="A991">
        <v>333</v>
      </c>
      <c r="B991" s="37" t="s">
        <v>1322</v>
      </c>
      <c r="C991" s="1">
        <v>45511</v>
      </c>
      <c r="D991" s="37" t="s">
        <v>1322</v>
      </c>
      <c r="E991">
        <v>0.490999001533235</v>
      </c>
      <c r="F991">
        <v>0.490999001533235</v>
      </c>
    </row>
    <row r="992" spans="1:6" x14ac:dyDescent="0.2">
      <c r="A992">
        <v>334</v>
      </c>
      <c r="B992" s="37" t="s">
        <v>1323</v>
      </c>
      <c r="C992" s="1">
        <v>45642</v>
      </c>
      <c r="D992" s="37" t="s">
        <v>1323</v>
      </c>
      <c r="E992">
        <v>7.3746846861566601E-2</v>
      </c>
      <c r="F992">
        <v>7.3746846861566601E-2</v>
      </c>
    </row>
    <row r="993" spans="1:6" x14ac:dyDescent="0.2">
      <c r="A993">
        <v>334</v>
      </c>
      <c r="B993" s="37" t="s">
        <v>406</v>
      </c>
      <c r="C993" s="1">
        <v>45589</v>
      </c>
      <c r="D993" s="37" t="s">
        <v>406</v>
      </c>
      <c r="E993">
        <v>7.3196630933998794E-2</v>
      </c>
      <c r="F993">
        <v>7.3196630933998794E-2</v>
      </c>
    </row>
    <row r="994" spans="1:6" x14ac:dyDescent="0.2">
      <c r="A994">
        <v>334</v>
      </c>
      <c r="B994" s="37" t="s">
        <v>407</v>
      </c>
      <c r="C994" s="1">
        <v>45467</v>
      </c>
      <c r="D994" s="37" t="s">
        <v>407</v>
      </c>
      <c r="E994">
        <v>0.308782337829003</v>
      </c>
      <c r="F994">
        <v>0.308782337829003</v>
      </c>
    </row>
    <row r="995" spans="1:6" x14ac:dyDescent="0.2">
      <c r="A995">
        <v>334</v>
      </c>
      <c r="B995" s="37" t="s">
        <v>408</v>
      </c>
      <c r="C995" s="1">
        <v>45449</v>
      </c>
      <c r="D995" s="37" t="s">
        <v>408</v>
      </c>
      <c r="E995">
        <v>0.151685528109302</v>
      </c>
      <c r="F995">
        <v>0.151685528109302</v>
      </c>
    </row>
    <row r="996" spans="1:6" x14ac:dyDescent="0.2">
      <c r="A996">
        <v>334</v>
      </c>
      <c r="B996" s="37" t="s">
        <v>409</v>
      </c>
      <c r="C996" s="1">
        <v>45441</v>
      </c>
      <c r="D996" s="37" t="s">
        <v>409</v>
      </c>
      <c r="E996">
        <v>0.285969268606305</v>
      </c>
      <c r="F996">
        <v>0.285969268606305</v>
      </c>
    </row>
    <row r="997" spans="1:6" x14ac:dyDescent="0.2">
      <c r="A997">
        <v>335</v>
      </c>
      <c r="B997" s="37" t="s">
        <v>1324</v>
      </c>
      <c r="C997" s="1">
        <v>45639</v>
      </c>
      <c r="D997" s="37" t="s">
        <v>1324</v>
      </c>
      <c r="E997">
        <v>0.15896062878192899</v>
      </c>
      <c r="F997">
        <v>0.15896062878192899</v>
      </c>
    </row>
    <row r="998" spans="1:6" x14ac:dyDescent="0.2">
      <c r="A998">
        <v>335</v>
      </c>
      <c r="B998" s="37" t="s">
        <v>1325</v>
      </c>
      <c r="C998" s="1">
        <v>45292</v>
      </c>
      <c r="D998" s="37" t="s">
        <v>1325</v>
      </c>
      <c r="E998">
        <v>0.15240828970001499</v>
      </c>
      <c r="F998">
        <v>0.15240828970001499</v>
      </c>
    </row>
    <row r="999" spans="1:6" x14ac:dyDescent="0.2">
      <c r="A999">
        <v>336</v>
      </c>
      <c r="B999" s="37" t="s">
        <v>1326</v>
      </c>
      <c r="C999" s="1">
        <v>45293</v>
      </c>
      <c r="D999" s="37" t="s">
        <v>1326</v>
      </c>
      <c r="E999">
        <v>1.05532474793487E-2</v>
      </c>
      <c r="F999">
        <v>1.05532474793487E-2</v>
      </c>
    </row>
    <row r="1000" spans="1:6" x14ac:dyDescent="0.2">
      <c r="A1000">
        <v>336</v>
      </c>
      <c r="B1000" s="37" t="s">
        <v>1327</v>
      </c>
      <c r="C1000" s="1">
        <v>45348</v>
      </c>
      <c r="D1000" s="37" t="s">
        <v>1327</v>
      </c>
      <c r="E1000">
        <v>0.310997704807777</v>
      </c>
      <c r="F1000">
        <v>0.310997704807777</v>
      </c>
    </row>
    <row r="1001" spans="1:6" x14ac:dyDescent="0.2">
      <c r="A1001">
        <v>336</v>
      </c>
      <c r="B1001" s="37" t="s">
        <v>1328</v>
      </c>
      <c r="C1001" s="1">
        <v>45481</v>
      </c>
      <c r="D1001" s="37" t="s">
        <v>1328</v>
      </c>
      <c r="E1001">
        <v>0.309062071451639</v>
      </c>
      <c r="F1001">
        <v>0.309062071451639</v>
      </c>
    </row>
    <row r="1002" spans="1:6" x14ac:dyDescent="0.2">
      <c r="A1002">
        <v>337</v>
      </c>
      <c r="B1002" s="37" t="s">
        <v>1329</v>
      </c>
      <c r="C1002" s="1">
        <v>45406</v>
      </c>
      <c r="D1002" s="37" t="s">
        <v>1329</v>
      </c>
      <c r="E1002">
        <v>8.2753949834904098E-2</v>
      </c>
      <c r="F1002">
        <v>8.2753949834904098E-2</v>
      </c>
    </row>
    <row r="1003" spans="1:6" x14ac:dyDescent="0.2">
      <c r="A1003">
        <v>337</v>
      </c>
      <c r="B1003" s="37" t="s">
        <v>1330</v>
      </c>
      <c r="C1003" s="1">
        <v>45578</v>
      </c>
      <c r="D1003" s="37" t="s">
        <v>1330</v>
      </c>
      <c r="E1003">
        <v>0.150306340239442</v>
      </c>
      <c r="F1003">
        <v>0.150306340239442</v>
      </c>
    </row>
    <row r="1004" spans="1:6" x14ac:dyDescent="0.2">
      <c r="A1004">
        <v>337</v>
      </c>
      <c r="B1004" s="37" t="s">
        <v>1331</v>
      </c>
      <c r="C1004" s="1">
        <v>45577</v>
      </c>
      <c r="D1004" s="37" t="s">
        <v>1331</v>
      </c>
      <c r="E1004">
        <v>1.9225016552264499E-2</v>
      </c>
      <c r="F1004">
        <v>1.9225016552264499E-2</v>
      </c>
    </row>
    <row r="1005" spans="1:6" x14ac:dyDescent="0.2">
      <c r="A1005">
        <v>337</v>
      </c>
      <c r="B1005" s="37" t="s">
        <v>781</v>
      </c>
      <c r="C1005" s="1">
        <v>45319</v>
      </c>
      <c r="D1005" s="37" t="s">
        <v>781</v>
      </c>
      <c r="E1005">
        <v>0.55086646970735598</v>
      </c>
      <c r="F1005">
        <v>0.55086646970735598</v>
      </c>
    </row>
    <row r="1006" spans="1:6" x14ac:dyDescent="0.2">
      <c r="A1006">
        <v>338</v>
      </c>
      <c r="B1006" s="37" t="s">
        <v>1332</v>
      </c>
      <c r="C1006" s="1">
        <v>45487</v>
      </c>
      <c r="D1006" s="37" t="s">
        <v>1332</v>
      </c>
      <c r="E1006">
        <v>0.285305899130607</v>
      </c>
      <c r="F1006">
        <v>0.285305899130607</v>
      </c>
    </row>
    <row r="1007" spans="1:6" x14ac:dyDescent="0.2">
      <c r="A1007">
        <v>338</v>
      </c>
      <c r="B1007" s="37" t="s">
        <v>1333</v>
      </c>
      <c r="C1007" s="1">
        <v>45609</v>
      </c>
      <c r="D1007" s="37" t="s">
        <v>1333</v>
      </c>
      <c r="E1007">
        <v>8.7545471307375597E-2</v>
      </c>
      <c r="F1007">
        <v>8.7545471307375597E-2</v>
      </c>
    </row>
    <row r="1008" spans="1:6" x14ac:dyDescent="0.2">
      <c r="A1008">
        <v>338</v>
      </c>
      <c r="B1008" s="37" t="s">
        <v>782</v>
      </c>
      <c r="C1008" s="1">
        <v>45495</v>
      </c>
      <c r="D1008" s="37" t="s">
        <v>782</v>
      </c>
      <c r="E1008">
        <v>0.317680430441451</v>
      </c>
      <c r="F1008">
        <v>0.317680430441451</v>
      </c>
    </row>
    <row r="1009" spans="1:6" x14ac:dyDescent="0.2">
      <c r="A1009">
        <v>339</v>
      </c>
      <c r="B1009" s="37" t="s">
        <v>410</v>
      </c>
      <c r="C1009" s="1">
        <v>45565</v>
      </c>
      <c r="D1009" s="37" t="s">
        <v>410</v>
      </c>
      <c r="E1009">
        <v>0.19994826296866999</v>
      </c>
      <c r="F1009">
        <v>0.19994826296866999</v>
      </c>
    </row>
    <row r="1010" spans="1:6" x14ac:dyDescent="0.2">
      <c r="A1010">
        <v>339</v>
      </c>
      <c r="B1010" s="37" t="s">
        <v>411</v>
      </c>
      <c r="C1010" s="1">
        <v>45301</v>
      </c>
      <c r="D1010" s="37" t="s">
        <v>411</v>
      </c>
      <c r="E1010">
        <v>0.27115377650260197</v>
      </c>
      <c r="F1010">
        <v>0.27115377650260197</v>
      </c>
    </row>
    <row r="1011" spans="1:6" x14ac:dyDescent="0.2">
      <c r="A1011">
        <v>339</v>
      </c>
      <c r="B1011" s="37" t="s">
        <v>412</v>
      </c>
      <c r="C1011" s="1">
        <v>45577</v>
      </c>
      <c r="D1011" s="37" t="s">
        <v>412</v>
      </c>
      <c r="E1011">
        <v>8.3580483452090307E-2</v>
      </c>
      <c r="F1011">
        <v>8.3580483452090307E-2</v>
      </c>
    </row>
    <row r="1012" spans="1:6" x14ac:dyDescent="0.2">
      <c r="A1012">
        <v>340</v>
      </c>
      <c r="B1012" s="37" t="s">
        <v>1334</v>
      </c>
      <c r="C1012" s="1">
        <v>45416</v>
      </c>
      <c r="D1012" s="37" t="s">
        <v>1334</v>
      </c>
      <c r="E1012">
        <v>0.131856436810491</v>
      </c>
      <c r="F1012">
        <v>0.131856436810491</v>
      </c>
    </row>
    <row r="1013" spans="1:6" x14ac:dyDescent="0.2">
      <c r="A1013">
        <v>340</v>
      </c>
      <c r="B1013" s="37" t="s">
        <v>1335</v>
      </c>
      <c r="C1013" s="1">
        <v>45549</v>
      </c>
      <c r="D1013" s="37" t="s">
        <v>1335</v>
      </c>
      <c r="E1013">
        <v>0.262417538341843</v>
      </c>
      <c r="F1013">
        <v>0.262417538341843</v>
      </c>
    </row>
    <row r="1014" spans="1:6" x14ac:dyDescent="0.2">
      <c r="A1014">
        <v>340</v>
      </c>
      <c r="B1014" s="37" t="s">
        <v>1336</v>
      </c>
      <c r="C1014" s="1">
        <v>45617</v>
      </c>
      <c r="D1014" s="37" t="s">
        <v>1336</v>
      </c>
      <c r="E1014">
        <v>0.14832582003726799</v>
      </c>
      <c r="F1014">
        <v>0.14832582003726799</v>
      </c>
    </row>
    <row r="1015" spans="1:6" x14ac:dyDescent="0.2">
      <c r="A1015">
        <v>340</v>
      </c>
      <c r="B1015" s="37" t="s">
        <v>1337</v>
      </c>
      <c r="C1015" s="1">
        <v>45348</v>
      </c>
      <c r="D1015" s="37" t="s">
        <v>1337</v>
      </c>
      <c r="E1015">
        <v>0.10978097046975401</v>
      </c>
      <c r="F1015">
        <v>0.10978097046975401</v>
      </c>
    </row>
    <row r="1016" spans="1:6" x14ac:dyDescent="0.2">
      <c r="A1016">
        <v>340</v>
      </c>
      <c r="B1016" s="37" t="s">
        <v>1338</v>
      </c>
      <c r="C1016" s="1">
        <v>45539</v>
      </c>
      <c r="D1016" s="37" t="s">
        <v>1338</v>
      </c>
      <c r="E1016">
        <v>0.22691686901605099</v>
      </c>
      <c r="F1016">
        <v>0.22691686901605099</v>
      </c>
    </row>
    <row r="1017" spans="1:6" x14ac:dyDescent="0.2">
      <c r="A1017">
        <v>340</v>
      </c>
      <c r="B1017" s="37" t="s">
        <v>1339</v>
      </c>
      <c r="C1017" s="1">
        <v>45464</v>
      </c>
      <c r="D1017" s="37" t="s">
        <v>1339</v>
      </c>
      <c r="E1017">
        <v>0.22166507135680799</v>
      </c>
      <c r="F1017">
        <v>0.22166507135680799</v>
      </c>
    </row>
    <row r="1018" spans="1:6" x14ac:dyDescent="0.2">
      <c r="A1018">
        <v>340</v>
      </c>
      <c r="B1018" s="37" t="s">
        <v>413</v>
      </c>
      <c r="C1018" s="1">
        <v>45402</v>
      </c>
      <c r="D1018" s="37" t="s">
        <v>413</v>
      </c>
      <c r="E1018">
        <v>0.206285452932013</v>
      </c>
      <c r="F1018">
        <v>0.206285452932013</v>
      </c>
    </row>
    <row r="1019" spans="1:6" x14ac:dyDescent="0.2">
      <c r="A1019">
        <v>341</v>
      </c>
      <c r="B1019" s="37" t="s">
        <v>1340</v>
      </c>
      <c r="C1019" s="1">
        <v>45347</v>
      </c>
      <c r="D1019" s="37" t="s">
        <v>1340</v>
      </c>
      <c r="E1019">
        <v>0.122152479763941</v>
      </c>
      <c r="F1019">
        <v>0.122152479763941</v>
      </c>
    </row>
    <row r="1020" spans="1:6" x14ac:dyDescent="0.2">
      <c r="A1020">
        <v>341</v>
      </c>
      <c r="B1020" s="37" t="s">
        <v>1341</v>
      </c>
      <c r="C1020" s="1">
        <v>45649</v>
      </c>
      <c r="D1020" s="37" t="s">
        <v>1341</v>
      </c>
      <c r="E1020">
        <v>4.52459959202033E-2</v>
      </c>
      <c r="F1020">
        <v>4.52459959202033E-2</v>
      </c>
    </row>
    <row r="1021" spans="1:6" x14ac:dyDescent="0.2">
      <c r="A1021">
        <v>342</v>
      </c>
      <c r="B1021" s="37" t="s">
        <v>1342</v>
      </c>
      <c r="C1021" s="1">
        <v>45501</v>
      </c>
      <c r="D1021" s="37" t="s">
        <v>1342</v>
      </c>
      <c r="E1021">
        <v>0.24911290871024799</v>
      </c>
      <c r="F1021">
        <v>0.24911290871024799</v>
      </c>
    </row>
    <row r="1022" spans="1:6" x14ac:dyDescent="0.2">
      <c r="A1022">
        <v>343</v>
      </c>
      <c r="B1022" s="37" t="s">
        <v>783</v>
      </c>
      <c r="C1022" s="1">
        <v>45453</v>
      </c>
      <c r="D1022" s="37" t="s">
        <v>783</v>
      </c>
      <c r="E1022">
        <v>8.4466266690019498E-2</v>
      </c>
      <c r="F1022">
        <v>8.4466266690019498E-2</v>
      </c>
    </row>
    <row r="1023" spans="1:6" x14ac:dyDescent="0.2">
      <c r="A1023">
        <v>343</v>
      </c>
      <c r="B1023" s="37" t="s">
        <v>414</v>
      </c>
      <c r="C1023" s="1">
        <v>45533</v>
      </c>
      <c r="D1023" s="37" t="s">
        <v>414</v>
      </c>
      <c r="E1023">
        <v>0.24744493934488701</v>
      </c>
      <c r="F1023">
        <v>0.24744493934488701</v>
      </c>
    </row>
    <row r="1024" spans="1:6" x14ac:dyDescent="0.2">
      <c r="A1024">
        <v>343</v>
      </c>
      <c r="B1024" s="37" t="s">
        <v>784</v>
      </c>
      <c r="C1024" s="1">
        <v>45384</v>
      </c>
      <c r="D1024" s="37" t="s">
        <v>784</v>
      </c>
      <c r="E1024">
        <v>0.33844399061382902</v>
      </c>
      <c r="F1024">
        <v>0.33844399061382902</v>
      </c>
    </row>
    <row r="1025" spans="1:6" x14ac:dyDescent="0.2">
      <c r="A1025">
        <v>344</v>
      </c>
      <c r="B1025" s="37" t="s">
        <v>415</v>
      </c>
      <c r="C1025" s="1">
        <v>45645</v>
      </c>
      <c r="D1025" s="37" t="s">
        <v>415</v>
      </c>
      <c r="E1025">
        <v>3.8893439316356797E-2</v>
      </c>
      <c r="F1025">
        <v>3.8893439316356797E-2</v>
      </c>
    </row>
    <row r="1026" spans="1:6" x14ac:dyDescent="0.2">
      <c r="A1026">
        <v>344</v>
      </c>
      <c r="B1026" s="37" t="s">
        <v>416</v>
      </c>
      <c r="C1026" s="1">
        <v>45549</v>
      </c>
      <c r="D1026" s="37" t="s">
        <v>416</v>
      </c>
      <c r="E1026">
        <v>0.31694918487958801</v>
      </c>
      <c r="F1026">
        <v>0.31694918487958801</v>
      </c>
    </row>
    <row r="1027" spans="1:6" x14ac:dyDescent="0.2">
      <c r="A1027">
        <v>345</v>
      </c>
      <c r="B1027" s="37" t="s">
        <v>1343</v>
      </c>
      <c r="C1027" s="1">
        <v>45391</v>
      </c>
      <c r="D1027" s="37" t="s">
        <v>1343</v>
      </c>
      <c r="E1027">
        <v>9.5727012304241896E-2</v>
      </c>
      <c r="F1027">
        <v>9.5727012304241896E-2</v>
      </c>
    </row>
    <row r="1028" spans="1:6" x14ac:dyDescent="0.2">
      <c r="A1028">
        <v>345</v>
      </c>
      <c r="B1028" s="37" t="s">
        <v>417</v>
      </c>
      <c r="C1028" s="1">
        <v>45567</v>
      </c>
      <c r="D1028" s="37" t="s">
        <v>417</v>
      </c>
      <c r="E1028">
        <v>1.34907339256411E-2</v>
      </c>
      <c r="F1028">
        <v>1.34907339256411E-2</v>
      </c>
    </row>
    <row r="1029" spans="1:6" x14ac:dyDescent="0.2">
      <c r="A1029">
        <v>345</v>
      </c>
      <c r="B1029" s="37" t="s">
        <v>418</v>
      </c>
      <c r="C1029" s="1">
        <v>45624</v>
      </c>
      <c r="D1029" s="37" t="s">
        <v>418</v>
      </c>
      <c r="E1029">
        <v>0.27118264379104801</v>
      </c>
      <c r="F1029">
        <v>0.27118264379104801</v>
      </c>
    </row>
    <row r="1030" spans="1:6" x14ac:dyDescent="0.2">
      <c r="A1030">
        <v>346</v>
      </c>
      <c r="B1030" s="37" t="s">
        <v>419</v>
      </c>
      <c r="C1030" s="1">
        <v>45511</v>
      </c>
      <c r="D1030" s="37" t="s">
        <v>419</v>
      </c>
      <c r="E1030">
        <v>0.17935242908422899</v>
      </c>
      <c r="F1030">
        <v>0.17935242908422899</v>
      </c>
    </row>
    <row r="1031" spans="1:6" x14ac:dyDescent="0.2">
      <c r="A1031">
        <v>346</v>
      </c>
      <c r="B1031" s="37" t="s">
        <v>420</v>
      </c>
      <c r="C1031" s="1">
        <v>45606</v>
      </c>
      <c r="D1031" s="37" t="s">
        <v>420</v>
      </c>
      <c r="E1031">
        <v>0.27513067982267903</v>
      </c>
      <c r="F1031">
        <v>0.27513067982267903</v>
      </c>
    </row>
    <row r="1032" spans="1:6" x14ac:dyDescent="0.2">
      <c r="A1032">
        <v>347</v>
      </c>
      <c r="B1032" s="37" t="s">
        <v>1344</v>
      </c>
      <c r="C1032" s="1">
        <v>45363</v>
      </c>
      <c r="D1032" s="37" t="s">
        <v>1344</v>
      </c>
      <c r="E1032">
        <v>5.84316311642398E-2</v>
      </c>
      <c r="F1032">
        <v>5.84316311642398E-2</v>
      </c>
    </row>
    <row r="1033" spans="1:6" x14ac:dyDescent="0.2">
      <c r="A1033">
        <v>347</v>
      </c>
      <c r="B1033" s="37" t="s">
        <v>1345</v>
      </c>
      <c r="C1033" s="1">
        <v>45425</v>
      </c>
      <c r="D1033" s="37" t="s">
        <v>1345</v>
      </c>
      <c r="E1033">
        <v>0.25489736117557699</v>
      </c>
      <c r="F1033">
        <v>0.25489736117557699</v>
      </c>
    </row>
    <row r="1034" spans="1:6" x14ac:dyDescent="0.2">
      <c r="A1034">
        <v>347</v>
      </c>
      <c r="B1034" s="37" t="s">
        <v>1346</v>
      </c>
      <c r="C1034" s="1">
        <v>45445</v>
      </c>
      <c r="D1034" s="37" t="s">
        <v>1346</v>
      </c>
      <c r="E1034">
        <v>5.6035602044341201E-2</v>
      </c>
      <c r="F1034">
        <v>5.6035602044341201E-2</v>
      </c>
    </row>
    <row r="1035" spans="1:6" x14ac:dyDescent="0.2">
      <c r="A1035">
        <v>347</v>
      </c>
      <c r="B1035" s="37" t="s">
        <v>1347</v>
      </c>
      <c r="C1035" s="1">
        <v>45471</v>
      </c>
      <c r="D1035" s="37" t="s">
        <v>1347</v>
      </c>
      <c r="E1035">
        <v>4.8579928918271301E-2</v>
      </c>
      <c r="F1035">
        <v>4.8579928918271301E-2</v>
      </c>
    </row>
    <row r="1036" spans="1:6" x14ac:dyDescent="0.2">
      <c r="A1036">
        <v>347</v>
      </c>
      <c r="B1036" s="37" t="s">
        <v>421</v>
      </c>
      <c r="C1036" s="1">
        <v>45295</v>
      </c>
      <c r="D1036" s="37" t="s">
        <v>421</v>
      </c>
      <c r="E1036">
        <v>0.37916791931337201</v>
      </c>
      <c r="F1036">
        <v>0.37916791931337201</v>
      </c>
    </row>
    <row r="1037" spans="1:6" x14ac:dyDescent="0.2">
      <c r="A1037">
        <v>347</v>
      </c>
      <c r="B1037" s="37" t="s">
        <v>422</v>
      </c>
      <c r="C1037" s="1">
        <v>45302</v>
      </c>
      <c r="D1037" s="37" t="s">
        <v>422</v>
      </c>
      <c r="E1037">
        <v>2.3364096773893499E-2</v>
      </c>
      <c r="F1037">
        <v>2.3364096773893499E-2</v>
      </c>
    </row>
    <row r="1038" spans="1:6" x14ac:dyDescent="0.2">
      <c r="A1038">
        <v>347</v>
      </c>
      <c r="B1038" s="37" t="s">
        <v>423</v>
      </c>
      <c r="C1038" s="1">
        <v>45439</v>
      </c>
      <c r="D1038" s="37" t="s">
        <v>423</v>
      </c>
      <c r="E1038">
        <v>0.145400676453769</v>
      </c>
      <c r="F1038">
        <v>0.145400676453769</v>
      </c>
    </row>
    <row r="1039" spans="1:6" x14ac:dyDescent="0.2">
      <c r="A1039">
        <v>348</v>
      </c>
      <c r="B1039" s="37" t="s">
        <v>1348</v>
      </c>
      <c r="C1039" s="1">
        <v>45423</v>
      </c>
      <c r="D1039" s="37" t="s">
        <v>1348</v>
      </c>
      <c r="E1039">
        <v>0.153124419653307</v>
      </c>
      <c r="F1039">
        <v>0.153124419653307</v>
      </c>
    </row>
    <row r="1040" spans="1:6" x14ac:dyDescent="0.2">
      <c r="A1040">
        <v>348</v>
      </c>
      <c r="B1040" s="37" t="s">
        <v>1349</v>
      </c>
      <c r="C1040" s="1">
        <v>45611</v>
      </c>
      <c r="D1040" s="37" t="s">
        <v>1349</v>
      </c>
      <c r="E1040">
        <v>4.7626393768653297E-2</v>
      </c>
      <c r="F1040">
        <v>4.7626393768653297E-2</v>
      </c>
    </row>
    <row r="1041" spans="1:6" x14ac:dyDescent="0.2">
      <c r="A1041">
        <v>349</v>
      </c>
      <c r="B1041" s="37" t="s">
        <v>785</v>
      </c>
      <c r="C1041" s="1">
        <v>45629</v>
      </c>
      <c r="D1041" s="37" t="s">
        <v>785</v>
      </c>
      <c r="E1041">
        <v>0.42052032511079401</v>
      </c>
      <c r="F1041">
        <v>0.42052032511079401</v>
      </c>
    </row>
    <row r="1042" spans="1:6" x14ac:dyDescent="0.2">
      <c r="A1042">
        <v>349</v>
      </c>
      <c r="B1042" s="37" t="s">
        <v>786</v>
      </c>
      <c r="C1042" s="1">
        <v>45535</v>
      </c>
      <c r="D1042" s="37" t="s">
        <v>786</v>
      </c>
      <c r="E1042">
        <v>0.31750685770673298</v>
      </c>
      <c r="F1042">
        <v>0.31750685770673298</v>
      </c>
    </row>
    <row r="1043" spans="1:6" x14ac:dyDescent="0.2">
      <c r="A1043">
        <v>350</v>
      </c>
      <c r="B1043" s="37" t="s">
        <v>424</v>
      </c>
      <c r="C1043" s="1">
        <v>45355</v>
      </c>
      <c r="D1043" s="37" t="s">
        <v>424</v>
      </c>
      <c r="E1043">
        <v>0.16230497451675499</v>
      </c>
      <c r="F1043">
        <v>0.16230497451675499</v>
      </c>
    </row>
    <row r="1044" spans="1:6" x14ac:dyDescent="0.2">
      <c r="A1044">
        <v>350</v>
      </c>
      <c r="B1044" s="37" t="s">
        <v>1350</v>
      </c>
      <c r="C1044" s="1">
        <v>45541</v>
      </c>
      <c r="D1044" s="37" t="s">
        <v>1350</v>
      </c>
      <c r="E1044">
        <v>3.54300103982544E-2</v>
      </c>
      <c r="F1044">
        <v>3.54300103982544E-2</v>
      </c>
    </row>
    <row r="1045" spans="1:6" x14ac:dyDescent="0.2">
      <c r="A1045">
        <v>350</v>
      </c>
      <c r="B1045" s="37" t="s">
        <v>425</v>
      </c>
      <c r="C1045" s="1">
        <v>45582</v>
      </c>
      <c r="D1045" s="37" t="s">
        <v>425</v>
      </c>
      <c r="E1045">
        <v>0.21704647726408099</v>
      </c>
      <c r="F1045">
        <v>0.21704647726408099</v>
      </c>
    </row>
    <row r="1046" spans="1:6" x14ac:dyDescent="0.2">
      <c r="A1046">
        <v>351</v>
      </c>
      <c r="B1046" s="37" t="s">
        <v>426</v>
      </c>
      <c r="C1046" s="1">
        <v>45627</v>
      </c>
      <c r="D1046" s="37" t="s">
        <v>426</v>
      </c>
      <c r="E1046">
        <v>0.25201486365924203</v>
      </c>
      <c r="F1046">
        <v>0.25201486365924203</v>
      </c>
    </row>
    <row r="1047" spans="1:6" x14ac:dyDescent="0.2">
      <c r="A1047">
        <v>352</v>
      </c>
      <c r="B1047" s="37" t="s">
        <v>1351</v>
      </c>
      <c r="C1047" s="1">
        <v>45604</v>
      </c>
      <c r="D1047" s="37" t="s">
        <v>1351</v>
      </c>
      <c r="E1047">
        <v>0.268685448375029</v>
      </c>
      <c r="F1047">
        <v>0.268685448375029</v>
      </c>
    </row>
    <row r="1048" spans="1:6" x14ac:dyDescent="0.2">
      <c r="A1048">
        <v>352</v>
      </c>
      <c r="B1048" s="37" t="s">
        <v>1352</v>
      </c>
      <c r="C1048" s="1">
        <v>45296</v>
      </c>
      <c r="D1048" s="37" t="s">
        <v>1352</v>
      </c>
      <c r="E1048">
        <v>5.58850556141232E-2</v>
      </c>
      <c r="F1048">
        <v>5.58850556141232E-2</v>
      </c>
    </row>
    <row r="1049" spans="1:6" x14ac:dyDescent="0.2">
      <c r="A1049">
        <v>352</v>
      </c>
      <c r="B1049" s="37" t="s">
        <v>1353</v>
      </c>
      <c r="C1049" s="1">
        <v>45313</v>
      </c>
      <c r="D1049" s="37" t="s">
        <v>1353</v>
      </c>
      <c r="E1049">
        <v>0.15693000933425899</v>
      </c>
      <c r="F1049">
        <v>0.15693000933425899</v>
      </c>
    </row>
    <row r="1050" spans="1:6" x14ac:dyDescent="0.2">
      <c r="A1050">
        <v>352</v>
      </c>
      <c r="B1050" s="37" t="s">
        <v>1354</v>
      </c>
      <c r="C1050" s="1">
        <v>45295</v>
      </c>
      <c r="D1050" s="37" t="s">
        <v>1354</v>
      </c>
      <c r="E1050">
        <v>0.21636001980181799</v>
      </c>
      <c r="F1050">
        <v>0.21636001980181799</v>
      </c>
    </row>
    <row r="1051" spans="1:6" x14ac:dyDescent="0.2">
      <c r="A1051">
        <v>352</v>
      </c>
      <c r="B1051" s="37" t="s">
        <v>1355</v>
      </c>
      <c r="C1051" s="1">
        <v>45643</v>
      </c>
      <c r="D1051" s="37" t="s">
        <v>1355</v>
      </c>
      <c r="E1051">
        <v>0.217862765654253</v>
      </c>
      <c r="F1051">
        <v>0.217862765654253</v>
      </c>
    </row>
    <row r="1052" spans="1:6" x14ac:dyDescent="0.2">
      <c r="A1052">
        <v>352</v>
      </c>
      <c r="B1052" s="37" t="s">
        <v>427</v>
      </c>
      <c r="C1052" s="1">
        <v>45422</v>
      </c>
      <c r="D1052" s="37" t="s">
        <v>427</v>
      </c>
      <c r="E1052">
        <v>4.72128236364271E-2</v>
      </c>
      <c r="F1052">
        <v>4.72128236364271E-2</v>
      </c>
    </row>
    <row r="1053" spans="1:6" x14ac:dyDescent="0.2">
      <c r="A1053">
        <v>352</v>
      </c>
      <c r="B1053" s="37" t="s">
        <v>428</v>
      </c>
      <c r="C1053" s="1">
        <v>45522</v>
      </c>
      <c r="D1053" s="37" t="s">
        <v>428</v>
      </c>
      <c r="E1053">
        <v>0.107610070999936</v>
      </c>
      <c r="F1053">
        <v>0.107610070999936</v>
      </c>
    </row>
    <row r="1054" spans="1:6" x14ac:dyDescent="0.2">
      <c r="A1054">
        <v>353</v>
      </c>
      <c r="B1054" s="37" t="s">
        <v>1356</v>
      </c>
      <c r="C1054" s="1">
        <v>45325</v>
      </c>
      <c r="D1054" s="37" t="s">
        <v>1356</v>
      </c>
      <c r="E1054">
        <v>0.240763776008105</v>
      </c>
      <c r="F1054">
        <v>0.240763776008105</v>
      </c>
    </row>
    <row r="1055" spans="1:6" x14ac:dyDescent="0.2">
      <c r="A1055">
        <v>353</v>
      </c>
      <c r="B1055" s="37" t="s">
        <v>1357</v>
      </c>
      <c r="C1055" s="1">
        <v>45597</v>
      </c>
      <c r="D1055" s="37" t="s">
        <v>1357</v>
      </c>
      <c r="E1055">
        <v>0.111695432826107</v>
      </c>
      <c r="F1055">
        <v>0.111695432826107</v>
      </c>
    </row>
    <row r="1056" spans="1:6" x14ac:dyDescent="0.2">
      <c r="A1056">
        <v>353</v>
      </c>
      <c r="B1056" s="37" t="s">
        <v>1358</v>
      </c>
      <c r="C1056" s="1">
        <v>45438</v>
      </c>
      <c r="D1056" s="37" t="s">
        <v>1358</v>
      </c>
      <c r="E1056">
        <v>0.123096747249982</v>
      </c>
      <c r="F1056">
        <v>0.123096747249982</v>
      </c>
    </row>
    <row r="1057" spans="1:6" x14ac:dyDescent="0.2">
      <c r="A1057">
        <v>354</v>
      </c>
      <c r="B1057" s="37" t="s">
        <v>429</v>
      </c>
      <c r="C1057" s="1">
        <v>45294</v>
      </c>
      <c r="D1057" s="37" t="s">
        <v>429</v>
      </c>
      <c r="E1057">
        <v>0.20974428280676999</v>
      </c>
      <c r="F1057">
        <v>0.20974428280676999</v>
      </c>
    </row>
    <row r="1058" spans="1:6" x14ac:dyDescent="0.2">
      <c r="A1058">
        <v>355</v>
      </c>
      <c r="B1058" s="37" t="s">
        <v>1359</v>
      </c>
      <c r="C1058" s="1">
        <v>45321</v>
      </c>
      <c r="D1058" s="37" t="s">
        <v>1359</v>
      </c>
      <c r="E1058">
        <v>0.20714206535678301</v>
      </c>
      <c r="F1058">
        <v>0.20714206535678301</v>
      </c>
    </row>
    <row r="1059" spans="1:6" x14ac:dyDescent="0.2">
      <c r="A1059">
        <v>355</v>
      </c>
      <c r="B1059" s="37" t="s">
        <v>787</v>
      </c>
      <c r="C1059" s="1">
        <v>45560</v>
      </c>
      <c r="D1059" s="37" t="s">
        <v>787</v>
      </c>
      <c r="E1059">
        <v>9.5702334922169202E-2</v>
      </c>
      <c r="F1059">
        <v>9.5702334922169202E-2</v>
      </c>
    </row>
    <row r="1060" spans="1:6" x14ac:dyDescent="0.2">
      <c r="A1060">
        <v>355</v>
      </c>
      <c r="B1060" s="37" t="s">
        <v>788</v>
      </c>
      <c r="C1060" s="1">
        <v>45366</v>
      </c>
      <c r="D1060" s="37" t="s">
        <v>788</v>
      </c>
      <c r="E1060">
        <v>0.150592351702734</v>
      </c>
      <c r="F1060">
        <v>0.150592351702734</v>
      </c>
    </row>
    <row r="1061" spans="1:6" x14ac:dyDescent="0.2">
      <c r="A1061">
        <v>356</v>
      </c>
      <c r="B1061" s="37" t="s">
        <v>430</v>
      </c>
      <c r="C1061" s="1">
        <v>45529</v>
      </c>
      <c r="D1061" s="37" t="s">
        <v>430</v>
      </c>
      <c r="E1061">
        <v>0.46962559010761501</v>
      </c>
      <c r="F1061">
        <v>0.46962559010761501</v>
      </c>
    </row>
    <row r="1062" spans="1:6" x14ac:dyDescent="0.2">
      <c r="A1062">
        <v>356</v>
      </c>
      <c r="B1062" s="37" t="s">
        <v>431</v>
      </c>
      <c r="C1062" s="1">
        <v>45552</v>
      </c>
      <c r="D1062" s="37" t="s">
        <v>431</v>
      </c>
      <c r="E1062">
        <v>0.48532277997027201</v>
      </c>
      <c r="F1062">
        <v>0.48532277997027201</v>
      </c>
    </row>
    <row r="1063" spans="1:6" x14ac:dyDescent="0.2">
      <c r="A1063">
        <v>356</v>
      </c>
      <c r="B1063" s="37" t="s">
        <v>1360</v>
      </c>
      <c r="C1063" s="1">
        <v>45386</v>
      </c>
      <c r="D1063" s="37" t="s">
        <v>1360</v>
      </c>
      <c r="E1063">
        <v>0.19655272200026799</v>
      </c>
      <c r="F1063">
        <v>0.19655272200026799</v>
      </c>
    </row>
    <row r="1064" spans="1:6" x14ac:dyDescent="0.2">
      <c r="A1064">
        <v>356</v>
      </c>
      <c r="B1064" s="37" t="s">
        <v>1361</v>
      </c>
      <c r="C1064" s="1">
        <v>45339</v>
      </c>
      <c r="D1064" s="37" t="s">
        <v>1361</v>
      </c>
      <c r="E1064">
        <v>0.58634490625559998</v>
      </c>
      <c r="F1064">
        <v>0.58634490625559998</v>
      </c>
    </row>
    <row r="1065" spans="1:6" x14ac:dyDescent="0.2">
      <c r="A1065">
        <v>356</v>
      </c>
      <c r="B1065" s="37" t="s">
        <v>1362</v>
      </c>
      <c r="C1065" s="1">
        <v>45301</v>
      </c>
      <c r="D1065" s="37" t="s">
        <v>1362</v>
      </c>
      <c r="E1065">
        <v>9.4648671474772197E-2</v>
      </c>
      <c r="F1065">
        <v>9.4648671474772197E-2</v>
      </c>
    </row>
    <row r="1066" spans="1:6" x14ac:dyDescent="0.2">
      <c r="A1066">
        <v>356</v>
      </c>
      <c r="B1066" s="37" t="s">
        <v>1363</v>
      </c>
      <c r="C1066" s="1">
        <v>45562</v>
      </c>
      <c r="D1066" s="37" t="s">
        <v>1363</v>
      </c>
      <c r="E1066">
        <v>0.114865572470902</v>
      </c>
      <c r="F1066">
        <v>0.114865572470902</v>
      </c>
    </row>
    <row r="1067" spans="1:6" x14ac:dyDescent="0.2">
      <c r="A1067">
        <v>356</v>
      </c>
      <c r="B1067" s="37" t="s">
        <v>1364</v>
      </c>
      <c r="C1067" s="1">
        <v>45539</v>
      </c>
      <c r="D1067" s="37" t="s">
        <v>1364</v>
      </c>
      <c r="E1067">
        <v>7.9396675177121206E-2</v>
      </c>
      <c r="F1067">
        <v>7.9396675177121206E-2</v>
      </c>
    </row>
    <row r="1068" spans="1:6" x14ac:dyDescent="0.2">
      <c r="A1068">
        <v>357</v>
      </c>
      <c r="B1068" s="37" t="s">
        <v>789</v>
      </c>
      <c r="C1068" s="1">
        <v>45606</v>
      </c>
      <c r="D1068" s="37" t="s">
        <v>789</v>
      </c>
      <c r="E1068">
        <v>0.349945388736985</v>
      </c>
      <c r="F1068">
        <v>0.349945388736985</v>
      </c>
    </row>
    <row r="1069" spans="1:6" x14ac:dyDescent="0.2">
      <c r="A1069">
        <v>357</v>
      </c>
      <c r="B1069" s="37" t="s">
        <v>432</v>
      </c>
      <c r="C1069" s="1">
        <v>45556</v>
      </c>
      <c r="D1069" s="37" t="s">
        <v>432</v>
      </c>
      <c r="E1069">
        <v>0.19364959741051699</v>
      </c>
      <c r="F1069">
        <v>0.19364959741051699</v>
      </c>
    </row>
    <row r="1070" spans="1:6" x14ac:dyDescent="0.2">
      <c r="A1070">
        <v>357</v>
      </c>
      <c r="B1070" s="37" t="s">
        <v>433</v>
      </c>
      <c r="C1070" s="1">
        <v>45344</v>
      </c>
      <c r="D1070" s="37" t="s">
        <v>433</v>
      </c>
      <c r="E1070">
        <v>0.38519493272864203</v>
      </c>
      <c r="F1070">
        <v>0.38519493272864203</v>
      </c>
    </row>
    <row r="1071" spans="1:6" x14ac:dyDescent="0.2">
      <c r="A1071">
        <v>357</v>
      </c>
      <c r="B1071" s="37" t="s">
        <v>434</v>
      </c>
      <c r="C1071" s="1">
        <v>45388</v>
      </c>
      <c r="D1071" s="37" t="s">
        <v>434</v>
      </c>
      <c r="E1071">
        <v>8.1140801160704198E-2</v>
      </c>
      <c r="F1071">
        <v>8.1140801160704198E-2</v>
      </c>
    </row>
    <row r="1072" spans="1:6" x14ac:dyDescent="0.2">
      <c r="A1072">
        <v>358</v>
      </c>
      <c r="B1072" s="37" t="s">
        <v>1365</v>
      </c>
      <c r="C1072" s="1">
        <v>45319</v>
      </c>
      <c r="D1072" s="37" t="s">
        <v>1365</v>
      </c>
      <c r="E1072">
        <v>3.6711293305368001E-2</v>
      </c>
      <c r="F1072">
        <v>3.6711293305368001E-2</v>
      </c>
    </row>
    <row r="1073" spans="1:6" x14ac:dyDescent="0.2">
      <c r="A1073">
        <v>358</v>
      </c>
      <c r="B1073" s="37" t="s">
        <v>1366</v>
      </c>
      <c r="C1073" s="1">
        <v>45629</v>
      </c>
      <c r="D1073" s="37" t="s">
        <v>1366</v>
      </c>
      <c r="E1073">
        <v>0.102422023408374</v>
      </c>
      <c r="F1073">
        <v>0.102422023408374</v>
      </c>
    </row>
    <row r="1074" spans="1:6" x14ac:dyDescent="0.2">
      <c r="A1074">
        <v>359</v>
      </c>
      <c r="B1074" s="37" t="s">
        <v>1367</v>
      </c>
      <c r="C1074" s="1">
        <v>45515</v>
      </c>
      <c r="D1074" s="37" t="s">
        <v>1367</v>
      </c>
      <c r="E1074">
        <v>7.8318363019465306E-2</v>
      </c>
      <c r="F1074">
        <v>7.8318363019465306E-2</v>
      </c>
    </row>
    <row r="1075" spans="1:6" x14ac:dyDescent="0.2">
      <c r="A1075">
        <v>359</v>
      </c>
      <c r="B1075" s="37" t="s">
        <v>1368</v>
      </c>
      <c r="C1075" s="1">
        <v>45395</v>
      </c>
      <c r="D1075" s="37" t="s">
        <v>1368</v>
      </c>
      <c r="E1075">
        <v>0.15939653327863099</v>
      </c>
      <c r="F1075">
        <v>0.15939653327863099</v>
      </c>
    </row>
    <row r="1076" spans="1:6" x14ac:dyDescent="0.2">
      <c r="A1076">
        <v>360</v>
      </c>
      <c r="B1076" s="37" t="s">
        <v>790</v>
      </c>
      <c r="C1076" s="1">
        <v>45650</v>
      </c>
      <c r="D1076" s="37" t="s">
        <v>790</v>
      </c>
      <c r="E1076">
        <v>0.24409419280331199</v>
      </c>
      <c r="F1076">
        <v>0.24409419280331199</v>
      </c>
    </row>
    <row r="1077" spans="1:6" x14ac:dyDescent="0.2">
      <c r="A1077">
        <v>360</v>
      </c>
      <c r="B1077" s="37" t="s">
        <v>1369</v>
      </c>
      <c r="C1077" s="1">
        <v>45571</v>
      </c>
      <c r="D1077" s="37" t="s">
        <v>1369</v>
      </c>
      <c r="E1077">
        <v>0.15915206418130701</v>
      </c>
      <c r="F1077">
        <v>0.15915206418130701</v>
      </c>
    </row>
    <row r="1078" spans="1:6" x14ac:dyDescent="0.2">
      <c r="A1078">
        <v>360</v>
      </c>
      <c r="B1078" s="37" t="s">
        <v>1370</v>
      </c>
      <c r="C1078" s="1">
        <v>45521</v>
      </c>
      <c r="D1078" s="37" t="s">
        <v>1370</v>
      </c>
      <c r="E1078">
        <v>0.25373679346176398</v>
      </c>
      <c r="F1078">
        <v>0.25373679346176398</v>
      </c>
    </row>
    <row r="1079" spans="1:6" x14ac:dyDescent="0.2">
      <c r="A1079">
        <v>360</v>
      </c>
      <c r="B1079" s="37" t="s">
        <v>1371</v>
      </c>
      <c r="C1079" s="1">
        <v>45348</v>
      </c>
      <c r="D1079" s="37" t="s">
        <v>1371</v>
      </c>
      <c r="E1079">
        <v>0.241989527964555</v>
      </c>
      <c r="F1079">
        <v>0.241989527964555</v>
      </c>
    </row>
    <row r="1080" spans="1:6" x14ac:dyDescent="0.2">
      <c r="A1080">
        <v>360</v>
      </c>
      <c r="B1080" s="37" t="s">
        <v>1372</v>
      </c>
      <c r="C1080" s="1">
        <v>45310</v>
      </c>
      <c r="D1080" s="37" t="s">
        <v>1372</v>
      </c>
      <c r="E1080">
        <v>0.41067232063965198</v>
      </c>
      <c r="F1080">
        <v>0.41067232063965198</v>
      </c>
    </row>
    <row r="1081" spans="1:6" x14ac:dyDescent="0.2">
      <c r="A1081">
        <v>361</v>
      </c>
      <c r="B1081" s="37" t="s">
        <v>1373</v>
      </c>
      <c r="C1081" s="1">
        <v>45597</v>
      </c>
      <c r="D1081" s="37" t="s">
        <v>1373</v>
      </c>
      <c r="E1081">
        <v>9.8150350876126793E-2</v>
      </c>
      <c r="F1081">
        <v>9.8150350876126793E-2</v>
      </c>
    </row>
    <row r="1082" spans="1:6" x14ac:dyDescent="0.2">
      <c r="A1082">
        <v>362</v>
      </c>
      <c r="B1082" s="37" t="s">
        <v>1374</v>
      </c>
      <c r="C1082" s="1">
        <v>45530</v>
      </c>
      <c r="D1082" s="37" t="s">
        <v>1374</v>
      </c>
      <c r="E1082">
        <v>0.12241273807658801</v>
      </c>
      <c r="F1082">
        <v>0.12241273807658801</v>
      </c>
    </row>
    <row r="1083" spans="1:6" x14ac:dyDescent="0.2">
      <c r="A1083">
        <v>363</v>
      </c>
      <c r="B1083" s="37" t="s">
        <v>435</v>
      </c>
      <c r="C1083" s="1">
        <v>45635</v>
      </c>
      <c r="D1083" s="37" t="s">
        <v>435</v>
      </c>
      <c r="E1083">
        <v>0.44863378739878901</v>
      </c>
      <c r="F1083">
        <v>0.44863378739878901</v>
      </c>
    </row>
    <row r="1084" spans="1:6" x14ac:dyDescent="0.2">
      <c r="A1084">
        <v>363</v>
      </c>
      <c r="B1084" s="37" t="s">
        <v>1375</v>
      </c>
      <c r="C1084" s="1">
        <v>45632</v>
      </c>
      <c r="D1084" s="37" t="s">
        <v>1375</v>
      </c>
      <c r="E1084">
        <v>0.17567648396080099</v>
      </c>
      <c r="F1084">
        <v>0.17567648396080099</v>
      </c>
    </row>
    <row r="1085" spans="1:6" x14ac:dyDescent="0.2">
      <c r="A1085">
        <v>363</v>
      </c>
      <c r="B1085" s="37" t="s">
        <v>791</v>
      </c>
      <c r="C1085" s="1">
        <v>45524</v>
      </c>
      <c r="D1085" s="37" t="s">
        <v>791</v>
      </c>
      <c r="E1085">
        <v>0.149376690368935</v>
      </c>
      <c r="F1085">
        <v>0.149376690368935</v>
      </c>
    </row>
    <row r="1086" spans="1:6" x14ac:dyDescent="0.2">
      <c r="A1086">
        <v>363</v>
      </c>
      <c r="B1086" s="37" t="s">
        <v>792</v>
      </c>
      <c r="C1086" s="1">
        <v>45502</v>
      </c>
      <c r="D1086" s="37" t="s">
        <v>792</v>
      </c>
      <c r="E1086">
        <v>0.275872983100938</v>
      </c>
      <c r="F1086">
        <v>0.275872983100938</v>
      </c>
    </row>
    <row r="1087" spans="1:6" x14ac:dyDescent="0.2">
      <c r="A1087">
        <v>363</v>
      </c>
      <c r="B1087" s="37" t="s">
        <v>793</v>
      </c>
      <c r="C1087" s="1">
        <v>45547</v>
      </c>
      <c r="D1087" s="37" t="s">
        <v>793</v>
      </c>
      <c r="E1087">
        <v>0.46623585830882402</v>
      </c>
      <c r="F1087">
        <v>0.46623585830882402</v>
      </c>
    </row>
    <row r="1088" spans="1:6" x14ac:dyDescent="0.2">
      <c r="A1088">
        <v>364</v>
      </c>
      <c r="B1088" s="37" t="s">
        <v>794</v>
      </c>
      <c r="C1088" s="1">
        <v>45430</v>
      </c>
      <c r="D1088" s="37" t="s">
        <v>794</v>
      </c>
      <c r="E1088">
        <v>0.35459421804832097</v>
      </c>
      <c r="F1088">
        <v>0.35459421804832097</v>
      </c>
    </row>
    <row r="1089" spans="1:6" x14ac:dyDescent="0.2">
      <c r="A1089">
        <v>364</v>
      </c>
      <c r="B1089" s="37" t="s">
        <v>795</v>
      </c>
      <c r="C1089" s="1">
        <v>45323</v>
      </c>
      <c r="D1089" s="37" t="s">
        <v>795</v>
      </c>
      <c r="E1089">
        <v>0.25156286226167901</v>
      </c>
      <c r="F1089">
        <v>0.25156286226167901</v>
      </c>
    </row>
    <row r="1090" spans="1:6" x14ac:dyDescent="0.2">
      <c r="A1090">
        <v>365</v>
      </c>
      <c r="B1090" s="37" t="s">
        <v>1376</v>
      </c>
      <c r="C1090" s="1">
        <v>45445</v>
      </c>
      <c r="D1090" s="37" t="s">
        <v>1376</v>
      </c>
      <c r="E1090">
        <v>8.1383600820058799E-2</v>
      </c>
      <c r="F1090">
        <v>8.1383600820058799E-2</v>
      </c>
    </row>
    <row r="1091" spans="1:6" x14ac:dyDescent="0.2">
      <c r="A1091">
        <v>365</v>
      </c>
      <c r="B1091" s="37" t="s">
        <v>1377</v>
      </c>
      <c r="C1091" s="1">
        <v>45404</v>
      </c>
      <c r="D1091" s="37" t="s">
        <v>1377</v>
      </c>
      <c r="E1091">
        <v>0.29324178281174001</v>
      </c>
      <c r="F1091">
        <v>0.29324178281174001</v>
      </c>
    </row>
    <row r="1092" spans="1:6" x14ac:dyDescent="0.2">
      <c r="A1092">
        <v>366</v>
      </c>
      <c r="B1092" s="37" t="s">
        <v>1378</v>
      </c>
      <c r="C1092" s="1">
        <v>45533</v>
      </c>
      <c r="D1092" s="37" t="s">
        <v>1378</v>
      </c>
      <c r="E1092">
        <v>0.18975007183379999</v>
      </c>
      <c r="F1092">
        <v>0.18975007183379999</v>
      </c>
    </row>
    <row r="1093" spans="1:6" x14ac:dyDescent="0.2">
      <c r="A1093">
        <v>366</v>
      </c>
      <c r="B1093" s="37" t="s">
        <v>1379</v>
      </c>
      <c r="C1093" s="1">
        <v>45633</v>
      </c>
      <c r="D1093" s="37" t="s">
        <v>1379</v>
      </c>
      <c r="E1093">
        <v>0.32994696078777502</v>
      </c>
      <c r="F1093">
        <v>0.32994696078777502</v>
      </c>
    </row>
    <row r="1094" spans="1:6" x14ac:dyDescent="0.2">
      <c r="A1094">
        <v>366</v>
      </c>
      <c r="B1094" s="37" t="s">
        <v>1380</v>
      </c>
      <c r="C1094" s="1">
        <v>45465</v>
      </c>
      <c r="D1094" s="37" t="s">
        <v>1380</v>
      </c>
      <c r="E1094">
        <v>0.15370482756158901</v>
      </c>
      <c r="F1094">
        <v>0.15370482756158901</v>
      </c>
    </row>
    <row r="1095" spans="1:6" x14ac:dyDescent="0.2">
      <c r="A1095">
        <v>366</v>
      </c>
      <c r="B1095" s="37" t="s">
        <v>1381</v>
      </c>
      <c r="C1095" s="1">
        <v>45643</v>
      </c>
      <c r="D1095" s="37" t="s">
        <v>1381</v>
      </c>
      <c r="E1095">
        <v>0.45293761908792302</v>
      </c>
      <c r="F1095">
        <v>0.45293761908792302</v>
      </c>
    </row>
    <row r="1096" spans="1:6" x14ac:dyDescent="0.2">
      <c r="A1096">
        <v>367</v>
      </c>
      <c r="B1096" s="37" t="s">
        <v>1382</v>
      </c>
      <c r="C1096" s="1">
        <v>45450</v>
      </c>
      <c r="D1096" s="37" t="s">
        <v>1382</v>
      </c>
      <c r="E1096">
        <v>0.10643552302105</v>
      </c>
      <c r="F1096">
        <v>0.10643552302105</v>
      </c>
    </row>
    <row r="1097" spans="1:6" x14ac:dyDescent="0.2">
      <c r="A1097">
        <v>369</v>
      </c>
      <c r="B1097" s="37" t="s">
        <v>1383</v>
      </c>
      <c r="C1097" s="1">
        <v>45542</v>
      </c>
      <c r="D1097" s="37" t="s">
        <v>1383</v>
      </c>
      <c r="E1097">
        <v>0.237657458905421</v>
      </c>
      <c r="F1097">
        <v>0.237657458905421</v>
      </c>
    </row>
    <row r="1098" spans="1:6" x14ac:dyDescent="0.2">
      <c r="A1098">
        <v>369</v>
      </c>
      <c r="B1098" s="37" t="s">
        <v>1384</v>
      </c>
      <c r="C1098" s="1">
        <v>45384</v>
      </c>
      <c r="D1098" s="37" t="s">
        <v>1384</v>
      </c>
      <c r="E1098">
        <v>0.37063300078303202</v>
      </c>
      <c r="F1098">
        <v>0.37063300078303202</v>
      </c>
    </row>
    <row r="1099" spans="1:6" x14ac:dyDescent="0.2">
      <c r="A1099">
        <v>370</v>
      </c>
      <c r="B1099" s="37" t="s">
        <v>1385</v>
      </c>
      <c r="C1099" s="1">
        <v>45311</v>
      </c>
      <c r="D1099" s="37" t="s">
        <v>1385</v>
      </c>
      <c r="E1099">
        <v>6.38485736421813E-2</v>
      </c>
      <c r="F1099">
        <v>6.38485736421813E-2</v>
      </c>
    </row>
    <row r="1100" spans="1:6" x14ac:dyDescent="0.2">
      <c r="A1100">
        <v>370</v>
      </c>
      <c r="B1100" s="37" t="s">
        <v>796</v>
      </c>
      <c r="C1100" s="1">
        <v>45639</v>
      </c>
      <c r="D1100" s="37" t="s">
        <v>796</v>
      </c>
      <c r="E1100">
        <v>9.00590665029984E-2</v>
      </c>
      <c r="F1100">
        <v>9.00590665029984E-2</v>
      </c>
    </row>
    <row r="1101" spans="1:6" x14ac:dyDescent="0.2">
      <c r="A1101">
        <v>370</v>
      </c>
      <c r="B1101" s="37" t="s">
        <v>797</v>
      </c>
      <c r="C1101" s="1">
        <v>45341</v>
      </c>
      <c r="D1101" s="37" t="s">
        <v>797</v>
      </c>
      <c r="E1101">
        <v>0.33464178460333899</v>
      </c>
      <c r="F1101">
        <v>0.33464178460333899</v>
      </c>
    </row>
    <row r="1102" spans="1:6" x14ac:dyDescent="0.2">
      <c r="A1102">
        <v>371</v>
      </c>
      <c r="B1102" s="37" t="s">
        <v>1386</v>
      </c>
      <c r="C1102" s="1">
        <v>45465</v>
      </c>
      <c r="D1102" s="37" t="s">
        <v>1386</v>
      </c>
      <c r="E1102">
        <v>4.0693759143699902E-2</v>
      </c>
      <c r="F1102">
        <v>4.0693759143699902E-2</v>
      </c>
    </row>
    <row r="1103" spans="1:6" x14ac:dyDescent="0.2">
      <c r="A1103">
        <v>371</v>
      </c>
      <c r="B1103" s="37" t="s">
        <v>1387</v>
      </c>
      <c r="C1103" s="1">
        <v>45384</v>
      </c>
      <c r="D1103" s="37" t="s">
        <v>1387</v>
      </c>
      <c r="E1103">
        <v>0.60641416787339097</v>
      </c>
      <c r="F1103">
        <v>0.60641416787339097</v>
      </c>
    </row>
    <row r="1104" spans="1:6" x14ac:dyDescent="0.2">
      <c r="A1104">
        <v>372</v>
      </c>
      <c r="B1104" s="37" t="s">
        <v>436</v>
      </c>
      <c r="C1104" s="1">
        <v>45415</v>
      </c>
      <c r="D1104" s="37" t="s">
        <v>436</v>
      </c>
      <c r="E1104">
        <v>5.9744129666398298E-2</v>
      </c>
      <c r="F1104">
        <v>5.9744129666398298E-2</v>
      </c>
    </row>
    <row r="1105" spans="1:6" x14ac:dyDescent="0.2">
      <c r="A1105">
        <v>372</v>
      </c>
      <c r="B1105" s="37" t="s">
        <v>437</v>
      </c>
      <c r="C1105" s="1">
        <v>45385</v>
      </c>
      <c r="D1105" s="37" t="s">
        <v>437</v>
      </c>
      <c r="E1105">
        <v>0.46347327073891798</v>
      </c>
      <c r="F1105">
        <v>0.46347327073891798</v>
      </c>
    </row>
    <row r="1106" spans="1:6" x14ac:dyDescent="0.2">
      <c r="A1106">
        <v>373</v>
      </c>
      <c r="B1106" s="37" t="s">
        <v>1388</v>
      </c>
      <c r="C1106" s="1">
        <v>45608</v>
      </c>
      <c r="D1106" s="37" t="s">
        <v>1388</v>
      </c>
      <c r="E1106">
        <v>0.15641087830762401</v>
      </c>
      <c r="F1106">
        <v>0.15641087830762401</v>
      </c>
    </row>
    <row r="1107" spans="1:6" x14ac:dyDescent="0.2">
      <c r="A1107">
        <v>373</v>
      </c>
      <c r="B1107" s="37" t="s">
        <v>1389</v>
      </c>
      <c r="C1107" s="1">
        <v>45340</v>
      </c>
      <c r="D1107" s="37" t="s">
        <v>1389</v>
      </c>
      <c r="E1107">
        <v>0.142929280765451</v>
      </c>
      <c r="F1107">
        <v>0.142929280765451</v>
      </c>
    </row>
    <row r="1108" spans="1:6" x14ac:dyDescent="0.2">
      <c r="A1108">
        <v>373</v>
      </c>
      <c r="B1108" s="37" t="s">
        <v>1390</v>
      </c>
      <c r="C1108" s="1">
        <v>45652</v>
      </c>
      <c r="D1108" s="37" t="s">
        <v>1390</v>
      </c>
      <c r="E1108">
        <v>0.178903389419097</v>
      </c>
      <c r="F1108">
        <v>0.178903389419097</v>
      </c>
    </row>
    <row r="1109" spans="1:6" x14ac:dyDescent="0.2">
      <c r="A1109">
        <v>373</v>
      </c>
      <c r="B1109" s="37" t="s">
        <v>1391</v>
      </c>
      <c r="C1109" s="1">
        <v>45323</v>
      </c>
      <c r="D1109" s="37" t="s">
        <v>1391</v>
      </c>
      <c r="E1109">
        <v>0.43217150222420497</v>
      </c>
      <c r="F1109">
        <v>0.43217150222420497</v>
      </c>
    </row>
    <row r="1110" spans="1:6" x14ac:dyDescent="0.2">
      <c r="A1110">
        <v>373</v>
      </c>
      <c r="B1110" s="37" t="s">
        <v>1392</v>
      </c>
      <c r="C1110" s="1">
        <v>45416</v>
      </c>
      <c r="D1110" s="37" t="s">
        <v>1392</v>
      </c>
      <c r="E1110">
        <v>8.2873665090239898E-2</v>
      </c>
      <c r="F1110">
        <v>8.2873665090239898E-2</v>
      </c>
    </row>
    <row r="1111" spans="1:6" x14ac:dyDescent="0.2">
      <c r="A1111">
        <v>374</v>
      </c>
      <c r="B1111" s="37" t="s">
        <v>798</v>
      </c>
      <c r="C1111" s="1">
        <v>45459</v>
      </c>
      <c r="D1111" s="37" t="s">
        <v>798</v>
      </c>
      <c r="E1111">
        <v>0.191334502038978</v>
      </c>
      <c r="F1111">
        <v>0.191334502038978</v>
      </c>
    </row>
    <row r="1112" spans="1:6" x14ac:dyDescent="0.2">
      <c r="A1112">
        <v>374</v>
      </c>
      <c r="B1112" s="37" t="s">
        <v>799</v>
      </c>
      <c r="C1112" s="1">
        <v>45350</v>
      </c>
      <c r="D1112" s="37" t="s">
        <v>799</v>
      </c>
      <c r="E1112">
        <v>0.38702615866259898</v>
      </c>
      <c r="F1112">
        <v>0.38702615866259898</v>
      </c>
    </row>
    <row r="1113" spans="1:6" x14ac:dyDescent="0.2">
      <c r="A1113">
        <v>374</v>
      </c>
      <c r="B1113" s="37" t="s">
        <v>438</v>
      </c>
      <c r="C1113" s="1">
        <v>45465</v>
      </c>
      <c r="D1113" s="37" t="s">
        <v>438</v>
      </c>
      <c r="E1113">
        <v>0.19864198153168899</v>
      </c>
      <c r="F1113">
        <v>0.19864198153168899</v>
      </c>
    </row>
    <row r="1114" spans="1:6" x14ac:dyDescent="0.2">
      <c r="A1114">
        <v>375</v>
      </c>
      <c r="B1114" s="37" t="s">
        <v>1393</v>
      </c>
      <c r="C1114" s="1">
        <v>45395</v>
      </c>
      <c r="D1114" s="37" t="s">
        <v>1393</v>
      </c>
      <c r="E1114">
        <v>0.20052173564789499</v>
      </c>
      <c r="F1114">
        <v>0.20052173564789499</v>
      </c>
    </row>
    <row r="1115" spans="1:6" x14ac:dyDescent="0.2">
      <c r="A1115">
        <v>375</v>
      </c>
      <c r="B1115" s="37" t="s">
        <v>800</v>
      </c>
      <c r="C1115" s="1">
        <v>45624</v>
      </c>
      <c r="D1115" s="37" t="s">
        <v>800</v>
      </c>
      <c r="E1115">
        <v>0.34187835837783698</v>
      </c>
      <c r="F1115">
        <v>0.34187835837783698</v>
      </c>
    </row>
    <row r="1116" spans="1:6" x14ac:dyDescent="0.2">
      <c r="A1116">
        <v>375</v>
      </c>
      <c r="B1116" s="37" t="s">
        <v>801</v>
      </c>
      <c r="C1116" s="1">
        <v>45633</v>
      </c>
      <c r="D1116" s="37" t="s">
        <v>801</v>
      </c>
      <c r="E1116">
        <v>0.119579235706648</v>
      </c>
      <c r="F1116">
        <v>0.119579235706648</v>
      </c>
    </row>
    <row r="1117" spans="1:6" x14ac:dyDescent="0.2">
      <c r="A1117">
        <v>376</v>
      </c>
      <c r="B1117" s="37" t="s">
        <v>1394</v>
      </c>
      <c r="C1117" s="1">
        <v>45336</v>
      </c>
      <c r="D1117" s="37" t="s">
        <v>1394</v>
      </c>
      <c r="E1117">
        <v>0.34759332259938502</v>
      </c>
      <c r="F1117">
        <v>0.34759332259938502</v>
      </c>
    </row>
    <row r="1118" spans="1:6" x14ac:dyDescent="0.2">
      <c r="A1118">
        <v>376</v>
      </c>
      <c r="B1118" s="37" t="s">
        <v>1395</v>
      </c>
      <c r="C1118" s="1">
        <v>45443</v>
      </c>
      <c r="D1118" s="37" t="s">
        <v>1395</v>
      </c>
      <c r="E1118">
        <v>0.13018293718551799</v>
      </c>
      <c r="F1118">
        <v>0.13018293718551799</v>
      </c>
    </row>
    <row r="1119" spans="1:6" x14ac:dyDescent="0.2">
      <c r="A1119">
        <v>376</v>
      </c>
      <c r="B1119" s="37" t="s">
        <v>1396</v>
      </c>
      <c r="C1119" s="1">
        <v>45308</v>
      </c>
      <c r="D1119" s="37" t="s">
        <v>1396</v>
      </c>
      <c r="E1119">
        <v>4.7240012830382198E-2</v>
      </c>
      <c r="F1119">
        <v>4.7240012830382198E-2</v>
      </c>
    </row>
    <row r="1120" spans="1:6" x14ac:dyDescent="0.2">
      <c r="A1120">
        <v>376</v>
      </c>
      <c r="B1120" s="37" t="s">
        <v>1397</v>
      </c>
      <c r="C1120" s="1">
        <v>45444</v>
      </c>
      <c r="D1120" s="37" t="s">
        <v>1397</v>
      </c>
      <c r="E1120">
        <v>6.2606559777232298E-2</v>
      </c>
      <c r="F1120">
        <v>6.2606559777232298E-2</v>
      </c>
    </row>
    <row r="1121" spans="1:6" x14ac:dyDescent="0.2">
      <c r="A1121">
        <v>376</v>
      </c>
      <c r="B1121" s="37" t="s">
        <v>1398</v>
      </c>
      <c r="C1121" s="1">
        <v>45567</v>
      </c>
      <c r="D1121" s="37" t="s">
        <v>1398</v>
      </c>
      <c r="E1121">
        <v>2.8298769341554501E-2</v>
      </c>
      <c r="F1121">
        <v>2.8298769341554501E-2</v>
      </c>
    </row>
    <row r="1122" spans="1:6" x14ac:dyDescent="0.2">
      <c r="A1122">
        <v>376</v>
      </c>
      <c r="B1122" s="37" t="s">
        <v>439</v>
      </c>
      <c r="C1122" s="1">
        <v>45343</v>
      </c>
      <c r="D1122" s="37" t="s">
        <v>439</v>
      </c>
      <c r="E1122">
        <v>0.151563071258382</v>
      </c>
      <c r="F1122">
        <v>0.151563071258382</v>
      </c>
    </row>
    <row r="1123" spans="1:6" x14ac:dyDescent="0.2">
      <c r="A1123">
        <v>377</v>
      </c>
      <c r="B1123" s="37" t="s">
        <v>1399</v>
      </c>
      <c r="C1123" s="1">
        <v>45601</v>
      </c>
      <c r="D1123" s="37" t="s">
        <v>1399</v>
      </c>
      <c r="E1123">
        <v>0.12065171493818599</v>
      </c>
      <c r="F1123">
        <v>0.12065171493818599</v>
      </c>
    </row>
    <row r="1124" spans="1:6" x14ac:dyDescent="0.2">
      <c r="A1124">
        <v>377</v>
      </c>
      <c r="B1124" s="37" t="s">
        <v>440</v>
      </c>
      <c r="C1124" s="1">
        <v>45367</v>
      </c>
      <c r="D1124" s="37" t="s">
        <v>440</v>
      </c>
      <c r="E1124">
        <v>9.86924398410296E-2</v>
      </c>
      <c r="F1124">
        <v>9.86924398410296E-2</v>
      </c>
    </row>
    <row r="1125" spans="1:6" x14ac:dyDescent="0.2">
      <c r="A1125">
        <v>377</v>
      </c>
      <c r="B1125" s="37" t="s">
        <v>441</v>
      </c>
      <c r="C1125" s="1">
        <v>45560</v>
      </c>
      <c r="D1125" s="37" t="s">
        <v>441</v>
      </c>
      <c r="E1125">
        <v>2.75791295048869E-2</v>
      </c>
      <c r="F1125">
        <v>2.75791295048869E-2</v>
      </c>
    </row>
    <row r="1126" spans="1:6" x14ac:dyDescent="0.2">
      <c r="A1126">
        <v>377</v>
      </c>
      <c r="B1126" s="37" t="s">
        <v>442</v>
      </c>
      <c r="C1126" s="1">
        <v>45431</v>
      </c>
      <c r="D1126" s="37" t="s">
        <v>442</v>
      </c>
      <c r="E1126">
        <v>0.25313802550965298</v>
      </c>
      <c r="F1126">
        <v>0.25313802550965298</v>
      </c>
    </row>
    <row r="1127" spans="1:6" x14ac:dyDescent="0.2">
      <c r="A1127">
        <v>378</v>
      </c>
      <c r="B1127" s="37" t="s">
        <v>443</v>
      </c>
      <c r="C1127" s="1">
        <v>45391</v>
      </c>
      <c r="D1127" s="37" t="s">
        <v>443</v>
      </c>
      <c r="E1127">
        <v>0.13027241946791401</v>
      </c>
      <c r="F1127">
        <v>0.13027241946791401</v>
      </c>
    </row>
    <row r="1128" spans="1:6" x14ac:dyDescent="0.2">
      <c r="A1128">
        <v>378</v>
      </c>
      <c r="B1128" s="37" t="s">
        <v>802</v>
      </c>
      <c r="C1128" s="1">
        <v>45636</v>
      </c>
      <c r="D1128" s="37" t="s">
        <v>802</v>
      </c>
      <c r="E1128">
        <v>0.19465616117144299</v>
      </c>
      <c r="F1128">
        <v>0.19465616117144299</v>
      </c>
    </row>
    <row r="1129" spans="1:6" x14ac:dyDescent="0.2">
      <c r="A1129">
        <v>379</v>
      </c>
      <c r="B1129" s="37" t="s">
        <v>803</v>
      </c>
      <c r="C1129" s="1">
        <v>45598</v>
      </c>
      <c r="D1129" s="37" t="s">
        <v>803</v>
      </c>
      <c r="E1129">
        <v>0.140401210272008</v>
      </c>
      <c r="F1129">
        <v>0.140401210272008</v>
      </c>
    </row>
    <row r="1130" spans="1:6" x14ac:dyDescent="0.2">
      <c r="A1130">
        <v>379</v>
      </c>
      <c r="B1130" s="37" t="s">
        <v>1400</v>
      </c>
      <c r="C1130" s="1">
        <v>45592</v>
      </c>
      <c r="D1130" s="37" t="s">
        <v>1400</v>
      </c>
      <c r="E1130">
        <v>0.115577485214599</v>
      </c>
      <c r="F1130">
        <v>0.115577485214599</v>
      </c>
    </row>
    <row r="1131" spans="1:6" x14ac:dyDescent="0.2">
      <c r="A1131">
        <v>380</v>
      </c>
      <c r="B1131" s="37" t="s">
        <v>444</v>
      </c>
      <c r="C1131" s="1">
        <v>45413</v>
      </c>
      <c r="D1131" s="37" t="s">
        <v>444</v>
      </c>
      <c r="E1131">
        <v>0.16806196946355001</v>
      </c>
      <c r="F1131">
        <v>0.16806196946355001</v>
      </c>
    </row>
    <row r="1132" spans="1:6" x14ac:dyDescent="0.2">
      <c r="A1132">
        <v>380</v>
      </c>
      <c r="B1132" s="37" t="s">
        <v>445</v>
      </c>
      <c r="C1132" s="1">
        <v>45544</v>
      </c>
      <c r="D1132" s="37" t="s">
        <v>445</v>
      </c>
      <c r="E1132">
        <v>0.15758853549507701</v>
      </c>
      <c r="F1132">
        <v>0.15758853549507701</v>
      </c>
    </row>
    <row r="1133" spans="1:6" x14ac:dyDescent="0.2">
      <c r="A1133">
        <v>380</v>
      </c>
      <c r="B1133" s="37" t="s">
        <v>446</v>
      </c>
      <c r="C1133" s="1">
        <v>45598</v>
      </c>
      <c r="D1133" s="37" t="s">
        <v>446</v>
      </c>
      <c r="E1133">
        <v>0.14995510219958499</v>
      </c>
      <c r="F1133">
        <v>0.14995510219958499</v>
      </c>
    </row>
    <row r="1134" spans="1:6" x14ac:dyDescent="0.2">
      <c r="A1134">
        <v>380</v>
      </c>
      <c r="B1134" s="37" t="s">
        <v>447</v>
      </c>
      <c r="C1134" s="1">
        <v>45326</v>
      </c>
      <c r="D1134" s="37" t="s">
        <v>447</v>
      </c>
      <c r="E1134">
        <v>0.185923767847336</v>
      </c>
      <c r="F1134">
        <v>0.185923767847336</v>
      </c>
    </row>
    <row r="1135" spans="1:6" x14ac:dyDescent="0.2">
      <c r="A1135">
        <v>380</v>
      </c>
      <c r="B1135" s="37" t="s">
        <v>1401</v>
      </c>
      <c r="C1135" s="1">
        <v>45506</v>
      </c>
      <c r="D1135" s="37" t="s">
        <v>1401</v>
      </c>
      <c r="E1135">
        <v>6.3240278349405502E-2</v>
      </c>
      <c r="F1135">
        <v>6.3240278349405502E-2</v>
      </c>
    </row>
    <row r="1136" spans="1:6" x14ac:dyDescent="0.2">
      <c r="A1136">
        <v>380</v>
      </c>
      <c r="B1136" s="37" t="s">
        <v>1402</v>
      </c>
      <c r="C1136" s="1">
        <v>45347</v>
      </c>
      <c r="D1136" s="37" t="s">
        <v>1402</v>
      </c>
      <c r="E1136">
        <v>2.5858438625430798E-2</v>
      </c>
      <c r="F1136">
        <v>2.5858438625430798E-2</v>
      </c>
    </row>
    <row r="1137" spans="1:6" x14ac:dyDescent="0.2">
      <c r="A1137">
        <v>380</v>
      </c>
      <c r="B1137" s="37" t="s">
        <v>1403</v>
      </c>
      <c r="C1137" s="1">
        <v>45391</v>
      </c>
      <c r="D1137" s="37" t="s">
        <v>1403</v>
      </c>
      <c r="E1137">
        <v>0.10035729706690399</v>
      </c>
      <c r="F1137">
        <v>0.10035729706690399</v>
      </c>
    </row>
    <row r="1138" spans="1:6" x14ac:dyDescent="0.2">
      <c r="A1138">
        <v>381</v>
      </c>
      <c r="B1138" s="37" t="s">
        <v>448</v>
      </c>
      <c r="C1138" s="1">
        <v>45637</v>
      </c>
      <c r="D1138" s="37" t="s">
        <v>448</v>
      </c>
      <c r="E1138">
        <v>7.0239263246011499E-2</v>
      </c>
      <c r="F1138">
        <v>7.0239263246011499E-2</v>
      </c>
    </row>
    <row r="1139" spans="1:6" x14ac:dyDescent="0.2">
      <c r="A1139">
        <v>381</v>
      </c>
      <c r="B1139" s="37" t="s">
        <v>449</v>
      </c>
      <c r="C1139" s="1">
        <v>45420</v>
      </c>
      <c r="D1139" s="37" t="s">
        <v>449</v>
      </c>
      <c r="E1139">
        <v>0.25611975396602499</v>
      </c>
      <c r="F1139">
        <v>0.25611975396602499</v>
      </c>
    </row>
    <row r="1140" spans="1:6" x14ac:dyDescent="0.2">
      <c r="A1140">
        <v>381</v>
      </c>
      <c r="B1140" s="37" t="s">
        <v>450</v>
      </c>
      <c r="C1140" s="1">
        <v>45401</v>
      </c>
      <c r="D1140" s="37" t="s">
        <v>450</v>
      </c>
      <c r="E1140">
        <v>0.33586303877167401</v>
      </c>
      <c r="F1140">
        <v>0.33586303877167401</v>
      </c>
    </row>
    <row r="1141" spans="1:6" x14ac:dyDescent="0.2">
      <c r="A1141">
        <v>382</v>
      </c>
      <c r="B1141" s="37" t="s">
        <v>1404</v>
      </c>
      <c r="C1141" s="1">
        <v>45407</v>
      </c>
      <c r="D1141" s="37" t="s">
        <v>1404</v>
      </c>
      <c r="E1141">
        <v>0.132012885340373</v>
      </c>
      <c r="F1141">
        <v>0.132012885340373</v>
      </c>
    </row>
    <row r="1142" spans="1:6" x14ac:dyDescent="0.2">
      <c r="A1142">
        <v>382</v>
      </c>
      <c r="B1142" s="37" t="s">
        <v>1405</v>
      </c>
      <c r="C1142" s="1">
        <v>45607</v>
      </c>
      <c r="D1142" s="37" t="s">
        <v>1405</v>
      </c>
      <c r="E1142">
        <v>0.206879142281051</v>
      </c>
      <c r="F1142">
        <v>0.206879142281051</v>
      </c>
    </row>
    <row r="1143" spans="1:6" x14ac:dyDescent="0.2">
      <c r="A1143">
        <v>382</v>
      </c>
      <c r="B1143" s="37" t="s">
        <v>451</v>
      </c>
      <c r="C1143" s="1">
        <v>45510</v>
      </c>
      <c r="D1143" s="37" t="s">
        <v>451</v>
      </c>
      <c r="E1143">
        <v>0.35189019352658002</v>
      </c>
      <c r="F1143">
        <v>0.35189019352658002</v>
      </c>
    </row>
    <row r="1144" spans="1:6" x14ac:dyDescent="0.2">
      <c r="A1144">
        <v>382</v>
      </c>
      <c r="B1144" s="37" t="s">
        <v>452</v>
      </c>
      <c r="C1144" s="1">
        <v>45300</v>
      </c>
      <c r="D1144" s="37" t="s">
        <v>452</v>
      </c>
      <c r="E1144">
        <v>0.44375238575186599</v>
      </c>
      <c r="F1144">
        <v>0.44375238575186599</v>
      </c>
    </row>
    <row r="1145" spans="1:6" x14ac:dyDescent="0.2">
      <c r="A1145">
        <v>383</v>
      </c>
      <c r="B1145" s="37" t="s">
        <v>1406</v>
      </c>
      <c r="C1145" s="1">
        <v>45373</v>
      </c>
      <c r="D1145" s="37" t="s">
        <v>1406</v>
      </c>
      <c r="E1145">
        <v>0.39043254369027303</v>
      </c>
      <c r="F1145">
        <v>0.39043254369027303</v>
      </c>
    </row>
    <row r="1146" spans="1:6" x14ac:dyDescent="0.2">
      <c r="A1146">
        <v>383</v>
      </c>
      <c r="B1146" s="37" t="s">
        <v>1407</v>
      </c>
      <c r="C1146" s="1">
        <v>45646</v>
      </c>
      <c r="D1146" s="37" t="s">
        <v>1407</v>
      </c>
      <c r="E1146">
        <v>0.20336876533927101</v>
      </c>
      <c r="F1146">
        <v>0.20336876533927101</v>
      </c>
    </row>
    <row r="1147" spans="1:6" x14ac:dyDescent="0.2">
      <c r="A1147">
        <v>384</v>
      </c>
      <c r="B1147" s="37" t="s">
        <v>1408</v>
      </c>
      <c r="C1147" s="1">
        <v>45326</v>
      </c>
      <c r="D1147" s="37" t="s">
        <v>1408</v>
      </c>
      <c r="E1147">
        <v>0.20686477338950901</v>
      </c>
      <c r="F1147">
        <v>0.20686477338950901</v>
      </c>
    </row>
    <row r="1148" spans="1:6" x14ac:dyDescent="0.2">
      <c r="A1148">
        <v>384</v>
      </c>
      <c r="B1148" s="37" t="s">
        <v>1409</v>
      </c>
      <c r="C1148" s="1">
        <v>45598</v>
      </c>
      <c r="D1148" s="37" t="s">
        <v>1409</v>
      </c>
      <c r="E1148">
        <v>0.322127105824352</v>
      </c>
      <c r="F1148">
        <v>0.322127105824352</v>
      </c>
    </row>
    <row r="1149" spans="1:6" x14ac:dyDescent="0.2">
      <c r="A1149">
        <v>384</v>
      </c>
      <c r="B1149" s="37" t="s">
        <v>1410</v>
      </c>
      <c r="C1149" s="1">
        <v>45448</v>
      </c>
      <c r="D1149" s="37" t="s">
        <v>1410</v>
      </c>
      <c r="E1149">
        <v>9.8384952774099907E-2</v>
      </c>
      <c r="F1149">
        <v>9.8384952774099907E-2</v>
      </c>
    </row>
    <row r="1150" spans="1:6" x14ac:dyDescent="0.2">
      <c r="A1150">
        <v>384</v>
      </c>
      <c r="B1150" s="37" t="s">
        <v>1411</v>
      </c>
      <c r="C1150" s="1">
        <v>45383</v>
      </c>
      <c r="D1150" s="37" t="s">
        <v>1411</v>
      </c>
      <c r="E1150">
        <v>1.3610305355213299E-2</v>
      </c>
      <c r="F1150">
        <v>1.3610305355213299E-2</v>
      </c>
    </row>
    <row r="1151" spans="1:6" x14ac:dyDescent="0.2">
      <c r="A1151">
        <v>385</v>
      </c>
      <c r="B1151" s="37" t="s">
        <v>1412</v>
      </c>
      <c r="C1151" s="1">
        <v>45373</v>
      </c>
      <c r="D1151" s="37" t="s">
        <v>1412</v>
      </c>
      <c r="E1151">
        <v>0.315691166439105</v>
      </c>
      <c r="F1151">
        <v>0.315691166439105</v>
      </c>
    </row>
    <row r="1152" spans="1:6" x14ac:dyDescent="0.2">
      <c r="A1152">
        <v>385</v>
      </c>
      <c r="B1152" s="37" t="s">
        <v>1413</v>
      </c>
      <c r="C1152" s="1">
        <v>45445</v>
      </c>
      <c r="D1152" s="37" t="s">
        <v>1413</v>
      </c>
      <c r="E1152">
        <v>0.18966273058146399</v>
      </c>
      <c r="F1152">
        <v>0.18966273058146399</v>
      </c>
    </row>
    <row r="1153" spans="1:6" x14ac:dyDescent="0.2">
      <c r="A1153">
        <v>385</v>
      </c>
      <c r="B1153" s="37" t="s">
        <v>453</v>
      </c>
      <c r="C1153" s="1">
        <v>45389</v>
      </c>
      <c r="D1153" s="37" t="s">
        <v>453</v>
      </c>
      <c r="E1153">
        <v>0.13445189265127799</v>
      </c>
      <c r="F1153">
        <v>0.13445189265127799</v>
      </c>
    </row>
    <row r="1154" spans="1:6" x14ac:dyDescent="0.2">
      <c r="A1154">
        <v>386</v>
      </c>
      <c r="B1154" s="37" t="s">
        <v>454</v>
      </c>
      <c r="C1154" s="1">
        <v>45487</v>
      </c>
      <c r="D1154" s="37" t="s">
        <v>454</v>
      </c>
      <c r="E1154">
        <v>5.22548288456232E-2</v>
      </c>
      <c r="F1154">
        <v>5.22548288456232E-2</v>
      </c>
    </row>
    <row r="1155" spans="1:6" x14ac:dyDescent="0.2">
      <c r="A1155">
        <v>386</v>
      </c>
      <c r="B1155" s="37" t="s">
        <v>804</v>
      </c>
      <c r="C1155" s="1">
        <v>45386</v>
      </c>
      <c r="D1155" s="37" t="s">
        <v>804</v>
      </c>
      <c r="E1155">
        <v>7.3679671117359097E-2</v>
      </c>
      <c r="F1155">
        <v>7.3679671117359097E-2</v>
      </c>
    </row>
    <row r="1156" spans="1:6" x14ac:dyDescent="0.2">
      <c r="A1156">
        <v>386</v>
      </c>
      <c r="B1156" s="37" t="s">
        <v>455</v>
      </c>
      <c r="C1156" s="1">
        <v>45564</v>
      </c>
      <c r="D1156" s="37" t="s">
        <v>455</v>
      </c>
      <c r="E1156">
        <v>0.22651778335228201</v>
      </c>
      <c r="F1156">
        <v>0.22651778335228201</v>
      </c>
    </row>
    <row r="1157" spans="1:6" x14ac:dyDescent="0.2">
      <c r="A1157">
        <v>386</v>
      </c>
      <c r="B1157" s="37" t="s">
        <v>456</v>
      </c>
      <c r="C1157" s="1">
        <v>45483</v>
      </c>
      <c r="D1157" s="37" t="s">
        <v>456</v>
      </c>
      <c r="E1157">
        <v>9.3945405091356404E-2</v>
      </c>
      <c r="F1157">
        <v>9.3945405091356404E-2</v>
      </c>
    </row>
    <row r="1158" spans="1:6" x14ac:dyDescent="0.2">
      <c r="A1158">
        <v>386</v>
      </c>
      <c r="B1158" s="37" t="s">
        <v>1414</v>
      </c>
      <c r="C1158" s="1">
        <v>45435</v>
      </c>
      <c r="D1158" s="37" t="s">
        <v>1414</v>
      </c>
      <c r="E1158">
        <v>9.3886959885185806E-2</v>
      </c>
      <c r="F1158">
        <v>9.3886959885185806E-2</v>
      </c>
    </row>
    <row r="1159" spans="1:6" x14ac:dyDescent="0.2">
      <c r="A1159">
        <v>387</v>
      </c>
      <c r="B1159" s="37" t="s">
        <v>1415</v>
      </c>
      <c r="C1159" s="1">
        <v>45374</v>
      </c>
      <c r="D1159" s="37" t="s">
        <v>1415</v>
      </c>
      <c r="E1159">
        <v>0.114799860138929</v>
      </c>
      <c r="F1159">
        <v>0.114799860138929</v>
      </c>
    </row>
    <row r="1160" spans="1:6" x14ac:dyDescent="0.2">
      <c r="A1160">
        <v>388</v>
      </c>
      <c r="B1160" s="37" t="s">
        <v>457</v>
      </c>
      <c r="C1160" s="1">
        <v>45414</v>
      </c>
      <c r="D1160" s="37" t="s">
        <v>457</v>
      </c>
      <c r="E1160">
        <v>0.14171373666255599</v>
      </c>
      <c r="F1160">
        <v>0.14171373666255599</v>
      </c>
    </row>
    <row r="1161" spans="1:6" x14ac:dyDescent="0.2">
      <c r="A1161">
        <v>388</v>
      </c>
      <c r="B1161" s="37" t="s">
        <v>458</v>
      </c>
      <c r="C1161" s="1">
        <v>45537</v>
      </c>
      <c r="D1161" s="37" t="s">
        <v>458</v>
      </c>
      <c r="E1161">
        <v>5.6960975341757598E-2</v>
      </c>
      <c r="F1161">
        <v>5.6960975341757598E-2</v>
      </c>
    </row>
    <row r="1162" spans="1:6" x14ac:dyDescent="0.2">
      <c r="A1162">
        <v>389</v>
      </c>
      <c r="B1162" s="37" t="s">
        <v>459</v>
      </c>
      <c r="C1162" s="1">
        <v>45397</v>
      </c>
      <c r="D1162" s="37" t="s">
        <v>459</v>
      </c>
      <c r="E1162">
        <v>0.27443477223955298</v>
      </c>
      <c r="F1162">
        <v>0.27443477223955298</v>
      </c>
    </row>
    <row r="1163" spans="1:6" x14ac:dyDescent="0.2">
      <c r="A1163">
        <v>390</v>
      </c>
      <c r="B1163" s="37" t="s">
        <v>460</v>
      </c>
      <c r="C1163" s="1">
        <v>45334</v>
      </c>
      <c r="D1163" s="37" t="s">
        <v>460</v>
      </c>
      <c r="E1163">
        <v>0.56113036212938106</v>
      </c>
      <c r="F1163">
        <v>0.56113036212938106</v>
      </c>
    </row>
    <row r="1164" spans="1:6" x14ac:dyDescent="0.2">
      <c r="A1164">
        <v>390</v>
      </c>
      <c r="B1164" s="37" t="s">
        <v>461</v>
      </c>
      <c r="C1164" s="1">
        <v>45573</v>
      </c>
      <c r="D1164" s="37" t="s">
        <v>461</v>
      </c>
      <c r="E1164">
        <v>0.21018992258597699</v>
      </c>
      <c r="F1164">
        <v>0.21018992258597699</v>
      </c>
    </row>
    <row r="1165" spans="1:6" x14ac:dyDescent="0.2">
      <c r="A1165">
        <v>391</v>
      </c>
      <c r="B1165" s="37" t="s">
        <v>1416</v>
      </c>
      <c r="C1165" s="1">
        <v>45616</v>
      </c>
      <c r="D1165" s="37" t="s">
        <v>1416</v>
      </c>
      <c r="E1165">
        <v>0.21887258253428199</v>
      </c>
      <c r="F1165">
        <v>0.21887258253428199</v>
      </c>
    </row>
    <row r="1166" spans="1:6" x14ac:dyDescent="0.2">
      <c r="A1166">
        <v>391</v>
      </c>
      <c r="B1166" s="37" t="s">
        <v>1417</v>
      </c>
      <c r="C1166" s="1">
        <v>45480</v>
      </c>
      <c r="D1166" s="37" t="s">
        <v>1417</v>
      </c>
      <c r="E1166">
        <v>5.0981985194836703E-2</v>
      </c>
      <c r="F1166">
        <v>5.0981985194836703E-2</v>
      </c>
    </row>
    <row r="1167" spans="1:6" x14ac:dyDescent="0.2">
      <c r="A1167">
        <v>391</v>
      </c>
      <c r="B1167" s="37" t="s">
        <v>805</v>
      </c>
      <c r="C1167" s="1">
        <v>45331</v>
      </c>
      <c r="D1167" s="37" t="s">
        <v>805</v>
      </c>
      <c r="E1167">
        <v>0.23383554360941999</v>
      </c>
      <c r="F1167">
        <v>0.23383554360941999</v>
      </c>
    </row>
    <row r="1168" spans="1:6" x14ac:dyDescent="0.2">
      <c r="A1168">
        <v>391</v>
      </c>
      <c r="B1168" s="37" t="s">
        <v>806</v>
      </c>
      <c r="C1168" s="1">
        <v>45637</v>
      </c>
      <c r="D1168" s="37" t="s">
        <v>806</v>
      </c>
      <c r="E1168">
        <v>0.134865456192995</v>
      </c>
      <c r="F1168">
        <v>0.134865456192995</v>
      </c>
    </row>
    <row r="1169" spans="1:6" x14ac:dyDescent="0.2">
      <c r="A1169">
        <v>391</v>
      </c>
      <c r="B1169" s="37" t="s">
        <v>807</v>
      </c>
      <c r="C1169" s="1">
        <v>45484</v>
      </c>
      <c r="D1169" s="37" t="s">
        <v>807</v>
      </c>
      <c r="E1169">
        <v>0.14202779338653099</v>
      </c>
      <c r="F1169">
        <v>0.14202779338653099</v>
      </c>
    </row>
    <row r="1170" spans="1:6" x14ac:dyDescent="0.2">
      <c r="A1170">
        <v>391</v>
      </c>
      <c r="B1170" s="37" t="s">
        <v>808</v>
      </c>
      <c r="C1170" s="1">
        <v>45597</v>
      </c>
      <c r="D1170" s="37" t="s">
        <v>808</v>
      </c>
      <c r="E1170">
        <v>0.35176470088553902</v>
      </c>
      <c r="F1170">
        <v>0.35176470088553902</v>
      </c>
    </row>
    <row r="1171" spans="1:6" x14ac:dyDescent="0.2">
      <c r="A1171">
        <v>391</v>
      </c>
      <c r="B1171" s="37" t="s">
        <v>1418</v>
      </c>
      <c r="C1171" s="1">
        <v>45335</v>
      </c>
      <c r="D1171" s="37" t="s">
        <v>1418</v>
      </c>
      <c r="E1171">
        <v>0.17780819840989401</v>
      </c>
      <c r="F1171">
        <v>0.17780819840989401</v>
      </c>
    </row>
    <row r="1172" spans="1:6" x14ac:dyDescent="0.2">
      <c r="A1172">
        <v>392</v>
      </c>
      <c r="B1172" s="37" t="s">
        <v>1419</v>
      </c>
      <c r="C1172" s="1">
        <v>45368</v>
      </c>
      <c r="D1172" s="37" t="s">
        <v>1419</v>
      </c>
      <c r="E1172">
        <v>0.13210536450421201</v>
      </c>
      <c r="F1172">
        <v>0.13210536450421201</v>
      </c>
    </row>
    <row r="1173" spans="1:6" x14ac:dyDescent="0.2">
      <c r="A1173">
        <v>392</v>
      </c>
      <c r="B1173" s="37" t="s">
        <v>1420</v>
      </c>
      <c r="C1173" s="1">
        <v>45502</v>
      </c>
      <c r="D1173" s="37" t="s">
        <v>1420</v>
      </c>
      <c r="E1173">
        <v>0.48821639569688502</v>
      </c>
      <c r="F1173">
        <v>0.48821639569688502</v>
      </c>
    </row>
    <row r="1174" spans="1:6" x14ac:dyDescent="0.2">
      <c r="A1174">
        <v>393</v>
      </c>
      <c r="B1174" s="37" t="s">
        <v>462</v>
      </c>
      <c r="C1174" s="1">
        <v>45592</v>
      </c>
      <c r="D1174" s="37" t="s">
        <v>462</v>
      </c>
      <c r="E1174">
        <v>0.187605276374641</v>
      </c>
      <c r="F1174">
        <v>0.187605276374641</v>
      </c>
    </row>
    <row r="1175" spans="1:6" x14ac:dyDescent="0.2">
      <c r="A1175">
        <v>393</v>
      </c>
      <c r="B1175" s="37" t="s">
        <v>463</v>
      </c>
      <c r="C1175" s="1">
        <v>45636</v>
      </c>
      <c r="D1175" s="37" t="s">
        <v>463</v>
      </c>
      <c r="E1175">
        <v>0.13004839088037001</v>
      </c>
      <c r="F1175">
        <v>0.13004839088037001</v>
      </c>
    </row>
    <row r="1176" spans="1:6" x14ac:dyDescent="0.2">
      <c r="A1176">
        <v>393</v>
      </c>
      <c r="B1176" s="37" t="s">
        <v>464</v>
      </c>
      <c r="C1176" s="1">
        <v>45294</v>
      </c>
      <c r="D1176" s="37" t="s">
        <v>464</v>
      </c>
      <c r="E1176">
        <v>7.9498833131953897E-2</v>
      </c>
      <c r="F1176">
        <v>7.9498833131953897E-2</v>
      </c>
    </row>
    <row r="1177" spans="1:6" x14ac:dyDescent="0.2">
      <c r="A1177">
        <v>393</v>
      </c>
      <c r="B1177" s="37" t="s">
        <v>465</v>
      </c>
      <c r="C1177" s="1">
        <v>45410</v>
      </c>
      <c r="D1177" s="37" t="s">
        <v>465</v>
      </c>
      <c r="E1177">
        <v>0.151104798666158</v>
      </c>
      <c r="F1177">
        <v>0.151104798666158</v>
      </c>
    </row>
    <row r="1178" spans="1:6" x14ac:dyDescent="0.2">
      <c r="A1178">
        <v>394</v>
      </c>
      <c r="B1178" s="37" t="s">
        <v>1421</v>
      </c>
      <c r="C1178" s="1">
        <v>45523</v>
      </c>
      <c r="D1178" s="37" t="s">
        <v>1421</v>
      </c>
      <c r="E1178">
        <v>0.21147844736093299</v>
      </c>
      <c r="F1178">
        <v>0.21147844736093299</v>
      </c>
    </row>
    <row r="1179" spans="1:6" x14ac:dyDescent="0.2">
      <c r="A1179">
        <v>394</v>
      </c>
      <c r="B1179" s="37" t="s">
        <v>1422</v>
      </c>
      <c r="C1179" s="1">
        <v>45350</v>
      </c>
      <c r="D1179" s="37" t="s">
        <v>1422</v>
      </c>
      <c r="E1179">
        <v>0.29481901825107798</v>
      </c>
      <c r="F1179">
        <v>0.29481901825107798</v>
      </c>
    </row>
    <row r="1180" spans="1:6" x14ac:dyDescent="0.2">
      <c r="A1180">
        <v>394</v>
      </c>
      <c r="B1180" s="37" t="s">
        <v>1423</v>
      </c>
      <c r="C1180" s="1">
        <v>45589</v>
      </c>
      <c r="D1180" s="37" t="s">
        <v>1423</v>
      </c>
      <c r="E1180">
        <v>0.158792147264183</v>
      </c>
      <c r="F1180">
        <v>0.158792147264183</v>
      </c>
    </row>
    <row r="1181" spans="1:6" x14ac:dyDescent="0.2">
      <c r="A1181">
        <v>394</v>
      </c>
      <c r="B1181" s="37" t="s">
        <v>1424</v>
      </c>
      <c r="C1181" s="1">
        <v>45387</v>
      </c>
      <c r="D1181" s="37" t="s">
        <v>1424</v>
      </c>
      <c r="E1181">
        <v>0.129667080102532</v>
      </c>
      <c r="F1181">
        <v>0.129667080102532</v>
      </c>
    </row>
    <row r="1182" spans="1:6" x14ac:dyDescent="0.2">
      <c r="A1182">
        <v>395</v>
      </c>
      <c r="B1182" s="37" t="s">
        <v>1425</v>
      </c>
      <c r="C1182" s="1">
        <v>45294</v>
      </c>
      <c r="D1182" s="37" t="s">
        <v>1425</v>
      </c>
      <c r="E1182">
        <v>0.134499836005403</v>
      </c>
      <c r="F1182">
        <v>0.134499836005403</v>
      </c>
    </row>
    <row r="1183" spans="1:6" x14ac:dyDescent="0.2">
      <c r="A1183">
        <v>396</v>
      </c>
      <c r="B1183" s="37" t="s">
        <v>1426</v>
      </c>
      <c r="C1183" s="1">
        <v>45546</v>
      </c>
      <c r="D1183" s="37" t="s">
        <v>1426</v>
      </c>
      <c r="E1183">
        <v>0.14724811393447201</v>
      </c>
      <c r="F1183">
        <v>0.14724811393447201</v>
      </c>
    </row>
    <row r="1184" spans="1:6" x14ac:dyDescent="0.2">
      <c r="A1184">
        <v>396</v>
      </c>
      <c r="B1184" s="37" t="s">
        <v>1427</v>
      </c>
      <c r="C1184" s="1">
        <v>45403</v>
      </c>
      <c r="D1184" s="37" t="s">
        <v>1427</v>
      </c>
      <c r="E1184">
        <v>2.7042544375107801E-2</v>
      </c>
      <c r="F1184">
        <v>2.7042544375107801E-2</v>
      </c>
    </row>
    <row r="1185" spans="1:6" x14ac:dyDescent="0.2">
      <c r="A1185">
        <v>397</v>
      </c>
      <c r="B1185" s="37" t="s">
        <v>1428</v>
      </c>
      <c r="C1185" s="1">
        <v>45466</v>
      </c>
      <c r="D1185" s="37" t="s">
        <v>1428</v>
      </c>
      <c r="E1185">
        <v>6.8601057257207804E-2</v>
      </c>
      <c r="F1185">
        <v>6.8601057257207804E-2</v>
      </c>
    </row>
    <row r="1186" spans="1:6" x14ac:dyDescent="0.2">
      <c r="A1186">
        <v>397</v>
      </c>
      <c r="B1186" s="37" t="s">
        <v>1429</v>
      </c>
      <c r="C1186" s="1">
        <v>45389</v>
      </c>
      <c r="D1186" s="37" t="s">
        <v>1429</v>
      </c>
      <c r="E1186">
        <v>0.129578703778259</v>
      </c>
      <c r="F1186">
        <v>0.129578703778259</v>
      </c>
    </row>
    <row r="1187" spans="1:6" x14ac:dyDescent="0.2">
      <c r="A1187">
        <v>398</v>
      </c>
      <c r="B1187" s="37" t="s">
        <v>1430</v>
      </c>
      <c r="C1187" s="1">
        <v>45517</v>
      </c>
      <c r="D1187" s="37" t="s">
        <v>1430</v>
      </c>
      <c r="E1187">
        <v>1.4861870094776301E-2</v>
      </c>
      <c r="F1187">
        <v>1.4861870094776301E-2</v>
      </c>
    </row>
    <row r="1188" spans="1:6" x14ac:dyDescent="0.2">
      <c r="A1188">
        <v>399</v>
      </c>
      <c r="B1188" s="37" t="s">
        <v>809</v>
      </c>
      <c r="C1188" s="1">
        <v>45475</v>
      </c>
      <c r="D1188" s="37" t="s">
        <v>809</v>
      </c>
      <c r="E1188">
        <v>0.63187691270058799</v>
      </c>
      <c r="F1188">
        <v>0.63187691270058799</v>
      </c>
    </row>
    <row r="1189" spans="1:6" x14ac:dyDescent="0.2">
      <c r="A1189">
        <v>400</v>
      </c>
      <c r="B1189" s="37" t="s">
        <v>1431</v>
      </c>
      <c r="C1189" s="1">
        <v>45643</v>
      </c>
      <c r="D1189" s="37" t="s">
        <v>1431</v>
      </c>
      <c r="E1189">
        <v>0.35721817511949899</v>
      </c>
      <c r="F1189">
        <v>0.35721817511949899</v>
      </c>
    </row>
    <row r="1190" spans="1:6" x14ac:dyDescent="0.2">
      <c r="A1190">
        <v>400</v>
      </c>
      <c r="B1190" s="37" t="s">
        <v>466</v>
      </c>
      <c r="C1190" s="1">
        <v>45519</v>
      </c>
      <c r="D1190" s="37" t="s">
        <v>466</v>
      </c>
      <c r="E1190">
        <v>0.28008301391984303</v>
      </c>
      <c r="F1190">
        <v>0.28008301391984303</v>
      </c>
    </row>
    <row r="1191" spans="1:6" x14ac:dyDescent="0.2">
      <c r="A1191">
        <v>400</v>
      </c>
      <c r="B1191" s="37" t="s">
        <v>467</v>
      </c>
      <c r="C1191" s="1">
        <v>45332</v>
      </c>
      <c r="D1191" s="37" t="s">
        <v>467</v>
      </c>
      <c r="E1191">
        <v>0.43649767703154302</v>
      </c>
      <c r="F1191">
        <v>0.43649767703154302</v>
      </c>
    </row>
    <row r="1192" spans="1:6" x14ac:dyDescent="0.2">
      <c r="A1192">
        <v>400</v>
      </c>
      <c r="B1192" s="37" t="s">
        <v>468</v>
      </c>
      <c r="C1192" s="1">
        <v>45341</v>
      </c>
      <c r="D1192" s="37" t="s">
        <v>468</v>
      </c>
      <c r="E1192">
        <v>4.3796235542986499E-2</v>
      </c>
      <c r="F1192">
        <v>4.3796235542986499E-2</v>
      </c>
    </row>
    <row r="1193" spans="1:6" x14ac:dyDescent="0.2">
      <c r="A1193">
        <v>400</v>
      </c>
      <c r="B1193" s="37" t="s">
        <v>469</v>
      </c>
      <c r="C1193" s="1">
        <v>45497</v>
      </c>
      <c r="D1193" s="37" t="s">
        <v>469</v>
      </c>
      <c r="E1193">
        <v>0.16292640453564</v>
      </c>
      <c r="F1193">
        <v>0.16292640453564</v>
      </c>
    </row>
    <row r="1194" spans="1:6" x14ac:dyDescent="0.2">
      <c r="A1194">
        <v>400</v>
      </c>
      <c r="B1194" s="37" t="s">
        <v>470</v>
      </c>
      <c r="C1194" s="1">
        <v>45517</v>
      </c>
      <c r="D1194" s="37" t="s">
        <v>470</v>
      </c>
      <c r="E1194">
        <v>0.17443762581619099</v>
      </c>
      <c r="F1194">
        <v>0.17443762581619099</v>
      </c>
    </row>
    <row r="1195" spans="1:6" x14ac:dyDescent="0.2">
      <c r="A1195">
        <v>400</v>
      </c>
      <c r="B1195" s="37" t="s">
        <v>810</v>
      </c>
      <c r="C1195" s="1">
        <v>45338</v>
      </c>
      <c r="D1195" s="37" t="s">
        <v>810</v>
      </c>
      <c r="E1195">
        <v>0.385788000862546</v>
      </c>
      <c r="F1195">
        <v>0.385788000862546</v>
      </c>
    </row>
    <row r="1196" spans="1:6" x14ac:dyDescent="0.2">
      <c r="A1196">
        <v>400</v>
      </c>
      <c r="B1196" s="37" t="s">
        <v>1432</v>
      </c>
      <c r="C1196" s="1">
        <v>45554</v>
      </c>
      <c r="D1196" s="37" t="s">
        <v>1432</v>
      </c>
      <c r="E1196">
        <v>0.41291303154498299</v>
      </c>
      <c r="F1196">
        <v>0.41291303154498299</v>
      </c>
    </row>
    <row r="1197" spans="1:6" x14ac:dyDescent="0.2">
      <c r="A1197">
        <v>401</v>
      </c>
      <c r="B1197" s="37" t="s">
        <v>1433</v>
      </c>
      <c r="C1197" s="1">
        <v>45326</v>
      </c>
      <c r="D1197" s="37" t="s">
        <v>1433</v>
      </c>
      <c r="E1197">
        <v>0.28274113663546901</v>
      </c>
      <c r="F1197">
        <v>0.28274113663546901</v>
      </c>
    </row>
    <row r="1198" spans="1:6" x14ac:dyDescent="0.2">
      <c r="A1198">
        <v>401</v>
      </c>
      <c r="B1198" s="37" t="s">
        <v>1434</v>
      </c>
      <c r="C1198" s="1">
        <v>45463</v>
      </c>
      <c r="D1198" s="37" t="s">
        <v>1434</v>
      </c>
      <c r="E1198">
        <v>0.12825146247548899</v>
      </c>
      <c r="F1198">
        <v>0.12825146247548899</v>
      </c>
    </row>
    <row r="1199" spans="1:6" x14ac:dyDescent="0.2">
      <c r="A1199">
        <v>401</v>
      </c>
      <c r="B1199" s="37" t="s">
        <v>471</v>
      </c>
      <c r="C1199" s="1">
        <v>45647</v>
      </c>
      <c r="D1199" s="37" t="s">
        <v>471</v>
      </c>
      <c r="E1199">
        <v>0.10299105174452799</v>
      </c>
      <c r="F1199">
        <v>0.10299105174452799</v>
      </c>
    </row>
    <row r="1200" spans="1:6" x14ac:dyDescent="0.2">
      <c r="A1200">
        <v>401</v>
      </c>
      <c r="B1200" s="37" t="s">
        <v>811</v>
      </c>
      <c r="C1200" s="1">
        <v>45627</v>
      </c>
      <c r="D1200" s="37" t="s">
        <v>811</v>
      </c>
      <c r="E1200">
        <v>0.363552719549673</v>
      </c>
      <c r="F1200">
        <v>0.363552719549673</v>
      </c>
    </row>
    <row r="1201" spans="1:6" x14ac:dyDescent="0.2">
      <c r="A1201">
        <v>401</v>
      </c>
      <c r="B1201" s="37" t="s">
        <v>812</v>
      </c>
      <c r="C1201" s="1">
        <v>45405</v>
      </c>
      <c r="D1201" s="37" t="s">
        <v>812</v>
      </c>
      <c r="E1201">
        <v>9.46589210016857E-2</v>
      </c>
      <c r="F1201">
        <v>9.46589210016857E-2</v>
      </c>
    </row>
    <row r="1202" spans="1:6" x14ac:dyDescent="0.2">
      <c r="A1202">
        <v>401</v>
      </c>
      <c r="B1202" s="37" t="s">
        <v>813</v>
      </c>
      <c r="C1202" s="1">
        <v>45560</v>
      </c>
      <c r="D1202" s="37" t="s">
        <v>813</v>
      </c>
      <c r="E1202">
        <v>0.450279334681286</v>
      </c>
      <c r="F1202">
        <v>0.450279334681286</v>
      </c>
    </row>
    <row r="1203" spans="1:6" x14ac:dyDescent="0.2">
      <c r="A1203">
        <v>401</v>
      </c>
      <c r="B1203" s="37" t="s">
        <v>814</v>
      </c>
      <c r="C1203" s="1">
        <v>45329</v>
      </c>
      <c r="D1203" s="37" t="s">
        <v>814</v>
      </c>
      <c r="E1203">
        <v>0.210610033755224</v>
      </c>
      <c r="F1203">
        <v>0.210610033755224</v>
      </c>
    </row>
    <row r="1204" spans="1:6" x14ac:dyDescent="0.2">
      <c r="A1204">
        <v>402</v>
      </c>
      <c r="B1204" s="37" t="s">
        <v>815</v>
      </c>
      <c r="C1204" s="1">
        <v>45470</v>
      </c>
      <c r="D1204" s="37" t="s">
        <v>815</v>
      </c>
      <c r="E1204">
        <v>0.110298753016464</v>
      </c>
      <c r="F1204">
        <v>0.110298753016464</v>
      </c>
    </row>
    <row r="1205" spans="1:6" x14ac:dyDescent="0.2">
      <c r="A1205">
        <v>403</v>
      </c>
      <c r="B1205" s="37" t="s">
        <v>816</v>
      </c>
      <c r="C1205" s="1">
        <v>45463</v>
      </c>
      <c r="D1205" s="37" t="s">
        <v>816</v>
      </c>
      <c r="E1205">
        <v>3.15865920633355E-2</v>
      </c>
      <c r="F1205">
        <v>3.15865920633355E-2</v>
      </c>
    </row>
    <row r="1206" spans="1:6" x14ac:dyDescent="0.2">
      <c r="A1206">
        <v>403</v>
      </c>
      <c r="B1206" s="37" t="s">
        <v>472</v>
      </c>
      <c r="C1206" s="1">
        <v>45648</v>
      </c>
      <c r="D1206" s="37" t="s">
        <v>472</v>
      </c>
      <c r="E1206">
        <v>0.16848997413036401</v>
      </c>
      <c r="F1206">
        <v>0.16848997413036401</v>
      </c>
    </row>
    <row r="1207" spans="1:6" x14ac:dyDescent="0.2">
      <c r="A1207">
        <v>403</v>
      </c>
      <c r="B1207" s="37" t="s">
        <v>473</v>
      </c>
      <c r="C1207" s="1">
        <v>45543</v>
      </c>
      <c r="D1207" s="37" t="s">
        <v>473</v>
      </c>
      <c r="E1207">
        <v>0.71084163706622705</v>
      </c>
      <c r="F1207">
        <v>0.71084163706622705</v>
      </c>
    </row>
    <row r="1208" spans="1:6" x14ac:dyDescent="0.2">
      <c r="A1208">
        <v>403</v>
      </c>
      <c r="B1208" s="37" t="s">
        <v>474</v>
      </c>
      <c r="C1208" s="1">
        <v>45363</v>
      </c>
      <c r="D1208" s="37" t="s">
        <v>474</v>
      </c>
      <c r="E1208">
        <v>0.108895780101436</v>
      </c>
      <c r="F1208">
        <v>0.108895780101436</v>
      </c>
    </row>
    <row r="1209" spans="1:6" x14ac:dyDescent="0.2">
      <c r="A1209">
        <v>403</v>
      </c>
      <c r="B1209" s="37" t="s">
        <v>475</v>
      </c>
      <c r="C1209" s="1">
        <v>45379</v>
      </c>
      <c r="D1209" s="37" t="s">
        <v>475</v>
      </c>
      <c r="E1209">
        <v>7.7975906007671597E-2</v>
      </c>
      <c r="F1209">
        <v>7.7975906007671597E-2</v>
      </c>
    </row>
    <row r="1210" spans="1:6" x14ac:dyDescent="0.2">
      <c r="A1210">
        <v>404</v>
      </c>
      <c r="B1210" s="37" t="s">
        <v>1435</v>
      </c>
      <c r="C1210" s="1">
        <v>45440</v>
      </c>
      <c r="D1210" s="37" t="s">
        <v>1435</v>
      </c>
      <c r="E1210">
        <v>0.16998121775365499</v>
      </c>
      <c r="F1210">
        <v>0.16998121775365499</v>
      </c>
    </row>
    <row r="1211" spans="1:6" x14ac:dyDescent="0.2">
      <c r="A1211">
        <v>404</v>
      </c>
      <c r="B1211" s="37" t="s">
        <v>1436</v>
      </c>
      <c r="C1211" s="1">
        <v>45491</v>
      </c>
      <c r="D1211" s="37" t="s">
        <v>1436</v>
      </c>
      <c r="E1211">
        <v>2.3859771682423099E-2</v>
      </c>
      <c r="F1211">
        <v>2.3859771682423099E-2</v>
      </c>
    </row>
    <row r="1212" spans="1:6" x14ac:dyDescent="0.2">
      <c r="A1212">
        <v>404</v>
      </c>
      <c r="B1212" s="37" t="s">
        <v>476</v>
      </c>
      <c r="C1212" s="1">
        <v>45427</v>
      </c>
      <c r="D1212" s="37" t="s">
        <v>476</v>
      </c>
      <c r="E1212">
        <v>0.25545086289282498</v>
      </c>
      <c r="F1212">
        <v>0.25545086289282498</v>
      </c>
    </row>
    <row r="1213" spans="1:6" x14ac:dyDescent="0.2">
      <c r="A1213">
        <v>405</v>
      </c>
      <c r="B1213" s="37" t="s">
        <v>1437</v>
      </c>
      <c r="C1213" s="1">
        <v>45423</v>
      </c>
      <c r="D1213" s="37" t="s">
        <v>1437</v>
      </c>
      <c r="E1213">
        <v>0.12894984133906501</v>
      </c>
      <c r="F1213">
        <v>0.12894984133906501</v>
      </c>
    </row>
    <row r="1214" spans="1:6" x14ac:dyDescent="0.2">
      <c r="A1214">
        <v>405</v>
      </c>
      <c r="B1214" s="37" t="s">
        <v>477</v>
      </c>
      <c r="C1214" s="1">
        <v>45569</v>
      </c>
      <c r="D1214" s="37" t="s">
        <v>477</v>
      </c>
      <c r="E1214">
        <v>0.54287489651622001</v>
      </c>
      <c r="F1214">
        <v>0.54287489651622001</v>
      </c>
    </row>
    <row r="1215" spans="1:6" x14ac:dyDescent="0.2">
      <c r="A1215">
        <v>406</v>
      </c>
      <c r="B1215" s="37" t="s">
        <v>478</v>
      </c>
      <c r="C1215" s="1">
        <v>45301</v>
      </c>
      <c r="D1215" s="37" t="s">
        <v>478</v>
      </c>
      <c r="E1215">
        <v>0.188400371296468</v>
      </c>
      <c r="F1215">
        <v>0.188400371296468</v>
      </c>
    </row>
    <row r="1216" spans="1:6" x14ac:dyDescent="0.2">
      <c r="A1216">
        <v>406</v>
      </c>
      <c r="B1216" s="37" t="s">
        <v>817</v>
      </c>
      <c r="C1216" s="1">
        <v>45597</v>
      </c>
      <c r="D1216" s="37" t="s">
        <v>817</v>
      </c>
      <c r="E1216">
        <v>0.25120641248447401</v>
      </c>
      <c r="F1216">
        <v>0.25120641248447401</v>
      </c>
    </row>
    <row r="1217" spans="1:6" x14ac:dyDescent="0.2">
      <c r="A1217">
        <v>406</v>
      </c>
      <c r="B1217" s="37" t="s">
        <v>818</v>
      </c>
      <c r="C1217" s="1">
        <v>45420</v>
      </c>
      <c r="D1217" s="37" t="s">
        <v>818</v>
      </c>
      <c r="E1217">
        <v>0.11277371564745001</v>
      </c>
      <c r="F1217">
        <v>0.11277371564745001</v>
      </c>
    </row>
    <row r="1218" spans="1:6" x14ac:dyDescent="0.2">
      <c r="A1218">
        <v>407</v>
      </c>
      <c r="B1218" s="37" t="s">
        <v>1438</v>
      </c>
      <c r="C1218" s="1">
        <v>45345</v>
      </c>
      <c r="D1218" s="37" t="s">
        <v>1438</v>
      </c>
      <c r="E1218">
        <v>0.29327234953527798</v>
      </c>
      <c r="F1218">
        <v>0.29327234953527798</v>
      </c>
    </row>
    <row r="1219" spans="1:6" x14ac:dyDescent="0.2">
      <c r="A1219">
        <v>407</v>
      </c>
      <c r="B1219" s="37" t="s">
        <v>479</v>
      </c>
      <c r="C1219" s="1">
        <v>45481</v>
      </c>
      <c r="D1219" s="37" t="s">
        <v>479</v>
      </c>
      <c r="E1219">
        <v>0.302280248171932</v>
      </c>
      <c r="F1219">
        <v>0.302280248171932</v>
      </c>
    </row>
    <row r="1220" spans="1:6" x14ac:dyDescent="0.2">
      <c r="A1220">
        <v>407</v>
      </c>
      <c r="B1220" s="37" t="s">
        <v>480</v>
      </c>
      <c r="C1220" s="1">
        <v>45421</v>
      </c>
      <c r="D1220" s="37" t="s">
        <v>480</v>
      </c>
      <c r="E1220">
        <v>7.8659741804185807E-2</v>
      </c>
      <c r="F1220">
        <v>7.8659741804185807E-2</v>
      </c>
    </row>
    <row r="1221" spans="1:6" x14ac:dyDescent="0.2">
      <c r="A1221">
        <v>407</v>
      </c>
      <c r="B1221" s="37" t="s">
        <v>481</v>
      </c>
      <c r="C1221" s="1">
        <v>45515</v>
      </c>
      <c r="D1221" s="37" t="s">
        <v>481</v>
      </c>
      <c r="E1221">
        <v>0.36547653065649699</v>
      </c>
      <c r="F1221">
        <v>0.36547653065649699</v>
      </c>
    </row>
    <row r="1222" spans="1:6" x14ac:dyDescent="0.2">
      <c r="A1222">
        <v>408</v>
      </c>
      <c r="B1222" s="37" t="s">
        <v>1439</v>
      </c>
      <c r="C1222" s="1">
        <v>45516</v>
      </c>
      <c r="D1222" s="37" t="s">
        <v>1439</v>
      </c>
      <c r="E1222">
        <v>8.29734687750356E-2</v>
      </c>
      <c r="F1222">
        <v>8.29734687750356E-2</v>
      </c>
    </row>
    <row r="1223" spans="1:6" x14ac:dyDescent="0.2">
      <c r="A1223">
        <v>409</v>
      </c>
      <c r="B1223" s="37" t="s">
        <v>1440</v>
      </c>
      <c r="C1223" s="1">
        <v>45342</v>
      </c>
      <c r="D1223" s="37" t="s">
        <v>1440</v>
      </c>
      <c r="E1223">
        <v>0.231572326612379</v>
      </c>
      <c r="F1223">
        <v>0.231572326612379</v>
      </c>
    </row>
    <row r="1224" spans="1:6" x14ac:dyDescent="0.2">
      <c r="A1224">
        <v>409</v>
      </c>
      <c r="B1224" s="37" t="s">
        <v>1441</v>
      </c>
      <c r="C1224" s="1">
        <v>45610</v>
      </c>
      <c r="D1224" s="37" t="s">
        <v>1441</v>
      </c>
      <c r="E1224">
        <v>0.30605933349894798</v>
      </c>
      <c r="F1224">
        <v>0.30605933349894798</v>
      </c>
    </row>
    <row r="1225" spans="1:6" x14ac:dyDescent="0.2">
      <c r="A1225">
        <v>410</v>
      </c>
      <c r="B1225" s="37" t="s">
        <v>482</v>
      </c>
      <c r="C1225" s="1">
        <v>45296</v>
      </c>
      <c r="D1225" s="37" t="s">
        <v>482</v>
      </c>
      <c r="E1225">
        <v>8.6972614183734698E-2</v>
      </c>
      <c r="F1225">
        <v>8.6972614183734698E-2</v>
      </c>
    </row>
    <row r="1226" spans="1:6" x14ac:dyDescent="0.2">
      <c r="A1226">
        <v>410</v>
      </c>
      <c r="B1226" s="37" t="s">
        <v>483</v>
      </c>
      <c r="C1226" s="1">
        <v>45353</v>
      </c>
      <c r="D1226" s="37" t="s">
        <v>483</v>
      </c>
      <c r="E1226">
        <v>1.9427229175787899E-2</v>
      </c>
      <c r="F1226">
        <v>1.9427229175787899E-2</v>
      </c>
    </row>
    <row r="1227" spans="1:6" x14ac:dyDescent="0.2">
      <c r="A1227">
        <v>410</v>
      </c>
      <c r="B1227" s="37" t="s">
        <v>1442</v>
      </c>
      <c r="C1227" s="1">
        <v>45313</v>
      </c>
      <c r="D1227" s="37" t="s">
        <v>1442</v>
      </c>
      <c r="E1227">
        <v>0.15286499541304199</v>
      </c>
      <c r="F1227">
        <v>0.15286499541304199</v>
      </c>
    </row>
    <row r="1228" spans="1:6" x14ac:dyDescent="0.2">
      <c r="A1228">
        <v>410</v>
      </c>
      <c r="B1228" s="37" t="s">
        <v>1443</v>
      </c>
      <c r="C1228" s="1">
        <v>45443</v>
      </c>
      <c r="D1228" s="37" t="s">
        <v>1443</v>
      </c>
      <c r="E1228">
        <v>0.313894100168085</v>
      </c>
      <c r="F1228">
        <v>0.313894100168085</v>
      </c>
    </row>
    <row r="1229" spans="1:6" x14ac:dyDescent="0.2">
      <c r="A1229">
        <v>411</v>
      </c>
      <c r="B1229" s="37" t="s">
        <v>1444</v>
      </c>
      <c r="C1229" s="1">
        <v>45523</v>
      </c>
      <c r="D1229" s="37" t="s">
        <v>1444</v>
      </c>
      <c r="E1229">
        <v>9.0885677250535202E-2</v>
      </c>
      <c r="F1229">
        <v>9.0885677250535202E-2</v>
      </c>
    </row>
    <row r="1230" spans="1:6" x14ac:dyDescent="0.2">
      <c r="A1230">
        <v>411</v>
      </c>
      <c r="B1230" s="37" t="s">
        <v>1445</v>
      </c>
      <c r="C1230" s="1">
        <v>45600</v>
      </c>
      <c r="D1230" s="37" t="s">
        <v>1445</v>
      </c>
      <c r="E1230">
        <v>0.42408403628556801</v>
      </c>
      <c r="F1230">
        <v>0.42408403628556801</v>
      </c>
    </row>
    <row r="1231" spans="1:6" x14ac:dyDescent="0.2">
      <c r="A1231">
        <v>412</v>
      </c>
      <c r="B1231" s="37" t="s">
        <v>1446</v>
      </c>
      <c r="C1231" s="1">
        <v>45479</v>
      </c>
      <c r="D1231" s="37" t="s">
        <v>1446</v>
      </c>
      <c r="E1231">
        <v>2.2955944211200001E-2</v>
      </c>
      <c r="F1231">
        <v>2.2955944211200001E-2</v>
      </c>
    </row>
    <row r="1232" spans="1:6" x14ac:dyDescent="0.2">
      <c r="A1232">
        <v>412</v>
      </c>
      <c r="B1232" s="37" t="s">
        <v>484</v>
      </c>
      <c r="C1232" s="1">
        <v>45373</v>
      </c>
      <c r="D1232" s="37" t="s">
        <v>484</v>
      </c>
      <c r="E1232">
        <v>0.14979516784824601</v>
      </c>
      <c r="F1232">
        <v>0.14979516784824601</v>
      </c>
    </row>
    <row r="1233" spans="1:6" x14ac:dyDescent="0.2">
      <c r="A1233">
        <v>412</v>
      </c>
      <c r="B1233" s="37" t="s">
        <v>485</v>
      </c>
      <c r="C1233" s="1">
        <v>45433</v>
      </c>
      <c r="D1233" s="37" t="s">
        <v>485</v>
      </c>
      <c r="E1233">
        <v>8.22906330496916E-2</v>
      </c>
      <c r="F1233">
        <v>8.22906330496916E-2</v>
      </c>
    </row>
    <row r="1234" spans="1:6" x14ac:dyDescent="0.2">
      <c r="A1234">
        <v>412</v>
      </c>
      <c r="B1234" s="37" t="s">
        <v>819</v>
      </c>
      <c r="C1234" s="1">
        <v>45623</v>
      </c>
      <c r="D1234" s="37" t="s">
        <v>819</v>
      </c>
      <c r="E1234">
        <v>0.12706793971819999</v>
      </c>
      <c r="F1234">
        <v>0.12706793971819999</v>
      </c>
    </row>
    <row r="1235" spans="1:6" x14ac:dyDescent="0.2">
      <c r="A1235">
        <v>412</v>
      </c>
      <c r="B1235" s="37" t="s">
        <v>820</v>
      </c>
      <c r="C1235" s="1">
        <v>45597</v>
      </c>
      <c r="D1235" s="37" t="s">
        <v>820</v>
      </c>
      <c r="E1235">
        <v>1.7671569051666398E-2</v>
      </c>
      <c r="F1235">
        <v>1.7671569051666398E-2</v>
      </c>
    </row>
    <row r="1236" spans="1:6" x14ac:dyDescent="0.2">
      <c r="A1236">
        <v>413</v>
      </c>
      <c r="B1236" s="37" t="s">
        <v>1447</v>
      </c>
      <c r="C1236" s="1">
        <v>45596</v>
      </c>
      <c r="D1236" s="37" t="s">
        <v>1447</v>
      </c>
      <c r="E1236">
        <v>6.2156498559243399E-2</v>
      </c>
      <c r="F1236">
        <v>6.2156498559243399E-2</v>
      </c>
    </row>
    <row r="1237" spans="1:6" x14ac:dyDescent="0.2">
      <c r="A1237">
        <v>413</v>
      </c>
      <c r="B1237" s="37" t="s">
        <v>821</v>
      </c>
      <c r="C1237" s="1">
        <v>45354</v>
      </c>
      <c r="D1237" s="37" t="s">
        <v>821</v>
      </c>
      <c r="E1237">
        <v>5.2016522469579399E-2</v>
      </c>
      <c r="F1237">
        <v>5.2016522469579399E-2</v>
      </c>
    </row>
    <row r="1238" spans="1:6" x14ac:dyDescent="0.2">
      <c r="A1238">
        <v>414</v>
      </c>
      <c r="B1238" s="37" t="s">
        <v>1448</v>
      </c>
      <c r="C1238" s="1">
        <v>45373</v>
      </c>
      <c r="D1238" s="37" t="s">
        <v>1448</v>
      </c>
      <c r="E1238">
        <v>0.138798979973391</v>
      </c>
      <c r="F1238">
        <v>0.138798979973391</v>
      </c>
    </row>
    <row r="1239" spans="1:6" x14ac:dyDescent="0.2">
      <c r="A1239">
        <v>414</v>
      </c>
      <c r="B1239" s="37" t="s">
        <v>1449</v>
      </c>
      <c r="C1239" s="1">
        <v>45617</v>
      </c>
      <c r="D1239" s="37" t="s">
        <v>1449</v>
      </c>
      <c r="E1239">
        <v>5.8971009085929699E-2</v>
      </c>
      <c r="F1239">
        <v>5.8971009085929699E-2</v>
      </c>
    </row>
    <row r="1240" spans="1:6" x14ac:dyDescent="0.2">
      <c r="A1240">
        <v>414</v>
      </c>
      <c r="B1240" s="37" t="s">
        <v>822</v>
      </c>
      <c r="C1240" s="1">
        <v>45392</v>
      </c>
      <c r="D1240" s="37" t="s">
        <v>822</v>
      </c>
      <c r="E1240">
        <v>0.154762984612386</v>
      </c>
      <c r="F1240">
        <v>0.154762984612386</v>
      </c>
    </row>
    <row r="1241" spans="1:6" x14ac:dyDescent="0.2">
      <c r="A1241">
        <v>415</v>
      </c>
      <c r="B1241" s="37" t="s">
        <v>1450</v>
      </c>
      <c r="C1241" s="1">
        <v>45504</v>
      </c>
      <c r="D1241" s="37" t="s">
        <v>1450</v>
      </c>
      <c r="E1241">
        <v>0.20099651740170399</v>
      </c>
      <c r="F1241">
        <v>0.20099651740170399</v>
      </c>
    </row>
    <row r="1242" spans="1:6" x14ac:dyDescent="0.2">
      <c r="A1242">
        <v>415</v>
      </c>
      <c r="B1242" s="37" t="s">
        <v>1451</v>
      </c>
      <c r="C1242" s="1">
        <v>45415</v>
      </c>
      <c r="D1242" s="37" t="s">
        <v>1451</v>
      </c>
      <c r="E1242">
        <v>0.22342332620792499</v>
      </c>
      <c r="F1242">
        <v>0.22342332620792499</v>
      </c>
    </row>
    <row r="1243" spans="1:6" x14ac:dyDescent="0.2">
      <c r="A1243">
        <v>416</v>
      </c>
      <c r="B1243" s="37" t="s">
        <v>1452</v>
      </c>
      <c r="C1243" s="1">
        <v>45337</v>
      </c>
      <c r="D1243" s="37" t="s">
        <v>1452</v>
      </c>
      <c r="E1243">
        <v>8.3370582575296295E-2</v>
      </c>
      <c r="F1243">
        <v>8.3370582575296295E-2</v>
      </c>
    </row>
    <row r="1244" spans="1:6" x14ac:dyDescent="0.2">
      <c r="A1244">
        <v>417</v>
      </c>
      <c r="B1244" s="37" t="s">
        <v>1453</v>
      </c>
      <c r="C1244" s="1">
        <v>45591</v>
      </c>
      <c r="D1244" s="37" t="s">
        <v>1453</v>
      </c>
      <c r="E1244">
        <v>7.2069230829268402E-2</v>
      </c>
      <c r="F1244">
        <v>7.2069230829268402E-2</v>
      </c>
    </row>
    <row r="1245" spans="1:6" x14ac:dyDescent="0.2">
      <c r="A1245">
        <v>417</v>
      </c>
      <c r="B1245" s="37" t="s">
        <v>1454</v>
      </c>
      <c r="C1245" s="1">
        <v>45569</v>
      </c>
      <c r="D1245" s="37" t="s">
        <v>1454</v>
      </c>
      <c r="E1245">
        <v>0.18076761944469599</v>
      </c>
      <c r="F1245">
        <v>0.18076761944469599</v>
      </c>
    </row>
    <row r="1246" spans="1:6" x14ac:dyDescent="0.2">
      <c r="A1246">
        <v>417</v>
      </c>
      <c r="B1246" s="37" t="s">
        <v>1455</v>
      </c>
      <c r="C1246" s="1">
        <v>45610</v>
      </c>
      <c r="D1246" s="37" t="s">
        <v>1455</v>
      </c>
      <c r="E1246">
        <v>0.15658551362891401</v>
      </c>
      <c r="F1246">
        <v>0.15658551362891401</v>
      </c>
    </row>
    <row r="1247" spans="1:6" x14ac:dyDescent="0.2">
      <c r="A1247">
        <v>417</v>
      </c>
      <c r="B1247" s="37" t="s">
        <v>1456</v>
      </c>
      <c r="C1247" s="1">
        <v>45356</v>
      </c>
      <c r="D1247" s="37" t="s">
        <v>1456</v>
      </c>
      <c r="E1247">
        <v>0.12667303143289699</v>
      </c>
      <c r="F1247">
        <v>0.12667303143289699</v>
      </c>
    </row>
    <row r="1248" spans="1:6" x14ac:dyDescent="0.2">
      <c r="A1248">
        <v>417</v>
      </c>
      <c r="B1248" s="37" t="s">
        <v>823</v>
      </c>
      <c r="C1248" s="1">
        <v>45356</v>
      </c>
      <c r="D1248" s="37" t="s">
        <v>823</v>
      </c>
      <c r="E1248">
        <v>0.52627115909919497</v>
      </c>
      <c r="F1248">
        <v>0.52627115909919497</v>
      </c>
    </row>
    <row r="1249" spans="1:6" x14ac:dyDescent="0.2">
      <c r="A1249">
        <v>417</v>
      </c>
      <c r="B1249" s="37" t="s">
        <v>824</v>
      </c>
      <c r="C1249" s="1">
        <v>45551</v>
      </c>
      <c r="D1249" s="37" t="s">
        <v>824</v>
      </c>
      <c r="E1249">
        <v>0.14769223955578001</v>
      </c>
      <c r="F1249">
        <v>0.14769223955578001</v>
      </c>
    </row>
    <row r="1250" spans="1:6" x14ac:dyDescent="0.2">
      <c r="A1250">
        <v>418</v>
      </c>
      <c r="B1250" s="37" t="s">
        <v>1457</v>
      </c>
      <c r="C1250" s="1">
        <v>45325</v>
      </c>
      <c r="D1250" s="37" t="s">
        <v>1457</v>
      </c>
      <c r="E1250">
        <v>0.23115226224893701</v>
      </c>
      <c r="F1250">
        <v>0.23115226224893701</v>
      </c>
    </row>
    <row r="1251" spans="1:6" x14ac:dyDescent="0.2">
      <c r="A1251">
        <v>418</v>
      </c>
      <c r="B1251" s="37" t="s">
        <v>486</v>
      </c>
      <c r="C1251" s="1">
        <v>45467</v>
      </c>
      <c r="D1251" s="37" t="s">
        <v>486</v>
      </c>
      <c r="E1251">
        <v>0.195960552989562</v>
      </c>
      <c r="F1251">
        <v>0.195960552989562</v>
      </c>
    </row>
    <row r="1252" spans="1:6" x14ac:dyDescent="0.2">
      <c r="A1252">
        <v>419</v>
      </c>
      <c r="B1252" s="37" t="s">
        <v>487</v>
      </c>
      <c r="C1252" s="1">
        <v>45371</v>
      </c>
      <c r="D1252" s="37" t="s">
        <v>487</v>
      </c>
      <c r="E1252">
        <v>0.240408802920689</v>
      </c>
      <c r="F1252">
        <v>0.240408802920689</v>
      </c>
    </row>
    <row r="1253" spans="1:6" x14ac:dyDescent="0.2">
      <c r="A1253">
        <v>419</v>
      </c>
      <c r="B1253" s="37" t="s">
        <v>488</v>
      </c>
      <c r="C1253" s="1">
        <v>45568</v>
      </c>
      <c r="D1253" s="37" t="s">
        <v>488</v>
      </c>
      <c r="E1253">
        <v>3.6572687637344302E-2</v>
      </c>
      <c r="F1253">
        <v>3.6572687637344302E-2</v>
      </c>
    </row>
    <row r="1254" spans="1:6" x14ac:dyDescent="0.2">
      <c r="A1254">
        <v>419</v>
      </c>
      <c r="B1254" s="37" t="s">
        <v>1458</v>
      </c>
      <c r="C1254" s="1">
        <v>45346</v>
      </c>
      <c r="D1254" s="37" t="s">
        <v>1458</v>
      </c>
      <c r="E1254">
        <v>4.0048602790239703E-2</v>
      </c>
      <c r="F1254">
        <v>4.0048602790239703E-2</v>
      </c>
    </row>
    <row r="1255" spans="1:6" x14ac:dyDescent="0.2">
      <c r="A1255">
        <v>421</v>
      </c>
      <c r="B1255" s="37" t="s">
        <v>825</v>
      </c>
      <c r="C1255" s="1">
        <v>45354</v>
      </c>
      <c r="D1255" s="37" t="s">
        <v>825</v>
      </c>
      <c r="E1255">
        <v>5.9019593350788303E-2</v>
      </c>
      <c r="F1255">
        <v>5.9019593350788303E-2</v>
      </c>
    </row>
    <row r="1256" spans="1:6" x14ac:dyDescent="0.2">
      <c r="A1256">
        <v>421</v>
      </c>
      <c r="B1256" s="37" t="s">
        <v>826</v>
      </c>
      <c r="C1256" s="1">
        <v>45655</v>
      </c>
      <c r="D1256" s="37" t="s">
        <v>826</v>
      </c>
      <c r="E1256">
        <v>0.30346065998223998</v>
      </c>
      <c r="F1256">
        <v>0.30346065998223998</v>
      </c>
    </row>
    <row r="1257" spans="1:6" x14ac:dyDescent="0.2">
      <c r="A1257">
        <v>421</v>
      </c>
      <c r="B1257" s="37" t="s">
        <v>489</v>
      </c>
      <c r="C1257" s="1">
        <v>45421</v>
      </c>
      <c r="D1257" s="37" t="s">
        <v>489</v>
      </c>
      <c r="E1257">
        <v>0.45192297286254701</v>
      </c>
      <c r="F1257">
        <v>0.45192297286254701</v>
      </c>
    </row>
    <row r="1258" spans="1:6" x14ac:dyDescent="0.2">
      <c r="A1258">
        <v>422</v>
      </c>
      <c r="B1258" s="37" t="s">
        <v>1459</v>
      </c>
      <c r="C1258" s="1">
        <v>45325</v>
      </c>
      <c r="D1258" s="37" t="s">
        <v>1459</v>
      </c>
      <c r="E1258">
        <v>5.1236626123151899E-2</v>
      </c>
      <c r="F1258">
        <v>5.1236626123151899E-2</v>
      </c>
    </row>
    <row r="1259" spans="1:6" x14ac:dyDescent="0.2">
      <c r="A1259">
        <v>422</v>
      </c>
      <c r="B1259" s="37" t="s">
        <v>490</v>
      </c>
      <c r="C1259" s="1">
        <v>45461</v>
      </c>
      <c r="D1259" s="37" t="s">
        <v>490</v>
      </c>
      <c r="E1259">
        <v>8.7843193926467805E-2</v>
      </c>
      <c r="F1259">
        <v>8.7843193926467805E-2</v>
      </c>
    </row>
    <row r="1260" spans="1:6" x14ac:dyDescent="0.2">
      <c r="A1260">
        <v>422</v>
      </c>
      <c r="B1260" s="37" t="s">
        <v>491</v>
      </c>
      <c r="C1260" s="1">
        <v>45445</v>
      </c>
      <c r="D1260" s="37" t="s">
        <v>491</v>
      </c>
      <c r="E1260">
        <v>0.33265812945491802</v>
      </c>
      <c r="F1260">
        <v>0.33265812945491802</v>
      </c>
    </row>
    <row r="1261" spans="1:6" x14ac:dyDescent="0.2">
      <c r="A1261">
        <v>423</v>
      </c>
      <c r="B1261" s="37" t="s">
        <v>492</v>
      </c>
      <c r="C1261" s="1">
        <v>45522</v>
      </c>
      <c r="D1261" s="37" t="s">
        <v>492</v>
      </c>
      <c r="E1261">
        <v>0.231135810244124</v>
      </c>
      <c r="F1261">
        <v>0.231135810244124</v>
      </c>
    </row>
    <row r="1262" spans="1:6" x14ac:dyDescent="0.2">
      <c r="A1262">
        <v>423</v>
      </c>
      <c r="B1262" s="37" t="s">
        <v>493</v>
      </c>
      <c r="C1262" s="1">
        <v>45484</v>
      </c>
      <c r="D1262" s="37" t="s">
        <v>493</v>
      </c>
      <c r="E1262">
        <v>0.123307533339256</v>
      </c>
      <c r="F1262">
        <v>0.123307533339256</v>
      </c>
    </row>
    <row r="1263" spans="1:6" x14ac:dyDescent="0.2">
      <c r="A1263">
        <v>423</v>
      </c>
      <c r="B1263" s="37" t="s">
        <v>494</v>
      </c>
      <c r="C1263" s="1">
        <v>45354</v>
      </c>
      <c r="D1263" s="37" t="s">
        <v>494</v>
      </c>
      <c r="E1263">
        <v>9.3118155221911206E-2</v>
      </c>
      <c r="F1263">
        <v>9.3118155221911206E-2</v>
      </c>
    </row>
    <row r="1264" spans="1:6" x14ac:dyDescent="0.2">
      <c r="A1264">
        <v>424</v>
      </c>
      <c r="B1264" s="37" t="s">
        <v>1460</v>
      </c>
      <c r="C1264" s="1">
        <v>45614</v>
      </c>
      <c r="D1264" s="37" t="s">
        <v>1460</v>
      </c>
      <c r="E1264">
        <v>0.14266865090870001</v>
      </c>
      <c r="F1264">
        <v>0.14266865090870001</v>
      </c>
    </row>
    <row r="1265" spans="1:6" x14ac:dyDescent="0.2">
      <c r="A1265">
        <v>424</v>
      </c>
      <c r="B1265" s="37" t="s">
        <v>1461</v>
      </c>
      <c r="C1265" s="1">
        <v>45571</v>
      </c>
      <c r="D1265" s="37" t="s">
        <v>1461</v>
      </c>
      <c r="E1265">
        <v>8.1452208473470497E-2</v>
      </c>
      <c r="F1265">
        <v>8.1452208473470497E-2</v>
      </c>
    </row>
    <row r="1266" spans="1:6" x14ac:dyDescent="0.2">
      <c r="A1266">
        <v>425</v>
      </c>
      <c r="B1266" s="37" t="s">
        <v>495</v>
      </c>
      <c r="C1266" s="1">
        <v>45432</v>
      </c>
      <c r="D1266" s="37" t="s">
        <v>495</v>
      </c>
      <c r="E1266">
        <v>4.4912928865280199E-2</v>
      </c>
      <c r="F1266">
        <v>4.4912928865280199E-2</v>
      </c>
    </row>
    <row r="1267" spans="1:6" x14ac:dyDescent="0.2">
      <c r="A1267">
        <v>425</v>
      </c>
      <c r="B1267" s="37" t="s">
        <v>496</v>
      </c>
      <c r="C1267" s="1">
        <v>45553</v>
      </c>
      <c r="D1267" s="37" t="s">
        <v>496</v>
      </c>
      <c r="E1267">
        <v>0.20317421806126601</v>
      </c>
      <c r="F1267">
        <v>0.20317421806126601</v>
      </c>
    </row>
    <row r="1268" spans="1:6" x14ac:dyDescent="0.2">
      <c r="A1268">
        <v>425</v>
      </c>
      <c r="B1268" s="37" t="s">
        <v>497</v>
      </c>
      <c r="C1268" s="1">
        <v>45557</v>
      </c>
      <c r="D1268" s="37" t="s">
        <v>497</v>
      </c>
      <c r="E1268">
        <v>9.61833804166881E-2</v>
      </c>
      <c r="F1268">
        <v>9.61833804166881E-2</v>
      </c>
    </row>
    <row r="1269" spans="1:6" x14ac:dyDescent="0.2">
      <c r="A1269">
        <v>425</v>
      </c>
      <c r="B1269" s="37" t="s">
        <v>498</v>
      </c>
      <c r="C1269" s="1">
        <v>45528</v>
      </c>
      <c r="D1269" s="37" t="s">
        <v>498</v>
      </c>
      <c r="E1269">
        <v>0.241042310793359</v>
      </c>
      <c r="F1269">
        <v>0.241042310793359</v>
      </c>
    </row>
    <row r="1270" spans="1:6" x14ac:dyDescent="0.2">
      <c r="A1270">
        <v>425</v>
      </c>
      <c r="B1270" s="37" t="s">
        <v>827</v>
      </c>
      <c r="C1270" s="1">
        <v>45455</v>
      </c>
      <c r="D1270" s="37" t="s">
        <v>827</v>
      </c>
      <c r="E1270">
        <v>3.5714821655005002E-2</v>
      </c>
      <c r="F1270">
        <v>3.5714821655005002E-2</v>
      </c>
    </row>
    <row r="1271" spans="1:6" x14ac:dyDescent="0.2">
      <c r="A1271">
        <v>426</v>
      </c>
      <c r="B1271" s="37" t="s">
        <v>1462</v>
      </c>
      <c r="C1271" s="1">
        <v>45446</v>
      </c>
      <c r="D1271" s="37" t="s">
        <v>1462</v>
      </c>
      <c r="E1271">
        <v>4.0533862663264001E-3</v>
      </c>
      <c r="F1271">
        <v>4.0533862663264001E-3</v>
      </c>
    </row>
    <row r="1272" spans="1:6" x14ac:dyDescent="0.2">
      <c r="A1272">
        <v>426</v>
      </c>
      <c r="B1272" s="37" t="s">
        <v>828</v>
      </c>
      <c r="C1272" s="1">
        <v>45315</v>
      </c>
      <c r="D1272" s="37" t="s">
        <v>828</v>
      </c>
      <c r="E1272">
        <v>0.28510298294747199</v>
      </c>
      <c r="F1272">
        <v>0.28510298294747199</v>
      </c>
    </row>
    <row r="1273" spans="1:6" x14ac:dyDescent="0.2">
      <c r="A1273">
        <v>426</v>
      </c>
      <c r="B1273" s="37" t="s">
        <v>829</v>
      </c>
      <c r="C1273" s="1">
        <v>45381</v>
      </c>
      <c r="D1273" s="37" t="s">
        <v>829</v>
      </c>
      <c r="E1273">
        <v>0.175021508052084</v>
      </c>
      <c r="F1273">
        <v>0.175021508052084</v>
      </c>
    </row>
    <row r="1274" spans="1:6" x14ac:dyDescent="0.2">
      <c r="A1274">
        <v>427</v>
      </c>
      <c r="B1274" s="37" t="s">
        <v>1463</v>
      </c>
      <c r="C1274" s="1">
        <v>45389</v>
      </c>
      <c r="D1274" s="37" t="s">
        <v>1463</v>
      </c>
      <c r="E1274">
        <v>0.26560319297595297</v>
      </c>
      <c r="F1274">
        <v>0.26560319297595297</v>
      </c>
    </row>
    <row r="1275" spans="1:6" x14ac:dyDescent="0.2">
      <c r="A1275">
        <v>427</v>
      </c>
      <c r="B1275" s="37" t="s">
        <v>1464</v>
      </c>
      <c r="C1275" s="1">
        <v>45311</v>
      </c>
      <c r="D1275" s="37" t="s">
        <v>1464</v>
      </c>
      <c r="E1275">
        <v>9.9696522165993298E-2</v>
      </c>
      <c r="F1275">
        <v>9.9696522165993298E-2</v>
      </c>
    </row>
    <row r="1276" spans="1:6" x14ac:dyDescent="0.2">
      <c r="A1276">
        <v>428</v>
      </c>
      <c r="B1276" s="37" t="s">
        <v>1465</v>
      </c>
      <c r="C1276" s="1">
        <v>45406</v>
      </c>
      <c r="D1276" s="37" t="s">
        <v>1465</v>
      </c>
      <c r="E1276">
        <v>0.190700708340727</v>
      </c>
      <c r="F1276">
        <v>0.190700708340727</v>
      </c>
    </row>
    <row r="1277" spans="1:6" x14ac:dyDescent="0.2">
      <c r="A1277">
        <v>428</v>
      </c>
      <c r="B1277" s="37" t="s">
        <v>499</v>
      </c>
      <c r="C1277" s="1">
        <v>45304</v>
      </c>
      <c r="D1277" s="37" t="s">
        <v>499</v>
      </c>
      <c r="E1277">
        <v>0.31512136068466201</v>
      </c>
      <c r="F1277">
        <v>0.31512136068466201</v>
      </c>
    </row>
    <row r="1278" spans="1:6" x14ac:dyDescent="0.2">
      <c r="A1278">
        <v>429</v>
      </c>
      <c r="B1278" s="37" t="s">
        <v>500</v>
      </c>
      <c r="C1278" s="1">
        <v>45455</v>
      </c>
      <c r="D1278" s="37" t="s">
        <v>500</v>
      </c>
      <c r="E1278">
        <v>0.20063702150655899</v>
      </c>
      <c r="F1278">
        <v>0.20063702150655899</v>
      </c>
    </row>
    <row r="1279" spans="1:6" x14ac:dyDescent="0.2">
      <c r="A1279">
        <v>430</v>
      </c>
      <c r="B1279" s="37" t="s">
        <v>1466</v>
      </c>
      <c r="C1279" s="1">
        <v>45532</v>
      </c>
      <c r="D1279" s="37" t="s">
        <v>1466</v>
      </c>
      <c r="E1279">
        <v>0.59615983705506004</v>
      </c>
      <c r="F1279">
        <v>0.59615983705506004</v>
      </c>
    </row>
    <row r="1280" spans="1:6" x14ac:dyDescent="0.2">
      <c r="A1280">
        <v>430</v>
      </c>
      <c r="B1280" s="37" t="s">
        <v>1467</v>
      </c>
      <c r="C1280" s="1">
        <v>45468</v>
      </c>
      <c r="D1280" s="37" t="s">
        <v>1467</v>
      </c>
      <c r="E1280">
        <v>0.18434697951395501</v>
      </c>
      <c r="F1280">
        <v>0.18434697951395501</v>
      </c>
    </row>
    <row r="1281" spans="1:6" x14ac:dyDescent="0.2">
      <c r="A1281">
        <v>430</v>
      </c>
      <c r="B1281" s="37" t="s">
        <v>501</v>
      </c>
      <c r="C1281" s="1">
        <v>45392</v>
      </c>
      <c r="D1281" s="37" t="s">
        <v>501</v>
      </c>
      <c r="E1281">
        <v>0.55732977259079097</v>
      </c>
      <c r="F1281">
        <v>0.55732977259079097</v>
      </c>
    </row>
    <row r="1282" spans="1:6" x14ac:dyDescent="0.2">
      <c r="A1282">
        <v>430</v>
      </c>
      <c r="B1282" s="37" t="s">
        <v>830</v>
      </c>
      <c r="C1282" s="1">
        <v>45455</v>
      </c>
      <c r="D1282" s="37" t="s">
        <v>830</v>
      </c>
      <c r="E1282">
        <v>0.155753397023115</v>
      </c>
      <c r="F1282">
        <v>0.155753397023115</v>
      </c>
    </row>
    <row r="1283" spans="1:6" x14ac:dyDescent="0.2">
      <c r="A1283">
        <v>430</v>
      </c>
      <c r="B1283" s="37" t="s">
        <v>831</v>
      </c>
      <c r="C1283" s="1">
        <v>45434</v>
      </c>
      <c r="D1283" s="37" t="s">
        <v>831</v>
      </c>
      <c r="E1283">
        <v>0.117486970327899</v>
      </c>
      <c r="F1283">
        <v>0.117486970327899</v>
      </c>
    </row>
    <row r="1284" spans="1:6" x14ac:dyDescent="0.2">
      <c r="A1284">
        <v>431</v>
      </c>
      <c r="B1284" s="37" t="s">
        <v>502</v>
      </c>
      <c r="C1284" s="1">
        <v>45396</v>
      </c>
      <c r="D1284" s="37" t="s">
        <v>502</v>
      </c>
      <c r="E1284">
        <v>1.1258449689740701E-2</v>
      </c>
      <c r="F1284">
        <v>1.1258449689740701E-2</v>
      </c>
    </row>
    <row r="1285" spans="1:6" x14ac:dyDescent="0.2">
      <c r="A1285">
        <v>431</v>
      </c>
      <c r="B1285" s="37" t="s">
        <v>503</v>
      </c>
      <c r="C1285" s="1">
        <v>45640</v>
      </c>
      <c r="D1285" s="37" t="s">
        <v>503</v>
      </c>
      <c r="E1285">
        <v>8.0480868738487699E-2</v>
      </c>
      <c r="F1285">
        <v>8.0480868738487699E-2</v>
      </c>
    </row>
    <row r="1286" spans="1:6" x14ac:dyDescent="0.2">
      <c r="A1286">
        <v>431</v>
      </c>
      <c r="B1286" s="37" t="s">
        <v>504</v>
      </c>
      <c r="C1286" s="1">
        <v>45370</v>
      </c>
      <c r="D1286" s="37" t="s">
        <v>504</v>
      </c>
      <c r="E1286">
        <v>0.26783498879938</v>
      </c>
      <c r="F1286">
        <v>0.26783498879938</v>
      </c>
    </row>
    <row r="1287" spans="1:6" x14ac:dyDescent="0.2">
      <c r="A1287">
        <v>431</v>
      </c>
      <c r="B1287" s="37" t="s">
        <v>505</v>
      </c>
      <c r="C1287" s="1">
        <v>45574</v>
      </c>
      <c r="D1287" s="37" t="s">
        <v>505</v>
      </c>
      <c r="E1287">
        <v>0.24225081702875501</v>
      </c>
      <c r="F1287">
        <v>0.24225081702875501</v>
      </c>
    </row>
    <row r="1288" spans="1:6" x14ac:dyDescent="0.2">
      <c r="A1288">
        <v>431</v>
      </c>
      <c r="B1288" s="37" t="s">
        <v>506</v>
      </c>
      <c r="C1288" s="1">
        <v>45430</v>
      </c>
      <c r="D1288" s="37" t="s">
        <v>506</v>
      </c>
      <c r="E1288">
        <v>7.1873382937676505E-2</v>
      </c>
      <c r="F1288">
        <v>7.1873382937676505E-2</v>
      </c>
    </row>
    <row r="1289" spans="1:6" x14ac:dyDescent="0.2">
      <c r="A1289">
        <v>431</v>
      </c>
      <c r="B1289" s="37" t="s">
        <v>1468</v>
      </c>
      <c r="C1289" s="1">
        <v>45442</v>
      </c>
      <c r="D1289" s="37" t="s">
        <v>1468</v>
      </c>
      <c r="E1289">
        <v>0.17751415314545399</v>
      </c>
      <c r="F1289">
        <v>0.17751415314545399</v>
      </c>
    </row>
    <row r="1290" spans="1:6" x14ac:dyDescent="0.2">
      <c r="A1290">
        <v>432</v>
      </c>
      <c r="B1290" s="37" t="s">
        <v>507</v>
      </c>
      <c r="C1290" s="1">
        <v>45543</v>
      </c>
      <c r="D1290" s="37" t="s">
        <v>507</v>
      </c>
      <c r="E1290">
        <v>0.237810074901498</v>
      </c>
      <c r="F1290">
        <v>0.237810074901498</v>
      </c>
    </row>
    <row r="1291" spans="1:6" x14ac:dyDescent="0.2">
      <c r="A1291">
        <v>432</v>
      </c>
      <c r="B1291" s="37" t="s">
        <v>508</v>
      </c>
      <c r="C1291" s="1">
        <v>45460</v>
      </c>
      <c r="D1291" s="37" t="s">
        <v>508</v>
      </c>
      <c r="E1291">
        <v>0.22648453307910099</v>
      </c>
      <c r="F1291">
        <v>0.22648453307910099</v>
      </c>
    </row>
    <row r="1292" spans="1:6" x14ac:dyDescent="0.2">
      <c r="A1292">
        <v>432</v>
      </c>
      <c r="B1292" s="37" t="s">
        <v>509</v>
      </c>
      <c r="C1292" s="1">
        <v>45564</v>
      </c>
      <c r="D1292" s="37" t="s">
        <v>509</v>
      </c>
      <c r="E1292">
        <v>0.15621299452161</v>
      </c>
      <c r="F1292">
        <v>0.15621299452161</v>
      </c>
    </row>
    <row r="1293" spans="1:6" x14ac:dyDescent="0.2">
      <c r="A1293">
        <v>433</v>
      </c>
      <c r="B1293" s="37" t="s">
        <v>510</v>
      </c>
      <c r="C1293" s="1">
        <v>45465</v>
      </c>
      <c r="D1293" s="37" t="s">
        <v>510</v>
      </c>
      <c r="E1293">
        <v>0.33743396068131898</v>
      </c>
      <c r="F1293">
        <v>0.33743396068131898</v>
      </c>
    </row>
    <row r="1294" spans="1:6" x14ac:dyDescent="0.2">
      <c r="A1294">
        <v>433</v>
      </c>
      <c r="B1294" s="37" t="s">
        <v>511</v>
      </c>
      <c r="C1294" s="1">
        <v>45346</v>
      </c>
      <c r="D1294" s="37" t="s">
        <v>511</v>
      </c>
      <c r="E1294">
        <v>0.113888609514303</v>
      </c>
      <c r="F1294">
        <v>0.113888609514303</v>
      </c>
    </row>
    <row r="1295" spans="1:6" x14ac:dyDescent="0.2">
      <c r="A1295">
        <v>434</v>
      </c>
      <c r="B1295" s="37" t="s">
        <v>512</v>
      </c>
      <c r="C1295" s="1">
        <v>45576</v>
      </c>
      <c r="D1295" s="37" t="s">
        <v>512</v>
      </c>
      <c r="E1295">
        <v>0.20404105911568199</v>
      </c>
      <c r="F1295">
        <v>0.20404105911568199</v>
      </c>
    </row>
    <row r="1296" spans="1:6" x14ac:dyDescent="0.2">
      <c r="A1296">
        <v>434</v>
      </c>
      <c r="B1296" s="37" t="s">
        <v>513</v>
      </c>
      <c r="C1296" s="1">
        <v>45447</v>
      </c>
      <c r="D1296" s="37" t="s">
        <v>513</v>
      </c>
      <c r="E1296">
        <v>0.184077215961718</v>
      </c>
      <c r="F1296">
        <v>0.184077215961718</v>
      </c>
    </row>
    <row r="1297" spans="1:6" x14ac:dyDescent="0.2">
      <c r="A1297">
        <v>434</v>
      </c>
      <c r="B1297" s="37" t="s">
        <v>514</v>
      </c>
      <c r="C1297" s="1">
        <v>45556</v>
      </c>
      <c r="D1297" s="37" t="s">
        <v>514</v>
      </c>
      <c r="E1297">
        <v>0.16138822363375099</v>
      </c>
      <c r="F1297">
        <v>0.16138822363375099</v>
      </c>
    </row>
    <row r="1298" spans="1:6" x14ac:dyDescent="0.2">
      <c r="A1298">
        <v>434</v>
      </c>
      <c r="B1298" s="37" t="s">
        <v>515</v>
      </c>
      <c r="C1298" s="1">
        <v>45490</v>
      </c>
      <c r="D1298" s="37" t="s">
        <v>515</v>
      </c>
      <c r="E1298">
        <v>7.8216540642990898E-2</v>
      </c>
      <c r="F1298">
        <v>7.8216540642990898E-2</v>
      </c>
    </row>
    <row r="1299" spans="1:6" x14ac:dyDescent="0.2">
      <c r="A1299">
        <v>434</v>
      </c>
      <c r="B1299" s="37" t="s">
        <v>516</v>
      </c>
      <c r="C1299" s="1">
        <v>45341</v>
      </c>
      <c r="D1299" s="37" t="s">
        <v>516</v>
      </c>
      <c r="E1299">
        <v>0.162640081679163</v>
      </c>
      <c r="F1299">
        <v>0.162640081679163</v>
      </c>
    </row>
    <row r="1300" spans="1:6" x14ac:dyDescent="0.2">
      <c r="A1300">
        <v>434</v>
      </c>
      <c r="B1300" s="37" t="s">
        <v>1469</v>
      </c>
      <c r="C1300" s="1">
        <v>45492</v>
      </c>
      <c r="D1300" s="37" t="s">
        <v>1469</v>
      </c>
      <c r="E1300">
        <v>0.181082593528577</v>
      </c>
      <c r="F1300">
        <v>0.181082593528577</v>
      </c>
    </row>
    <row r="1301" spans="1:6" x14ac:dyDescent="0.2">
      <c r="A1301">
        <v>434</v>
      </c>
      <c r="B1301" s="37" t="s">
        <v>1470</v>
      </c>
      <c r="C1301" s="1">
        <v>45304</v>
      </c>
      <c r="D1301" s="37" t="s">
        <v>1470</v>
      </c>
      <c r="E1301">
        <v>0.33178716614781201</v>
      </c>
      <c r="F1301">
        <v>0.33178716614781201</v>
      </c>
    </row>
    <row r="1302" spans="1:6" x14ac:dyDescent="0.2">
      <c r="A1302">
        <v>434</v>
      </c>
      <c r="B1302" s="37" t="s">
        <v>1471</v>
      </c>
      <c r="C1302" s="1">
        <v>45612</v>
      </c>
      <c r="D1302" s="37" t="s">
        <v>1471</v>
      </c>
      <c r="E1302">
        <v>0.30109877403538798</v>
      </c>
      <c r="F1302">
        <v>0.30109877403538798</v>
      </c>
    </row>
    <row r="1303" spans="1:6" x14ac:dyDescent="0.2">
      <c r="A1303">
        <v>434</v>
      </c>
      <c r="B1303" s="37" t="s">
        <v>517</v>
      </c>
      <c r="C1303" s="1">
        <v>45581</v>
      </c>
      <c r="D1303" s="37" t="s">
        <v>517</v>
      </c>
      <c r="E1303">
        <v>2.0953294974668898E-2</v>
      </c>
      <c r="F1303">
        <v>2.0953294974668898E-2</v>
      </c>
    </row>
    <row r="1304" spans="1:6" x14ac:dyDescent="0.2">
      <c r="A1304">
        <v>435</v>
      </c>
      <c r="B1304" s="37" t="s">
        <v>832</v>
      </c>
      <c r="C1304" s="1">
        <v>45417</v>
      </c>
      <c r="D1304" s="37" t="s">
        <v>832</v>
      </c>
      <c r="E1304">
        <v>0.33171577263838098</v>
      </c>
      <c r="F1304">
        <v>0.33171577263838098</v>
      </c>
    </row>
    <row r="1305" spans="1:6" x14ac:dyDescent="0.2">
      <c r="A1305">
        <v>435</v>
      </c>
      <c r="B1305" s="37" t="s">
        <v>833</v>
      </c>
      <c r="C1305" s="1">
        <v>45416</v>
      </c>
      <c r="D1305" s="37" t="s">
        <v>833</v>
      </c>
      <c r="E1305">
        <v>0.17378923490122</v>
      </c>
      <c r="F1305">
        <v>0.17378923490122</v>
      </c>
    </row>
    <row r="1306" spans="1:6" x14ac:dyDescent="0.2">
      <c r="A1306">
        <v>436</v>
      </c>
      <c r="B1306" s="37" t="s">
        <v>1472</v>
      </c>
      <c r="C1306" s="1">
        <v>45468</v>
      </c>
      <c r="D1306" s="37" t="s">
        <v>1472</v>
      </c>
      <c r="E1306">
        <v>5.9824628000805603E-2</v>
      </c>
      <c r="F1306">
        <v>5.9824628000805603E-2</v>
      </c>
    </row>
    <row r="1307" spans="1:6" x14ac:dyDescent="0.2">
      <c r="A1307">
        <v>436</v>
      </c>
      <c r="B1307" s="37" t="s">
        <v>518</v>
      </c>
      <c r="C1307" s="1">
        <v>45592</v>
      </c>
      <c r="D1307" s="37" t="s">
        <v>518</v>
      </c>
      <c r="E1307">
        <v>0.383172782335363</v>
      </c>
      <c r="F1307">
        <v>0.383172782335363</v>
      </c>
    </row>
    <row r="1308" spans="1:6" x14ac:dyDescent="0.2">
      <c r="A1308">
        <v>436</v>
      </c>
      <c r="B1308" s="37" t="s">
        <v>519</v>
      </c>
      <c r="C1308" s="1">
        <v>45616</v>
      </c>
      <c r="D1308" s="37" t="s">
        <v>519</v>
      </c>
      <c r="E1308">
        <v>0.21569732343519499</v>
      </c>
      <c r="F1308">
        <v>0.21569732343519499</v>
      </c>
    </row>
    <row r="1309" spans="1:6" x14ac:dyDescent="0.2">
      <c r="A1309">
        <v>437</v>
      </c>
      <c r="B1309" s="37" t="s">
        <v>1473</v>
      </c>
      <c r="C1309" s="1">
        <v>45636</v>
      </c>
      <c r="D1309" s="37" t="s">
        <v>1473</v>
      </c>
      <c r="E1309">
        <v>0.10616635118008901</v>
      </c>
      <c r="F1309">
        <v>0.10616635118008901</v>
      </c>
    </row>
    <row r="1310" spans="1:6" x14ac:dyDescent="0.2">
      <c r="A1310">
        <v>438</v>
      </c>
      <c r="B1310" s="37" t="s">
        <v>1474</v>
      </c>
      <c r="C1310" s="1">
        <v>45484</v>
      </c>
      <c r="D1310" s="37" t="s">
        <v>1474</v>
      </c>
      <c r="E1310">
        <v>0.19563405912350301</v>
      </c>
      <c r="F1310">
        <v>0.19563405912350301</v>
      </c>
    </row>
    <row r="1311" spans="1:6" x14ac:dyDescent="0.2">
      <c r="A1311">
        <v>438</v>
      </c>
      <c r="B1311" s="37" t="s">
        <v>1475</v>
      </c>
      <c r="C1311" s="1">
        <v>45299</v>
      </c>
      <c r="D1311" s="37" t="s">
        <v>1475</v>
      </c>
      <c r="E1311">
        <v>0.16013462324704</v>
      </c>
      <c r="F1311">
        <v>0.16013462324704</v>
      </c>
    </row>
    <row r="1312" spans="1:6" x14ac:dyDescent="0.2">
      <c r="A1312">
        <v>438</v>
      </c>
      <c r="B1312" s="37" t="s">
        <v>1476</v>
      </c>
      <c r="C1312" s="1">
        <v>45355</v>
      </c>
      <c r="D1312" s="37" t="s">
        <v>1476</v>
      </c>
      <c r="E1312">
        <v>0.14794472917722801</v>
      </c>
      <c r="F1312">
        <v>0.14794472917722801</v>
      </c>
    </row>
    <row r="1313" spans="1:6" x14ac:dyDescent="0.2">
      <c r="A1313">
        <v>439</v>
      </c>
      <c r="B1313" s="37" t="s">
        <v>1477</v>
      </c>
      <c r="C1313" s="1">
        <v>45367</v>
      </c>
      <c r="D1313" s="37" t="s">
        <v>1477</v>
      </c>
      <c r="E1313">
        <v>8.7804090870221702E-2</v>
      </c>
      <c r="F1313">
        <v>8.7804090870221702E-2</v>
      </c>
    </row>
    <row r="1314" spans="1:6" x14ac:dyDescent="0.2">
      <c r="A1314">
        <v>440</v>
      </c>
      <c r="B1314" s="37" t="s">
        <v>1478</v>
      </c>
      <c r="C1314" s="1">
        <v>45433</v>
      </c>
      <c r="D1314" s="37" t="s">
        <v>1478</v>
      </c>
      <c r="E1314">
        <v>0.152580404440535</v>
      </c>
      <c r="F1314">
        <v>0.152580404440535</v>
      </c>
    </row>
    <row r="1315" spans="1:6" x14ac:dyDescent="0.2">
      <c r="A1315">
        <v>441</v>
      </c>
      <c r="B1315" s="37" t="s">
        <v>1479</v>
      </c>
      <c r="C1315" s="1">
        <v>45392</v>
      </c>
      <c r="D1315" s="37" t="s">
        <v>1479</v>
      </c>
      <c r="E1315">
        <v>0.123330302191064</v>
      </c>
      <c r="F1315">
        <v>0.123330302191064</v>
      </c>
    </row>
    <row r="1316" spans="1:6" x14ac:dyDescent="0.2">
      <c r="A1316">
        <v>441</v>
      </c>
      <c r="B1316" s="37" t="s">
        <v>1480</v>
      </c>
      <c r="C1316" s="1">
        <v>45493</v>
      </c>
      <c r="D1316" s="37" t="s">
        <v>1480</v>
      </c>
      <c r="E1316">
        <v>0.21533462675051501</v>
      </c>
      <c r="F1316">
        <v>0.21533462675051501</v>
      </c>
    </row>
    <row r="1317" spans="1:6" x14ac:dyDescent="0.2">
      <c r="A1317">
        <v>442</v>
      </c>
      <c r="B1317" s="37" t="s">
        <v>520</v>
      </c>
      <c r="C1317" s="1">
        <v>45502</v>
      </c>
      <c r="D1317" s="37" t="s">
        <v>520</v>
      </c>
      <c r="E1317">
        <v>0.17433432275799399</v>
      </c>
      <c r="F1317">
        <v>0.17433432275799399</v>
      </c>
    </row>
    <row r="1318" spans="1:6" x14ac:dyDescent="0.2">
      <c r="A1318">
        <v>442</v>
      </c>
      <c r="B1318" s="37" t="s">
        <v>1481</v>
      </c>
      <c r="C1318" s="1">
        <v>45327</v>
      </c>
      <c r="D1318" s="37" t="s">
        <v>1481</v>
      </c>
      <c r="E1318">
        <v>0.109990977825974</v>
      </c>
      <c r="F1318">
        <v>0.109990977825974</v>
      </c>
    </row>
    <row r="1319" spans="1:6" x14ac:dyDescent="0.2">
      <c r="A1319">
        <v>442</v>
      </c>
      <c r="B1319" s="37" t="s">
        <v>521</v>
      </c>
      <c r="C1319" s="1">
        <v>45643</v>
      </c>
      <c r="D1319" s="37" t="s">
        <v>521</v>
      </c>
      <c r="E1319">
        <v>0.30530282532825997</v>
      </c>
      <c r="F1319">
        <v>0.30530282532825997</v>
      </c>
    </row>
    <row r="1320" spans="1:6" x14ac:dyDescent="0.2">
      <c r="A1320">
        <v>443</v>
      </c>
      <c r="B1320" s="37" t="s">
        <v>834</v>
      </c>
      <c r="C1320" s="1">
        <v>45311</v>
      </c>
      <c r="D1320" s="37" t="s">
        <v>834</v>
      </c>
      <c r="E1320">
        <v>2.2665194901780199E-2</v>
      </c>
      <c r="F1320">
        <v>2.2665194901780199E-2</v>
      </c>
    </row>
    <row r="1321" spans="1:6" x14ac:dyDescent="0.2">
      <c r="A1321">
        <v>443</v>
      </c>
      <c r="B1321" s="37" t="s">
        <v>835</v>
      </c>
      <c r="C1321" s="1">
        <v>45585</v>
      </c>
      <c r="D1321" s="37" t="s">
        <v>835</v>
      </c>
      <c r="E1321">
        <v>0.25344682510300398</v>
      </c>
      <c r="F1321">
        <v>0.25344682510300398</v>
      </c>
    </row>
    <row r="1322" spans="1:6" x14ac:dyDescent="0.2">
      <c r="A1322">
        <v>443</v>
      </c>
      <c r="B1322" s="37" t="s">
        <v>836</v>
      </c>
      <c r="C1322" s="1">
        <v>45541</v>
      </c>
      <c r="D1322" s="37" t="s">
        <v>836</v>
      </c>
      <c r="E1322">
        <v>0.11882543618960301</v>
      </c>
      <c r="F1322">
        <v>0.11882543618960301</v>
      </c>
    </row>
    <row r="1323" spans="1:6" x14ac:dyDescent="0.2">
      <c r="A1323">
        <v>443</v>
      </c>
      <c r="B1323" s="37" t="s">
        <v>837</v>
      </c>
      <c r="C1323" s="1">
        <v>45597</v>
      </c>
      <c r="D1323" s="37" t="s">
        <v>837</v>
      </c>
      <c r="E1323">
        <v>0.15877130830654501</v>
      </c>
      <c r="F1323">
        <v>0.15877130830654501</v>
      </c>
    </row>
    <row r="1324" spans="1:6" x14ac:dyDescent="0.2">
      <c r="A1324">
        <v>444</v>
      </c>
      <c r="B1324" s="37" t="s">
        <v>838</v>
      </c>
      <c r="C1324" s="1">
        <v>45429</v>
      </c>
      <c r="D1324" s="37" t="s">
        <v>838</v>
      </c>
      <c r="E1324">
        <v>0.25758210097763401</v>
      </c>
      <c r="F1324">
        <v>0.25758210097763401</v>
      </c>
    </row>
    <row r="1325" spans="1:6" x14ac:dyDescent="0.2">
      <c r="A1325">
        <v>445</v>
      </c>
      <c r="B1325" s="37" t="s">
        <v>1482</v>
      </c>
      <c r="C1325" s="1">
        <v>45655</v>
      </c>
      <c r="D1325" s="37" t="s">
        <v>1482</v>
      </c>
      <c r="E1325">
        <v>8.7616002157133305E-2</v>
      </c>
      <c r="F1325">
        <v>8.7616002157133305E-2</v>
      </c>
    </row>
    <row r="1326" spans="1:6" x14ac:dyDescent="0.2">
      <c r="A1326">
        <v>445</v>
      </c>
      <c r="B1326" s="37" t="s">
        <v>1483</v>
      </c>
      <c r="C1326" s="1">
        <v>45475</v>
      </c>
      <c r="D1326" s="37" t="s">
        <v>1483</v>
      </c>
      <c r="E1326">
        <v>0.11637926190515201</v>
      </c>
      <c r="F1326">
        <v>0.11637926190515201</v>
      </c>
    </row>
    <row r="1327" spans="1:6" x14ac:dyDescent="0.2">
      <c r="A1327">
        <v>445</v>
      </c>
      <c r="B1327" s="37" t="s">
        <v>522</v>
      </c>
      <c r="C1327" s="1">
        <v>45415</v>
      </c>
      <c r="D1327" s="37" t="s">
        <v>522</v>
      </c>
      <c r="E1327">
        <v>5.9801977333454701E-2</v>
      </c>
      <c r="F1327">
        <v>5.9801977333454701E-2</v>
      </c>
    </row>
    <row r="1328" spans="1:6" x14ac:dyDescent="0.2">
      <c r="A1328">
        <v>445</v>
      </c>
      <c r="B1328" s="37" t="s">
        <v>839</v>
      </c>
      <c r="C1328" s="1">
        <v>45499</v>
      </c>
      <c r="D1328" s="37" t="s">
        <v>839</v>
      </c>
      <c r="E1328">
        <v>0.28595175683875501</v>
      </c>
      <c r="F1328">
        <v>0.28595175683875501</v>
      </c>
    </row>
    <row r="1329" spans="1:6" x14ac:dyDescent="0.2">
      <c r="A1329">
        <v>445</v>
      </c>
      <c r="B1329" s="37" t="s">
        <v>840</v>
      </c>
      <c r="C1329" s="1">
        <v>45388</v>
      </c>
      <c r="D1329" s="37" t="s">
        <v>840</v>
      </c>
      <c r="E1329">
        <v>0.18202598480931301</v>
      </c>
      <c r="F1329">
        <v>0.18202598480931301</v>
      </c>
    </row>
    <row r="1330" spans="1:6" x14ac:dyDescent="0.2">
      <c r="A1330">
        <v>446</v>
      </c>
      <c r="B1330" s="37" t="s">
        <v>523</v>
      </c>
      <c r="C1330" s="1">
        <v>45518</v>
      </c>
      <c r="D1330" s="37" t="s">
        <v>523</v>
      </c>
      <c r="E1330">
        <v>0.205537144415426</v>
      </c>
      <c r="F1330">
        <v>0.205537144415426</v>
      </c>
    </row>
    <row r="1331" spans="1:6" x14ac:dyDescent="0.2">
      <c r="A1331">
        <v>446</v>
      </c>
      <c r="B1331" s="37" t="s">
        <v>524</v>
      </c>
      <c r="C1331" s="1">
        <v>45359</v>
      </c>
      <c r="D1331" s="37" t="s">
        <v>524</v>
      </c>
      <c r="E1331">
        <v>0.35239761170497802</v>
      </c>
      <c r="F1331">
        <v>0.35239761170497802</v>
      </c>
    </row>
    <row r="1332" spans="1:6" x14ac:dyDescent="0.2">
      <c r="A1332">
        <v>446</v>
      </c>
      <c r="B1332" s="37" t="s">
        <v>1484</v>
      </c>
      <c r="C1332" s="1">
        <v>45338</v>
      </c>
      <c r="D1332" s="37" t="s">
        <v>1484</v>
      </c>
      <c r="E1332">
        <v>0.45075570035727802</v>
      </c>
      <c r="F1332">
        <v>0.45075570035727802</v>
      </c>
    </row>
    <row r="1333" spans="1:6" x14ac:dyDescent="0.2">
      <c r="A1333">
        <v>446</v>
      </c>
      <c r="B1333" s="37" t="s">
        <v>1485</v>
      </c>
      <c r="C1333" s="1">
        <v>45560</v>
      </c>
      <c r="D1333" s="37" t="s">
        <v>1485</v>
      </c>
      <c r="E1333">
        <v>3.9822983745640902E-2</v>
      </c>
      <c r="F1333">
        <v>3.9822983745640902E-2</v>
      </c>
    </row>
    <row r="1334" spans="1:6" x14ac:dyDescent="0.2">
      <c r="A1334">
        <v>447</v>
      </c>
      <c r="B1334" s="37" t="s">
        <v>525</v>
      </c>
      <c r="C1334" s="1">
        <v>45326</v>
      </c>
      <c r="D1334" s="37" t="s">
        <v>525</v>
      </c>
      <c r="E1334">
        <v>0.23934877585936101</v>
      </c>
      <c r="F1334">
        <v>0.23934877585936101</v>
      </c>
    </row>
    <row r="1335" spans="1:6" x14ac:dyDescent="0.2">
      <c r="A1335">
        <v>447</v>
      </c>
      <c r="B1335" s="37" t="s">
        <v>526</v>
      </c>
      <c r="C1335" s="1">
        <v>45582</v>
      </c>
      <c r="D1335" s="37" t="s">
        <v>526</v>
      </c>
      <c r="E1335">
        <v>6.6166576760666507E-2</v>
      </c>
      <c r="F1335">
        <v>6.6166576760666507E-2</v>
      </c>
    </row>
    <row r="1336" spans="1:6" x14ac:dyDescent="0.2">
      <c r="A1336">
        <v>447</v>
      </c>
      <c r="B1336" s="37" t="s">
        <v>1486</v>
      </c>
      <c r="C1336" s="1">
        <v>45292</v>
      </c>
      <c r="D1336" s="37" t="s">
        <v>1486</v>
      </c>
      <c r="E1336">
        <v>0.24517127912739001</v>
      </c>
      <c r="F1336">
        <v>0.24517127912739001</v>
      </c>
    </row>
    <row r="1337" spans="1:6" x14ac:dyDescent="0.2">
      <c r="A1337">
        <v>447</v>
      </c>
      <c r="B1337" s="37" t="s">
        <v>1487</v>
      </c>
      <c r="C1337" s="1">
        <v>45309</v>
      </c>
      <c r="D1337" s="37" t="s">
        <v>1487</v>
      </c>
      <c r="E1337">
        <v>0.25531106725200198</v>
      </c>
      <c r="F1337">
        <v>0.25531106725200198</v>
      </c>
    </row>
    <row r="1338" spans="1:6" x14ac:dyDescent="0.2">
      <c r="A1338">
        <v>448</v>
      </c>
      <c r="B1338" s="37" t="s">
        <v>1488</v>
      </c>
      <c r="C1338" s="1">
        <v>45626</v>
      </c>
      <c r="D1338" s="37" t="s">
        <v>1488</v>
      </c>
      <c r="E1338">
        <v>0.22546907891228901</v>
      </c>
      <c r="F1338">
        <v>0.22546907891228901</v>
      </c>
    </row>
    <row r="1339" spans="1:6" x14ac:dyDescent="0.2">
      <c r="A1339">
        <v>449</v>
      </c>
      <c r="B1339" s="37" t="s">
        <v>841</v>
      </c>
      <c r="C1339" s="1">
        <v>45628</v>
      </c>
      <c r="D1339" s="37" t="s">
        <v>841</v>
      </c>
      <c r="E1339">
        <v>0.28309744495804501</v>
      </c>
      <c r="F1339">
        <v>0.28309744495804501</v>
      </c>
    </row>
    <row r="1340" spans="1:6" x14ac:dyDescent="0.2">
      <c r="A1340">
        <v>449</v>
      </c>
      <c r="B1340" s="37" t="s">
        <v>842</v>
      </c>
      <c r="C1340" s="1">
        <v>45449</v>
      </c>
      <c r="D1340" s="37" t="s">
        <v>842</v>
      </c>
      <c r="E1340">
        <v>0.24954347686804099</v>
      </c>
      <c r="F1340">
        <v>0.24954347686804099</v>
      </c>
    </row>
    <row r="1341" spans="1:6" x14ac:dyDescent="0.2">
      <c r="A1341">
        <v>450</v>
      </c>
      <c r="B1341" s="37" t="s">
        <v>527</v>
      </c>
      <c r="C1341" s="1">
        <v>45579</v>
      </c>
      <c r="D1341" s="37" t="s">
        <v>527</v>
      </c>
      <c r="E1341">
        <v>0.31620988054872601</v>
      </c>
      <c r="F1341">
        <v>0.31620988054872601</v>
      </c>
    </row>
    <row r="1342" spans="1:6" x14ac:dyDescent="0.2">
      <c r="A1342">
        <v>450</v>
      </c>
      <c r="B1342" s="37" t="s">
        <v>528</v>
      </c>
      <c r="C1342" s="1">
        <v>45597</v>
      </c>
      <c r="D1342" s="37" t="s">
        <v>528</v>
      </c>
      <c r="E1342">
        <v>0.22482409576343901</v>
      </c>
      <c r="F1342">
        <v>0.22482409576343901</v>
      </c>
    </row>
    <row r="1343" spans="1:6" x14ac:dyDescent="0.2">
      <c r="A1343">
        <v>450</v>
      </c>
      <c r="B1343" s="37" t="s">
        <v>529</v>
      </c>
      <c r="C1343" s="1">
        <v>45476</v>
      </c>
      <c r="D1343" s="37" t="s">
        <v>529</v>
      </c>
      <c r="E1343">
        <v>0.131846820374556</v>
      </c>
      <c r="F1343">
        <v>0.131846820374556</v>
      </c>
    </row>
    <row r="1344" spans="1:6" x14ac:dyDescent="0.2">
      <c r="A1344">
        <v>450</v>
      </c>
      <c r="B1344" s="37" t="s">
        <v>530</v>
      </c>
      <c r="C1344" s="1">
        <v>45431</v>
      </c>
      <c r="D1344" s="37" t="s">
        <v>530</v>
      </c>
      <c r="E1344">
        <v>0.15626719672372899</v>
      </c>
      <c r="F1344">
        <v>0.15626719672372899</v>
      </c>
    </row>
    <row r="1345" spans="1:6" x14ac:dyDescent="0.2">
      <c r="A1345">
        <v>451</v>
      </c>
      <c r="B1345" s="37" t="s">
        <v>1489</v>
      </c>
      <c r="C1345" s="1">
        <v>45626</v>
      </c>
      <c r="D1345" s="37" t="s">
        <v>1489</v>
      </c>
      <c r="E1345">
        <v>0.12687813832710301</v>
      </c>
      <c r="F1345">
        <v>0.12687813832710301</v>
      </c>
    </row>
    <row r="1346" spans="1:6" x14ac:dyDescent="0.2">
      <c r="A1346">
        <v>451</v>
      </c>
      <c r="B1346" s="37" t="s">
        <v>1490</v>
      </c>
      <c r="C1346" s="1">
        <v>45336</v>
      </c>
      <c r="D1346" s="37" t="s">
        <v>1490</v>
      </c>
      <c r="E1346">
        <v>0.11211413142802901</v>
      </c>
      <c r="F1346">
        <v>0.11211413142802901</v>
      </c>
    </row>
    <row r="1347" spans="1:6" x14ac:dyDescent="0.2">
      <c r="A1347">
        <v>451</v>
      </c>
      <c r="B1347" s="37" t="s">
        <v>1491</v>
      </c>
      <c r="C1347" s="1">
        <v>45568</v>
      </c>
      <c r="D1347" s="37" t="s">
        <v>1491</v>
      </c>
      <c r="E1347">
        <v>0.19671141035336001</v>
      </c>
      <c r="F1347">
        <v>0.19671141035336001</v>
      </c>
    </row>
    <row r="1348" spans="1:6" x14ac:dyDescent="0.2">
      <c r="A1348">
        <v>452</v>
      </c>
      <c r="B1348" s="37" t="s">
        <v>1492</v>
      </c>
      <c r="C1348" s="1">
        <v>45654</v>
      </c>
      <c r="D1348" s="37" t="s">
        <v>1492</v>
      </c>
      <c r="E1348">
        <v>1.63361594240128E-2</v>
      </c>
      <c r="F1348">
        <v>1.63361594240128E-2</v>
      </c>
    </row>
    <row r="1349" spans="1:6" x14ac:dyDescent="0.2">
      <c r="A1349">
        <v>452</v>
      </c>
      <c r="B1349" s="37" t="s">
        <v>1493</v>
      </c>
      <c r="C1349" s="1">
        <v>45449</v>
      </c>
      <c r="D1349" s="37" t="s">
        <v>1493</v>
      </c>
      <c r="E1349">
        <v>0.303331398198256</v>
      </c>
      <c r="F1349">
        <v>0.303331398198256</v>
      </c>
    </row>
    <row r="1350" spans="1:6" x14ac:dyDescent="0.2">
      <c r="A1350">
        <v>453</v>
      </c>
      <c r="B1350" s="37" t="s">
        <v>531</v>
      </c>
      <c r="C1350" s="1">
        <v>45487</v>
      </c>
      <c r="D1350" s="37" t="s">
        <v>531</v>
      </c>
      <c r="E1350">
        <v>6.7194311884698696E-2</v>
      </c>
      <c r="F1350">
        <v>6.7194311884698696E-2</v>
      </c>
    </row>
    <row r="1351" spans="1:6" x14ac:dyDescent="0.2">
      <c r="A1351">
        <v>453</v>
      </c>
      <c r="B1351" s="37" t="s">
        <v>843</v>
      </c>
      <c r="C1351" s="1">
        <v>45335</v>
      </c>
      <c r="D1351" s="37" t="s">
        <v>843</v>
      </c>
      <c r="E1351">
        <v>0.14731583627266201</v>
      </c>
      <c r="F1351">
        <v>0.14731583627266201</v>
      </c>
    </row>
    <row r="1352" spans="1:6" x14ac:dyDescent="0.2">
      <c r="A1352">
        <v>454</v>
      </c>
      <c r="B1352" s="37" t="s">
        <v>532</v>
      </c>
      <c r="C1352" s="1">
        <v>45615</v>
      </c>
      <c r="D1352" s="37" t="s">
        <v>532</v>
      </c>
      <c r="E1352">
        <v>0.60146067688030902</v>
      </c>
      <c r="F1352">
        <v>0.60146067688030902</v>
      </c>
    </row>
    <row r="1353" spans="1:6" x14ac:dyDescent="0.2">
      <c r="A1353">
        <v>455</v>
      </c>
      <c r="B1353" s="37" t="s">
        <v>844</v>
      </c>
      <c r="C1353" s="1">
        <v>45603</v>
      </c>
      <c r="D1353" s="37" t="s">
        <v>844</v>
      </c>
      <c r="E1353">
        <v>5.3852200424993703E-2</v>
      </c>
      <c r="F1353">
        <v>5.3852200424993703E-2</v>
      </c>
    </row>
    <row r="1354" spans="1:6" x14ac:dyDescent="0.2">
      <c r="A1354">
        <v>455</v>
      </c>
      <c r="B1354" s="37" t="s">
        <v>533</v>
      </c>
      <c r="C1354" s="1">
        <v>45635</v>
      </c>
      <c r="D1354" s="37" t="s">
        <v>533</v>
      </c>
      <c r="E1354">
        <v>0.34266414405009299</v>
      </c>
      <c r="F1354">
        <v>0.34266414405009299</v>
      </c>
    </row>
    <row r="1355" spans="1:6" x14ac:dyDescent="0.2">
      <c r="A1355">
        <v>456</v>
      </c>
      <c r="B1355" s="37" t="s">
        <v>1494</v>
      </c>
      <c r="C1355" s="1">
        <v>45630</v>
      </c>
      <c r="D1355" s="37" t="s">
        <v>1494</v>
      </c>
      <c r="E1355">
        <v>0.169425511716433</v>
      </c>
      <c r="F1355">
        <v>0.169425511716433</v>
      </c>
    </row>
    <row r="1356" spans="1:6" x14ac:dyDescent="0.2">
      <c r="A1356">
        <v>456</v>
      </c>
      <c r="B1356" s="37" t="s">
        <v>1495</v>
      </c>
      <c r="C1356" s="1">
        <v>45346</v>
      </c>
      <c r="D1356" s="37" t="s">
        <v>1495</v>
      </c>
      <c r="E1356">
        <v>0.105103742106343</v>
      </c>
      <c r="F1356">
        <v>0.105103742106343</v>
      </c>
    </row>
    <row r="1357" spans="1:6" x14ac:dyDescent="0.2">
      <c r="A1357">
        <v>456</v>
      </c>
      <c r="B1357" s="37" t="s">
        <v>534</v>
      </c>
      <c r="C1357" s="1">
        <v>45428</v>
      </c>
      <c r="D1357" s="37" t="s">
        <v>534</v>
      </c>
      <c r="E1357">
        <v>9.7137018608917006E-2</v>
      </c>
      <c r="F1357">
        <v>9.7137018608917006E-2</v>
      </c>
    </row>
    <row r="1358" spans="1:6" x14ac:dyDescent="0.2">
      <c r="A1358">
        <v>456</v>
      </c>
      <c r="B1358" s="37" t="s">
        <v>535</v>
      </c>
      <c r="C1358" s="1">
        <v>45548</v>
      </c>
      <c r="D1358" s="37" t="s">
        <v>535</v>
      </c>
      <c r="E1358">
        <v>0.18572854208805101</v>
      </c>
      <c r="F1358">
        <v>0.18572854208805101</v>
      </c>
    </row>
    <row r="1359" spans="1:6" x14ac:dyDescent="0.2">
      <c r="A1359">
        <v>456</v>
      </c>
      <c r="B1359" s="37" t="s">
        <v>536</v>
      </c>
      <c r="C1359" s="1">
        <v>45340</v>
      </c>
      <c r="D1359" s="37" t="s">
        <v>536</v>
      </c>
      <c r="E1359">
        <v>0.169608700505158</v>
      </c>
      <c r="F1359">
        <v>0.169608700505158</v>
      </c>
    </row>
    <row r="1360" spans="1:6" x14ac:dyDescent="0.2">
      <c r="A1360">
        <v>457</v>
      </c>
      <c r="B1360" s="37" t="s">
        <v>845</v>
      </c>
      <c r="C1360" s="1">
        <v>45314</v>
      </c>
      <c r="D1360" s="37" t="s">
        <v>845</v>
      </c>
      <c r="E1360">
        <v>0.286540606001358</v>
      </c>
      <c r="F1360">
        <v>0.286540606001358</v>
      </c>
    </row>
    <row r="1361" spans="1:6" x14ac:dyDescent="0.2">
      <c r="A1361">
        <v>457</v>
      </c>
      <c r="B1361" s="37" t="s">
        <v>846</v>
      </c>
      <c r="C1361" s="1">
        <v>45631</v>
      </c>
      <c r="D1361" s="37" t="s">
        <v>846</v>
      </c>
      <c r="E1361">
        <v>6.8395512369287204E-2</v>
      </c>
      <c r="F1361">
        <v>6.8395512369287204E-2</v>
      </c>
    </row>
    <row r="1362" spans="1:6" x14ac:dyDescent="0.2">
      <c r="A1362">
        <v>457</v>
      </c>
      <c r="B1362" s="37" t="s">
        <v>537</v>
      </c>
      <c r="C1362" s="1">
        <v>45520</v>
      </c>
      <c r="D1362" s="37" t="s">
        <v>537</v>
      </c>
      <c r="E1362">
        <v>5.5330963586485801E-2</v>
      </c>
      <c r="F1362">
        <v>5.5330963586485801E-2</v>
      </c>
    </row>
    <row r="1363" spans="1:6" x14ac:dyDescent="0.2">
      <c r="A1363">
        <v>457</v>
      </c>
      <c r="B1363" s="37" t="s">
        <v>538</v>
      </c>
      <c r="C1363" s="1">
        <v>45525</v>
      </c>
      <c r="D1363" s="37" t="s">
        <v>538</v>
      </c>
      <c r="E1363">
        <v>2.41579035334962E-2</v>
      </c>
      <c r="F1363">
        <v>2.41579035334962E-2</v>
      </c>
    </row>
    <row r="1364" spans="1:6" x14ac:dyDescent="0.2">
      <c r="A1364">
        <v>458</v>
      </c>
      <c r="B1364" s="37" t="s">
        <v>1496</v>
      </c>
      <c r="C1364" s="1">
        <v>45310</v>
      </c>
      <c r="D1364" s="37" t="s">
        <v>1496</v>
      </c>
      <c r="E1364">
        <v>0.42036446759995399</v>
      </c>
      <c r="F1364">
        <v>0.42036446759995399</v>
      </c>
    </row>
    <row r="1365" spans="1:6" x14ac:dyDescent="0.2">
      <c r="A1365">
        <v>458</v>
      </c>
      <c r="B1365" s="37" t="s">
        <v>847</v>
      </c>
      <c r="C1365" s="1">
        <v>45593</v>
      </c>
      <c r="D1365" s="37" t="s">
        <v>847</v>
      </c>
      <c r="E1365">
        <v>5.2106766583177401E-2</v>
      </c>
      <c r="F1365">
        <v>5.2106766583177401E-2</v>
      </c>
    </row>
    <row r="1366" spans="1:6" x14ac:dyDescent="0.2">
      <c r="A1366">
        <v>458</v>
      </c>
      <c r="B1366" s="37" t="s">
        <v>848</v>
      </c>
      <c r="C1366" s="1">
        <v>45546</v>
      </c>
      <c r="D1366" s="37" t="s">
        <v>848</v>
      </c>
      <c r="E1366">
        <v>0.114748672153881</v>
      </c>
      <c r="F1366">
        <v>0.114748672153881</v>
      </c>
    </row>
    <row r="1367" spans="1:6" x14ac:dyDescent="0.2">
      <c r="A1367">
        <v>458</v>
      </c>
      <c r="B1367" s="37" t="s">
        <v>539</v>
      </c>
      <c r="C1367" s="1">
        <v>45350</v>
      </c>
      <c r="D1367" s="37" t="s">
        <v>539</v>
      </c>
      <c r="E1367">
        <v>5.0296651082861098E-2</v>
      </c>
      <c r="F1367">
        <v>5.0296651082861098E-2</v>
      </c>
    </row>
    <row r="1368" spans="1:6" x14ac:dyDescent="0.2">
      <c r="A1368">
        <v>459</v>
      </c>
      <c r="B1368" s="37" t="s">
        <v>1497</v>
      </c>
      <c r="C1368" s="1">
        <v>45471</v>
      </c>
      <c r="D1368" s="37" t="s">
        <v>1497</v>
      </c>
      <c r="E1368">
        <v>0.10024799393761701</v>
      </c>
      <c r="F1368">
        <v>0.10024799393761701</v>
      </c>
    </row>
    <row r="1369" spans="1:6" x14ac:dyDescent="0.2">
      <c r="A1369">
        <v>460</v>
      </c>
      <c r="B1369" s="37" t="s">
        <v>1498</v>
      </c>
      <c r="C1369" s="1">
        <v>45588</v>
      </c>
      <c r="D1369" s="37" t="s">
        <v>1498</v>
      </c>
      <c r="E1369">
        <v>0.208192834994674</v>
      </c>
      <c r="F1369">
        <v>0.208192834994674</v>
      </c>
    </row>
    <row r="1370" spans="1:6" x14ac:dyDescent="0.2">
      <c r="A1370">
        <v>461</v>
      </c>
      <c r="B1370" s="37" t="s">
        <v>540</v>
      </c>
      <c r="C1370" s="1">
        <v>45299</v>
      </c>
      <c r="D1370" s="37" t="s">
        <v>540</v>
      </c>
      <c r="E1370">
        <v>8.0851992280230406E-2</v>
      </c>
      <c r="F1370">
        <v>8.0851992280230406E-2</v>
      </c>
    </row>
    <row r="1371" spans="1:6" x14ac:dyDescent="0.2">
      <c r="A1371">
        <v>461</v>
      </c>
      <c r="B1371" s="37" t="s">
        <v>541</v>
      </c>
      <c r="C1371" s="1">
        <v>45430</v>
      </c>
      <c r="D1371" s="37" t="s">
        <v>541</v>
      </c>
      <c r="E1371">
        <v>0.17033020530377299</v>
      </c>
      <c r="F1371">
        <v>0.17033020530377299</v>
      </c>
    </row>
    <row r="1372" spans="1:6" x14ac:dyDescent="0.2">
      <c r="A1372">
        <v>461</v>
      </c>
      <c r="B1372" s="37" t="s">
        <v>542</v>
      </c>
      <c r="C1372" s="1">
        <v>45621</v>
      </c>
      <c r="D1372" s="37" t="s">
        <v>542</v>
      </c>
      <c r="E1372">
        <v>0.41004328175654597</v>
      </c>
      <c r="F1372">
        <v>0.41004328175654597</v>
      </c>
    </row>
    <row r="1373" spans="1:6" x14ac:dyDescent="0.2">
      <c r="A1373">
        <v>461</v>
      </c>
      <c r="B1373" s="37" t="s">
        <v>849</v>
      </c>
      <c r="C1373" s="1">
        <v>45546</v>
      </c>
      <c r="D1373" s="37" t="s">
        <v>849</v>
      </c>
      <c r="E1373">
        <v>0.100257488159891</v>
      </c>
      <c r="F1373">
        <v>0.100257488159891</v>
      </c>
    </row>
    <row r="1374" spans="1:6" x14ac:dyDescent="0.2">
      <c r="A1374">
        <v>461</v>
      </c>
      <c r="B1374" s="37" t="s">
        <v>850</v>
      </c>
      <c r="C1374" s="1">
        <v>45653</v>
      </c>
      <c r="D1374" s="37" t="s">
        <v>850</v>
      </c>
      <c r="E1374">
        <v>0.214436046269809</v>
      </c>
      <c r="F1374">
        <v>0.214436046269809</v>
      </c>
    </row>
    <row r="1375" spans="1:6" x14ac:dyDescent="0.2">
      <c r="A1375">
        <v>461</v>
      </c>
      <c r="B1375" s="37" t="s">
        <v>851</v>
      </c>
      <c r="C1375" s="1">
        <v>45472</v>
      </c>
      <c r="D1375" s="37" t="s">
        <v>851</v>
      </c>
      <c r="E1375">
        <v>0.245375964736508</v>
      </c>
      <c r="F1375">
        <v>0.245375964736508</v>
      </c>
    </row>
    <row r="1376" spans="1:6" x14ac:dyDescent="0.2">
      <c r="A1376">
        <v>461</v>
      </c>
      <c r="B1376" s="37" t="s">
        <v>852</v>
      </c>
      <c r="C1376" s="1">
        <v>45522</v>
      </c>
      <c r="D1376" s="37" t="s">
        <v>852</v>
      </c>
      <c r="E1376">
        <v>0.35440769277161299</v>
      </c>
      <c r="F1376">
        <v>0.35440769277161299</v>
      </c>
    </row>
    <row r="1377" spans="1:6" x14ac:dyDescent="0.2">
      <c r="A1377">
        <v>462</v>
      </c>
      <c r="B1377" s="37" t="s">
        <v>1499</v>
      </c>
      <c r="C1377" s="1">
        <v>45548</v>
      </c>
      <c r="D1377" s="37" t="s">
        <v>1499</v>
      </c>
      <c r="E1377">
        <v>0.23285982899098601</v>
      </c>
      <c r="F1377">
        <v>0.23285982899098601</v>
      </c>
    </row>
    <row r="1378" spans="1:6" x14ac:dyDescent="0.2">
      <c r="A1378">
        <v>462</v>
      </c>
      <c r="B1378" s="37" t="s">
        <v>1500</v>
      </c>
      <c r="C1378" s="1">
        <v>45512</v>
      </c>
      <c r="D1378" s="37" t="s">
        <v>1500</v>
      </c>
      <c r="E1378">
        <v>2.6778413666797E-2</v>
      </c>
      <c r="F1378">
        <v>2.6778413666797E-2</v>
      </c>
    </row>
    <row r="1379" spans="1:6" x14ac:dyDescent="0.2">
      <c r="A1379">
        <v>462</v>
      </c>
      <c r="B1379" s="37" t="s">
        <v>1501</v>
      </c>
      <c r="C1379" s="1">
        <v>45328</v>
      </c>
      <c r="D1379" s="37" t="s">
        <v>1501</v>
      </c>
      <c r="E1379">
        <v>0.39921874327416901</v>
      </c>
      <c r="F1379">
        <v>0.39921874327416901</v>
      </c>
    </row>
    <row r="1380" spans="1:6" x14ac:dyDescent="0.2">
      <c r="A1380">
        <v>463</v>
      </c>
      <c r="B1380" s="37" t="s">
        <v>1502</v>
      </c>
      <c r="C1380" s="1">
        <v>45486</v>
      </c>
      <c r="D1380" s="37" t="s">
        <v>1502</v>
      </c>
      <c r="E1380">
        <v>0.44102044490642001</v>
      </c>
      <c r="F1380">
        <v>0.44102044490642001</v>
      </c>
    </row>
    <row r="1381" spans="1:6" x14ac:dyDescent="0.2">
      <c r="A1381">
        <v>463</v>
      </c>
      <c r="B1381" s="37" t="s">
        <v>1503</v>
      </c>
      <c r="C1381" s="1">
        <v>45563</v>
      </c>
      <c r="D1381" s="37" t="s">
        <v>1503</v>
      </c>
      <c r="E1381">
        <v>0.114663662842554</v>
      </c>
      <c r="F1381">
        <v>0.114663662842554</v>
      </c>
    </row>
    <row r="1382" spans="1:6" x14ac:dyDescent="0.2">
      <c r="A1382">
        <v>463</v>
      </c>
      <c r="B1382" s="37" t="s">
        <v>1504</v>
      </c>
      <c r="C1382" s="1">
        <v>45579</v>
      </c>
      <c r="D1382" s="37" t="s">
        <v>1504</v>
      </c>
      <c r="E1382">
        <v>0.233563600951915</v>
      </c>
      <c r="F1382">
        <v>0.233563600951915</v>
      </c>
    </row>
    <row r="1383" spans="1:6" x14ac:dyDescent="0.2">
      <c r="A1383">
        <v>464</v>
      </c>
      <c r="B1383" s="37" t="s">
        <v>543</v>
      </c>
      <c r="C1383" s="1">
        <v>45642</v>
      </c>
      <c r="D1383" s="37" t="s">
        <v>543</v>
      </c>
      <c r="E1383">
        <v>0.19358354534125199</v>
      </c>
      <c r="F1383">
        <v>0.19358354534125199</v>
      </c>
    </row>
    <row r="1384" spans="1:6" x14ac:dyDescent="0.2">
      <c r="A1384">
        <v>465</v>
      </c>
      <c r="B1384" s="37" t="s">
        <v>1505</v>
      </c>
      <c r="C1384" s="1">
        <v>45344</v>
      </c>
      <c r="D1384" s="37" t="s">
        <v>1505</v>
      </c>
      <c r="E1384">
        <v>0.37899845476188698</v>
      </c>
      <c r="F1384">
        <v>0.37899845476188698</v>
      </c>
    </row>
    <row r="1385" spans="1:6" x14ac:dyDescent="0.2">
      <c r="A1385">
        <v>465</v>
      </c>
      <c r="B1385" s="37" t="s">
        <v>1506</v>
      </c>
      <c r="C1385" s="1">
        <v>45436</v>
      </c>
      <c r="D1385" s="37" t="s">
        <v>1506</v>
      </c>
      <c r="E1385">
        <v>0.13096421812362399</v>
      </c>
      <c r="F1385">
        <v>0.13096421812362399</v>
      </c>
    </row>
    <row r="1386" spans="1:6" x14ac:dyDescent="0.2">
      <c r="A1386">
        <v>465</v>
      </c>
      <c r="B1386" s="37" t="s">
        <v>544</v>
      </c>
      <c r="C1386" s="1">
        <v>45350</v>
      </c>
      <c r="D1386" s="37" t="s">
        <v>544</v>
      </c>
      <c r="E1386">
        <v>9.8553182807941397E-2</v>
      </c>
      <c r="F1386">
        <v>9.8553182807941397E-2</v>
      </c>
    </row>
    <row r="1387" spans="1:6" x14ac:dyDescent="0.2">
      <c r="A1387">
        <v>466</v>
      </c>
      <c r="B1387" s="37" t="s">
        <v>1507</v>
      </c>
      <c r="C1387" s="1">
        <v>45378</v>
      </c>
      <c r="D1387" s="37" t="s">
        <v>1507</v>
      </c>
      <c r="E1387">
        <v>0.317618680290225</v>
      </c>
      <c r="F1387">
        <v>0.317618680290225</v>
      </c>
    </row>
    <row r="1388" spans="1:6" x14ac:dyDescent="0.2">
      <c r="A1388">
        <v>466</v>
      </c>
      <c r="B1388" s="37" t="s">
        <v>1508</v>
      </c>
      <c r="C1388" s="1">
        <v>45550</v>
      </c>
      <c r="D1388" s="37" t="s">
        <v>1508</v>
      </c>
      <c r="E1388">
        <v>0.24494525248026899</v>
      </c>
      <c r="F1388">
        <v>0.24494525248026899</v>
      </c>
    </row>
    <row r="1389" spans="1:6" x14ac:dyDescent="0.2">
      <c r="A1389">
        <v>467</v>
      </c>
      <c r="B1389" s="37" t="s">
        <v>545</v>
      </c>
      <c r="C1389" s="1">
        <v>45411</v>
      </c>
      <c r="D1389" s="37" t="s">
        <v>545</v>
      </c>
      <c r="E1389">
        <v>5.17571502473399E-2</v>
      </c>
      <c r="F1389">
        <v>5.17571502473399E-2</v>
      </c>
    </row>
    <row r="1390" spans="1:6" x14ac:dyDescent="0.2">
      <c r="A1390">
        <v>467</v>
      </c>
      <c r="B1390" s="37" t="s">
        <v>1509</v>
      </c>
      <c r="C1390" s="1">
        <v>45437</v>
      </c>
      <c r="D1390" s="37" t="s">
        <v>1509</v>
      </c>
      <c r="E1390">
        <v>2.1162211301280001E-2</v>
      </c>
      <c r="F1390">
        <v>2.1162211301280001E-2</v>
      </c>
    </row>
    <row r="1391" spans="1:6" x14ac:dyDescent="0.2">
      <c r="A1391">
        <v>468</v>
      </c>
      <c r="B1391" s="37" t="s">
        <v>1510</v>
      </c>
      <c r="C1391" s="1">
        <v>45597</v>
      </c>
      <c r="D1391" s="37" t="s">
        <v>1510</v>
      </c>
      <c r="E1391">
        <v>0.69923447886096002</v>
      </c>
      <c r="F1391">
        <v>0.69923447886096002</v>
      </c>
    </row>
    <row r="1392" spans="1:6" x14ac:dyDescent="0.2">
      <c r="A1392">
        <v>468</v>
      </c>
      <c r="B1392" s="37" t="s">
        <v>1511</v>
      </c>
      <c r="C1392" s="1">
        <v>45650</v>
      </c>
      <c r="D1392" s="37" t="s">
        <v>1511</v>
      </c>
      <c r="E1392">
        <v>0.15013611433923599</v>
      </c>
      <c r="F1392">
        <v>0.15013611433923599</v>
      </c>
    </row>
    <row r="1393" spans="1:6" x14ac:dyDescent="0.2">
      <c r="A1393">
        <v>468</v>
      </c>
      <c r="B1393" s="37" t="s">
        <v>1512</v>
      </c>
      <c r="C1393" s="1">
        <v>45589</v>
      </c>
      <c r="D1393" s="37" t="s">
        <v>1512</v>
      </c>
      <c r="E1393">
        <v>6.2083464314499098E-2</v>
      </c>
      <c r="F1393">
        <v>6.2083464314499098E-2</v>
      </c>
    </row>
    <row r="1394" spans="1:6" x14ac:dyDescent="0.2">
      <c r="A1394">
        <v>468</v>
      </c>
      <c r="B1394" s="37" t="s">
        <v>1513</v>
      </c>
      <c r="C1394" s="1">
        <v>45521</v>
      </c>
      <c r="D1394" s="37" t="s">
        <v>1513</v>
      </c>
      <c r="E1394">
        <v>0.27975839627787502</v>
      </c>
      <c r="F1394">
        <v>0.27975839627787502</v>
      </c>
    </row>
    <row r="1395" spans="1:6" x14ac:dyDescent="0.2">
      <c r="A1395">
        <v>469</v>
      </c>
      <c r="B1395" s="37" t="s">
        <v>1514</v>
      </c>
      <c r="C1395" s="1">
        <v>45362</v>
      </c>
      <c r="D1395" s="37" t="s">
        <v>1514</v>
      </c>
      <c r="E1395">
        <v>8.8186184011874197E-2</v>
      </c>
      <c r="F1395">
        <v>8.8186184011874197E-2</v>
      </c>
    </row>
    <row r="1396" spans="1:6" x14ac:dyDescent="0.2">
      <c r="A1396">
        <v>469</v>
      </c>
      <c r="B1396" s="37" t="s">
        <v>1515</v>
      </c>
      <c r="C1396" s="1">
        <v>45321</v>
      </c>
      <c r="D1396" s="37" t="s">
        <v>1515</v>
      </c>
      <c r="E1396">
        <v>0.19957180582967499</v>
      </c>
      <c r="F1396">
        <v>0.19957180582967499</v>
      </c>
    </row>
    <row r="1397" spans="1:6" x14ac:dyDescent="0.2">
      <c r="A1397">
        <v>470</v>
      </c>
      <c r="B1397" s="37" t="s">
        <v>853</v>
      </c>
      <c r="C1397" s="1">
        <v>45419</v>
      </c>
      <c r="D1397" s="37" t="s">
        <v>853</v>
      </c>
      <c r="E1397">
        <v>0.111252103566853</v>
      </c>
      <c r="F1397">
        <v>0.111252103566853</v>
      </c>
    </row>
    <row r="1398" spans="1:6" x14ac:dyDescent="0.2">
      <c r="A1398">
        <v>470</v>
      </c>
      <c r="B1398" s="37" t="s">
        <v>1516</v>
      </c>
      <c r="C1398" s="1">
        <v>45639</v>
      </c>
      <c r="D1398" s="37" t="s">
        <v>1516</v>
      </c>
      <c r="E1398">
        <v>0.16563576532876301</v>
      </c>
      <c r="F1398">
        <v>0.16563576532876301</v>
      </c>
    </row>
    <row r="1399" spans="1:6" x14ac:dyDescent="0.2">
      <c r="A1399">
        <v>470</v>
      </c>
      <c r="B1399" s="37" t="s">
        <v>1517</v>
      </c>
      <c r="C1399" s="1">
        <v>45636</v>
      </c>
      <c r="D1399" s="37" t="s">
        <v>1517</v>
      </c>
      <c r="E1399">
        <v>0.15432451346803699</v>
      </c>
      <c r="F1399">
        <v>0.15432451346803699</v>
      </c>
    </row>
    <row r="1400" spans="1:6" x14ac:dyDescent="0.2">
      <c r="A1400">
        <v>470</v>
      </c>
      <c r="B1400" s="37" t="s">
        <v>1518</v>
      </c>
      <c r="C1400" s="1">
        <v>45398</v>
      </c>
      <c r="D1400" s="37" t="s">
        <v>1518</v>
      </c>
      <c r="E1400">
        <v>0.15314641418712599</v>
      </c>
      <c r="F1400">
        <v>0.15314641418712599</v>
      </c>
    </row>
    <row r="1401" spans="1:6" x14ac:dyDescent="0.2">
      <c r="A1401">
        <v>471</v>
      </c>
      <c r="B1401" s="37" t="s">
        <v>546</v>
      </c>
      <c r="C1401" s="1">
        <v>45328</v>
      </c>
      <c r="D1401" s="37" t="s">
        <v>546</v>
      </c>
      <c r="E1401">
        <v>6.7724001820806706E-2</v>
      </c>
      <c r="F1401">
        <v>6.7724001820806706E-2</v>
      </c>
    </row>
    <row r="1402" spans="1:6" x14ac:dyDescent="0.2">
      <c r="A1402">
        <v>472</v>
      </c>
      <c r="B1402" s="37" t="s">
        <v>1519</v>
      </c>
      <c r="C1402" s="1">
        <v>45469</v>
      </c>
      <c r="D1402" s="37" t="s">
        <v>1519</v>
      </c>
      <c r="E1402">
        <v>0.237007738015999</v>
      </c>
      <c r="F1402">
        <v>0.237007738015999</v>
      </c>
    </row>
    <row r="1403" spans="1:6" x14ac:dyDescent="0.2">
      <c r="A1403">
        <v>472</v>
      </c>
      <c r="B1403" s="37" t="s">
        <v>1520</v>
      </c>
      <c r="C1403" s="1">
        <v>45544</v>
      </c>
      <c r="D1403" s="37" t="s">
        <v>1520</v>
      </c>
      <c r="E1403">
        <v>6.26758188109523E-2</v>
      </c>
      <c r="F1403">
        <v>6.26758188109523E-2</v>
      </c>
    </row>
    <row r="1404" spans="1:6" x14ac:dyDescent="0.2">
      <c r="A1404">
        <v>472</v>
      </c>
      <c r="B1404" s="37" t="s">
        <v>1521</v>
      </c>
      <c r="C1404" s="1">
        <v>45583</v>
      </c>
      <c r="D1404" s="37" t="s">
        <v>1521</v>
      </c>
      <c r="E1404">
        <v>7.9974822825133102E-2</v>
      </c>
      <c r="F1404">
        <v>7.9974822825133102E-2</v>
      </c>
    </row>
    <row r="1405" spans="1:6" x14ac:dyDescent="0.2">
      <c r="A1405">
        <v>472</v>
      </c>
      <c r="B1405" s="37" t="s">
        <v>1522</v>
      </c>
      <c r="C1405" s="1">
        <v>45538</v>
      </c>
      <c r="D1405" s="37" t="s">
        <v>1522</v>
      </c>
      <c r="E1405">
        <v>0.13190111146394301</v>
      </c>
      <c r="F1405">
        <v>0.13190111146394301</v>
      </c>
    </row>
    <row r="1406" spans="1:6" x14ac:dyDescent="0.2">
      <c r="A1406">
        <v>472</v>
      </c>
      <c r="B1406" s="37" t="s">
        <v>854</v>
      </c>
      <c r="C1406" s="1">
        <v>45531</v>
      </c>
      <c r="D1406" s="37" t="s">
        <v>854</v>
      </c>
      <c r="E1406">
        <v>0.38055608989798601</v>
      </c>
      <c r="F1406">
        <v>0.38055608989798601</v>
      </c>
    </row>
    <row r="1407" spans="1:6" x14ac:dyDescent="0.2">
      <c r="A1407">
        <v>473</v>
      </c>
      <c r="B1407" s="37" t="s">
        <v>1523</v>
      </c>
      <c r="C1407" s="1">
        <v>45508</v>
      </c>
      <c r="D1407" s="37" t="s">
        <v>1523</v>
      </c>
      <c r="E1407">
        <v>0.12330644530927699</v>
      </c>
      <c r="F1407">
        <v>0.12330644530927699</v>
      </c>
    </row>
    <row r="1408" spans="1:6" x14ac:dyDescent="0.2">
      <c r="A1408">
        <v>473</v>
      </c>
      <c r="B1408" s="37" t="s">
        <v>1524</v>
      </c>
      <c r="C1408" s="1">
        <v>45334</v>
      </c>
      <c r="D1408" s="37" t="s">
        <v>1524</v>
      </c>
      <c r="E1408">
        <v>0.258698989527887</v>
      </c>
      <c r="F1408">
        <v>0.258698989527887</v>
      </c>
    </row>
    <row r="1409" spans="1:6" x14ac:dyDescent="0.2">
      <c r="A1409">
        <v>473</v>
      </c>
      <c r="B1409" s="37" t="s">
        <v>1525</v>
      </c>
      <c r="C1409" s="1">
        <v>45626</v>
      </c>
      <c r="D1409" s="37" t="s">
        <v>1525</v>
      </c>
      <c r="E1409">
        <v>0.116907958605523</v>
      </c>
      <c r="F1409">
        <v>0.116907958605523</v>
      </c>
    </row>
    <row r="1410" spans="1:6" x14ac:dyDescent="0.2">
      <c r="A1410">
        <v>474</v>
      </c>
      <c r="B1410" s="37" t="s">
        <v>1526</v>
      </c>
      <c r="C1410" s="1">
        <v>45329</v>
      </c>
      <c r="D1410" s="37" t="s">
        <v>1526</v>
      </c>
      <c r="E1410">
        <v>0.32888277813245598</v>
      </c>
      <c r="F1410">
        <v>0.32888277813245598</v>
      </c>
    </row>
    <row r="1411" spans="1:6" x14ac:dyDescent="0.2">
      <c r="A1411">
        <v>474</v>
      </c>
      <c r="B1411" s="37" t="s">
        <v>855</v>
      </c>
      <c r="C1411" s="1">
        <v>45600</v>
      </c>
      <c r="D1411" s="37" t="s">
        <v>855</v>
      </c>
      <c r="E1411">
        <v>4.7910067760953599E-2</v>
      </c>
      <c r="F1411">
        <v>4.7910067760953599E-2</v>
      </c>
    </row>
    <row r="1412" spans="1:6" x14ac:dyDescent="0.2">
      <c r="A1412">
        <v>474</v>
      </c>
      <c r="B1412" s="37" t="s">
        <v>856</v>
      </c>
      <c r="C1412" s="1">
        <v>45392</v>
      </c>
      <c r="D1412" s="37" t="s">
        <v>856</v>
      </c>
      <c r="E1412">
        <v>0.13464156902635499</v>
      </c>
      <c r="F1412">
        <v>0.13464156902635499</v>
      </c>
    </row>
    <row r="1413" spans="1:6" x14ac:dyDescent="0.2">
      <c r="A1413">
        <v>474</v>
      </c>
      <c r="B1413" s="37" t="s">
        <v>547</v>
      </c>
      <c r="C1413" s="1">
        <v>45372</v>
      </c>
      <c r="D1413" s="37" t="s">
        <v>547</v>
      </c>
      <c r="E1413">
        <v>0.54101027884844799</v>
      </c>
      <c r="F1413">
        <v>0.54101027884844799</v>
      </c>
    </row>
    <row r="1414" spans="1:6" x14ac:dyDescent="0.2">
      <c r="A1414">
        <v>475</v>
      </c>
      <c r="B1414" s="37" t="s">
        <v>1527</v>
      </c>
      <c r="C1414" s="1">
        <v>45434</v>
      </c>
      <c r="D1414" s="37" t="s">
        <v>1527</v>
      </c>
      <c r="E1414">
        <v>0.25528629278794801</v>
      </c>
      <c r="F1414">
        <v>0.25528629278794801</v>
      </c>
    </row>
    <row r="1415" spans="1:6" x14ac:dyDescent="0.2">
      <c r="A1415">
        <v>475</v>
      </c>
      <c r="B1415" s="37" t="s">
        <v>548</v>
      </c>
      <c r="C1415" s="1">
        <v>45324</v>
      </c>
      <c r="D1415" s="37" t="s">
        <v>548</v>
      </c>
      <c r="E1415">
        <v>9.1805414419932792E-3</v>
      </c>
      <c r="F1415">
        <v>9.1805414419932792E-3</v>
      </c>
    </row>
    <row r="1416" spans="1:6" x14ac:dyDescent="0.2">
      <c r="A1416">
        <v>475</v>
      </c>
      <c r="B1416" s="37" t="s">
        <v>549</v>
      </c>
      <c r="C1416" s="1">
        <v>45548</v>
      </c>
      <c r="D1416" s="37" t="s">
        <v>549</v>
      </c>
      <c r="E1416">
        <v>0.15693751043136001</v>
      </c>
      <c r="F1416">
        <v>0.15693751043136001</v>
      </c>
    </row>
    <row r="1417" spans="1:6" x14ac:dyDescent="0.2">
      <c r="A1417">
        <v>475</v>
      </c>
      <c r="B1417" s="37" t="s">
        <v>1528</v>
      </c>
      <c r="C1417" s="1">
        <v>45642</v>
      </c>
      <c r="D1417" s="37" t="s">
        <v>1528</v>
      </c>
      <c r="E1417">
        <v>0.36774232199436002</v>
      </c>
      <c r="F1417">
        <v>0.36774232199436002</v>
      </c>
    </row>
    <row r="1418" spans="1:6" x14ac:dyDescent="0.2">
      <c r="A1418">
        <v>476</v>
      </c>
      <c r="B1418" s="37" t="s">
        <v>550</v>
      </c>
      <c r="C1418" s="1">
        <v>45561</v>
      </c>
      <c r="D1418" s="37" t="s">
        <v>550</v>
      </c>
      <c r="E1418">
        <v>0.11397317208711299</v>
      </c>
      <c r="F1418">
        <v>0.11397317208711299</v>
      </c>
    </row>
    <row r="1419" spans="1:6" x14ac:dyDescent="0.2">
      <c r="A1419">
        <v>476</v>
      </c>
      <c r="B1419" s="37" t="s">
        <v>551</v>
      </c>
      <c r="C1419" s="1">
        <v>45466</v>
      </c>
      <c r="D1419" s="37" t="s">
        <v>551</v>
      </c>
      <c r="E1419">
        <v>6.6621050592710604E-2</v>
      </c>
      <c r="F1419">
        <v>6.6621050592710604E-2</v>
      </c>
    </row>
    <row r="1420" spans="1:6" x14ac:dyDescent="0.2">
      <c r="A1420">
        <v>476</v>
      </c>
      <c r="B1420" s="37" t="s">
        <v>552</v>
      </c>
      <c r="C1420" s="1">
        <v>45484</v>
      </c>
      <c r="D1420" s="37" t="s">
        <v>552</v>
      </c>
      <c r="E1420">
        <v>0.14874264385913899</v>
      </c>
      <c r="F1420">
        <v>0.14874264385913899</v>
      </c>
    </row>
    <row r="1421" spans="1:6" x14ac:dyDescent="0.2">
      <c r="A1421">
        <v>477</v>
      </c>
      <c r="B1421" s="37" t="s">
        <v>857</v>
      </c>
      <c r="C1421" s="1">
        <v>45626</v>
      </c>
      <c r="D1421" s="37" t="s">
        <v>857</v>
      </c>
      <c r="E1421">
        <v>0.16173880541477201</v>
      </c>
      <c r="F1421">
        <v>0.16173880541477201</v>
      </c>
    </row>
    <row r="1422" spans="1:6" x14ac:dyDescent="0.2">
      <c r="A1422">
        <v>477</v>
      </c>
      <c r="B1422" s="37" t="s">
        <v>858</v>
      </c>
      <c r="C1422" s="1">
        <v>45424</v>
      </c>
      <c r="D1422" s="37" t="s">
        <v>858</v>
      </c>
      <c r="E1422">
        <v>0.119553630117084</v>
      </c>
      <c r="F1422">
        <v>0.119553630117084</v>
      </c>
    </row>
    <row r="1423" spans="1:6" x14ac:dyDescent="0.2">
      <c r="A1423">
        <v>477</v>
      </c>
      <c r="B1423" s="37" t="s">
        <v>859</v>
      </c>
      <c r="C1423" s="1">
        <v>45608</v>
      </c>
      <c r="D1423" s="37" t="s">
        <v>859</v>
      </c>
      <c r="E1423">
        <v>1.85375515766972E-2</v>
      </c>
      <c r="F1423">
        <v>1.85375515766972E-2</v>
      </c>
    </row>
    <row r="1424" spans="1:6" x14ac:dyDescent="0.2">
      <c r="A1424">
        <v>479</v>
      </c>
      <c r="B1424" s="37" t="s">
        <v>1529</v>
      </c>
      <c r="C1424" s="1">
        <v>45542</v>
      </c>
      <c r="D1424" s="37" t="s">
        <v>1529</v>
      </c>
      <c r="E1424">
        <v>6.7259747547924104E-2</v>
      </c>
      <c r="F1424">
        <v>6.7259747547924104E-2</v>
      </c>
    </row>
    <row r="1425" spans="1:6" x14ac:dyDescent="0.2">
      <c r="A1425">
        <v>479</v>
      </c>
      <c r="B1425" s="37" t="s">
        <v>1530</v>
      </c>
      <c r="C1425" s="1">
        <v>45458</v>
      </c>
      <c r="D1425" s="37" t="s">
        <v>1530</v>
      </c>
      <c r="E1425">
        <v>5.5014527544036199E-2</v>
      </c>
      <c r="F1425">
        <v>5.5014527544036199E-2</v>
      </c>
    </row>
    <row r="1426" spans="1:6" x14ac:dyDescent="0.2">
      <c r="A1426">
        <v>480</v>
      </c>
      <c r="B1426" s="37" t="s">
        <v>553</v>
      </c>
      <c r="C1426" s="1">
        <v>45606</v>
      </c>
      <c r="D1426" s="37" t="s">
        <v>553</v>
      </c>
      <c r="E1426">
        <v>8.8632683049430894E-2</v>
      </c>
      <c r="F1426">
        <v>8.8632683049430894E-2</v>
      </c>
    </row>
    <row r="1427" spans="1:6" x14ac:dyDescent="0.2">
      <c r="A1427">
        <v>480</v>
      </c>
      <c r="B1427" s="37" t="s">
        <v>1531</v>
      </c>
      <c r="C1427" s="1">
        <v>45515</v>
      </c>
      <c r="D1427" s="37" t="s">
        <v>1531</v>
      </c>
      <c r="E1427">
        <v>0.138875522160295</v>
      </c>
      <c r="F1427">
        <v>0.138875522160295</v>
      </c>
    </row>
    <row r="1428" spans="1:6" x14ac:dyDescent="0.2">
      <c r="A1428">
        <v>480</v>
      </c>
      <c r="B1428" s="37" t="s">
        <v>1532</v>
      </c>
      <c r="C1428" s="1">
        <v>45443</v>
      </c>
      <c r="D1428" s="37" t="s">
        <v>1532</v>
      </c>
      <c r="E1428">
        <v>0.28003750276433798</v>
      </c>
      <c r="F1428">
        <v>0.28003750276433798</v>
      </c>
    </row>
    <row r="1429" spans="1:6" x14ac:dyDescent="0.2">
      <c r="A1429">
        <v>480</v>
      </c>
      <c r="B1429" s="37" t="s">
        <v>1533</v>
      </c>
      <c r="C1429" s="1">
        <v>45624</v>
      </c>
      <c r="D1429" s="37" t="s">
        <v>1533</v>
      </c>
      <c r="E1429">
        <v>0.471994468574648</v>
      </c>
      <c r="F1429">
        <v>0.471994468574648</v>
      </c>
    </row>
    <row r="1430" spans="1:6" x14ac:dyDescent="0.2">
      <c r="A1430">
        <v>481</v>
      </c>
      <c r="B1430" s="37" t="s">
        <v>860</v>
      </c>
      <c r="C1430" s="1">
        <v>45322</v>
      </c>
      <c r="D1430" s="37" t="s">
        <v>860</v>
      </c>
      <c r="E1430">
        <v>5.7579184836551098E-2</v>
      </c>
      <c r="F1430">
        <v>5.7579184836551098E-2</v>
      </c>
    </row>
    <row r="1431" spans="1:6" x14ac:dyDescent="0.2">
      <c r="A1431">
        <v>481</v>
      </c>
      <c r="B1431" s="37" t="s">
        <v>861</v>
      </c>
      <c r="C1431" s="1">
        <v>45605</v>
      </c>
      <c r="D1431" s="37" t="s">
        <v>861</v>
      </c>
      <c r="E1431">
        <v>0.25646583011221702</v>
      </c>
      <c r="F1431">
        <v>0.25646583011221702</v>
      </c>
    </row>
    <row r="1432" spans="1:6" x14ac:dyDescent="0.2">
      <c r="A1432">
        <v>482</v>
      </c>
      <c r="B1432" s="37" t="s">
        <v>1534</v>
      </c>
      <c r="C1432" s="1">
        <v>45564</v>
      </c>
      <c r="D1432" s="37" t="s">
        <v>1534</v>
      </c>
      <c r="E1432">
        <v>8.8789115717643197E-2</v>
      </c>
      <c r="F1432">
        <v>8.8789115717643197E-2</v>
      </c>
    </row>
    <row r="1433" spans="1:6" x14ac:dyDescent="0.2">
      <c r="A1433">
        <v>482</v>
      </c>
      <c r="B1433" s="37" t="s">
        <v>1535</v>
      </c>
      <c r="C1433" s="1">
        <v>45530</v>
      </c>
      <c r="D1433" s="37" t="s">
        <v>1535</v>
      </c>
      <c r="E1433">
        <v>0.17136384648087</v>
      </c>
      <c r="F1433">
        <v>0.17136384648087</v>
      </c>
    </row>
    <row r="1434" spans="1:6" x14ac:dyDescent="0.2">
      <c r="A1434">
        <v>482</v>
      </c>
      <c r="B1434" s="37" t="s">
        <v>554</v>
      </c>
      <c r="C1434" s="1">
        <v>45533</v>
      </c>
      <c r="D1434" s="37" t="s">
        <v>554</v>
      </c>
      <c r="E1434">
        <v>8.5829264633410507E-2</v>
      </c>
      <c r="F1434">
        <v>8.5829264633410507E-2</v>
      </c>
    </row>
    <row r="1435" spans="1:6" x14ac:dyDescent="0.2">
      <c r="A1435">
        <v>482</v>
      </c>
      <c r="B1435" s="37" t="s">
        <v>1536</v>
      </c>
      <c r="C1435" s="1">
        <v>45529</v>
      </c>
      <c r="D1435" s="37" t="s">
        <v>1536</v>
      </c>
      <c r="E1435">
        <v>0.27190547041870999</v>
      </c>
      <c r="F1435">
        <v>0.27190547041870999</v>
      </c>
    </row>
    <row r="1436" spans="1:6" x14ac:dyDescent="0.2">
      <c r="A1436">
        <v>483</v>
      </c>
      <c r="B1436" s="37" t="s">
        <v>1537</v>
      </c>
      <c r="C1436" s="1">
        <v>45539</v>
      </c>
      <c r="D1436" s="37" t="s">
        <v>1537</v>
      </c>
      <c r="E1436">
        <v>0.23489558929888099</v>
      </c>
      <c r="F1436">
        <v>0.23489558929888099</v>
      </c>
    </row>
    <row r="1437" spans="1:6" x14ac:dyDescent="0.2">
      <c r="A1437">
        <v>483</v>
      </c>
      <c r="B1437" s="37" t="s">
        <v>555</v>
      </c>
      <c r="C1437" s="1">
        <v>45299</v>
      </c>
      <c r="D1437" s="37" t="s">
        <v>555</v>
      </c>
      <c r="E1437">
        <v>4.3879497809568402E-2</v>
      </c>
      <c r="F1437">
        <v>4.3879497809568402E-2</v>
      </c>
    </row>
    <row r="1438" spans="1:6" x14ac:dyDescent="0.2">
      <c r="A1438">
        <v>484</v>
      </c>
      <c r="B1438" s="37" t="s">
        <v>556</v>
      </c>
      <c r="C1438" s="1">
        <v>45308</v>
      </c>
      <c r="D1438" s="37" t="s">
        <v>556</v>
      </c>
      <c r="E1438">
        <v>0.137375488875806</v>
      </c>
      <c r="F1438">
        <v>0.137375488875806</v>
      </c>
    </row>
    <row r="1439" spans="1:6" x14ac:dyDescent="0.2">
      <c r="A1439">
        <v>484</v>
      </c>
      <c r="B1439" s="37" t="s">
        <v>557</v>
      </c>
      <c r="C1439" s="1">
        <v>45441</v>
      </c>
      <c r="D1439" s="37" t="s">
        <v>557</v>
      </c>
      <c r="E1439">
        <v>0.10234242300699201</v>
      </c>
      <c r="F1439">
        <v>0.10234242300699201</v>
      </c>
    </row>
    <row r="1440" spans="1:6" x14ac:dyDescent="0.2">
      <c r="A1440">
        <v>484</v>
      </c>
      <c r="B1440" s="37" t="s">
        <v>862</v>
      </c>
      <c r="C1440" s="1">
        <v>45612</v>
      </c>
      <c r="D1440" s="37" t="s">
        <v>862</v>
      </c>
      <c r="E1440">
        <v>0.15616993759985301</v>
      </c>
      <c r="F1440">
        <v>0.15616993759985301</v>
      </c>
    </row>
    <row r="1441" spans="1:6" x14ac:dyDescent="0.2">
      <c r="A1441">
        <v>484</v>
      </c>
      <c r="B1441" s="37" t="s">
        <v>863</v>
      </c>
      <c r="C1441" s="1">
        <v>45561</v>
      </c>
      <c r="D1441" s="37" t="s">
        <v>863</v>
      </c>
      <c r="E1441">
        <v>0.22978628408259899</v>
      </c>
      <c r="F1441">
        <v>0.22978628408259899</v>
      </c>
    </row>
    <row r="1442" spans="1:6" x14ac:dyDescent="0.2">
      <c r="A1442">
        <v>485</v>
      </c>
      <c r="B1442" s="37" t="s">
        <v>1538</v>
      </c>
      <c r="C1442" s="1">
        <v>45380</v>
      </c>
      <c r="D1442" s="37" t="s">
        <v>1538</v>
      </c>
      <c r="E1442">
        <v>0.177163109604939</v>
      </c>
      <c r="F1442">
        <v>0.177163109604939</v>
      </c>
    </row>
    <row r="1443" spans="1:6" x14ac:dyDescent="0.2">
      <c r="A1443">
        <v>485</v>
      </c>
      <c r="B1443" s="37" t="s">
        <v>1539</v>
      </c>
      <c r="C1443" s="1">
        <v>45409</v>
      </c>
      <c r="D1443" s="37" t="s">
        <v>1539</v>
      </c>
      <c r="E1443">
        <v>0.17518387373568101</v>
      </c>
      <c r="F1443">
        <v>0.17518387373568101</v>
      </c>
    </row>
    <row r="1444" spans="1:6" x14ac:dyDescent="0.2">
      <c r="A1444">
        <v>485</v>
      </c>
      <c r="B1444" s="37" t="s">
        <v>1540</v>
      </c>
      <c r="C1444" s="1">
        <v>45403</v>
      </c>
      <c r="D1444" s="37" t="s">
        <v>1540</v>
      </c>
      <c r="E1444">
        <v>9.0908522347723703E-2</v>
      </c>
      <c r="F1444">
        <v>9.0908522347723703E-2</v>
      </c>
    </row>
    <row r="1445" spans="1:6" x14ac:dyDescent="0.2">
      <c r="A1445">
        <v>485</v>
      </c>
      <c r="B1445" s="37" t="s">
        <v>1541</v>
      </c>
      <c r="C1445" s="1">
        <v>45474</v>
      </c>
      <c r="D1445" s="37" t="s">
        <v>1541</v>
      </c>
      <c r="E1445">
        <v>0.22910759782019099</v>
      </c>
      <c r="F1445">
        <v>0.22910759782019099</v>
      </c>
    </row>
    <row r="1446" spans="1:6" x14ac:dyDescent="0.2">
      <c r="A1446">
        <v>485</v>
      </c>
      <c r="B1446" s="37" t="s">
        <v>864</v>
      </c>
      <c r="C1446" s="1">
        <v>45478</v>
      </c>
      <c r="D1446" s="37" t="s">
        <v>864</v>
      </c>
      <c r="E1446">
        <v>0.36588247398088503</v>
      </c>
      <c r="F1446">
        <v>0.36588247398088503</v>
      </c>
    </row>
    <row r="1447" spans="1:6" x14ac:dyDescent="0.2">
      <c r="A1447">
        <v>485</v>
      </c>
      <c r="B1447" s="37" t="s">
        <v>865</v>
      </c>
      <c r="C1447" s="1">
        <v>45560</v>
      </c>
      <c r="D1447" s="37" t="s">
        <v>865</v>
      </c>
      <c r="E1447">
        <v>0.182462656755354</v>
      </c>
      <c r="F1447">
        <v>0.182462656755354</v>
      </c>
    </row>
    <row r="1448" spans="1:6" x14ac:dyDescent="0.2">
      <c r="A1448">
        <v>486</v>
      </c>
      <c r="B1448" s="37" t="s">
        <v>558</v>
      </c>
      <c r="C1448" s="1">
        <v>45466</v>
      </c>
      <c r="D1448" s="37" t="s">
        <v>558</v>
      </c>
      <c r="E1448">
        <v>0.237151818554178</v>
      </c>
      <c r="F1448">
        <v>0.237151818554178</v>
      </c>
    </row>
    <row r="1449" spans="1:6" x14ac:dyDescent="0.2">
      <c r="A1449">
        <v>487</v>
      </c>
      <c r="B1449" s="37" t="s">
        <v>1542</v>
      </c>
      <c r="C1449" s="1">
        <v>45534</v>
      </c>
      <c r="D1449" s="37" t="s">
        <v>1542</v>
      </c>
      <c r="E1449">
        <v>0.18403814480384201</v>
      </c>
      <c r="F1449">
        <v>0.18403814480384201</v>
      </c>
    </row>
    <row r="1450" spans="1:6" x14ac:dyDescent="0.2">
      <c r="A1450">
        <v>488</v>
      </c>
      <c r="B1450" s="37" t="s">
        <v>559</v>
      </c>
      <c r="C1450" s="1">
        <v>45646</v>
      </c>
      <c r="D1450" s="37" t="s">
        <v>559</v>
      </c>
      <c r="E1450">
        <v>0.380818686795456</v>
      </c>
      <c r="F1450">
        <v>0.380818686795456</v>
      </c>
    </row>
    <row r="1451" spans="1:6" x14ac:dyDescent="0.2">
      <c r="A1451">
        <v>488</v>
      </c>
      <c r="B1451" s="37" t="s">
        <v>560</v>
      </c>
      <c r="C1451" s="1">
        <v>45438</v>
      </c>
      <c r="D1451" s="37" t="s">
        <v>560</v>
      </c>
      <c r="E1451">
        <v>0.150807170576372</v>
      </c>
      <c r="F1451">
        <v>0.150807170576372</v>
      </c>
    </row>
    <row r="1452" spans="1:6" x14ac:dyDescent="0.2">
      <c r="A1452">
        <v>488</v>
      </c>
      <c r="B1452" s="37" t="s">
        <v>561</v>
      </c>
      <c r="C1452" s="1">
        <v>45385</v>
      </c>
      <c r="D1452" s="37" t="s">
        <v>561</v>
      </c>
      <c r="E1452">
        <v>0.3132456062392</v>
      </c>
      <c r="F1452">
        <v>0.3132456062392</v>
      </c>
    </row>
    <row r="1453" spans="1:6" x14ac:dyDescent="0.2">
      <c r="A1453">
        <v>488</v>
      </c>
      <c r="B1453" s="37" t="s">
        <v>562</v>
      </c>
      <c r="C1453" s="1">
        <v>45323</v>
      </c>
      <c r="D1453" s="37" t="s">
        <v>562</v>
      </c>
      <c r="E1453">
        <v>0.146941025821067</v>
      </c>
      <c r="F1453">
        <v>0.146941025821067</v>
      </c>
    </row>
    <row r="1454" spans="1:6" x14ac:dyDescent="0.2">
      <c r="A1454">
        <v>489</v>
      </c>
      <c r="B1454" s="37" t="s">
        <v>1543</v>
      </c>
      <c r="C1454" s="1">
        <v>45571</v>
      </c>
      <c r="D1454" s="37" t="s">
        <v>1543</v>
      </c>
      <c r="E1454">
        <v>7.2253317930793107E-2</v>
      </c>
      <c r="F1454">
        <v>7.2253317930793107E-2</v>
      </c>
    </row>
    <row r="1455" spans="1:6" x14ac:dyDescent="0.2">
      <c r="A1455">
        <v>489</v>
      </c>
      <c r="B1455" s="37" t="s">
        <v>1544</v>
      </c>
      <c r="C1455" s="1">
        <v>45413</v>
      </c>
      <c r="D1455" s="37" t="s">
        <v>1544</v>
      </c>
      <c r="E1455">
        <v>0.171515333827269</v>
      </c>
      <c r="F1455">
        <v>0.171515333827269</v>
      </c>
    </row>
    <row r="1456" spans="1:6" x14ac:dyDescent="0.2">
      <c r="A1456">
        <v>489</v>
      </c>
      <c r="B1456" s="37" t="s">
        <v>1545</v>
      </c>
      <c r="C1456" s="1">
        <v>45426</v>
      </c>
      <c r="D1456" s="37" t="s">
        <v>1545</v>
      </c>
      <c r="E1456">
        <v>9.4258152172578807E-3</v>
      </c>
      <c r="F1456">
        <v>9.4258152172578807E-3</v>
      </c>
    </row>
    <row r="1457" spans="1:6" x14ac:dyDescent="0.2">
      <c r="A1457">
        <v>490</v>
      </c>
      <c r="B1457" s="37" t="s">
        <v>563</v>
      </c>
      <c r="C1457" s="1">
        <v>45416</v>
      </c>
      <c r="D1457" s="37" t="s">
        <v>563</v>
      </c>
      <c r="E1457">
        <v>5.0285494005046498E-2</v>
      </c>
      <c r="F1457">
        <v>5.0285494005046498E-2</v>
      </c>
    </row>
    <row r="1458" spans="1:6" x14ac:dyDescent="0.2">
      <c r="A1458">
        <v>490</v>
      </c>
      <c r="B1458" s="37" t="s">
        <v>564</v>
      </c>
      <c r="C1458" s="1">
        <v>45338</v>
      </c>
      <c r="D1458" s="37" t="s">
        <v>564</v>
      </c>
      <c r="E1458">
        <v>8.8493217208017297E-2</v>
      </c>
      <c r="F1458">
        <v>8.8493217208017297E-2</v>
      </c>
    </row>
    <row r="1459" spans="1:6" x14ac:dyDescent="0.2">
      <c r="A1459">
        <v>490</v>
      </c>
      <c r="B1459" s="37" t="s">
        <v>866</v>
      </c>
      <c r="C1459" s="1">
        <v>45547</v>
      </c>
      <c r="D1459" s="37" t="s">
        <v>866</v>
      </c>
      <c r="E1459">
        <v>0.12776104135444699</v>
      </c>
      <c r="F1459">
        <v>0.12776104135444699</v>
      </c>
    </row>
    <row r="1460" spans="1:6" x14ac:dyDescent="0.2">
      <c r="A1460">
        <v>490</v>
      </c>
      <c r="B1460" s="37" t="s">
        <v>867</v>
      </c>
      <c r="C1460" s="1">
        <v>45446</v>
      </c>
      <c r="D1460" s="37" t="s">
        <v>867</v>
      </c>
      <c r="E1460">
        <v>0.282030561042037</v>
      </c>
      <c r="F1460">
        <v>0.282030561042037</v>
      </c>
    </row>
    <row r="1461" spans="1:6" x14ac:dyDescent="0.2">
      <c r="A1461">
        <v>490</v>
      </c>
      <c r="B1461" s="37" t="s">
        <v>868</v>
      </c>
      <c r="C1461" s="1">
        <v>45447</v>
      </c>
      <c r="D1461" s="37" t="s">
        <v>868</v>
      </c>
      <c r="E1461">
        <v>9.9292461550279501E-2</v>
      </c>
      <c r="F1461">
        <v>9.9292461550279501E-2</v>
      </c>
    </row>
    <row r="1462" spans="1:6" x14ac:dyDescent="0.2">
      <c r="A1462">
        <v>491</v>
      </c>
      <c r="B1462" s="37" t="s">
        <v>565</v>
      </c>
      <c r="C1462" s="1">
        <v>45418</v>
      </c>
      <c r="D1462" s="37" t="s">
        <v>565</v>
      </c>
      <c r="E1462">
        <v>0.31471166647993898</v>
      </c>
      <c r="F1462">
        <v>0.31471166647993898</v>
      </c>
    </row>
    <row r="1463" spans="1:6" x14ac:dyDescent="0.2">
      <c r="A1463">
        <v>491</v>
      </c>
      <c r="B1463" s="37" t="s">
        <v>869</v>
      </c>
      <c r="C1463" s="1">
        <v>45558</v>
      </c>
      <c r="D1463" s="37" t="s">
        <v>869</v>
      </c>
      <c r="E1463">
        <v>0.33038772430552399</v>
      </c>
      <c r="F1463">
        <v>0.33038772430552399</v>
      </c>
    </row>
    <row r="1464" spans="1:6" x14ac:dyDescent="0.2">
      <c r="A1464">
        <v>491</v>
      </c>
      <c r="B1464" s="37" t="s">
        <v>1546</v>
      </c>
      <c r="C1464" s="1">
        <v>45621</v>
      </c>
      <c r="D1464" s="37" t="s">
        <v>1546</v>
      </c>
      <c r="E1464">
        <v>0.155480860636136</v>
      </c>
      <c r="F1464">
        <v>0.155480860636136</v>
      </c>
    </row>
    <row r="1465" spans="1:6" x14ac:dyDescent="0.2">
      <c r="A1465">
        <v>491</v>
      </c>
      <c r="B1465" s="37" t="s">
        <v>1547</v>
      </c>
      <c r="C1465" s="1">
        <v>45511</v>
      </c>
      <c r="D1465" s="37" t="s">
        <v>1547</v>
      </c>
      <c r="E1465">
        <v>0.32737634806650601</v>
      </c>
      <c r="F1465">
        <v>0.32737634806650601</v>
      </c>
    </row>
    <row r="1466" spans="1:6" x14ac:dyDescent="0.2">
      <c r="A1466">
        <v>491</v>
      </c>
      <c r="B1466" s="37" t="s">
        <v>566</v>
      </c>
      <c r="C1466" s="1">
        <v>45391</v>
      </c>
      <c r="D1466" s="37" t="s">
        <v>566</v>
      </c>
      <c r="E1466">
        <v>0.163656817819295</v>
      </c>
      <c r="F1466">
        <v>0.163656817819295</v>
      </c>
    </row>
    <row r="1467" spans="1:6" x14ac:dyDescent="0.2">
      <c r="A1467">
        <v>491</v>
      </c>
      <c r="B1467" s="37" t="s">
        <v>1548</v>
      </c>
      <c r="C1467" s="1">
        <v>45603</v>
      </c>
      <c r="D1467" s="37" t="s">
        <v>1548</v>
      </c>
      <c r="E1467">
        <v>0.27080862913036402</v>
      </c>
      <c r="F1467">
        <v>0.27080862913036402</v>
      </c>
    </row>
    <row r="1468" spans="1:6" x14ac:dyDescent="0.2">
      <c r="A1468">
        <v>491</v>
      </c>
      <c r="B1468" s="37" t="s">
        <v>1549</v>
      </c>
      <c r="C1468" s="1">
        <v>45335</v>
      </c>
      <c r="D1468" s="37" t="s">
        <v>1549</v>
      </c>
      <c r="E1468">
        <v>8.5546558265624795E-2</v>
      </c>
      <c r="F1468">
        <v>8.5546558265624795E-2</v>
      </c>
    </row>
    <row r="1469" spans="1:6" x14ac:dyDescent="0.2">
      <c r="A1469">
        <v>492</v>
      </c>
      <c r="B1469" s="37" t="s">
        <v>1550</v>
      </c>
      <c r="C1469" s="1">
        <v>45589</v>
      </c>
      <c r="D1469" s="37" t="s">
        <v>1550</v>
      </c>
      <c r="E1469">
        <v>0.36875248812801298</v>
      </c>
      <c r="F1469">
        <v>0.36875248812801298</v>
      </c>
    </row>
    <row r="1470" spans="1:6" x14ac:dyDescent="0.2">
      <c r="A1470">
        <v>493</v>
      </c>
      <c r="B1470" s="37" t="s">
        <v>1551</v>
      </c>
      <c r="C1470" s="1">
        <v>45483</v>
      </c>
      <c r="D1470" s="37" t="s">
        <v>1551</v>
      </c>
      <c r="E1470">
        <v>0.25480331121856298</v>
      </c>
      <c r="F1470">
        <v>0.25480331121856298</v>
      </c>
    </row>
    <row r="1471" spans="1:6" x14ac:dyDescent="0.2">
      <c r="A1471">
        <v>493</v>
      </c>
      <c r="B1471" s="37" t="s">
        <v>1552</v>
      </c>
      <c r="C1471" s="1">
        <v>45308</v>
      </c>
      <c r="D1471" s="37" t="s">
        <v>1552</v>
      </c>
      <c r="E1471">
        <v>0.13211376396666499</v>
      </c>
      <c r="F1471">
        <v>0.13211376396666499</v>
      </c>
    </row>
    <row r="1472" spans="1:6" x14ac:dyDescent="0.2">
      <c r="A1472">
        <v>493</v>
      </c>
      <c r="B1472" s="37" t="s">
        <v>1553</v>
      </c>
      <c r="C1472" s="1">
        <v>45656</v>
      </c>
      <c r="D1472" s="37" t="s">
        <v>1553</v>
      </c>
      <c r="E1472">
        <v>0.163803073287452</v>
      </c>
      <c r="F1472">
        <v>0.163803073287452</v>
      </c>
    </row>
    <row r="1473" spans="1:6" x14ac:dyDescent="0.2">
      <c r="A1473">
        <v>494</v>
      </c>
      <c r="B1473" s="37" t="s">
        <v>567</v>
      </c>
      <c r="C1473" s="1">
        <v>45544</v>
      </c>
      <c r="D1473" s="37" t="s">
        <v>567</v>
      </c>
      <c r="E1473">
        <v>1.6761098699614198E-2</v>
      </c>
      <c r="F1473">
        <v>1.6761098699614198E-2</v>
      </c>
    </row>
    <row r="1474" spans="1:6" x14ac:dyDescent="0.2">
      <c r="A1474">
        <v>494</v>
      </c>
      <c r="B1474" s="37" t="s">
        <v>870</v>
      </c>
      <c r="C1474" s="1">
        <v>45471</v>
      </c>
      <c r="D1474" s="37" t="s">
        <v>870</v>
      </c>
      <c r="E1474">
        <v>0.23143838789625701</v>
      </c>
      <c r="F1474">
        <v>0.23143838789625701</v>
      </c>
    </row>
    <row r="1475" spans="1:6" x14ac:dyDescent="0.2">
      <c r="A1475">
        <v>494</v>
      </c>
      <c r="B1475" s="37" t="s">
        <v>568</v>
      </c>
      <c r="C1475" s="1">
        <v>45496</v>
      </c>
      <c r="D1475" s="37" t="s">
        <v>568</v>
      </c>
      <c r="E1475">
        <v>0.13726430146946</v>
      </c>
      <c r="F1475">
        <v>0.13726430146946</v>
      </c>
    </row>
    <row r="1476" spans="1:6" x14ac:dyDescent="0.2">
      <c r="A1476">
        <v>494</v>
      </c>
      <c r="B1476" s="37" t="s">
        <v>569</v>
      </c>
      <c r="C1476" s="1">
        <v>45358</v>
      </c>
      <c r="D1476" s="37" t="s">
        <v>569</v>
      </c>
      <c r="E1476">
        <v>5.6947689533314499E-2</v>
      </c>
      <c r="F1476">
        <v>5.6947689533314499E-2</v>
      </c>
    </row>
    <row r="1477" spans="1:6" x14ac:dyDescent="0.2">
      <c r="A1477">
        <v>495</v>
      </c>
      <c r="B1477" s="37" t="s">
        <v>1554</v>
      </c>
      <c r="C1477" s="1">
        <v>45360</v>
      </c>
      <c r="D1477" s="37" t="s">
        <v>1554</v>
      </c>
      <c r="E1477">
        <v>6.6007033436509793E-2</v>
      </c>
      <c r="F1477">
        <v>6.6007033436509793E-2</v>
      </c>
    </row>
    <row r="1478" spans="1:6" x14ac:dyDescent="0.2">
      <c r="A1478">
        <v>496</v>
      </c>
      <c r="B1478" s="37" t="s">
        <v>570</v>
      </c>
      <c r="C1478" s="1">
        <v>45346</v>
      </c>
      <c r="D1478" s="37" t="s">
        <v>570</v>
      </c>
      <c r="E1478">
        <v>0.40224177310618597</v>
      </c>
      <c r="F1478">
        <v>0.40224177310618597</v>
      </c>
    </row>
    <row r="1479" spans="1:6" x14ac:dyDescent="0.2">
      <c r="A1479">
        <v>496</v>
      </c>
      <c r="B1479" s="37" t="s">
        <v>571</v>
      </c>
      <c r="C1479" s="1">
        <v>45529</v>
      </c>
      <c r="D1479" s="37" t="s">
        <v>571</v>
      </c>
      <c r="E1479">
        <v>0.10195122506964099</v>
      </c>
      <c r="F1479">
        <v>0.10195122506964099</v>
      </c>
    </row>
    <row r="1480" spans="1:6" x14ac:dyDescent="0.2">
      <c r="A1480">
        <v>496</v>
      </c>
      <c r="B1480" s="37" t="s">
        <v>572</v>
      </c>
      <c r="C1480" s="1">
        <v>45323</v>
      </c>
      <c r="D1480" s="37" t="s">
        <v>572</v>
      </c>
      <c r="E1480">
        <v>0.64990707159288996</v>
      </c>
      <c r="F1480">
        <v>0.64990707159288996</v>
      </c>
    </row>
    <row r="1481" spans="1:6" x14ac:dyDescent="0.2">
      <c r="A1481">
        <v>496</v>
      </c>
      <c r="B1481" s="37" t="s">
        <v>871</v>
      </c>
      <c r="C1481" s="1">
        <v>45571</v>
      </c>
      <c r="D1481" s="37" t="s">
        <v>871</v>
      </c>
      <c r="E1481">
        <v>0.141711701817472</v>
      </c>
      <c r="F1481">
        <v>0.141711701817472</v>
      </c>
    </row>
    <row r="1482" spans="1:6" x14ac:dyDescent="0.2">
      <c r="A1482">
        <v>496</v>
      </c>
      <c r="B1482" s="37" t="s">
        <v>872</v>
      </c>
      <c r="C1482" s="1">
        <v>45394</v>
      </c>
      <c r="D1482" s="37" t="s">
        <v>872</v>
      </c>
      <c r="E1482">
        <v>0.22547068536366</v>
      </c>
      <c r="F1482">
        <v>0.22547068536366</v>
      </c>
    </row>
    <row r="1483" spans="1:6" x14ac:dyDescent="0.2">
      <c r="A1483">
        <v>496</v>
      </c>
      <c r="B1483" s="37" t="s">
        <v>873</v>
      </c>
      <c r="C1483" s="1">
        <v>45585</v>
      </c>
      <c r="D1483" s="37" t="s">
        <v>873</v>
      </c>
      <c r="E1483">
        <v>0.178478842640626</v>
      </c>
      <c r="F1483">
        <v>0.178478842640626</v>
      </c>
    </row>
    <row r="1484" spans="1:6" x14ac:dyDescent="0.2">
      <c r="A1484">
        <v>496</v>
      </c>
      <c r="B1484" s="37" t="s">
        <v>874</v>
      </c>
      <c r="C1484" s="1">
        <v>45632</v>
      </c>
      <c r="D1484" s="37" t="s">
        <v>874</v>
      </c>
      <c r="E1484">
        <v>0.33363247479930602</v>
      </c>
      <c r="F1484">
        <v>0.33363247479930602</v>
      </c>
    </row>
    <row r="1485" spans="1:6" x14ac:dyDescent="0.2">
      <c r="A1485">
        <v>496</v>
      </c>
      <c r="B1485" s="37" t="s">
        <v>875</v>
      </c>
      <c r="C1485" s="1">
        <v>45630</v>
      </c>
      <c r="D1485" s="37" t="s">
        <v>875</v>
      </c>
      <c r="E1485">
        <v>0.17790591969611499</v>
      </c>
      <c r="F1485">
        <v>0.17790591969611499</v>
      </c>
    </row>
    <row r="1486" spans="1:6" x14ac:dyDescent="0.2">
      <c r="A1486">
        <v>497</v>
      </c>
      <c r="B1486" s="37" t="s">
        <v>1555</v>
      </c>
      <c r="C1486" s="1">
        <v>45498</v>
      </c>
      <c r="D1486" s="37" t="s">
        <v>1555</v>
      </c>
      <c r="E1486">
        <v>0.21597671041630701</v>
      </c>
      <c r="F1486">
        <v>0.21597671041630701</v>
      </c>
    </row>
    <row r="1487" spans="1:6" x14ac:dyDescent="0.2">
      <c r="A1487">
        <v>497</v>
      </c>
      <c r="B1487" s="37" t="s">
        <v>1556</v>
      </c>
      <c r="C1487" s="1">
        <v>45489</v>
      </c>
      <c r="D1487" s="37" t="s">
        <v>1556</v>
      </c>
      <c r="E1487">
        <v>6.1062079818262602E-2</v>
      </c>
      <c r="F1487">
        <v>6.1062079818262602E-2</v>
      </c>
    </row>
    <row r="1488" spans="1:6" x14ac:dyDescent="0.2">
      <c r="A1488">
        <v>499</v>
      </c>
      <c r="B1488" s="37" t="s">
        <v>876</v>
      </c>
      <c r="C1488" s="1">
        <v>45438</v>
      </c>
      <c r="D1488" s="37" t="s">
        <v>876</v>
      </c>
      <c r="E1488">
        <v>0.39213736582012498</v>
      </c>
      <c r="F1488">
        <v>0.39213736582012498</v>
      </c>
    </row>
    <row r="1489" spans="1:6" x14ac:dyDescent="0.2">
      <c r="A1489">
        <v>499</v>
      </c>
      <c r="B1489" s="37" t="s">
        <v>573</v>
      </c>
      <c r="C1489" s="1">
        <v>45293</v>
      </c>
      <c r="D1489" s="37" t="s">
        <v>573</v>
      </c>
      <c r="E1489">
        <v>0.35039189333849702</v>
      </c>
      <c r="F1489">
        <v>0.35039189333849702</v>
      </c>
    </row>
    <row r="1490" spans="1:6" x14ac:dyDescent="0.2">
      <c r="A1490">
        <v>499</v>
      </c>
      <c r="B1490" s="37" t="s">
        <v>574</v>
      </c>
      <c r="C1490" s="1">
        <v>45505</v>
      </c>
      <c r="D1490" s="37" t="s">
        <v>574</v>
      </c>
      <c r="E1490">
        <v>0.103048634196629</v>
      </c>
      <c r="F1490">
        <v>0.103048634196629</v>
      </c>
    </row>
    <row r="1491" spans="1:6" x14ac:dyDescent="0.2">
      <c r="A1491">
        <v>499</v>
      </c>
      <c r="B1491" s="37" t="s">
        <v>575</v>
      </c>
      <c r="C1491" s="1">
        <v>45518</v>
      </c>
      <c r="D1491" s="37" t="s">
        <v>575</v>
      </c>
      <c r="E1491">
        <v>0.421093360518769</v>
      </c>
      <c r="F1491">
        <v>0.421093360518769</v>
      </c>
    </row>
    <row r="1492" spans="1:6" x14ac:dyDescent="0.2">
      <c r="A1492">
        <v>500</v>
      </c>
      <c r="B1492" s="37" t="s">
        <v>877</v>
      </c>
      <c r="C1492" s="1">
        <v>45441</v>
      </c>
      <c r="D1492" s="37" t="s">
        <v>877</v>
      </c>
      <c r="E1492">
        <v>0.40818301896738801</v>
      </c>
      <c r="F1492">
        <v>0.40818301896738801</v>
      </c>
    </row>
    <row r="1493" spans="1:6" x14ac:dyDescent="0.2">
      <c r="A1493">
        <v>500</v>
      </c>
      <c r="B1493" s="37" t="s">
        <v>878</v>
      </c>
      <c r="C1493" s="1">
        <v>45473</v>
      </c>
      <c r="D1493" s="37" t="s">
        <v>878</v>
      </c>
      <c r="E1493">
        <v>0.17108040004069899</v>
      </c>
      <c r="F1493">
        <v>0.17108040004069899</v>
      </c>
    </row>
    <row r="1494" spans="1:6" x14ac:dyDescent="0.2">
      <c r="A1494">
        <v>500</v>
      </c>
      <c r="B1494" s="37" t="s">
        <v>576</v>
      </c>
      <c r="C1494" s="1">
        <v>45443</v>
      </c>
      <c r="D1494" s="37" t="s">
        <v>576</v>
      </c>
      <c r="E1494">
        <v>0.61669563956393503</v>
      </c>
      <c r="F1494">
        <v>0.61669563956393503</v>
      </c>
    </row>
    <row r="1495" spans="1:6" x14ac:dyDescent="0.2">
      <c r="A1495">
        <v>500</v>
      </c>
      <c r="B1495" s="37" t="s">
        <v>577</v>
      </c>
      <c r="C1495" s="1">
        <v>45362</v>
      </c>
      <c r="D1495" s="37" t="s">
        <v>577</v>
      </c>
      <c r="E1495">
        <v>0.14519890978877301</v>
      </c>
      <c r="F1495">
        <v>0.14519890978877301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69E2-991D-2543-9D02-623C79944BCA}">
  <sheetPr codeName="Sheet5"/>
  <dimension ref="B1:G1497"/>
  <sheetViews>
    <sheetView workbookViewId="0">
      <selection activeCell="G19" sqref="G19"/>
    </sheetView>
  </sheetViews>
  <sheetFormatPr baseColWidth="10" defaultRowHeight="16" x14ac:dyDescent="0.2"/>
  <cols>
    <col min="2" max="2" width="20.83203125" customWidth="1"/>
    <col min="3" max="3" width="21" customWidth="1"/>
    <col min="5" max="5" width="15.5" customWidth="1"/>
    <col min="7" max="7" width="13.1640625" customWidth="1"/>
    <col min="10" max="10" width="17.6640625" customWidth="1"/>
  </cols>
  <sheetData>
    <row r="1" spans="2:7" x14ac:dyDescent="0.2">
      <c r="B1" t="s">
        <v>29</v>
      </c>
    </row>
    <row r="3" spans="2:7" x14ac:dyDescent="0.2">
      <c r="B3" t="s">
        <v>28</v>
      </c>
      <c r="C3" t="s">
        <v>40</v>
      </c>
    </row>
    <row r="4" spans="2:7" x14ac:dyDescent="0.2">
      <c r="B4" cm="1">
        <f t="array" ref="B4:B1497">_xlfn._xlws.SORT(_xlfn.UNIQUE(claimSimResults[ValidClaimAmount]), 1, -1)</f>
        <v>0.85259928519003803</v>
      </c>
      <c r="C4" cm="1">
        <f t="array" ref="C4:C1497">_xlfn.BYROW(_xlfn.ANCHORARRAY(B4), _xlfn.LAMBDA(_xlpm.x, COUNTIF(claimSimResults[ValidClaimAmount], "&lt;=" &amp; _xlpm.x) / COUNT(claimSimResults[ValidClaimAmount])))</f>
        <v>1</v>
      </c>
    </row>
    <row r="5" spans="2:7" x14ac:dyDescent="0.2">
      <c r="B5">
        <v>0.82766099602889998</v>
      </c>
      <c r="C5">
        <v>0.99933065595716197</v>
      </c>
      <c r="G5" s="4"/>
    </row>
    <row r="6" spans="2:7" x14ac:dyDescent="0.2">
      <c r="B6">
        <v>0.82510963623318401</v>
      </c>
      <c r="C6">
        <v>0.99866131191432395</v>
      </c>
    </row>
    <row r="7" spans="2:7" x14ac:dyDescent="0.2">
      <c r="B7">
        <v>0.75807022960457804</v>
      </c>
      <c r="C7">
        <v>0.99799196787148592</v>
      </c>
    </row>
    <row r="8" spans="2:7" x14ac:dyDescent="0.2">
      <c r="B8">
        <v>0.739180709379193</v>
      </c>
      <c r="C8">
        <v>0.99732262382864789</v>
      </c>
    </row>
    <row r="9" spans="2:7" x14ac:dyDescent="0.2">
      <c r="B9">
        <v>0.71084163706622705</v>
      </c>
      <c r="C9">
        <v>0.99665327978580986</v>
      </c>
    </row>
    <row r="10" spans="2:7" x14ac:dyDescent="0.2">
      <c r="B10">
        <v>0.69923447886096002</v>
      </c>
      <c r="C10">
        <v>0.99598393574297184</v>
      </c>
    </row>
    <row r="11" spans="2:7" x14ac:dyDescent="0.2">
      <c r="B11">
        <v>0.69315674368800195</v>
      </c>
      <c r="C11">
        <v>0.99531459170013392</v>
      </c>
    </row>
    <row r="12" spans="2:7" x14ac:dyDescent="0.2">
      <c r="B12">
        <v>0.68055352090607502</v>
      </c>
      <c r="C12">
        <v>0.99464524765729589</v>
      </c>
    </row>
    <row r="13" spans="2:7" x14ac:dyDescent="0.2">
      <c r="B13">
        <v>0.67202757549213499</v>
      </c>
      <c r="C13">
        <v>0.99397590361445787</v>
      </c>
    </row>
    <row r="14" spans="2:7" x14ac:dyDescent="0.2">
      <c r="B14">
        <v>0.66396068292662902</v>
      </c>
      <c r="C14">
        <v>0.99330655957161984</v>
      </c>
    </row>
    <row r="15" spans="2:7" x14ac:dyDescent="0.2">
      <c r="B15">
        <v>0.65427330837442699</v>
      </c>
      <c r="C15">
        <v>0.99263721552878181</v>
      </c>
    </row>
    <row r="16" spans="2:7" x14ac:dyDescent="0.2">
      <c r="B16">
        <v>0.64990707159288996</v>
      </c>
      <c r="C16">
        <v>0.99196787148594379</v>
      </c>
    </row>
    <row r="17" spans="2:3" x14ac:dyDescent="0.2">
      <c r="B17">
        <v>0.63187691270058799</v>
      </c>
      <c r="C17">
        <v>0.99129852744310576</v>
      </c>
    </row>
    <row r="18" spans="2:3" x14ac:dyDescent="0.2">
      <c r="B18">
        <v>0.63170735929396005</v>
      </c>
      <c r="C18">
        <v>0.99062918340026773</v>
      </c>
    </row>
    <row r="19" spans="2:3" x14ac:dyDescent="0.2">
      <c r="B19">
        <v>0.63024794251342597</v>
      </c>
      <c r="C19">
        <v>0.98995983935742971</v>
      </c>
    </row>
    <row r="20" spans="2:3" x14ac:dyDescent="0.2">
      <c r="B20">
        <v>0.62924180795679896</v>
      </c>
      <c r="C20">
        <v>0.98929049531459168</v>
      </c>
    </row>
    <row r="21" spans="2:3" x14ac:dyDescent="0.2">
      <c r="B21">
        <v>0.61669563956393503</v>
      </c>
      <c r="C21">
        <v>0.98862115127175365</v>
      </c>
    </row>
    <row r="22" spans="2:3" x14ac:dyDescent="0.2">
      <c r="B22">
        <v>0.60946959994247696</v>
      </c>
      <c r="C22">
        <v>0.98795180722891562</v>
      </c>
    </row>
    <row r="23" spans="2:3" x14ac:dyDescent="0.2">
      <c r="B23">
        <v>0.60641416787339097</v>
      </c>
      <c r="C23">
        <v>0.9872824631860776</v>
      </c>
    </row>
    <row r="24" spans="2:3" x14ac:dyDescent="0.2">
      <c r="B24">
        <v>0.60146067688030902</v>
      </c>
      <c r="C24">
        <v>0.98661311914323957</v>
      </c>
    </row>
    <row r="25" spans="2:3" x14ac:dyDescent="0.2">
      <c r="B25">
        <v>0.59615983705506004</v>
      </c>
      <c r="C25">
        <v>0.98594377510040165</v>
      </c>
    </row>
    <row r="26" spans="2:3" x14ac:dyDescent="0.2">
      <c r="B26">
        <v>0.59124913629422804</v>
      </c>
      <c r="C26">
        <v>0.98527443105756363</v>
      </c>
    </row>
    <row r="27" spans="2:3" x14ac:dyDescent="0.2">
      <c r="B27">
        <v>0.590693121934457</v>
      </c>
      <c r="C27">
        <v>0.9846050870147256</v>
      </c>
    </row>
    <row r="28" spans="2:3" x14ac:dyDescent="0.2">
      <c r="B28">
        <v>0.58634490625559998</v>
      </c>
      <c r="C28">
        <v>0.98393574297188757</v>
      </c>
    </row>
    <row r="29" spans="2:3" x14ac:dyDescent="0.2">
      <c r="B29">
        <v>0.58380621575957803</v>
      </c>
      <c r="C29">
        <v>0.98326639892904955</v>
      </c>
    </row>
    <row r="30" spans="2:3" x14ac:dyDescent="0.2">
      <c r="B30">
        <v>0.57381076455248803</v>
      </c>
      <c r="C30">
        <v>0.98259705488621152</v>
      </c>
    </row>
    <row r="31" spans="2:3" x14ac:dyDescent="0.2">
      <c r="B31">
        <v>0.57378924087718397</v>
      </c>
      <c r="C31">
        <v>0.98192771084337349</v>
      </c>
    </row>
    <row r="32" spans="2:3" x14ac:dyDescent="0.2">
      <c r="B32">
        <v>0.56385093202758096</v>
      </c>
      <c r="C32">
        <v>0.98125836680053546</v>
      </c>
    </row>
    <row r="33" spans="2:3" x14ac:dyDescent="0.2">
      <c r="B33">
        <v>0.56229895079520897</v>
      </c>
      <c r="C33">
        <v>0.98058902275769744</v>
      </c>
    </row>
    <row r="34" spans="2:3" x14ac:dyDescent="0.2">
      <c r="B34">
        <v>0.56113036212938106</v>
      </c>
      <c r="C34">
        <v>0.97991967871485941</v>
      </c>
    </row>
    <row r="35" spans="2:3" x14ac:dyDescent="0.2">
      <c r="B35">
        <v>0.56017569687120605</v>
      </c>
      <c r="C35">
        <v>0.97925033467202138</v>
      </c>
    </row>
    <row r="36" spans="2:3" x14ac:dyDescent="0.2">
      <c r="B36">
        <v>0.55930314589438701</v>
      </c>
      <c r="C36">
        <v>0.97858099062918336</v>
      </c>
    </row>
    <row r="37" spans="2:3" x14ac:dyDescent="0.2">
      <c r="B37">
        <v>0.55898483482253503</v>
      </c>
      <c r="C37">
        <v>0.97791164658634533</v>
      </c>
    </row>
    <row r="38" spans="2:3" x14ac:dyDescent="0.2">
      <c r="B38">
        <v>0.55732977259079097</v>
      </c>
      <c r="C38">
        <v>0.97724230254350741</v>
      </c>
    </row>
    <row r="39" spans="2:3" x14ac:dyDescent="0.2">
      <c r="B39">
        <v>0.55641596416911798</v>
      </c>
      <c r="C39">
        <v>0.97657295850066939</v>
      </c>
    </row>
    <row r="40" spans="2:3" x14ac:dyDescent="0.2">
      <c r="B40">
        <v>0.55086646970735598</v>
      </c>
      <c r="C40">
        <v>0.97590361445783136</v>
      </c>
    </row>
    <row r="41" spans="2:3" x14ac:dyDescent="0.2">
      <c r="B41">
        <v>0.54528053839287305</v>
      </c>
      <c r="C41">
        <v>0.97523427041499333</v>
      </c>
    </row>
    <row r="42" spans="2:3" x14ac:dyDescent="0.2">
      <c r="B42">
        <v>0.54287489651622001</v>
      </c>
      <c r="C42">
        <v>0.9745649263721553</v>
      </c>
    </row>
    <row r="43" spans="2:3" x14ac:dyDescent="0.2">
      <c r="B43">
        <v>0.54101027884844799</v>
      </c>
      <c r="C43">
        <v>0.97389558232931728</v>
      </c>
    </row>
    <row r="44" spans="2:3" x14ac:dyDescent="0.2">
      <c r="B44">
        <v>0.53728863506146596</v>
      </c>
      <c r="C44">
        <v>0.97322623828647925</v>
      </c>
    </row>
    <row r="45" spans="2:3" x14ac:dyDescent="0.2">
      <c r="B45">
        <v>0.53663872150076297</v>
      </c>
      <c r="C45">
        <v>0.97255689424364122</v>
      </c>
    </row>
    <row r="46" spans="2:3" x14ac:dyDescent="0.2">
      <c r="B46">
        <v>0.52627115909919497</v>
      </c>
      <c r="C46">
        <v>0.9718875502008032</v>
      </c>
    </row>
    <row r="47" spans="2:3" x14ac:dyDescent="0.2">
      <c r="B47">
        <v>0.51230313247678805</v>
      </c>
      <c r="C47">
        <v>0.97121820615796517</v>
      </c>
    </row>
    <row r="48" spans="2:3" x14ac:dyDescent="0.2">
      <c r="B48">
        <v>0.50478968042621497</v>
      </c>
      <c r="C48">
        <v>0.97054886211512714</v>
      </c>
    </row>
    <row r="49" spans="2:3" x14ac:dyDescent="0.2">
      <c r="B49">
        <v>0.50474076993594896</v>
      </c>
      <c r="C49">
        <v>0.96987951807228912</v>
      </c>
    </row>
    <row r="50" spans="2:3" x14ac:dyDescent="0.2">
      <c r="B50">
        <v>0.50432700023852906</v>
      </c>
      <c r="C50">
        <v>0.96921017402945109</v>
      </c>
    </row>
    <row r="51" spans="2:3" x14ac:dyDescent="0.2">
      <c r="B51">
        <v>0.50334352988728404</v>
      </c>
      <c r="C51">
        <v>0.96854082998661317</v>
      </c>
    </row>
    <row r="52" spans="2:3" x14ac:dyDescent="0.2">
      <c r="B52">
        <v>0.49678395008196602</v>
      </c>
      <c r="C52">
        <v>0.96787148594377514</v>
      </c>
    </row>
    <row r="53" spans="2:3" x14ac:dyDescent="0.2">
      <c r="B53">
        <v>0.490999001533235</v>
      </c>
      <c r="C53">
        <v>0.96720214190093712</v>
      </c>
    </row>
    <row r="54" spans="2:3" x14ac:dyDescent="0.2">
      <c r="B54">
        <v>0.48949544650045002</v>
      </c>
      <c r="C54">
        <v>0.96653279785809909</v>
      </c>
    </row>
    <row r="55" spans="2:3" x14ac:dyDescent="0.2">
      <c r="B55">
        <v>0.48821639569688502</v>
      </c>
      <c r="C55">
        <v>0.96586345381526106</v>
      </c>
    </row>
    <row r="56" spans="2:3" x14ac:dyDescent="0.2">
      <c r="B56">
        <v>0.48532277997027201</v>
      </c>
      <c r="C56">
        <v>0.96519410977242304</v>
      </c>
    </row>
    <row r="57" spans="2:3" x14ac:dyDescent="0.2">
      <c r="B57">
        <v>0.48361368668208699</v>
      </c>
      <c r="C57">
        <v>0.96452476572958501</v>
      </c>
    </row>
    <row r="58" spans="2:3" x14ac:dyDescent="0.2">
      <c r="B58">
        <v>0.48121623688628001</v>
      </c>
      <c r="C58">
        <v>0.96385542168674698</v>
      </c>
    </row>
    <row r="59" spans="2:3" x14ac:dyDescent="0.2">
      <c r="B59">
        <v>0.47682087928962402</v>
      </c>
      <c r="C59">
        <v>0.96318607764390896</v>
      </c>
    </row>
    <row r="60" spans="2:3" x14ac:dyDescent="0.2">
      <c r="B60">
        <v>0.47592670994240999</v>
      </c>
      <c r="C60">
        <v>0.96251673360107093</v>
      </c>
    </row>
    <row r="61" spans="2:3" x14ac:dyDescent="0.2">
      <c r="B61">
        <v>0.47397616659637998</v>
      </c>
      <c r="C61">
        <v>0.9618473895582329</v>
      </c>
    </row>
    <row r="62" spans="2:3" x14ac:dyDescent="0.2">
      <c r="B62">
        <v>0.47343221654340101</v>
      </c>
      <c r="C62">
        <v>0.96117804551539487</v>
      </c>
    </row>
    <row r="63" spans="2:3" x14ac:dyDescent="0.2">
      <c r="B63">
        <v>0.471994468574648</v>
      </c>
      <c r="C63">
        <v>0.96050870147255685</v>
      </c>
    </row>
    <row r="64" spans="2:3" x14ac:dyDescent="0.2">
      <c r="B64">
        <v>0.46962559010761501</v>
      </c>
      <c r="C64">
        <v>0.95983935742971882</v>
      </c>
    </row>
    <row r="65" spans="2:3" x14ac:dyDescent="0.2">
      <c r="B65">
        <v>0.46623585830882402</v>
      </c>
      <c r="C65">
        <v>0.9591700133868809</v>
      </c>
    </row>
    <row r="66" spans="2:3" x14ac:dyDescent="0.2">
      <c r="B66">
        <v>0.46347327073891798</v>
      </c>
      <c r="C66">
        <v>0.95850066934404288</v>
      </c>
    </row>
    <row r="67" spans="2:3" x14ac:dyDescent="0.2">
      <c r="B67">
        <v>0.45981784540645398</v>
      </c>
      <c r="C67">
        <v>0.95783132530120485</v>
      </c>
    </row>
    <row r="68" spans="2:3" x14ac:dyDescent="0.2">
      <c r="B68">
        <v>0.45759539652638898</v>
      </c>
      <c r="C68">
        <v>0.95716198125836682</v>
      </c>
    </row>
    <row r="69" spans="2:3" x14ac:dyDescent="0.2">
      <c r="B69">
        <v>0.45618094398554898</v>
      </c>
      <c r="C69">
        <v>0.9564926372155288</v>
      </c>
    </row>
    <row r="70" spans="2:3" x14ac:dyDescent="0.2">
      <c r="B70">
        <v>0.45299556696553001</v>
      </c>
      <c r="C70">
        <v>0.95582329317269077</v>
      </c>
    </row>
    <row r="71" spans="2:3" x14ac:dyDescent="0.2">
      <c r="B71">
        <v>0.45293761908792302</v>
      </c>
      <c r="C71">
        <v>0.95515394912985274</v>
      </c>
    </row>
    <row r="72" spans="2:3" x14ac:dyDescent="0.2">
      <c r="B72">
        <v>0.45192297286254701</v>
      </c>
      <c r="C72">
        <v>0.95448460508701471</v>
      </c>
    </row>
    <row r="73" spans="2:3" x14ac:dyDescent="0.2">
      <c r="B73">
        <v>0.45075570035727802</v>
      </c>
      <c r="C73">
        <v>0.95381526104417669</v>
      </c>
    </row>
    <row r="74" spans="2:3" x14ac:dyDescent="0.2">
      <c r="B74">
        <v>0.450279334681286</v>
      </c>
      <c r="C74">
        <v>0.95314591700133866</v>
      </c>
    </row>
    <row r="75" spans="2:3" x14ac:dyDescent="0.2">
      <c r="B75">
        <v>0.44942175780266802</v>
      </c>
      <c r="C75">
        <v>0.95247657295850063</v>
      </c>
    </row>
    <row r="76" spans="2:3" x14ac:dyDescent="0.2">
      <c r="B76">
        <v>0.44863378739878901</v>
      </c>
      <c r="C76">
        <v>0.95180722891566261</v>
      </c>
    </row>
    <row r="77" spans="2:3" x14ac:dyDescent="0.2">
      <c r="B77">
        <v>0.44615336425991797</v>
      </c>
      <c r="C77">
        <v>0.95113788487282458</v>
      </c>
    </row>
    <row r="78" spans="2:3" x14ac:dyDescent="0.2">
      <c r="B78">
        <v>0.44508211209926901</v>
      </c>
      <c r="C78">
        <v>0.95046854082998666</v>
      </c>
    </row>
    <row r="79" spans="2:3" x14ac:dyDescent="0.2">
      <c r="B79">
        <v>0.44375238575186599</v>
      </c>
      <c r="C79">
        <v>0.94979919678714864</v>
      </c>
    </row>
    <row r="80" spans="2:3" x14ac:dyDescent="0.2">
      <c r="B80">
        <v>0.44126188630163599</v>
      </c>
      <c r="C80">
        <v>0.94912985274431061</v>
      </c>
    </row>
    <row r="81" spans="2:3" x14ac:dyDescent="0.2">
      <c r="B81">
        <v>0.44102044490642001</v>
      </c>
      <c r="C81">
        <v>0.94846050870147258</v>
      </c>
    </row>
    <row r="82" spans="2:3" x14ac:dyDescent="0.2">
      <c r="B82">
        <v>0.44073483211678099</v>
      </c>
      <c r="C82">
        <v>0.94779116465863456</v>
      </c>
    </row>
    <row r="83" spans="2:3" x14ac:dyDescent="0.2">
      <c r="B83">
        <v>0.43822773011510302</v>
      </c>
      <c r="C83">
        <v>0.94712182061579653</v>
      </c>
    </row>
    <row r="84" spans="2:3" x14ac:dyDescent="0.2">
      <c r="B84">
        <v>0.43650761001521399</v>
      </c>
      <c r="C84">
        <v>0.9464524765729585</v>
      </c>
    </row>
    <row r="85" spans="2:3" x14ac:dyDescent="0.2">
      <c r="B85">
        <v>0.43649767703154302</v>
      </c>
      <c r="C85">
        <v>0.94578313253012047</v>
      </c>
    </row>
    <row r="86" spans="2:3" x14ac:dyDescent="0.2">
      <c r="B86">
        <v>0.43550514016862502</v>
      </c>
      <c r="C86">
        <v>0.94511378848728245</v>
      </c>
    </row>
    <row r="87" spans="2:3" x14ac:dyDescent="0.2">
      <c r="B87">
        <v>0.43441638346654099</v>
      </c>
      <c r="C87">
        <v>0.94444444444444442</v>
      </c>
    </row>
    <row r="88" spans="2:3" x14ac:dyDescent="0.2">
      <c r="B88">
        <v>0.433078700537815</v>
      </c>
      <c r="C88">
        <v>0.94377510040160639</v>
      </c>
    </row>
    <row r="89" spans="2:3" x14ac:dyDescent="0.2">
      <c r="B89">
        <v>0.43271941376627399</v>
      </c>
      <c r="C89">
        <v>0.94310575635876837</v>
      </c>
    </row>
    <row r="90" spans="2:3" x14ac:dyDescent="0.2">
      <c r="B90">
        <v>0.43225333993934201</v>
      </c>
      <c r="C90">
        <v>0.94243641231593034</v>
      </c>
    </row>
    <row r="91" spans="2:3" x14ac:dyDescent="0.2">
      <c r="B91">
        <v>0.43217150222420497</v>
      </c>
      <c r="C91">
        <v>0.94176706827309242</v>
      </c>
    </row>
    <row r="92" spans="2:3" x14ac:dyDescent="0.2">
      <c r="B92">
        <v>0.43161776248361999</v>
      </c>
      <c r="C92">
        <v>0.9410977242302544</v>
      </c>
    </row>
    <row r="93" spans="2:3" x14ac:dyDescent="0.2">
      <c r="B93">
        <v>0.431428292099862</v>
      </c>
      <c r="C93">
        <v>0.94042838018741637</v>
      </c>
    </row>
    <row r="94" spans="2:3" x14ac:dyDescent="0.2">
      <c r="B94">
        <v>0.43021239403412598</v>
      </c>
      <c r="C94">
        <v>0.93975903614457834</v>
      </c>
    </row>
    <row r="95" spans="2:3" x14ac:dyDescent="0.2">
      <c r="B95">
        <v>0.42938196369613202</v>
      </c>
      <c r="C95">
        <v>0.93908969210174031</v>
      </c>
    </row>
    <row r="96" spans="2:3" x14ac:dyDescent="0.2">
      <c r="B96">
        <v>0.42754268098624498</v>
      </c>
      <c r="C96">
        <v>0.93842034805890229</v>
      </c>
    </row>
    <row r="97" spans="2:3" x14ac:dyDescent="0.2">
      <c r="B97">
        <v>0.42657120481315902</v>
      </c>
      <c r="C97">
        <v>0.93775100401606426</v>
      </c>
    </row>
    <row r="98" spans="2:3" x14ac:dyDescent="0.2">
      <c r="B98">
        <v>0.42447218917305701</v>
      </c>
      <c r="C98">
        <v>0.93708165997322623</v>
      </c>
    </row>
    <row r="99" spans="2:3" x14ac:dyDescent="0.2">
      <c r="B99">
        <v>0.42408403628556801</v>
      </c>
      <c r="C99">
        <v>0.93641231593038821</v>
      </c>
    </row>
    <row r="100" spans="2:3" x14ac:dyDescent="0.2">
      <c r="B100">
        <v>0.42406577559722602</v>
      </c>
      <c r="C100">
        <v>0.93574297188755018</v>
      </c>
    </row>
    <row r="101" spans="2:3" x14ac:dyDescent="0.2">
      <c r="B101">
        <v>0.42372673570428798</v>
      </c>
      <c r="C101">
        <v>0.93507362784471215</v>
      </c>
    </row>
    <row r="102" spans="2:3" x14ac:dyDescent="0.2">
      <c r="B102">
        <v>0.42251083860002298</v>
      </c>
      <c r="C102">
        <v>0.93440428380187412</v>
      </c>
    </row>
    <row r="103" spans="2:3" x14ac:dyDescent="0.2">
      <c r="B103">
        <v>0.421093360518769</v>
      </c>
      <c r="C103">
        <v>0.9337349397590361</v>
      </c>
    </row>
    <row r="104" spans="2:3" x14ac:dyDescent="0.2">
      <c r="B104">
        <v>0.420872810960289</v>
      </c>
      <c r="C104">
        <v>0.93306559571619807</v>
      </c>
    </row>
    <row r="105" spans="2:3" x14ac:dyDescent="0.2">
      <c r="B105">
        <v>0.42052032511079401</v>
      </c>
      <c r="C105">
        <v>0.93239625167336015</v>
      </c>
    </row>
    <row r="106" spans="2:3" x14ac:dyDescent="0.2">
      <c r="B106">
        <v>0.42036446759995399</v>
      </c>
      <c r="C106">
        <v>0.93172690763052213</v>
      </c>
    </row>
    <row r="107" spans="2:3" x14ac:dyDescent="0.2">
      <c r="B107">
        <v>0.41641369856944699</v>
      </c>
      <c r="C107">
        <v>0.9310575635876841</v>
      </c>
    </row>
    <row r="108" spans="2:3" x14ac:dyDescent="0.2">
      <c r="B108">
        <v>0.41511394792620099</v>
      </c>
      <c r="C108">
        <v>0.93038821954484607</v>
      </c>
    </row>
    <row r="109" spans="2:3" x14ac:dyDescent="0.2">
      <c r="B109">
        <v>0.41291303154498299</v>
      </c>
      <c r="C109">
        <v>0.92971887550200805</v>
      </c>
    </row>
    <row r="110" spans="2:3" x14ac:dyDescent="0.2">
      <c r="B110">
        <v>0.41073119094430899</v>
      </c>
      <c r="C110">
        <v>0.92904953145917002</v>
      </c>
    </row>
    <row r="111" spans="2:3" x14ac:dyDescent="0.2">
      <c r="B111">
        <v>0.41067232063965198</v>
      </c>
      <c r="C111">
        <v>0.92838018741633199</v>
      </c>
    </row>
    <row r="112" spans="2:3" x14ac:dyDescent="0.2">
      <c r="B112">
        <v>0.41004328175654597</v>
      </c>
      <c r="C112">
        <v>0.92771084337349397</v>
      </c>
    </row>
    <row r="113" spans="2:3" x14ac:dyDescent="0.2">
      <c r="B113">
        <v>0.40900686134473002</v>
      </c>
      <c r="C113">
        <v>0.92704149933065594</v>
      </c>
    </row>
    <row r="114" spans="2:3" x14ac:dyDescent="0.2">
      <c r="B114">
        <v>0.40819842613416302</v>
      </c>
      <c r="C114">
        <v>0.92637215528781791</v>
      </c>
    </row>
    <row r="115" spans="2:3" x14ac:dyDescent="0.2">
      <c r="B115">
        <v>0.40818301896738801</v>
      </c>
      <c r="C115">
        <v>0.92570281124497988</v>
      </c>
    </row>
    <row r="116" spans="2:3" x14ac:dyDescent="0.2">
      <c r="B116">
        <v>0.40723454666273301</v>
      </c>
      <c r="C116">
        <v>0.92503346720214186</v>
      </c>
    </row>
    <row r="117" spans="2:3" x14ac:dyDescent="0.2">
      <c r="B117">
        <v>0.40574756043498</v>
      </c>
      <c r="C117">
        <v>0.92436412315930383</v>
      </c>
    </row>
    <row r="118" spans="2:3" x14ac:dyDescent="0.2">
      <c r="B118">
        <v>0.405487033558801</v>
      </c>
      <c r="C118">
        <v>0.92369477911646591</v>
      </c>
    </row>
    <row r="119" spans="2:3" x14ac:dyDescent="0.2">
      <c r="B119">
        <v>0.40520496805306</v>
      </c>
      <c r="C119">
        <v>0.92302543507362789</v>
      </c>
    </row>
    <row r="120" spans="2:3" x14ac:dyDescent="0.2">
      <c r="B120">
        <v>0.40399764045293801</v>
      </c>
      <c r="C120">
        <v>0.92235609103078986</v>
      </c>
    </row>
    <row r="121" spans="2:3" x14ac:dyDescent="0.2">
      <c r="B121">
        <v>0.40391320746798798</v>
      </c>
      <c r="C121">
        <v>0.92168674698795183</v>
      </c>
    </row>
    <row r="122" spans="2:3" x14ac:dyDescent="0.2">
      <c r="B122">
        <v>0.40224177310618597</v>
      </c>
      <c r="C122">
        <v>0.92101740294511381</v>
      </c>
    </row>
    <row r="123" spans="2:3" x14ac:dyDescent="0.2">
      <c r="B123">
        <v>0.40170125111189903</v>
      </c>
      <c r="C123">
        <v>0.92034805890227578</v>
      </c>
    </row>
    <row r="124" spans="2:3" x14ac:dyDescent="0.2">
      <c r="B124">
        <v>0.399414374858447</v>
      </c>
      <c r="C124">
        <v>0.91967871485943775</v>
      </c>
    </row>
    <row r="125" spans="2:3" x14ac:dyDescent="0.2">
      <c r="B125">
        <v>0.39936550524465803</v>
      </c>
      <c r="C125">
        <v>0.91900937081659972</v>
      </c>
    </row>
    <row r="126" spans="2:3" x14ac:dyDescent="0.2">
      <c r="B126">
        <v>0.39921874327416901</v>
      </c>
      <c r="C126">
        <v>0.9183400267737617</v>
      </c>
    </row>
    <row r="127" spans="2:3" x14ac:dyDescent="0.2">
      <c r="B127">
        <v>0.39845229544225003</v>
      </c>
      <c r="C127">
        <v>0.91767068273092367</v>
      </c>
    </row>
    <row r="128" spans="2:3" x14ac:dyDescent="0.2">
      <c r="B128">
        <v>0.39588502896134597</v>
      </c>
      <c r="C128">
        <v>0.91700133868808564</v>
      </c>
    </row>
    <row r="129" spans="2:3" x14ac:dyDescent="0.2">
      <c r="B129">
        <v>0.39489528779100602</v>
      </c>
      <c r="C129">
        <v>0.91633199464524762</v>
      </c>
    </row>
    <row r="130" spans="2:3" x14ac:dyDescent="0.2">
      <c r="B130">
        <v>0.39322500231907798</v>
      </c>
      <c r="C130">
        <v>0.91566265060240959</v>
      </c>
    </row>
    <row r="131" spans="2:3" x14ac:dyDescent="0.2">
      <c r="B131">
        <v>0.39241335243050701</v>
      </c>
      <c r="C131">
        <v>0.91499330655957167</v>
      </c>
    </row>
    <row r="132" spans="2:3" x14ac:dyDescent="0.2">
      <c r="B132">
        <v>0.39213736582012498</v>
      </c>
      <c r="C132">
        <v>0.91432396251673365</v>
      </c>
    </row>
    <row r="133" spans="2:3" x14ac:dyDescent="0.2">
      <c r="B133">
        <v>0.39169586635394499</v>
      </c>
      <c r="C133">
        <v>0.91365461847389562</v>
      </c>
    </row>
    <row r="134" spans="2:3" x14ac:dyDescent="0.2">
      <c r="B134">
        <v>0.39073238184020398</v>
      </c>
      <c r="C134">
        <v>0.91298527443105759</v>
      </c>
    </row>
    <row r="135" spans="2:3" x14ac:dyDescent="0.2">
      <c r="B135">
        <v>0.39043254369027303</v>
      </c>
      <c r="C135">
        <v>0.91231593038821956</v>
      </c>
    </row>
    <row r="136" spans="2:3" x14ac:dyDescent="0.2">
      <c r="B136">
        <v>0.38992992633411599</v>
      </c>
      <c r="C136">
        <v>0.91164658634538154</v>
      </c>
    </row>
    <row r="137" spans="2:3" x14ac:dyDescent="0.2">
      <c r="B137">
        <v>0.38956879340956202</v>
      </c>
      <c r="C137">
        <v>0.91097724230254351</v>
      </c>
    </row>
    <row r="138" spans="2:3" x14ac:dyDescent="0.2">
      <c r="B138">
        <v>0.38702615866259898</v>
      </c>
      <c r="C138">
        <v>0.91030789825970548</v>
      </c>
    </row>
    <row r="139" spans="2:3" x14ac:dyDescent="0.2">
      <c r="B139">
        <v>0.385788000862546</v>
      </c>
      <c r="C139">
        <v>0.90963855421686746</v>
      </c>
    </row>
    <row r="140" spans="2:3" x14ac:dyDescent="0.2">
      <c r="B140">
        <v>0.38519493272864203</v>
      </c>
      <c r="C140">
        <v>0.90896921017402943</v>
      </c>
    </row>
    <row r="141" spans="2:3" x14ac:dyDescent="0.2">
      <c r="B141">
        <v>0.383172782335363</v>
      </c>
      <c r="C141">
        <v>0.9082998661311914</v>
      </c>
    </row>
    <row r="142" spans="2:3" x14ac:dyDescent="0.2">
      <c r="B142">
        <v>0.380818686795456</v>
      </c>
      <c r="C142">
        <v>0.90763052208835338</v>
      </c>
    </row>
    <row r="143" spans="2:3" x14ac:dyDescent="0.2">
      <c r="B143">
        <v>0.38070000294867601</v>
      </c>
      <c r="C143">
        <v>0.90696117804551535</v>
      </c>
    </row>
    <row r="144" spans="2:3" x14ac:dyDescent="0.2">
      <c r="B144">
        <v>0.38055608989798601</v>
      </c>
      <c r="C144">
        <v>0.90629183400267732</v>
      </c>
    </row>
    <row r="145" spans="2:3" x14ac:dyDescent="0.2">
      <c r="B145">
        <v>0.37916791931337201</v>
      </c>
      <c r="C145">
        <v>0.90562248995983941</v>
      </c>
    </row>
    <row r="146" spans="2:3" x14ac:dyDescent="0.2">
      <c r="B146">
        <v>0.37899845476188698</v>
      </c>
      <c r="C146">
        <v>0.90495314591700138</v>
      </c>
    </row>
    <row r="147" spans="2:3" x14ac:dyDescent="0.2">
      <c r="B147">
        <v>0.378934681725275</v>
      </c>
      <c r="C147">
        <v>0.90428380187416335</v>
      </c>
    </row>
    <row r="148" spans="2:3" x14ac:dyDescent="0.2">
      <c r="B148">
        <v>0.37816590730782301</v>
      </c>
      <c r="C148">
        <v>0.90361445783132532</v>
      </c>
    </row>
    <row r="149" spans="2:3" x14ac:dyDescent="0.2">
      <c r="B149">
        <v>0.37578004693985001</v>
      </c>
      <c r="C149">
        <v>0.9029451137884873</v>
      </c>
    </row>
    <row r="150" spans="2:3" x14ac:dyDescent="0.2">
      <c r="B150">
        <v>0.37448182100663402</v>
      </c>
      <c r="C150">
        <v>0.90227576974564927</v>
      </c>
    </row>
    <row r="151" spans="2:3" x14ac:dyDescent="0.2">
      <c r="B151">
        <v>0.37406945377775602</v>
      </c>
      <c r="C151">
        <v>0.90160642570281124</v>
      </c>
    </row>
    <row r="152" spans="2:3" x14ac:dyDescent="0.2">
      <c r="B152">
        <v>0.37343048161258602</v>
      </c>
      <c r="C152">
        <v>0.90093708165997322</v>
      </c>
    </row>
    <row r="153" spans="2:3" x14ac:dyDescent="0.2">
      <c r="B153">
        <v>0.37333829861189599</v>
      </c>
      <c r="C153">
        <v>0.90026773761713519</v>
      </c>
    </row>
    <row r="154" spans="2:3" x14ac:dyDescent="0.2">
      <c r="B154">
        <v>0.37136643775085798</v>
      </c>
      <c r="C154">
        <v>0.89959839357429716</v>
      </c>
    </row>
    <row r="155" spans="2:3" x14ac:dyDescent="0.2">
      <c r="B155">
        <v>0.37111087370830997</v>
      </c>
      <c r="C155">
        <v>0.89892904953145913</v>
      </c>
    </row>
    <row r="156" spans="2:3" x14ac:dyDescent="0.2">
      <c r="B156">
        <v>0.37063300078303202</v>
      </c>
      <c r="C156">
        <v>0.89825970548862111</v>
      </c>
    </row>
    <row r="157" spans="2:3" x14ac:dyDescent="0.2">
      <c r="B157">
        <v>0.370269997608347</v>
      </c>
      <c r="C157">
        <v>0.89759036144578308</v>
      </c>
    </row>
    <row r="158" spans="2:3" x14ac:dyDescent="0.2">
      <c r="B158">
        <v>0.369437783157684</v>
      </c>
      <c r="C158">
        <v>0.89692101740294516</v>
      </c>
    </row>
    <row r="159" spans="2:3" x14ac:dyDescent="0.2">
      <c r="B159">
        <v>0.36875248812801298</v>
      </c>
      <c r="C159">
        <v>0.89625167336010714</v>
      </c>
    </row>
    <row r="160" spans="2:3" x14ac:dyDescent="0.2">
      <c r="B160">
        <v>0.36774232199436002</v>
      </c>
      <c r="C160">
        <v>0.89558232931726911</v>
      </c>
    </row>
    <row r="161" spans="2:3" x14ac:dyDescent="0.2">
      <c r="B161">
        <v>0.367328453676666</v>
      </c>
      <c r="C161">
        <v>0.89491298527443108</v>
      </c>
    </row>
    <row r="162" spans="2:3" x14ac:dyDescent="0.2">
      <c r="B162">
        <v>0.36672388572834902</v>
      </c>
      <c r="C162">
        <v>0.89424364123159306</v>
      </c>
    </row>
    <row r="163" spans="2:3" x14ac:dyDescent="0.2">
      <c r="B163">
        <v>0.36590545660700002</v>
      </c>
      <c r="C163">
        <v>0.89357429718875503</v>
      </c>
    </row>
    <row r="164" spans="2:3" x14ac:dyDescent="0.2">
      <c r="B164">
        <v>0.36588247398088503</v>
      </c>
      <c r="C164">
        <v>0.892904953145917</v>
      </c>
    </row>
    <row r="165" spans="2:3" x14ac:dyDescent="0.2">
      <c r="B165">
        <v>0.36575240115882002</v>
      </c>
      <c r="C165">
        <v>0.89223560910307897</v>
      </c>
    </row>
    <row r="166" spans="2:3" x14ac:dyDescent="0.2">
      <c r="B166">
        <v>0.36547653065649699</v>
      </c>
      <c r="C166">
        <v>0.89156626506024095</v>
      </c>
    </row>
    <row r="167" spans="2:3" x14ac:dyDescent="0.2">
      <c r="B167">
        <v>0.36454066122699602</v>
      </c>
      <c r="C167">
        <v>0.89089692101740292</v>
      </c>
    </row>
    <row r="168" spans="2:3" x14ac:dyDescent="0.2">
      <c r="B168">
        <v>0.36369589403610902</v>
      </c>
      <c r="C168">
        <v>0.89022757697456489</v>
      </c>
    </row>
    <row r="169" spans="2:3" x14ac:dyDescent="0.2">
      <c r="B169">
        <v>0.363552719549673</v>
      </c>
      <c r="C169">
        <v>0.88955823293172687</v>
      </c>
    </row>
    <row r="170" spans="2:3" x14ac:dyDescent="0.2">
      <c r="B170">
        <v>0.362551210004327</v>
      </c>
      <c r="C170">
        <v>0.88888888888888884</v>
      </c>
    </row>
    <row r="171" spans="2:3" x14ac:dyDescent="0.2">
      <c r="B171">
        <v>0.36031211370799998</v>
      </c>
      <c r="C171">
        <v>0.88821954484605092</v>
      </c>
    </row>
    <row r="172" spans="2:3" x14ac:dyDescent="0.2">
      <c r="B172">
        <v>0.357942434081095</v>
      </c>
      <c r="C172">
        <v>0.8875502008032129</v>
      </c>
    </row>
    <row r="173" spans="2:3" x14ac:dyDescent="0.2">
      <c r="B173">
        <v>0.35781029295741301</v>
      </c>
      <c r="C173">
        <v>0.88688085676037487</v>
      </c>
    </row>
    <row r="174" spans="2:3" x14ac:dyDescent="0.2">
      <c r="B174">
        <v>0.35721817511949899</v>
      </c>
      <c r="C174">
        <v>0.88621151271753684</v>
      </c>
    </row>
    <row r="175" spans="2:3" x14ac:dyDescent="0.2">
      <c r="B175">
        <v>0.35677627067703899</v>
      </c>
      <c r="C175">
        <v>0.88554216867469882</v>
      </c>
    </row>
    <row r="176" spans="2:3" x14ac:dyDescent="0.2">
      <c r="B176">
        <v>0.35549083528966702</v>
      </c>
      <c r="C176">
        <v>0.88487282463186079</v>
      </c>
    </row>
    <row r="177" spans="2:3" x14ac:dyDescent="0.2">
      <c r="B177">
        <v>0.35510811843507101</v>
      </c>
      <c r="C177">
        <v>0.88420348058902276</v>
      </c>
    </row>
    <row r="178" spans="2:3" x14ac:dyDescent="0.2">
      <c r="B178">
        <v>0.35459421804832097</v>
      </c>
      <c r="C178">
        <v>0.88353413654618473</v>
      </c>
    </row>
    <row r="179" spans="2:3" x14ac:dyDescent="0.2">
      <c r="B179">
        <v>0.35440769277161299</v>
      </c>
      <c r="C179">
        <v>0.88286479250334671</v>
      </c>
    </row>
    <row r="180" spans="2:3" x14ac:dyDescent="0.2">
      <c r="B180">
        <v>0.35239761170497802</v>
      </c>
      <c r="C180">
        <v>0.88219544846050868</v>
      </c>
    </row>
    <row r="181" spans="2:3" x14ac:dyDescent="0.2">
      <c r="B181">
        <v>0.35189019352658002</v>
      </c>
      <c r="C181">
        <v>0.88152610441767065</v>
      </c>
    </row>
    <row r="182" spans="2:3" x14ac:dyDescent="0.2">
      <c r="B182">
        <v>0.35176470088553902</v>
      </c>
      <c r="C182">
        <v>0.88085676037483263</v>
      </c>
    </row>
    <row r="183" spans="2:3" x14ac:dyDescent="0.2">
      <c r="B183">
        <v>0.351316137526893</v>
      </c>
      <c r="C183">
        <v>0.8801874163319946</v>
      </c>
    </row>
    <row r="184" spans="2:3" x14ac:dyDescent="0.2">
      <c r="B184">
        <v>0.35039189333849702</v>
      </c>
      <c r="C184">
        <v>0.87951807228915657</v>
      </c>
    </row>
    <row r="185" spans="2:3" x14ac:dyDescent="0.2">
      <c r="B185">
        <v>0.35016873952830901</v>
      </c>
      <c r="C185">
        <v>0.87884872824631866</v>
      </c>
    </row>
    <row r="186" spans="2:3" x14ac:dyDescent="0.2">
      <c r="B186">
        <v>0.349945388736985</v>
      </c>
      <c r="C186">
        <v>0.87817938420348063</v>
      </c>
    </row>
    <row r="187" spans="2:3" x14ac:dyDescent="0.2">
      <c r="B187">
        <v>0.349200299798407</v>
      </c>
      <c r="C187">
        <v>0.8775100401606426</v>
      </c>
    </row>
    <row r="188" spans="2:3" x14ac:dyDescent="0.2">
      <c r="B188">
        <v>0.34759332259938502</v>
      </c>
      <c r="C188">
        <v>0.87684069611780457</v>
      </c>
    </row>
    <row r="189" spans="2:3" x14ac:dyDescent="0.2">
      <c r="B189">
        <v>0.34506355590725901</v>
      </c>
      <c r="C189">
        <v>0.87617135207496655</v>
      </c>
    </row>
    <row r="190" spans="2:3" x14ac:dyDescent="0.2">
      <c r="B190">
        <v>0.34266414405009299</v>
      </c>
      <c r="C190">
        <v>0.87550200803212852</v>
      </c>
    </row>
    <row r="191" spans="2:3" x14ac:dyDescent="0.2">
      <c r="B191">
        <v>0.34241304877861301</v>
      </c>
      <c r="C191">
        <v>0.87483266398929049</v>
      </c>
    </row>
    <row r="192" spans="2:3" x14ac:dyDescent="0.2">
      <c r="B192">
        <v>0.34213980691524498</v>
      </c>
      <c r="C192">
        <v>0.87416331994645247</v>
      </c>
    </row>
    <row r="193" spans="2:3" x14ac:dyDescent="0.2">
      <c r="B193">
        <v>0.34187835837783698</v>
      </c>
      <c r="C193">
        <v>0.87349397590361444</v>
      </c>
    </row>
    <row r="194" spans="2:3" x14ac:dyDescent="0.2">
      <c r="B194">
        <v>0.34108579201086803</v>
      </c>
      <c r="C194">
        <v>0.87282463186077641</v>
      </c>
    </row>
    <row r="195" spans="2:3" x14ac:dyDescent="0.2">
      <c r="B195">
        <v>0.34086182937598403</v>
      </c>
      <c r="C195">
        <v>0.87215528781793838</v>
      </c>
    </row>
    <row r="196" spans="2:3" x14ac:dyDescent="0.2">
      <c r="B196">
        <v>0.33981477251883002</v>
      </c>
      <c r="C196">
        <v>0.87148594377510036</v>
      </c>
    </row>
    <row r="197" spans="2:3" x14ac:dyDescent="0.2">
      <c r="B197">
        <v>0.33969527132840099</v>
      </c>
      <c r="C197">
        <v>0.87081659973226233</v>
      </c>
    </row>
    <row r="198" spans="2:3" x14ac:dyDescent="0.2">
      <c r="B198">
        <v>0.33844399061382902</v>
      </c>
      <c r="C198">
        <v>0.87014725568942441</v>
      </c>
    </row>
    <row r="199" spans="2:3" x14ac:dyDescent="0.2">
      <c r="B199">
        <v>0.33746609513992998</v>
      </c>
      <c r="C199">
        <v>0.86947791164658639</v>
      </c>
    </row>
    <row r="200" spans="2:3" x14ac:dyDescent="0.2">
      <c r="B200">
        <v>0.33743396068131898</v>
      </c>
      <c r="C200">
        <v>0.86880856760374836</v>
      </c>
    </row>
    <row r="201" spans="2:3" x14ac:dyDescent="0.2">
      <c r="B201">
        <v>0.336281941993194</v>
      </c>
      <c r="C201">
        <v>0.86813922356091033</v>
      </c>
    </row>
    <row r="202" spans="2:3" x14ac:dyDescent="0.2">
      <c r="B202">
        <v>0.33621521916837199</v>
      </c>
      <c r="C202">
        <v>0.86746987951807231</v>
      </c>
    </row>
    <row r="203" spans="2:3" x14ac:dyDescent="0.2">
      <c r="B203">
        <v>0.33599612541525398</v>
      </c>
      <c r="C203">
        <v>0.86680053547523428</v>
      </c>
    </row>
    <row r="204" spans="2:3" x14ac:dyDescent="0.2">
      <c r="B204">
        <v>0.33586303877167401</v>
      </c>
      <c r="C204">
        <v>0.86613119143239625</v>
      </c>
    </row>
    <row r="205" spans="2:3" x14ac:dyDescent="0.2">
      <c r="B205">
        <v>0.33464178460333899</v>
      </c>
      <c r="C205">
        <v>0.86546184738955823</v>
      </c>
    </row>
    <row r="206" spans="2:3" x14ac:dyDescent="0.2">
      <c r="B206">
        <v>0.333954826617548</v>
      </c>
      <c r="C206">
        <v>0.8647925033467202</v>
      </c>
    </row>
    <row r="207" spans="2:3" x14ac:dyDescent="0.2">
      <c r="B207">
        <v>0.33363247479930602</v>
      </c>
      <c r="C207">
        <v>0.86412315930388217</v>
      </c>
    </row>
    <row r="208" spans="2:3" x14ac:dyDescent="0.2">
      <c r="B208">
        <v>0.333159650840959</v>
      </c>
      <c r="C208">
        <v>0.86345381526104414</v>
      </c>
    </row>
    <row r="209" spans="2:3" x14ac:dyDescent="0.2">
      <c r="B209">
        <v>0.33265812945491802</v>
      </c>
      <c r="C209">
        <v>0.86278447121820612</v>
      </c>
    </row>
    <row r="210" spans="2:3" x14ac:dyDescent="0.2">
      <c r="B210">
        <v>0.33178716614781201</v>
      </c>
      <c r="C210">
        <v>0.86211512717536809</v>
      </c>
    </row>
    <row r="211" spans="2:3" x14ac:dyDescent="0.2">
      <c r="B211">
        <v>0.33171577263838098</v>
      </c>
      <c r="C211">
        <v>0.86144578313253017</v>
      </c>
    </row>
    <row r="212" spans="2:3" x14ac:dyDescent="0.2">
      <c r="B212">
        <v>0.331203671588229</v>
      </c>
      <c r="C212">
        <v>0.86077643908969215</v>
      </c>
    </row>
    <row r="213" spans="2:3" x14ac:dyDescent="0.2">
      <c r="B213">
        <v>0.33114607432438298</v>
      </c>
      <c r="C213">
        <v>0.86010709504685412</v>
      </c>
    </row>
    <row r="214" spans="2:3" x14ac:dyDescent="0.2">
      <c r="B214">
        <v>0.33038772430552399</v>
      </c>
      <c r="C214">
        <v>0.85943775100401609</v>
      </c>
    </row>
    <row r="215" spans="2:3" x14ac:dyDescent="0.2">
      <c r="B215">
        <v>0.33001003313053001</v>
      </c>
      <c r="C215">
        <v>0.85876840696117807</v>
      </c>
    </row>
    <row r="216" spans="2:3" x14ac:dyDescent="0.2">
      <c r="B216">
        <v>0.32994696078777502</v>
      </c>
      <c r="C216">
        <v>0.85809906291834004</v>
      </c>
    </row>
    <row r="217" spans="2:3" x14ac:dyDescent="0.2">
      <c r="B217">
        <v>0.32962355932998599</v>
      </c>
      <c r="C217">
        <v>0.85742971887550201</v>
      </c>
    </row>
    <row r="218" spans="2:3" x14ac:dyDescent="0.2">
      <c r="B218">
        <v>0.32888277813245598</v>
      </c>
      <c r="C218">
        <v>0.85676037483266398</v>
      </c>
    </row>
    <row r="219" spans="2:3" x14ac:dyDescent="0.2">
      <c r="B219">
        <v>0.32737634806650601</v>
      </c>
      <c r="C219">
        <v>0.85609103078982596</v>
      </c>
    </row>
    <row r="220" spans="2:3" x14ac:dyDescent="0.2">
      <c r="B220">
        <v>0.32629080657590198</v>
      </c>
      <c r="C220">
        <v>0.85542168674698793</v>
      </c>
    </row>
    <row r="221" spans="2:3" x14ac:dyDescent="0.2">
      <c r="B221">
        <v>0.32574238156819302</v>
      </c>
      <c r="C221">
        <v>0.8547523427041499</v>
      </c>
    </row>
    <row r="222" spans="2:3" x14ac:dyDescent="0.2">
      <c r="B222">
        <v>0.32533340676078898</v>
      </c>
      <c r="C222">
        <v>0.85408299866131188</v>
      </c>
    </row>
    <row r="223" spans="2:3" x14ac:dyDescent="0.2">
      <c r="B223">
        <v>0.323628643151819</v>
      </c>
      <c r="C223">
        <v>0.85341365461847385</v>
      </c>
    </row>
    <row r="224" spans="2:3" x14ac:dyDescent="0.2">
      <c r="B224">
        <v>0.32287641693089802</v>
      </c>
      <c r="C224">
        <v>0.85274431057563582</v>
      </c>
    </row>
    <row r="225" spans="2:3" x14ac:dyDescent="0.2">
      <c r="B225">
        <v>0.322127105824352</v>
      </c>
      <c r="C225">
        <v>0.85207496653279791</v>
      </c>
    </row>
    <row r="226" spans="2:3" x14ac:dyDescent="0.2">
      <c r="B226">
        <v>0.31973681708822199</v>
      </c>
      <c r="C226">
        <v>0.85140562248995988</v>
      </c>
    </row>
    <row r="227" spans="2:3" x14ac:dyDescent="0.2">
      <c r="B227">
        <v>0.31954375157466303</v>
      </c>
      <c r="C227">
        <v>0.85073627844712185</v>
      </c>
    </row>
    <row r="228" spans="2:3" x14ac:dyDescent="0.2">
      <c r="B228">
        <v>0.31942491377847398</v>
      </c>
      <c r="C228">
        <v>0.85006693440428382</v>
      </c>
    </row>
    <row r="229" spans="2:3" x14ac:dyDescent="0.2">
      <c r="B229">
        <v>0.317866573171394</v>
      </c>
      <c r="C229">
        <v>0.8493975903614458</v>
      </c>
    </row>
    <row r="230" spans="2:3" x14ac:dyDescent="0.2">
      <c r="B230">
        <v>0.317680430441451</v>
      </c>
      <c r="C230">
        <v>0.84872824631860777</v>
      </c>
    </row>
    <row r="231" spans="2:3" x14ac:dyDescent="0.2">
      <c r="B231">
        <v>0.317618680290225</v>
      </c>
      <c r="C231">
        <v>0.84805890227576974</v>
      </c>
    </row>
    <row r="232" spans="2:3" x14ac:dyDescent="0.2">
      <c r="B232">
        <v>0.31750685770673298</v>
      </c>
      <c r="C232">
        <v>0.84738955823293172</v>
      </c>
    </row>
    <row r="233" spans="2:3" x14ac:dyDescent="0.2">
      <c r="B233">
        <v>0.31726821151609502</v>
      </c>
      <c r="C233">
        <v>0.84672021419009369</v>
      </c>
    </row>
    <row r="234" spans="2:3" x14ac:dyDescent="0.2">
      <c r="B234">
        <v>0.317039910596501</v>
      </c>
      <c r="C234">
        <v>0.84605087014725566</v>
      </c>
    </row>
    <row r="235" spans="2:3" x14ac:dyDescent="0.2">
      <c r="B235">
        <v>0.31694918487958801</v>
      </c>
      <c r="C235">
        <v>0.84538152610441764</v>
      </c>
    </row>
    <row r="236" spans="2:3" x14ac:dyDescent="0.2">
      <c r="B236">
        <v>0.31671511984133699</v>
      </c>
      <c r="C236">
        <v>0.84471218206157961</v>
      </c>
    </row>
    <row r="237" spans="2:3" x14ac:dyDescent="0.2">
      <c r="B237">
        <v>0.31669722885762602</v>
      </c>
      <c r="C237">
        <v>0.84404283801874158</v>
      </c>
    </row>
    <row r="238" spans="2:3" x14ac:dyDescent="0.2">
      <c r="B238">
        <v>0.31657456830294001</v>
      </c>
      <c r="C238">
        <v>0.84337349397590367</v>
      </c>
    </row>
    <row r="239" spans="2:3" x14ac:dyDescent="0.2">
      <c r="B239">
        <v>0.31620988054872601</v>
      </c>
      <c r="C239">
        <v>0.84270414993306564</v>
      </c>
    </row>
    <row r="240" spans="2:3" x14ac:dyDescent="0.2">
      <c r="B240">
        <v>0.315691166439105</v>
      </c>
      <c r="C240">
        <v>0.84203480589022761</v>
      </c>
    </row>
    <row r="241" spans="2:3" x14ac:dyDescent="0.2">
      <c r="B241">
        <v>0.31550517923447902</v>
      </c>
      <c r="C241">
        <v>0.84136546184738958</v>
      </c>
    </row>
    <row r="242" spans="2:3" x14ac:dyDescent="0.2">
      <c r="B242">
        <v>0.31512136068466201</v>
      </c>
      <c r="C242">
        <v>0.84069611780455156</v>
      </c>
    </row>
    <row r="243" spans="2:3" x14ac:dyDescent="0.2">
      <c r="B243">
        <v>0.31471166647993898</v>
      </c>
      <c r="C243">
        <v>0.84002677376171353</v>
      </c>
    </row>
    <row r="244" spans="2:3" x14ac:dyDescent="0.2">
      <c r="B244">
        <v>0.314523318833898</v>
      </c>
      <c r="C244">
        <v>0.8393574297188755</v>
      </c>
    </row>
    <row r="245" spans="2:3" x14ac:dyDescent="0.2">
      <c r="B245">
        <v>0.313894100168085</v>
      </c>
      <c r="C245">
        <v>0.83868808567603748</v>
      </c>
    </row>
    <row r="246" spans="2:3" x14ac:dyDescent="0.2">
      <c r="B246">
        <v>0.31380430793483699</v>
      </c>
      <c r="C246">
        <v>0.83801874163319945</v>
      </c>
    </row>
    <row r="247" spans="2:3" x14ac:dyDescent="0.2">
      <c r="B247">
        <v>0.31342318772816302</v>
      </c>
      <c r="C247">
        <v>0.83734939759036142</v>
      </c>
    </row>
    <row r="248" spans="2:3" x14ac:dyDescent="0.2">
      <c r="B248">
        <v>0.3132456062392</v>
      </c>
      <c r="C248">
        <v>0.83668005354752339</v>
      </c>
    </row>
    <row r="249" spans="2:3" x14ac:dyDescent="0.2">
      <c r="B249">
        <v>0.312621216298822</v>
      </c>
      <c r="C249">
        <v>0.83601070950468537</v>
      </c>
    </row>
    <row r="250" spans="2:3" x14ac:dyDescent="0.2">
      <c r="B250">
        <v>0.310997704807777</v>
      </c>
      <c r="C250">
        <v>0.83534136546184734</v>
      </c>
    </row>
    <row r="251" spans="2:3" x14ac:dyDescent="0.2">
      <c r="B251">
        <v>0.309761017203663</v>
      </c>
      <c r="C251">
        <v>0.83467202141900942</v>
      </c>
    </row>
    <row r="252" spans="2:3" x14ac:dyDescent="0.2">
      <c r="B252">
        <v>0.30948040386556203</v>
      </c>
      <c r="C252">
        <v>0.8340026773761714</v>
      </c>
    </row>
    <row r="253" spans="2:3" x14ac:dyDescent="0.2">
      <c r="B253">
        <v>0.309062071451639</v>
      </c>
      <c r="C253">
        <v>0.83333333333333337</v>
      </c>
    </row>
    <row r="254" spans="2:3" x14ac:dyDescent="0.2">
      <c r="B254">
        <v>0.308782337829003</v>
      </c>
      <c r="C254">
        <v>0.83266398929049534</v>
      </c>
    </row>
    <row r="255" spans="2:3" x14ac:dyDescent="0.2">
      <c r="B255">
        <v>0.30844495243912101</v>
      </c>
      <c r="C255">
        <v>0.83199464524765732</v>
      </c>
    </row>
    <row r="256" spans="2:3" x14ac:dyDescent="0.2">
      <c r="B256">
        <v>0.30810517536139298</v>
      </c>
      <c r="C256">
        <v>0.83132530120481929</v>
      </c>
    </row>
    <row r="257" spans="2:3" x14ac:dyDescent="0.2">
      <c r="B257">
        <v>0.30777379848163999</v>
      </c>
      <c r="C257">
        <v>0.83065595716198126</v>
      </c>
    </row>
    <row r="258" spans="2:3" x14ac:dyDescent="0.2">
      <c r="B258">
        <v>0.307688938286863</v>
      </c>
      <c r="C258">
        <v>0.82998661311914324</v>
      </c>
    </row>
    <row r="259" spans="2:3" x14ac:dyDescent="0.2">
      <c r="B259">
        <v>0.306837666027998</v>
      </c>
      <c r="C259">
        <v>0.82931726907630521</v>
      </c>
    </row>
    <row r="260" spans="2:3" x14ac:dyDescent="0.2">
      <c r="B260">
        <v>0.306458462730543</v>
      </c>
      <c r="C260">
        <v>0.82864792503346718</v>
      </c>
    </row>
    <row r="261" spans="2:3" x14ac:dyDescent="0.2">
      <c r="B261">
        <v>0.30638109452511197</v>
      </c>
      <c r="C261">
        <v>0.82797858099062915</v>
      </c>
    </row>
    <row r="262" spans="2:3" x14ac:dyDescent="0.2">
      <c r="B262">
        <v>0.30605933349894798</v>
      </c>
      <c r="C262">
        <v>0.82730923694779113</v>
      </c>
    </row>
    <row r="263" spans="2:3" x14ac:dyDescent="0.2">
      <c r="B263">
        <v>0.30548486484475201</v>
      </c>
      <c r="C263">
        <v>0.8266398929049531</v>
      </c>
    </row>
    <row r="264" spans="2:3" x14ac:dyDescent="0.2">
      <c r="B264">
        <v>0.30530282532825997</v>
      </c>
      <c r="C264">
        <v>0.82597054886211507</v>
      </c>
    </row>
    <row r="265" spans="2:3" x14ac:dyDescent="0.2">
      <c r="B265">
        <v>0.30441483989829698</v>
      </c>
      <c r="C265">
        <v>0.82530120481927716</v>
      </c>
    </row>
    <row r="266" spans="2:3" x14ac:dyDescent="0.2">
      <c r="B266">
        <v>0.30381148033549399</v>
      </c>
      <c r="C266">
        <v>0.82463186077643913</v>
      </c>
    </row>
    <row r="267" spans="2:3" x14ac:dyDescent="0.2">
      <c r="B267">
        <v>0.30346065998223998</v>
      </c>
      <c r="C267">
        <v>0.8239625167336011</v>
      </c>
    </row>
    <row r="268" spans="2:3" x14ac:dyDescent="0.2">
      <c r="B268">
        <v>0.303331398198256</v>
      </c>
      <c r="C268">
        <v>0.82329317269076308</v>
      </c>
    </row>
    <row r="269" spans="2:3" x14ac:dyDescent="0.2">
      <c r="B269">
        <v>0.30300578994454302</v>
      </c>
      <c r="C269">
        <v>0.82262382864792505</v>
      </c>
    </row>
    <row r="270" spans="2:3" x14ac:dyDescent="0.2">
      <c r="B270">
        <v>0.30244114218423801</v>
      </c>
      <c r="C270">
        <v>0.82195448460508702</v>
      </c>
    </row>
    <row r="271" spans="2:3" x14ac:dyDescent="0.2">
      <c r="B271">
        <v>0.302280248171932</v>
      </c>
      <c r="C271">
        <v>0.82128514056224899</v>
      </c>
    </row>
    <row r="272" spans="2:3" x14ac:dyDescent="0.2">
      <c r="B272">
        <v>0.30109877403538798</v>
      </c>
      <c r="C272">
        <v>0.82061579651941097</v>
      </c>
    </row>
    <row r="273" spans="2:3" x14ac:dyDescent="0.2">
      <c r="B273">
        <v>0.30071855533682001</v>
      </c>
      <c r="C273">
        <v>0.81994645247657294</v>
      </c>
    </row>
    <row r="274" spans="2:3" x14ac:dyDescent="0.2">
      <c r="B274">
        <v>0.30031936172784301</v>
      </c>
      <c r="C274">
        <v>0.81927710843373491</v>
      </c>
    </row>
    <row r="275" spans="2:3" x14ac:dyDescent="0.2">
      <c r="B275">
        <v>0.29859104071586001</v>
      </c>
      <c r="C275">
        <v>0.81860776439089689</v>
      </c>
    </row>
    <row r="276" spans="2:3" x14ac:dyDescent="0.2">
      <c r="B276">
        <v>0.29845968137753098</v>
      </c>
      <c r="C276">
        <v>0.81793842034805886</v>
      </c>
    </row>
    <row r="277" spans="2:3" x14ac:dyDescent="0.2">
      <c r="B277">
        <v>0.29765844191426799</v>
      </c>
      <c r="C277">
        <v>0.81726907630522083</v>
      </c>
    </row>
    <row r="278" spans="2:3" x14ac:dyDescent="0.2">
      <c r="B278">
        <v>0.296808696307723</v>
      </c>
      <c r="C278">
        <v>0.81659973226238292</v>
      </c>
    </row>
    <row r="279" spans="2:3" x14ac:dyDescent="0.2">
      <c r="B279">
        <v>0.29481901825107798</v>
      </c>
      <c r="C279">
        <v>0.81593038821954489</v>
      </c>
    </row>
    <row r="280" spans="2:3" x14ac:dyDescent="0.2">
      <c r="B280">
        <v>0.294326365710745</v>
      </c>
      <c r="C280">
        <v>0.81526104417670686</v>
      </c>
    </row>
    <row r="281" spans="2:3" x14ac:dyDescent="0.2">
      <c r="B281">
        <v>0.29400346657736398</v>
      </c>
      <c r="C281">
        <v>0.81459170013386883</v>
      </c>
    </row>
    <row r="282" spans="2:3" x14ac:dyDescent="0.2">
      <c r="B282">
        <v>0.29385044643426</v>
      </c>
      <c r="C282">
        <v>0.81392235609103081</v>
      </c>
    </row>
    <row r="283" spans="2:3" x14ac:dyDescent="0.2">
      <c r="B283">
        <v>0.29327234953527798</v>
      </c>
      <c r="C283">
        <v>0.81325301204819278</v>
      </c>
    </row>
    <row r="284" spans="2:3" x14ac:dyDescent="0.2">
      <c r="B284">
        <v>0.29324178281174001</v>
      </c>
      <c r="C284">
        <v>0.81258366800535475</v>
      </c>
    </row>
    <row r="285" spans="2:3" x14ac:dyDescent="0.2">
      <c r="B285">
        <v>0.29222605661915702</v>
      </c>
      <c r="C285">
        <v>0.81191432396251673</v>
      </c>
    </row>
    <row r="286" spans="2:3" x14ac:dyDescent="0.2">
      <c r="B286">
        <v>0.29110002223127301</v>
      </c>
      <c r="C286">
        <v>0.8112449799196787</v>
      </c>
    </row>
    <row r="287" spans="2:3" x14ac:dyDescent="0.2">
      <c r="B287">
        <v>0.291046621550069</v>
      </c>
      <c r="C287">
        <v>0.81057563587684067</v>
      </c>
    </row>
    <row r="288" spans="2:3" x14ac:dyDescent="0.2">
      <c r="B288">
        <v>0.29044597467390798</v>
      </c>
      <c r="C288">
        <v>0.80990629183400265</v>
      </c>
    </row>
    <row r="289" spans="2:3" x14ac:dyDescent="0.2">
      <c r="B289">
        <v>0.28995257461581098</v>
      </c>
      <c r="C289">
        <v>0.80923694779116462</v>
      </c>
    </row>
    <row r="290" spans="2:3" x14ac:dyDescent="0.2">
      <c r="B290">
        <v>0.28982600439579398</v>
      </c>
      <c r="C290">
        <v>0.80856760374832659</v>
      </c>
    </row>
    <row r="291" spans="2:3" x14ac:dyDescent="0.2">
      <c r="B291">
        <v>0.28947018212397602</v>
      </c>
      <c r="C291">
        <v>0.80789825970548867</v>
      </c>
    </row>
    <row r="292" spans="2:3" x14ac:dyDescent="0.2">
      <c r="B292">
        <v>0.28899880912178699</v>
      </c>
      <c r="C292">
        <v>0.80722891566265065</v>
      </c>
    </row>
    <row r="293" spans="2:3" x14ac:dyDescent="0.2">
      <c r="B293">
        <v>0.28842135841553002</v>
      </c>
      <c r="C293">
        <v>0.80655957161981262</v>
      </c>
    </row>
    <row r="294" spans="2:3" x14ac:dyDescent="0.2">
      <c r="B294">
        <v>0.28799366183463898</v>
      </c>
      <c r="C294">
        <v>0.80589022757697459</v>
      </c>
    </row>
    <row r="295" spans="2:3" x14ac:dyDescent="0.2">
      <c r="B295">
        <v>0.28736843689902603</v>
      </c>
      <c r="C295">
        <v>0.80522088353413657</v>
      </c>
    </row>
    <row r="296" spans="2:3" x14ac:dyDescent="0.2">
      <c r="B296">
        <v>0.28717661525388799</v>
      </c>
      <c r="C296">
        <v>0.80455153949129854</v>
      </c>
    </row>
    <row r="297" spans="2:3" x14ac:dyDescent="0.2">
      <c r="B297">
        <v>0.286540606001358</v>
      </c>
      <c r="C297">
        <v>0.80388219544846051</v>
      </c>
    </row>
    <row r="298" spans="2:3" x14ac:dyDescent="0.2">
      <c r="B298">
        <v>0.28648376463220199</v>
      </c>
      <c r="C298">
        <v>0.80321285140562249</v>
      </c>
    </row>
    <row r="299" spans="2:3" x14ac:dyDescent="0.2">
      <c r="B299">
        <v>0.286095950407872</v>
      </c>
      <c r="C299">
        <v>0.80254350736278446</v>
      </c>
    </row>
    <row r="300" spans="2:3" x14ac:dyDescent="0.2">
      <c r="B300">
        <v>0.285969268606305</v>
      </c>
      <c r="C300">
        <v>0.80187416331994643</v>
      </c>
    </row>
    <row r="301" spans="2:3" x14ac:dyDescent="0.2">
      <c r="B301">
        <v>0.28595175683875501</v>
      </c>
      <c r="C301">
        <v>0.8012048192771084</v>
      </c>
    </row>
    <row r="302" spans="2:3" x14ac:dyDescent="0.2">
      <c r="B302">
        <v>0.285305899130607</v>
      </c>
      <c r="C302">
        <v>0.80053547523427038</v>
      </c>
    </row>
    <row r="303" spans="2:3" x14ac:dyDescent="0.2">
      <c r="B303">
        <v>0.28510298294747199</v>
      </c>
      <c r="C303">
        <v>0.79986613119143235</v>
      </c>
    </row>
    <row r="304" spans="2:3" x14ac:dyDescent="0.2">
      <c r="B304">
        <v>0.28342516569255499</v>
      </c>
      <c r="C304">
        <v>0.79919678714859432</v>
      </c>
    </row>
    <row r="305" spans="2:3" x14ac:dyDescent="0.2">
      <c r="B305">
        <v>0.28309744495804501</v>
      </c>
      <c r="C305">
        <v>0.79852744310575641</v>
      </c>
    </row>
    <row r="306" spans="2:3" x14ac:dyDescent="0.2">
      <c r="B306">
        <v>0.28307208344319001</v>
      </c>
      <c r="C306">
        <v>0.79785809906291838</v>
      </c>
    </row>
    <row r="307" spans="2:3" x14ac:dyDescent="0.2">
      <c r="B307">
        <v>0.28298894645356698</v>
      </c>
      <c r="C307">
        <v>0.79718875502008035</v>
      </c>
    </row>
    <row r="308" spans="2:3" x14ac:dyDescent="0.2">
      <c r="B308">
        <v>0.28285279250231499</v>
      </c>
      <c r="C308">
        <v>0.79651941097724233</v>
      </c>
    </row>
    <row r="309" spans="2:3" x14ac:dyDescent="0.2">
      <c r="B309">
        <v>0.28274113663546901</v>
      </c>
      <c r="C309">
        <v>0.7958500669344043</v>
      </c>
    </row>
    <row r="310" spans="2:3" x14ac:dyDescent="0.2">
      <c r="B310">
        <v>0.282030561042037</v>
      </c>
      <c r="C310">
        <v>0.79518072289156627</v>
      </c>
    </row>
    <row r="311" spans="2:3" x14ac:dyDescent="0.2">
      <c r="B311">
        <v>0.281182760161728</v>
      </c>
      <c r="C311">
        <v>0.79451137884872824</v>
      </c>
    </row>
    <row r="312" spans="2:3" x14ac:dyDescent="0.2">
      <c r="B312">
        <v>0.28095897131228997</v>
      </c>
      <c r="C312">
        <v>0.79384203480589022</v>
      </c>
    </row>
    <row r="313" spans="2:3" x14ac:dyDescent="0.2">
      <c r="B313">
        <v>0.28082795793715098</v>
      </c>
      <c r="C313">
        <v>0.79317269076305219</v>
      </c>
    </row>
    <row r="314" spans="2:3" x14ac:dyDescent="0.2">
      <c r="B314">
        <v>0.28040080140240098</v>
      </c>
      <c r="C314">
        <v>0.79250334672021416</v>
      </c>
    </row>
    <row r="315" spans="2:3" x14ac:dyDescent="0.2">
      <c r="B315">
        <v>0.28008301391984303</v>
      </c>
      <c r="C315">
        <v>0.79183400267737614</v>
      </c>
    </row>
    <row r="316" spans="2:3" x14ac:dyDescent="0.2">
      <c r="B316">
        <v>0.28003750276433798</v>
      </c>
      <c r="C316">
        <v>0.79116465863453811</v>
      </c>
    </row>
    <row r="317" spans="2:3" x14ac:dyDescent="0.2">
      <c r="B317">
        <v>0.27993781371256898</v>
      </c>
      <c r="C317">
        <v>0.79049531459170008</v>
      </c>
    </row>
    <row r="318" spans="2:3" x14ac:dyDescent="0.2">
      <c r="B318">
        <v>0.27978300272836998</v>
      </c>
      <c r="C318">
        <v>0.78982597054886217</v>
      </c>
    </row>
    <row r="319" spans="2:3" x14ac:dyDescent="0.2">
      <c r="B319">
        <v>0.27975839627787502</v>
      </c>
      <c r="C319">
        <v>0.78915662650602414</v>
      </c>
    </row>
    <row r="320" spans="2:3" x14ac:dyDescent="0.2">
      <c r="B320">
        <v>0.27923426017684699</v>
      </c>
      <c r="C320">
        <v>0.78848728246318611</v>
      </c>
    </row>
    <row r="321" spans="2:3" x14ac:dyDescent="0.2">
      <c r="B321">
        <v>0.27905460215418099</v>
      </c>
      <c r="C321">
        <v>0.78781793842034809</v>
      </c>
    </row>
    <row r="322" spans="2:3" x14ac:dyDescent="0.2">
      <c r="B322">
        <v>0.27870909771003299</v>
      </c>
      <c r="C322">
        <v>0.78714859437751006</v>
      </c>
    </row>
    <row r="323" spans="2:3" x14ac:dyDescent="0.2">
      <c r="B323">
        <v>0.27854732015843098</v>
      </c>
      <c r="C323">
        <v>0.78647925033467203</v>
      </c>
    </row>
    <row r="324" spans="2:3" x14ac:dyDescent="0.2">
      <c r="B324">
        <v>0.27804369071796597</v>
      </c>
      <c r="C324">
        <v>0.785809906291834</v>
      </c>
    </row>
    <row r="325" spans="2:3" x14ac:dyDescent="0.2">
      <c r="B325">
        <v>0.278026239355257</v>
      </c>
      <c r="C325">
        <v>0.78514056224899598</v>
      </c>
    </row>
    <row r="326" spans="2:3" x14ac:dyDescent="0.2">
      <c r="B326">
        <v>0.27762432548909</v>
      </c>
      <c r="C326">
        <v>0.78447121820615795</v>
      </c>
    </row>
    <row r="327" spans="2:3" x14ac:dyDescent="0.2">
      <c r="B327">
        <v>0.27684636414021402</v>
      </c>
      <c r="C327">
        <v>0.78380187416331992</v>
      </c>
    </row>
    <row r="328" spans="2:3" x14ac:dyDescent="0.2">
      <c r="B328">
        <v>0.27591274820731299</v>
      </c>
      <c r="C328">
        <v>0.7831325301204819</v>
      </c>
    </row>
    <row r="329" spans="2:3" x14ac:dyDescent="0.2">
      <c r="B329">
        <v>0.275872983100938</v>
      </c>
      <c r="C329">
        <v>0.78246318607764387</v>
      </c>
    </row>
    <row r="330" spans="2:3" x14ac:dyDescent="0.2">
      <c r="B330">
        <v>0.27554734640152201</v>
      </c>
      <c r="C330">
        <v>0.78179384203480584</v>
      </c>
    </row>
    <row r="331" spans="2:3" x14ac:dyDescent="0.2">
      <c r="B331">
        <v>0.27526244490775098</v>
      </c>
      <c r="C331">
        <v>0.78112449799196793</v>
      </c>
    </row>
    <row r="332" spans="2:3" x14ac:dyDescent="0.2">
      <c r="B332">
        <v>0.27513067982267903</v>
      </c>
      <c r="C332">
        <v>0.7804551539491299</v>
      </c>
    </row>
    <row r="333" spans="2:3" x14ac:dyDescent="0.2">
      <c r="B333">
        <v>0.27443477223955298</v>
      </c>
      <c r="C333">
        <v>0.77978580990629187</v>
      </c>
    </row>
    <row r="334" spans="2:3" x14ac:dyDescent="0.2">
      <c r="B334">
        <v>0.27442211448758702</v>
      </c>
      <c r="C334">
        <v>0.77911646586345384</v>
      </c>
    </row>
    <row r="335" spans="2:3" x14ac:dyDescent="0.2">
      <c r="B335">
        <v>0.27213391677523602</v>
      </c>
      <c r="C335">
        <v>0.77844712182061582</v>
      </c>
    </row>
    <row r="336" spans="2:3" x14ac:dyDescent="0.2">
      <c r="B336">
        <v>0.27211564616765999</v>
      </c>
      <c r="C336">
        <v>0.77777777777777779</v>
      </c>
    </row>
    <row r="337" spans="2:3" x14ac:dyDescent="0.2">
      <c r="B337">
        <v>0.27190547041870999</v>
      </c>
      <c r="C337">
        <v>0.77710843373493976</v>
      </c>
    </row>
    <row r="338" spans="2:3" x14ac:dyDescent="0.2">
      <c r="B338">
        <v>0.27187792679531397</v>
      </c>
      <c r="C338">
        <v>0.77643908969210174</v>
      </c>
    </row>
    <row r="339" spans="2:3" x14ac:dyDescent="0.2">
      <c r="B339">
        <v>0.27157820961099599</v>
      </c>
      <c r="C339">
        <v>0.77576974564926371</v>
      </c>
    </row>
    <row r="340" spans="2:3" x14ac:dyDescent="0.2">
      <c r="B340">
        <v>0.27118264379104801</v>
      </c>
      <c r="C340">
        <v>0.77510040160642568</v>
      </c>
    </row>
    <row r="341" spans="2:3" x14ac:dyDescent="0.2">
      <c r="B341">
        <v>0.27115377650260197</v>
      </c>
      <c r="C341">
        <v>0.77443105756358765</v>
      </c>
    </row>
    <row r="342" spans="2:3" x14ac:dyDescent="0.2">
      <c r="B342">
        <v>0.27080862913036402</v>
      </c>
      <c r="C342">
        <v>0.77376171352074963</v>
      </c>
    </row>
    <row r="343" spans="2:3" x14ac:dyDescent="0.2">
      <c r="B343">
        <v>0.270310679261071</v>
      </c>
      <c r="C343">
        <v>0.7730923694779116</v>
      </c>
    </row>
    <row r="344" spans="2:3" x14ac:dyDescent="0.2">
      <c r="B344">
        <v>0.270128894275455</v>
      </c>
      <c r="C344">
        <v>0.77242302543507357</v>
      </c>
    </row>
    <row r="345" spans="2:3" x14ac:dyDescent="0.2">
      <c r="B345">
        <v>0.26961998010407301</v>
      </c>
      <c r="C345">
        <v>0.77175368139223566</v>
      </c>
    </row>
    <row r="346" spans="2:3" x14ac:dyDescent="0.2">
      <c r="B346">
        <v>0.26959855348603901</v>
      </c>
      <c r="C346">
        <v>0.77108433734939763</v>
      </c>
    </row>
    <row r="347" spans="2:3" x14ac:dyDescent="0.2">
      <c r="B347">
        <v>0.26954822985620902</v>
      </c>
      <c r="C347">
        <v>0.7704149933065596</v>
      </c>
    </row>
    <row r="348" spans="2:3" x14ac:dyDescent="0.2">
      <c r="B348">
        <v>0.26880647234051203</v>
      </c>
      <c r="C348">
        <v>0.76974564926372158</v>
      </c>
    </row>
    <row r="349" spans="2:3" x14ac:dyDescent="0.2">
      <c r="B349">
        <v>0.268685448375029</v>
      </c>
      <c r="C349">
        <v>0.76907630522088355</v>
      </c>
    </row>
    <row r="350" spans="2:3" x14ac:dyDescent="0.2">
      <c r="B350">
        <v>0.26862452336798298</v>
      </c>
      <c r="C350">
        <v>0.76840696117804552</v>
      </c>
    </row>
    <row r="351" spans="2:3" x14ac:dyDescent="0.2">
      <c r="B351">
        <v>0.26856675844564398</v>
      </c>
      <c r="C351">
        <v>0.7677376171352075</v>
      </c>
    </row>
    <row r="352" spans="2:3" x14ac:dyDescent="0.2">
      <c r="B352">
        <v>0.26838387788212698</v>
      </c>
      <c r="C352">
        <v>0.76706827309236947</v>
      </c>
    </row>
    <row r="353" spans="2:3" x14ac:dyDescent="0.2">
      <c r="B353">
        <v>0.26783498879938</v>
      </c>
      <c r="C353">
        <v>0.76639892904953144</v>
      </c>
    </row>
    <row r="354" spans="2:3" x14ac:dyDescent="0.2">
      <c r="B354">
        <v>0.26742087106025503</v>
      </c>
      <c r="C354">
        <v>0.76572958500669341</v>
      </c>
    </row>
    <row r="355" spans="2:3" x14ac:dyDescent="0.2">
      <c r="B355">
        <v>0.26717829288029099</v>
      </c>
      <c r="C355">
        <v>0.76506024096385539</v>
      </c>
    </row>
    <row r="356" spans="2:3" x14ac:dyDescent="0.2">
      <c r="B356">
        <v>0.26685659560527403</v>
      </c>
      <c r="C356">
        <v>0.76439089692101736</v>
      </c>
    </row>
    <row r="357" spans="2:3" x14ac:dyDescent="0.2">
      <c r="B357">
        <v>0.26667691078154798</v>
      </c>
      <c r="C357">
        <v>0.76372155287817933</v>
      </c>
    </row>
    <row r="358" spans="2:3" x14ac:dyDescent="0.2">
      <c r="B358">
        <v>0.26614147871636001</v>
      </c>
      <c r="C358">
        <v>0.76305220883534142</v>
      </c>
    </row>
    <row r="359" spans="2:3" x14ac:dyDescent="0.2">
      <c r="B359">
        <v>0.26560319297595297</v>
      </c>
      <c r="C359">
        <v>0.76238286479250339</v>
      </c>
    </row>
    <row r="360" spans="2:3" x14ac:dyDescent="0.2">
      <c r="B360">
        <v>0.263965715651438</v>
      </c>
      <c r="C360">
        <v>0.76171352074966536</v>
      </c>
    </row>
    <row r="361" spans="2:3" x14ac:dyDescent="0.2">
      <c r="B361">
        <v>0.263589901704813</v>
      </c>
      <c r="C361">
        <v>0.76104417670682734</v>
      </c>
    </row>
    <row r="362" spans="2:3" x14ac:dyDescent="0.2">
      <c r="B362">
        <v>0.26299240417353398</v>
      </c>
      <c r="C362">
        <v>0.76037483266398931</v>
      </c>
    </row>
    <row r="363" spans="2:3" x14ac:dyDescent="0.2">
      <c r="B363">
        <v>0.26269103374959601</v>
      </c>
      <c r="C363">
        <v>0.75970548862115128</v>
      </c>
    </row>
    <row r="364" spans="2:3" x14ac:dyDescent="0.2">
      <c r="B364">
        <v>0.262417538341843</v>
      </c>
      <c r="C364">
        <v>0.75903614457831325</v>
      </c>
    </row>
    <row r="365" spans="2:3" x14ac:dyDescent="0.2">
      <c r="B365">
        <v>0.26226986206662001</v>
      </c>
      <c r="C365">
        <v>0.75836680053547523</v>
      </c>
    </row>
    <row r="366" spans="2:3" x14ac:dyDescent="0.2">
      <c r="B366">
        <v>0.262188505537232</v>
      </c>
      <c r="C366">
        <v>0.7576974564926372</v>
      </c>
    </row>
    <row r="367" spans="2:3" x14ac:dyDescent="0.2">
      <c r="B367">
        <v>0.26210917297248698</v>
      </c>
      <c r="C367">
        <v>0.75702811244979917</v>
      </c>
    </row>
    <row r="368" spans="2:3" x14ac:dyDescent="0.2">
      <c r="B368">
        <v>0.26209886259833698</v>
      </c>
      <c r="C368">
        <v>0.75635876840696115</v>
      </c>
    </row>
    <row r="369" spans="2:3" x14ac:dyDescent="0.2">
      <c r="B369">
        <v>0.26198116856164</v>
      </c>
      <c r="C369">
        <v>0.75568942436412312</v>
      </c>
    </row>
    <row r="370" spans="2:3" x14ac:dyDescent="0.2">
      <c r="B370">
        <v>0.26197608291857299</v>
      </c>
      <c r="C370">
        <v>0.75502008032128509</v>
      </c>
    </row>
    <row r="371" spans="2:3" x14ac:dyDescent="0.2">
      <c r="B371">
        <v>0.26141402543703202</v>
      </c>
      <c r="C371">
        <v>0.75435073627844718</v>
      </c>
    </row>
    <row r="372" spans="2:3" x14ac:dyDescent="0.2">
      <c r="B372">
        <v>0.260767979707413</v>
      </c>
      <c r="C372">
        <v>0.75368139223560915</v>
      </c>
    </row>
    <row r="373" spans="2:3" x14ac:dyDescent="0.2">
      <c r="B373">
        <v>0.26066277352241801</v>
      </c>
      <c r="C373">
        <v>0.75301204819277112</v>
      </c>
    </row>
    <row r="374" spans="2:3" x14ac:dyDescent="0.2">
      <c r="B374">
        <v>0.25983414551811701</v>
      </c>
      <c r="C374">
        <v>0.75234270414993309</v>
      </c>
    </row>
    <row r="375" spans="2:3" x14ac:dyDescent="0.2">
      <c r="B375">
        <v>0.259458804763194</v>
      </c>
      <c r="C375">
        <v>0.75167336010709507</v>
      </c>
    </row>
    <row r="376" spans="2:3" x14ac:dyDescent="0.2">
      <c r="B376">
        <v>0.25897532122373101</v>
      </c>
      <c r="C376">
        <v>0.75100401606425704</v>
      </c>
    </row>
    <row r="377" spans="2:3" x14ac:dyDescent="0.2">
      <c r="B377">
        <v>0.258887645403791</v>
      </c>
      <c r="C377">
        <v>0.75033467202141901</v>
      </c>
    </row>
    <row r="378" spans="2:3" x14ac:dyDescent="0.2">
      <c r="B378">
        <v>0.25878929682069302</v>
      </c>
      <c r="C378">
        <v>0.74966532797858099</v>
      </c>
    </row>
    <row r="379" spans="2:3" x14ac:dyDescent="0.2">
      <c r="B379">
        <v>0.258698989527887</v>
      </c>
      <c r="C379">
        <v>0.74899598393574296</v>
      </c>
    </row>
    <row r="380" spans="2:3" x14ac:dyDescent="0.2">
      <c r="B380">
        <v>0.258619440144781</v>
      </c>
      <c r="C380">
        <v>0.74832663989290493</v>
      </c>
    </row>
    <row r="381" spans="2:3" x14ac:dyDescent="0.2">
      <c r="B381">
        <v>0.25799810599184497</v>
      </c>
      <c r="C381">
        <v>0.74765729585006691</v>
      </c>
    </row>
    <row r="382" spans="2:3" x14ac:dyDescent="0.2">
      <c r="B382">
        <v>0.25769756166383601</v>
      </c>
      <c r="C382">
        <v>0.74698795180722888</v>
      </c>
    </row>
    <row r="383" spans="2:3" x14ac:dyDescent="0.2">
      <c r="B383">
        <v>0.25758210097763401</v>
      </c>
      <c r="C383">
        <v>0.74631860776439085</v>
      </c>
    </row>
    <row r="384" spans="2:3" x14ac:dyDescent="0.2">
      <c r="B384">
        <v>0.25674909936248502</v>
      </c>
      <c r="C384">
        <v>0.74564926372155282</v>
      </c>
    </row>
    <row r="385" spans="2:3" x14ac:dyDescent="0.2">
      <c r="B385">
        <v>0.25646583011221702</v>
      </c>
      <c r="C385">
        <v>0.74497991967871491</v>
      </c>
    </row>
    <row r="386" spans="2:3" x14ac:dyDescent="0.2">
      <c r="B386">
        <v>0.256445760377632</v>
      </c>
      <c r="C386">
        <v>0.74431057563587688</v>
      </c>
    </row>
    <row r="387" spans="2:3" x14ac:dyDescent="0.2">
      <c r="B387">
        <v>0.25611975396602499</v>
      </c>
      <c r="C387">
        <v>0.74364123159303885</v>
      </c>
    </row>
    <row r="388" spans="2:3" x14ac:dyDescent="0.2">
      <c r="B388">
        <v>0.25608494255932002</v>
      </c>
      <c r="C388">
        <v>0.74297188755020083</v>
      </c>
    </row>
    <row r="389" spans="2:3" x14ac:dyDescent="0.2">
      <c r="B389">
        <v>0.25545086289282498</v>
      </c>
      <c r="C389">
        <v>0.7423025435073628</v>
      </c>
    </row>
    <row r="390" spans="2:3" x14ac:dyDescent="0.2">
      <c r="B390">
        <v>0.25531106725200198</v>
      </c>
      <c r="C390">
        <v>0.74163319946452477</v>
      </c>
    </row>
    <row r="391" spans="2:3" x14ac:dyDescent="0.2">
      <c r="B391">
        <v>0.25528629278794801</v>
      </c>
      <c r="C391">
        <v>0.74096385542168675</v>
      </c>
    </row>
    <row r="392" spans="2:3" x14ac:dyDescent="0.2">
      <c r="B392">
        <v>0.25489736117557699</v>
      </c>
      <c r="C392">
        <v>0.74029451137884872</v>
      </c>
    </row>
    <row r="393" spans="2:3" x14ac:dyDescent="0.2">
      <c r="B393">
        <v>0.25480331121856298</v>
      </c>
      <c r="C393">
        <v>0.73962516733601069</v>
      </c>
    </row>
    <row r="394" spans="2:3" x14ac:dyDescent="0.2">
      <c r="B394">
        <v>0.25376262321887599</v>
      </c>
      <c r="C394">
        <v>0.73895582329317266</v>
      </c>
    </row>
    <row r="395" spans="2:3" x14ac:dyDescent="0.2">
      <c r="B395">
        <v>0.25373679346176398</v>
      </c>
      <c r="C395">
        <v>0.73828647925033464</v>
      </c>
    </row>
    <row r="396" spans="2:3" x14ac:dyDescent="0.2">
      <c r="B396">
        <v>0.25344682510300398</v>
      </c>
      <c r="C396">
        <v>0.73761713520749661</v>
      </c>
    </row>
    <row r="397" spans="2:3" x14ac:dyDescent="0.2">
      <c r="B397">
        <v>0.25313802550965298</v>
      </c>
      <c r="C397">
        <v>0.73694779116465858</v>
      </c>
    </row>
    <row r="398" spans="2:3" x14ac:dyDescent="0.2">
      <c r="B398">
        <v>0.25285855342458102</v>
      </c>
      <c r="C398">
        <v>0.73627844712182067</v>
      </c>
    </row>
    <row r="399" spans="2:3" x14ac:dyDescent="0.2">
      <c r="B399">
        <v>0.25280326249962398</v>
      </c>
      <c r="C399">
        <v>0.73560910307898264</v>
      </c>
    </row>
    <row r="400" spans="2:3" x14ac:dyDescent="0.2">
      <c r="B400">
        <v>0.25201486365924203</v>
      </c>
      <c r="C400">
        <v>0.73493975903614461</v>
      </c>
    </row>
    <row r="401" spans="2:3" x14ac:dyDescent="0.2">
      <c r="B401">
        <v>0.25189100326916702</v>
      </c>
      <c r="C401">
        <v>0.73427041499330659</v>
      </c>
    </row>
    <row r="402" spans="2:3" x14ac:dyDescent="0.2">
      <c r="B402">
        <v>0.25156286226167901</v>
      </c>
      <c r="C402">
        <v>0.73360107095046856</v>
      </c>
    </row>
    <row r="403" spans="2:3" x14ac:dyDescent="0.2">
      <c r="B403">
        <v>0.25133513478055602</v>
      </c>
      <c r="C403">
        <v>0.73293172690763053</v>
      </c>
    </row>
    <row r="404" spans="2:3" x14ac:dyDescent="0.2">
      <c r="B404">
        <v>0.25131579579638602</v>
      </c>
      <c r="C404">
        <v>0.7322623828647925</v>
      </c>
    </row>
    <row r="405" spans="2:3" x14ac:dyDescent="0.2">
      <c r="B405">
        <v>0.25120641248447401</v>
      </c>
      <c r="C405">
        <v>0.73159303882195448</v>
      </c>
    </row>
    <row r="406" spans="2:3" x14ac:dyDescent="0.2">
      <c r="B406">
        <v>0.250560622447074</v>
      </c>
      <c r="C406">
        <v>0.73092369477911645</v>
      </c>
    </row>
    <row r="407" spans="2:3" x14ac:dyDescent="0.2">
      <c r="B407">
        <v>0.24958953769588799</v>
      </c>
      <c r="C407">
        <v>0.73025435073627842</v>
      </c>
    </row>
    <row r="408" spans="2:3" x14ac:dyDescent="0.2">
      <c r="B408">
        <v>0.24958740804280599</v>
      </c>
      <c r="C408">
        <v>0.7295850066934404</v>
      </c>
    </row>
    <row r="409" spans="2:3" x14ac:dyDescent="0.2">
      <c r="B409">
        <v>0.24954347686804099</v>
      </c>
      <c r="C409">
        <v>0.72891566265060237</v>
      </c>
    </row>
    <row r="410" spans="2:3" x14ac:dyDescent="0.2">
      <c r="B410">
        <v>0.24911290871024799</v>
      </c>
      <c r="C410">
        <v>0.72824631860776434</v>
      </c>
    </row>
    <row r="411" spans="2:3" x14ac:dyDescent="0.2">
      <c r="B411">
        <v>0.24882290847011301</v>
      </c>
      <c r="C411">
        <v>0.72757697456492643</v>
      </c>
    </row>
    <row r="412" spans="2:3" x14ac:dyDescent="0.2">
      <c r="B412">
        <v>0.24762590515028901</v>
      </c>
      <c r="C412">
        <v>0.7269076305220884</v>
      </c>
    </row>
    <row r="413" spans="2:3" x14ac:dyDescent="0.2">
      <c r="B413">
        <v>0.24750991111830301</v>
      </c>
      <c r="C413">
        <v>0.72623828647925037</v>
      </c>
    </row>
    <row r="414" spans="2:3" x14ac:dyDescent="0.2">
      <c r="B414">
        <v>0.24744493934488701</v>
      </c>
      <c r="C414">
        <v>0.72556894243641235</v>
      </c>
    </row>
    <row r="415" spans="2:3" x14ac:dyDescent="0.2">
      <c r="B415">
        <v>0.24700767987112099</v>
      </c>
      <c r="C415">
        <v>0.72489959839357432</v>
      </c>
    </row>
    <row r="416" spans="2:3" x14ac:dyDescent="0.2">
      <c r="B416">
        <v>0.24662481607740899</v>
      </c>
      <c r="C416">
        <v>0.72423025435073629</v>
      </c>
    </row>
    <row r="417" spans="2:3" x14ac:dyDescent="0.2">
      <c r="B417">
        <v>0.24590990431112</v>
      </c>
      <c r="C417">
        <v>0.72356091030789826</v>
      </c>
    </row>
    <row r="418" spans="2:3" x14ac:dyDescent="0.2">
      <c r="B418">
        <v>0.245517431291979</v>
      </c>
      <c r="C418">
        <v>0.72289156626506024</v>
      </c>
    </row>
    <row r="419" spans="2:3" x14ac:dyDescent="0.2">
      <c r="B419">
        <v>0.245429080588635</v>
      </c>
      <c r="C419">
        <v>0.72222222222222221</v>
      </c>
    </row>
    <row r="420" spans="2:3" x14ac:dyDescent="0.2">
      <c r="B420">
        <v>0.245386485967034</v>
      </c>
      <c r="C420">
        <v>0.72155287817938418</v>
      </c>
    </row>
    <row r="421" spans="2:3" x14ac:dyDescent="0.2">
      <c r="B421">
        <v>0.245375964736508</v>
      </c>
      <c r="C421">
        <v>0.72088353413654616</v>
      </c>
    </row>
    <row r="422" spans="2:3" x14ac:dyDescent="0.2">
      <c r="B422">
        <v>0.24517127912739001</v>
      </c>
      <c r="C422">
        <v>0.72021419009370813</v>
      </c>
    </row>
    <row r="423" spans="2:3" x14ac:dyDescent="0.2">
      <c r="B423">
        <v>0.24494525248026899</v>
      </c>
      <c r="C423">
        <v>0.7195448460508701</v>
      </c>
    </row>
    <row r="424" spans="2:3" x14ac:dyDescent="0.2">
      <c r="B424">
        <v>0.24484864879437701</v>
      </c>
      <c r="C424">
        <v>0.71887550200803207</v>
      </c>
    </row>
    <row r="425" spans="2:3" x14ac:dyDescent="0.2">
      <c r="B425">
        <v>0.24409419280331199</v>
      </c>
      <c r="C425">
        <v>0.71820615796519416</v>
      </c>
    </row>
    <row r="426" spans="2:3" x14ac:dyDescent="0.2">
      <c r="B426">
        <v>0.24289695061871799</v>
      </c>
      <c r="C426">
        <v>0.71753681392235613</v>
      </c>
    </row>
    <row r="427" spans="2:3" x14ac:dyDescent="0.2">
      <c r="B427">
        <v>0.242546011082517</v>
      </c>
      <c r="C427">
        <v>0.7168674698795181</v>
      </c>
    </row>
    <row r="428" spans="2:3" x14ac:dyDescent="0.2">
      <c r="B428">
        <v>0.24251515704725399</v>
      </c>
      <c r="C428">
        <v>0.71619812583668008</v>
      </c>
    </row>
    <row r="429" spans="2:3" x14ac:dyDescent="0.2">
      <c r="B429">
        <v>0.24225081702875501</v>
      </c>
      <c r="C429">
        <v>0.71552878179384205</v>
      </c>
    </row>
    <row r="430" spans="2:3" x14ac:dyDescent="0.2">
      <c r="B430">
        <v>0.241989527964555</v>
      </c>
      <c r="C430">
        <v>0.71485943775100402</v>
      </c>
    </row>
    <row r="431" spans="2:3" x14ac:dyDescent="0.2">
      <c r="B431">
        <v>0.24118138971745401</v>
      </c>
      <c r="C431">
        <v>0.714190093708166</v>
      </c>
    </row>
    <row r="432" spans="2:3" x14ac:dyDescent="0.2">
      <c r="B432">
        <v>0.241108642429571</v>
      </c>
      <c r="C432">
        <v>0.71352074966532797</v>
      </c>
    </row>
    <row r="433" spans="2:3" x14ac:dyDescent="0.2">
      <c r="B433">
        <v>0.241042310793359</v>
      </c>
      <c r="C433">
        <v>0.71285140562248994</v>
      </c>
    </row>
    <row r="434" spans="2:3" x14ac:dyDescent="0.2">
      <c r="B434">
        <v>0.240914529362345</v>
      </c>
      <c r="C434">
        <v>0.71218206157965191</v>
      </c>
    </row>
    <row r="435" spans="2:3" x14ac:dyDescent="0.2">
      <c r="B435">
        <v>0.240763776008105</v>
      </c>
      <c r="C435">
        <v>0.71151271753681389</v>
      </c>
    </row>
    <row r="436" spans="2:3" x14ac:dyDescent="0.2">
      <c r="B436">
        <v>0.24062792156610699</v>
      </c>
      <c r="C436">
        <v>0.71084337349397586</v>
      </c>
    </row>
    <row r="437" spans="2:3" x14ac:dyDescent="0.2">
      <c r="B437">
        <v>0.240408802920689</v>
      </c>
      <c r="C437">
        <v>0.71017402945113783</v>
      </c>
    </row>
    <row r="438" spans="2:3" x14ac:dyDescent="0.2">
      <c r="B438">
        <v>0.24013866244229501</v>
      </c>
      <c r="C438">
        <v>0.70950468540829992</v>
      </c>
    </row>
    <row r="439" spans="2:3" x14ac:dyDescent="0.2">
      <c r="B439">
        <v>0.239718757449009</v>
      </c>
      <c r="C439">
        <v>0.70883534136546189</v>
      </c>
    </row>
    <row r="440" spans="2:3" x14ac:dyDescent="0.2">
      <c r="B440">
        <v>0.239496747159956</v>
      </c>
      <c r="C440">
        <v>0.70816599732262386</v>
      </c>
    </row>
    <row r="441" spans="2:3" x14ac:dyDescent="0.2">
      <c r="B441">
        <v>0.23934877585936101</v>
      </c>
      <c r="C441">
        <v>0.70749665327978584</v>
      </c>
    </row>
    <row r="442" spans="2:3" x14ac:dyDescent="0.2">
      <c r="B442">
        <v>0.23926534934500701</v>
      </c>
      <c r="C442">
        <v>0.70682730923694781</v>
      </c>
    </row>
    <row r="443" spans="2:3" x14ac:dyDescent="0.2">
      <c r="B443">
        <v>0.237810074901498</v>
      </c>
      <c r="C443">
        <v>0.70615796519410978</v>
      </c>
    </row>
    <row r="444" spans="2:3" x14ac:dyDescent="0.2">
      <c r="B444">
        <v>0.23773630914881699</v>
      </c>
      <c r="C444">
        <v>0.70548862115127176</v>
      </c>
    </row>
    <row r="445" spans="2:3" x14ac:dyDescent="0.2">
      <c r="B445">
        <v>0.237657458905421</v>
      </c>
      <c r="C445">
        <v>0.70481927710843373</v>
      </c>
    </row>
    <row r="446" spans="2:3" x14ac:dyDescent="0.2">
      <c r="B446">
        <v>0.23731427271996999</v>
      </c>
      <c r="C446">
        <v>0.7041499330655957</v>
      </c>
    </row>
    <row r="447" spans="2:3" x14ac:dyDescent="0.2">
      <c r="B447">
        <v>0.23719755568546999</v>
      </c>
      <c r="C447">
        <v>0.70348058902275767</v>
      </c>
    </row>
    <row r="448" spans="2:3" x14ac:dyDescent="0.2">
      <c r="B448">
        <v>0.237151818554178</v>
      </c>
      <c r="C448">
        <v>0.70281124497991965</v>
      </c>
    </row>
    <row r="449" spans="2:3" x14ac:dyDescent="0.2">
      <c r="B449">
        <v>0.237007738015999</v>
      </c>
      <c r="C449">
        <v>0.70214190093708162</v>
      </c>
    </row>
    <row r="450" spans="2:3" x14ac:dyDescent="0.2">
      <c r="B450">
        <v>0.236737428267142</v>
      </c>
      <c r="C450">
        <v>0.70147255689424359</v>
      </c>
    </row>
    <row r="451" spans="2:3" x14ac:dyDescent="0.2">
      <c r="B451">
        <v>0.236485778156107</v>
      </c>
      <c r="C451">
        <v>0.70080321285140568</v>
      </c>
    </row>
    <row r="452" spans="2:3" x14ac:dyDescent="0.2">
      <c r="B452">
        <v>0.23644331784171199</v>
      </c>
      <c r="C452">
        <v>0.70013386880856765</v>
      </c>
    </row>
    <row r="453" spans="2:3" x14ac:dyDescent="0.2">
      <c r="B453">
        <v>0.236302804628722</v>
      </c>
      <c r="C453">
        <v>0.69946452476572962</v>
      </c>
    </row>
    <row r="454" spans="2:3" x14ac:dyDescent="0.2">
      <c r="B454">
        <v>0.23618729052010601</v>
      </c>
      <c r="C454">
        <v>0.6987951807228916</v>
      </c>
    </row>
    <row r="455" spans="2:3" x14ac:dyDescent="0.2">
      <c r="B455">
        <v>0.23606027711328501</v>
      </c>
      <c r="C455">
        <v>0.69812583668005357</v>
      </c>
    </row>
    <row r="456" spans="2:3" x14ac:dyDescent="0.2">
      <c r="B456">
        <v>0.235990307411166</v>
      </c>
      <c r="C456">
        <v>0.69745649263721554</v>
      </c>
    </row>
    <row r="457" spans="2:3" x14ac:dyDescent="0.2">
      <c r="B457">
        <v>0.235017724070781</v>
      </c>
      <c r="C457">
        <v>0.69678714859437751</v>
      </c>
    </row>
    <row r="458" spans="2:3" x14ac:dyDescent="0.2">
      <c r="B458">
        <v>0.23489558929888099</v>
      </c>
      <c r="C458">
        <v>0.69611780455153949</v>
      </c>
    </row>
    <row r="459" spans="2:3" x14ac:dyDescent="0.2">
      <c r="B459">
        <v>0.23469795612205299</v>
      </c>
      <c r="C459">
        <v>0.69544846050870146</v>
      </c>
    </row>
    <row r="460" spans="2:3" x14ac:dyDescent="0.2">
      <c r="B460">
        <v>0.23452747636433899</v>
      </c>
      <c r="C460">
        <v>0.69477911646586343</v>
      </c>
    </row>
    <row r="461" spans="2:3" x14ac:dyDescent="0.2">
      <c r="B461">
        <v>0.234330762037783</v>
      </c>
      <c r="C461">
        <v>0.69410977242302541</v>
      </c>
    </row>
    <row r="462" spans="2:3" x14ac:dyDescent="0.2">
      <c r="B462">
        <v>0.234271970780042</v>
      </c>
      <c r="C462">
        <v>0.69344042838018738</v>
      </c>
    </row>
    <row r="463" spans="2:3" x14ac:dyDescent="0.2">
      <c r="B463">
        <v>0.23414678085468801</v>
      </c>
      <c r="C463">
        <v>0.69277108433734935</v>
      </c>
    </row>
    <row r="464" spans="2:3" x14ac:dyDescent="0.2">
      <c r="B464">
        <v>0.23406374081960499</v>
      </c>
      <c r="C464">
        <v>0.69210174029451133</v>
      </c>
    </row>
    <row r="465" spans="2:3" x14ac:dyDescent="0.2">
      <c r="B465">
        <v>0.234047392366829</v>
      </c>
      <c r="C465">
        <v>0.69143239625167341</v>
      </c>
    </row>
    <row r="466" spans="2:3" x14ac:dyDescent="0.2">
      <c r="B466">
        <v>0.23383554360941999</v>
      </c>
      <c r="C466">
        <v>0.69076305220883538</v>
      </c>
    </row>
    <row r="467" spans="2:3" x14ac:dyDescent="0.2">
      <c r="B467">
        <v>0.23382519437149801</v>
      </c>
      <c r="C467">
        <v>0.69009370816599735</v>
      </c>
    </row>
    <row r="468" spans="2:3" x14ac:dyDescent="0.2">
      <c r="B468">
        <v>0.233563600951915</v>
      </c>
      <c r="C468">
        <v>0.68942436412315933</v>
      </c>
    </row>
    <row r="469" spans="2:3" x14ac:dyDescent="0.2">
      <c r="B469">
        <v>0.23285982899098601</v>
      </c>
      <c r="C469">
        <v>0.6887550200803213</v>
      </c>
    </row>
    <row r="470" spans="2:3" x14ac:dyDescent="0.2">
      <c r="B470">
        <v>0.23247451452058199</v>
      </c>
      <c r="C470">
        <v>0.68808567603748327</v>
      </c>
    </row>
    <row r="471" spans="2:3" x14ac:dyDescent="0.2">
      <c r="B471">
        <v>0.232178091878777</v>
      </c>
      <c r="C471">
        <v>0.68741633199464525</v>
      </c>
    </row>
    <row r="472" spans="2:3" x14ac:dyDescent="0.2">
      <c r="B472">
        <v>0.231572326612379</v>
      </c>
      <c r="C472">
        <v>0.68674698795180722</v>
      </c>
    </row>
    <row r="473" spans="2:3" x14ac:dyDescent="0.2">
      <c r="B473">
        <v>0.23143838789625701</v>
      </c>
      <c r="C473">
        <v>0.68607764390896919</v>
      </c>
    </row>
    <row r="474" spans="2:3" x14ac:dyDescent="0.2">
      <c r="B474">
        <v>0.231350080483811</v>
      </c>
      <c r="C474">
        <v>0.68540829986613117</v>
      </c>
    </row>
    <row r="475" spans="2:3" x14ac:dyDescent="0.2">
      <c r="B475">
        <v>0.23125828495359599</v>
      </c>
      <c r="C475">
        <v>0.68473895582329314</v>
      </c>
    </row>
    <row r="476" spans="2:3" x14ac:dyDescent="0.2">
      <c r="B476">
        <v>0.23115226224893701</v>
      </c>
      <c r="C476">
        <v>0.68406961178045511</v>
      </c>
    </row>
    <row r="477" spans="2:3" x14ac:dyDescent="0.2">
      <c r="B477">
        <v>0.231135810244124</v>
      </c>
      <c r="C477">
        <v>0.68340026773761708</v>
      </c>
    </row>
    <row r="478" spans="2:3" x14ac:dyDescent="0.2">
      <c r="B478">
        <v>0.230879670898789</v>
      </c>
      <c r="C478">
        <v>0.68273092369477917</v>
      </c>
    </row>
    <row r="479" spans="2:3" x14ac:dyDescent="0.2">
      <c r="B479">
        <v>0.23059169703437599</v>
      </c>
      <c r="C479">
        <v>0.68206157965194114</v>
      </c>
    </row>
    <row r="480" spans="2:3" x14ac:dyDescent="0.2">
      <c r="B480">
        <v>0.22978628408259899</v>
      </c>
      <c r="C480">
        <v>0.68139223560910311</v>
      </c>
    </row>
    <row r="481" spans="2:3" x14ac:dyDescent="0.2">
      <c r="B481">
        <v>0.22910759782019099</v>
      </c>
      <c r="C481">
        <v>0.68072289156626509</v>
      </c>
    </row>
    <row r="482" spans="2:3" x14ac:dyDescent="0.2">
      <c r="B482">
        <v>0.229018577120011</v>
      </c>
      <c r="C482">
        <v>0.68005354752342706</v>
      </c>
    </row>
    <row r="483" spans="2:3" x14ac:dyDescent="0.2">
      <c r="B483">
        <v>0.228085293395004</v>
      </c>
      <c r="C483">
        <v>0.67938420348058903</v>
      </c>
    </row>
    <row r="484" spans="2:3" x14ac:dyDescent="0.2">
      <c r="B484">
        <v>0.227112500422257</v>
      </c>
      <c r="C484">
        <v>0.67871485943775101</v>
      </c>
    </row>
    <row r="485" spans="2:3" x14ac:dyDescent="0.2">
      <c r="B485">
        <v>0.227008030288468</v>
      </c>
      <c r="C485">
        <v>0.67804551539491298</v>
      </c>
    </row>
    <row r="486" spans="2:3" x14ac:dyDescent="0.2">
      <c r="B486">
        <v>0.22691686901605099</v>
      </c>
      <c r="C486">
        <v>0.67737617135207495</v>
      </c>
    </row>
    <row r="487" spans="2:3" x14ac:dyDescent="0.2">
      <c r="B487">
        <v>0.22651778335228201</v>
      </c>
      <c r="C487">
        <v>0.67670682730923692</v>
      </c>
    </row>
    <row r="488" spans="2:3" x14ac:dyDescent="0.2">
      <c r="B488">
        <v>0.22648453307910099</v>
      </c>
      <c r="C488">
        <v>0.6760374832663989</v>
      </c>
    </row>
    <row r="489" spans="2:3" x14ac:dyDescent="0.2">
      <c r="B489">
        <v>0.22570462149204101</v>
      </c>
      <c r="C489">
        <v>0.67536813922356087</v>
      </c>
    </row>
    <row r="490" spans="2:3" x14ac:dyDescent="0.2">
      <c r="B490">
        <v>0.22547068536366</v>
      </c>
      <c r="C490">
        <v>0.67469879518072284</v>
      </c>
    </row>
    <row r="491" spans="2:3" x14ac:dyDescent="0.2">
      <c r="B491">
        <v>0.22546907891228901</v>
      </c>
      <c r="C491">
        <v>0.67402945113788493</v>
      </c>
    </row>
    <row r="492" spans="2:3" x14ac:dyDescent="0.2">
      <c r="B492">
        <v>0.22513378205991899</v>
      </c>
      <c r="C492">
        <v>0.6733601070950469</v>
      </c>
    </row>
    <row r="493" spans="2:3" x14ac:dyDescent="0.2">
      <c r="B493">
        <v>0.22482409576343901</v>
      </c>
      <c r="C493">
        <v>0.67269076305220887</v>
      </c>
    </row>
    <row r="494" spans="2:3" x14ac:dyDescent="0.2">
      <c r="B494">
        <v>0.224739780765491</v>
      </c>
      <c r="C494">
        <v>0.67202141900937085</v>
      </c>
    </row>
    <row r="495" spans="2:3" x14ac:dyDescent="0.2">
      <c r="B495">
        <v>0.224258141158522</v>
      </c>
      <c r="C495">
        <v>0.67135207496653282</v>
      </c>
    </row>
    <row r="496" spans="2:3" x14ac:dyDescent="0.2">
      <c r="B496">
        <v>0.22397193165690399</v>
      </c>
      <c r="C496">
        <v>0.67068273092369479</v>
      </c>
    </row>
    <row r="497" spans="2:3" x14ac:dyDescent="0.2">
      <c r="B497">
        <v>0.22372469748461399</v>
      </c>
      <c r="C497">
        <v>0.67001338688085676</v>
      </c>
    </row>
    <row r="498" spans="2:3" x14ac:dyDescent="0.2">
      <c r="B498">
        <v>0.22342332620792499</v>
      </c>
      <c r="C498">
        <v>0.66934404283801874</v>
      </c>
    </row>
    <row r="499" spans="2:3" x14ac:dyDescent="0.2">
      <c r="B499">
        <v>0.22319938318785801</v>
      </c>
      <c r="C499">
        <v>0.66867469879518071</v>
      </c>
    </row>
    <row r="500" spans="2:3" x14ac:dyDescent="0.2">
      <c r="B500">
        <v>0.22286497316647</v>
      </c>
      <c r="C500">
        <v>0.66800535475234268</v>
      </c>
    </row>
    <row r="501" spans="2:3" x14ac:dyDescent="0.2">
      <c r="B501">
        <v>0.222453771749376</v>
      </c>
      <c r="C501">
        <v>0.66733601070950466</v>
      </c>
    </row>
    <row r="502" spans="2:3" x14ac:dyDescent="0.2">
      <c r="B502">
        <v>0.22166507135680799</v>
      </c>
      <c r="C502">
        <v>0.66666666666666663</v>
      </c>
    </row>
    <row r="503" spans="2:3" x14ac:dyDescent="0.2">
      <c r="B503">
        <v>0.22117698216748299</v>
      </c>
      <c r="C503">
        <v>0.6659973226238286</v>
      </c>
    </row>
    <row r="504" spans="2:3" x14ac:dyDescent="0.2">
      <c r="B504">
        <v>0.22071397827300701</v>
      </c>
      <c r="C504">
        <v>0.66532797858099058</v>
      </c>
    </row>
    <row r="505" spans="2:3" x14ac:dyDescent="0.2">
      <c r="B505">
        <v>0.22053896295145001</v>
      </c>
      <c r="C505">
        <v>0.66465863453815266</v>
      </c>
    </row>
    <row r="506" spans="2:3" x14ac:dyDescent="0.2">
      <c r="B506">
        <v>0.219213916766512</v>
      </c>
      <c r="C506">
        <v>0.66398929049531463</v>
      </c>
    </row>
    <row r="507" spans="2:3" x14ac:dyDescent="0.2">
      <c r="B507">
        <v>0.219182176691118</v>
      </c>
      <c r="C507">
        <v>0.66331994645247661</v>
      </c>
    </row>
    <row r="508" spans="2:3" x14ac:dyDescent="0.2">
      <c r="B508">
        <v>0.21900492450484299</v>
      </c>
      <c r="C508">
        <v>0.66265060240963858</v>
      </c>
    </row>
    <row r="509" spans="2:3" x14ac:dyDescent="0.2">
      <c r="B509">
        <v>0.21887258253428199</v>
      </c>
      <c r="C509">
        <v>0.66198125836680055</v>
      </c>
    </row>
    <row r="510" spans="2:3" x14ac:dyDescent="0.2">
      <c r="B510">
        <v>0.218740333652231</v>
      </c>
      <c r="C510">
        <v>0.66131191432396252</v>
      </c>
    </row>
    <row r="511" spans="2:3" x14ac:dyDescent="0.2">
      <c r="B511">
        <v>0.21832867989027099</v>
      </c>
      <c r="C511">
        <v>0.6606425702811245</v>
      </c>
    </row>
    <row r="512" spans="2:3" x14ac:dyDescent="0.2">
      <c r="B512">
        <v>0.21821529892487401</v>
      </c>
      <c r="C512">
        <v>0.65997322623828647</v>
      </c>
    </row>
    <row r="513" spans="2:3" x14ac:dyDescent="0.2">
      <c r="B513">
        <v>0.218072378081585</v>
      </c>
      <c r="C513">
        <v>0.65930388219544844</v>
      </c>
    </row>
    <row r="514" spans="2:3" x14ac:dyDescent="0.2">
      <c r="B514">
        <v>0.217862765654253</v>
      </c>
      <c r="C514">
        <v>0.65863453815261042</v>
      </c>
    </row>
    <row r="515" spans="2:3" x14ac:dyDescent="0.2">
      <c r="B515">
        <v>0.217856337086968</v>
      </c>
      <c r="C515">
        <v>0.65796519410977239</v>
      </c>
    </row>
    <row r="516" spans="2:3" x14ac:dyDescent="0.2">
      <c r="B516">
        <v>0.21759155577693701</v>
      </c>
      <c r="C516">
        <v>0.65729585006693436</v>
      </c>
    </row>
    <row r="517" spans="2:3" x14ac:dyDescent="0.2">
      <c r="B517">
        <v>0.21745609621720899</v>
      </c>
      <c r="C517">
        <v>0.65662650602409633</v>
      </c>
    </row>
    <row r="518" spans="2:3" x14ac:dyDescent="0.2">
      <c r="B518">
        <v>0.21718251957488499</v>
      </c>
      <c r="C518">
        <v>0.65595716198125842</v>
      </c>
    </row>
    <row r="519" spans="2:3" x14ac:dyDescent="0.2">
      <c r="B519">
        <v>0.21704647726408099</v>
      </c>
      <c r="C519">
        <v>0.65528781793842039</v>
      </c>
    </row>
    <row r="520" spans="2:3" x14ac:dyDescent="0.2">
      <c r="B520">
        <v>0.21657792620545499</v>
      </c>
      <c r="C520">
        <v>0.65461847389558236</v>
      </c>
    </row>
    <row r="521" spans="2:3" x14ac:dyDescent="0.2">
      <c r="B521">
        <v>0.21641844911053301</v>
      </c>
      <c r="C521">
        <v>0.65394912985274434</v>
      </c>
    </row>
    <row r="522" spans="2:3" x14ac:dyDescent="0.2">
      <c r="B522">
        <v>0.21636001980181799</v>
      </c>
      <c r="C522">
        <v>0.65327978580990631</v>
      </c>
    </row>
    <row r="523" spans="2:3" x14ac:dyDescent="0.2">
      <c r="B523">
        <v>0.21597671041630701</v>
      </c>
      <c r="C523">
        <v>0.65261044176706828</v>
      </c>
    </row>
    <row r="524" spans="2:3" x14ac:dyDescent="0.2">
      <c r="B524">
        <v>0.21569732343519499</v>
      </c>
      <c r="C524">
        <v>0.65194109772423026</v>
      </c>
    </row>
    <row r="525" spans="2:3" x14ac:dyDescent="0.2">
      <c r="B525">
        <v>0.21562262629211201</v>
      </c>
      <c r="C525">
        <v>0.65127175368139223</v>
      </c>
    </row>
    <row r="526" spans="2:3" x14ac:dyDescent="0.2">
      <c r="B526">
        <v>0.21533462675051501</v>
      </c>
      <c r="C526">
        <v>0.6506024096385542</v>
      </c>
    </row>
    <row r="527" spans="2:3" x14ac:dyDescent="0.2">
      <c r="B527">
        <v>0.214589027351265</v>
      </c>
      <c r="C527">
        <v>0.64993306559571618</v>
      </c>
    </row>
    <row r="528" spans="2:3" x14ac:dyDescent="0.2">
      <c r="B528">
        <v>0.21453467712205901</v>
      </c>
      <c r="C528">
        <v>0.64926372155287815</v>
      </c>
    </row>
    <row r="529" spans="2:3" x14ac:dyDescent="0.2">
      <c r="B529">
        <v>0.214436046269809</v>
      </c>
      <c r="C529">
        <v>0.64859437751004012</v>
      </c>
    </row>
    <row r="530" spans="2:3" x14ac:dyDescent="0.2">
      <c r="B530">
        <v>0.21394446463558101</v>
      </c>
      <c r="C530">
        <v>0.64792503346720209</v>
      </c>
    </row>
    <row r="531" spans="2:3" x14ac:dyDescent="0.2">
      <c r="B531">
        <v>0.213873393374757</v>
      </c>
      <c r="C531">
        <v>0.64725568942436418</v>
      </c>
    </row>
    <row r="532" spans="2:3" x14ac:dyDescent="0.2">
      <c r="B532">
        <v>0.21378254146990999</v>
      </c>
      <c r="C532">
        <v>0.64658634538152615</v>
      </c>
    </row>
    <row r="533" spans="2:3" x14ac:dyDescent="0.2">
      <c r="B533">
        <v>0.21294422265020099</v>
      </c>
      <c r="C533">
        <v>0.64591700133868812</v>
      </c>
    </row>
    <row r="534" spans="2:3" x14ac:dyDescent="0.2">
      <c r="B534">
        <v>0.212804779955205</v>
      </c>
      <c r="C534">
        <v>0.6452476572958501</v>
      </c>
    </row>
    <row r="535" spans="2:3" x14ac:dyDescent="0.2">
      <c r="B535">
        <v>0.212415703876246</v>
      </c>
      <c r="C535">
        <v>0.64457831325301207</v>
      </c>
    </row>
    <row r="536" spans="2:3" x14ac:dyDescent="0.2">
      <c r="B536">
        <v>0.21171429908841499</v>
      </c>
      <c r="C536">
        <v>0.64390896921017404</v>
      </c>
    </row>
    <row r="537" spans="2:3" x14ac:dyDescent="0.2">
      <c r="B537">
        <v>0.21170376431320201</v>
      </c>
      <c r="C537">
        <v>0.64323962516733602</v>
      </c>
    </row>
    <row r="538" spans="2:3" x14ac:dyDescent="0.2">
      <c r="B538">
        <v>0.21147844736093299</v>
      </c>
      <c r="C538">
        <v>0.64257028112449799</v>
      </c>
    </row>
    <row r="539" spans="2:3" x14ac:dyDescent="0.2">
      <c r="B539">
        <v>0.21141091254797401</v>
      </c>
      <c r="C539">
        <v>0.64190093708165996</v>
      </c>
    </row>
    <row r="540" spans="2:3" x14ac:dyDescent="0.2">
      <c r="B540">
        <v>0.21130644536491899</v>
      </c>
      <c r="C540">
        <v>0.64123159303882193</v>
      </c>
    </row>
    <row r="541" spans="2:3" x14ac:dyDescent="0.2">
      <c r="B541">
        <v>0.211243997849933</v>
      </c>
      <c r="C541">
        <v>0.64056224899598391</v>
      </c>
    </row>
    <row r="542" spans="2:3" x14ac:dyDescent="0.2">
      <c r="B542">
        <v>0.210840208641382</v>
      </c>
      <c r="C542">
        <v>0.63989290495314588</v>
      </c>
    </row>
    <row r="543" spans="2:3" x14ac:dyDescent="0.2">
      <c r="B543">
        <v>0.210610033755224</v>
      </c>
      <c r="C543">
        <v>0.63922356091030785</v>
      </c>
    </row>
    <row r="544" spans="2:3" x14ac:dyDescent="0.2">
      <c r="B544">
        <v>0.21018992258597699</v>
      </c>
      <c r="C544">
        <v>0.63855421686746983</v>
      </c>
    </row>
    <row r="545" spans="2:3" x14ac:dyDescent="0.2">
      <c r="B545">
        <v>0.20981806052719701</v>
      </c>
      <c r="C545">
        <v>0.63788487282463191</v>
      </c>
    </row>
    <row r="546" spans="2:3" x14ac:dyDescent="0.2">
      <c r="B546">
        <v>0.2098078042549</v>
      </c>
      <c r="C546">
        <v>0.63721552878179388</v>
      </c>
    </row>
    <row r="547" spans="2:3" x14ac:dyDescent="0.2">
      <c r="B547">
        <v>0.20974428280676999</v>
      </c>
      <c r="C547">
        <v>0.63654618473895586</v>
      </c>
    </row>
    <row r="548" spans="2:3" x14ac:dyDescent="0.2">
      <c r="B548">
        <v>0.20936498904770601</v>
      </c>
      <c r="C548">
        <v>0.63587684069611783</v>
      </c>
    </row>
    <row r="549" spans="2:3" x14ac:dyDescent="0.2">
      <c r="B549">
        <v>0.20909752132769099</v>
      </c>
      <c r="C549">
        <v>0.6352074966532798</v>
      </c>
    </row>
    <row r="550" spans="2:3" x14ac:dyDescent="0.2">
      <c r="B550">
        <v>0.208928659044926</v>
      </c>
      <c r="C550">
        <v>0.63453815261044177</v>
      </c>
    </row>
    <row r="551" spans="2:3" x14ac:dyDescent="0.2">
      <c r="B551">
        <v>0.208915639694016</v>
      </c>
      <c r="C551">
        <v>0.63386880856760375</v>
      </c>
    </row>
    <row r="552" spans="2:3" x14ac:dyDescent="0.2">
      <c r="B552">
        <v>0.20866566929955099</v>
      </c>
      <c r="C552">
        <v>0.63319946452476572</v>
      </c>
    </row>
    <row r="553" spans="2:3" x14ac:dyDescent="0.2">
      <c r="B553">
        <v>0.20820527638036301</v>
      </c>
      <c r="C553">
        <v>0.63253012048192769</v>
      </c>
    </row>
    <row r="554" spans="2:3" x14ac:dyDescent="0.2">
      <c r="B554">
        <v>0.208197082387547</v>
      </c>
      <c r="C554">
        <v>0.63186077643908967</v>
      </c>
    </row>
    <row r="555" spans="2:3" x14ac:dyDescent="0.2">
      <c r="B555">
        <v>0.208192834994674</v>
      </c>
      <c r="C555">
        <v>0.63119143239625164</v>
      </c>
    </row>
    <row r="556" spans="2:3" x14ac:dyDescent="0.2">
      <c r="B556">
        <v>0.207816120478134</v>
      </c>
      <c r="C556">
        <v>0.63052208835341361</v>
      </c>
    </row>
    <row r="557" spans="2:3" x14ac:dyDescent="0.2">
      <c r="B557">
        <v>0.2076453864526</v>
      </c>
      <c r="C557">
        <v>0.62985274431057559</v>
      </c>
    </row>
    <row r="558" spans="2:3" x14ac:dyDescent="0.2">
      <c r="B558">
        <v>0.20714206535678301</v>
      </c>
      <c r="C558">
        <v>0.62918340026773767</v>
      </c>
    </row>
    <row r="559" spans="2:3" x14ac:dyDescent="0.2">
      <c r="B559">
        <v>0.20704645526049401</v>
      </c>
      <c r="C559">
        <v>0.62851405622489964</v>
      </c>
    </row>
    <row r="560" spans="2:3" x14ac:dyDescent="0.2">
      <c r="B560">
        <v>0.206966407593076</v>
      </c>
      <c r="C560">
        <v>0.62784471218206162</v>
      </c>
    </row>
    <row r="561" spans="2:3" x14ac:dyDescent="0.2">
      <c r="B561">
        <v>0.206879142281051</v>
      </c>
      <c r="C561">
        <v>0.62717536813922359</v>
      </c>
    </row>
    <row r="562" spans="2:3" x14ac:dyDescent="0.2">
      <c r="B562">
        <v>0.20686477338950901</v>
      </c>
      <c r="C562">
        <v>0.62650602409638556</v>
      </c>
    </row>
    <row r="563" spans="2:3" x14ac:dyDescent="0.2">
      <c r="B563">
        <v>0.206601127582311</v>
      </c>
      <c r="C563">
        <v>0.62583668005354753</v>
      </c>
    </row>
    <row r="564" spans="2:3" x14ac:dyDescent="0.2">
      <c r="B564">
        <v>0.20637258780145601</v>
      </c>
      <c r="C564">
        <v>0.62516733601070951</v>
      </c>
    </row>
    <row r="565" spans="2:3" x14ac:dyDescent="0.2">
      <c r="B565">
        <v>0.206285452932013</v>
      </c>
      <c r="C565">
        <v>0.62449799196787148</v>
      </c>
    </row>
    <row r="566" spans="2:3" x14ac:dyDescent="0.2">
      <c r="B566">
        <v>0.20608526814610501</v>
      </c>
      <c r="C566">
        <v>0.62382864792503345</v>
      </c>
    </row>
    <row r="567" spans="2:3" x14ac:dyDescent="0.2">
      <c r="B567">
        <v>0.205588009793501</v>
      </c>
      <c r="C567">
        <v>0.62315930388219543</v>
      </c>
    </row>
    <row r="568" spans="2:3" x14ac:dyDescent="0.2">
      <c r="B568">
        <v>0.205537144415426</v>
      </c>
      <c r="C568">
        <v>0.6224899598393574</v>
      </c>
    </row>
    <row r="569" spans="2:3" x14ac:dyDescent="0.2">
      <c r="B569">
        <v>0.20508967328400299</v>
      </c>
      <c r="C569">
        <v>0.62182061579651937</v>
      </c>
    </row>
    <row r="570" spans="2:3" x14ac:dyDescent="0.2">
      <c r="B570">
        <v>0.20497735385836199</v>
      </c>
      <c r="C570">
        <v>0.62115127175368134</v>
      </c>
    </row>
    <row r="571" spans="2:3" x14ac:dyDescent="0.2">
      <c r="B571">
        <v>0.20461037744625801</v>
      </c>
      <c r="C571">
        <v>0.62048192771084343</v>
      </c>
    </row>
    <row r="572" spans="2:3" x14ac:dyDescent="0.2">
      <c r="B572">
        <v>0.20446015414417401</v>
      </c>
      <c r="C572">
        <v>0.6198125836680054</v>
      </c>
    </row>
    <row r="573" spans="2:3" x14ac:dyDescent="0.2">
      <c r="B573">
        <v>0.20439651045577001</v>
      </c>
      <c r="C573">
        <v>0.61914323962516737</v>
      </c>
    </row>
    <row r="574" spans="2:3" x14ac:dyDescent="0.2">
      <c r="B574">
        <v>0.20404105911568199</v>
      </c>
      <c r="C574">
        <v>0.61847389558232935</v>
      </c>
    </row>
    <row r="575" spans="2:3" x14ac:dyDescent="0.2">
      <c r="B575">
        <v>0.20366776118761101</v>
      </c>
      <c r="C575">
        <v>0.61780455153949132</v>
      </c>
    </row>
    <row r="576" spans="2:3" x14ac:dyDescent="0.2">
      <c r="B576">
        <v>0.203658643753858</v>
      </c>
      <c r="C576">
        <v>0.61713520749665329</v>
      </c>
    </row>
    <row r="577" spans="2:3" x14ac:dyDescent="0.2">
      <c r="B577">
        <v>0.203458853765839</v>
      </c>
      <c r="C577">
        <v>0.61646586345381527</v>
      </c>
    </row>
    <row r="578" spans="2:3" x14ac:dyDescent="0.2">
      <c r="B578">
        <v>0.20337640424276299</v>
      </c>
      <c r="C578">
        <v>0.61579651941097724</v>
      </c>
    </row>
    <row r="579" spans="2:3" x14ac:dyDescent="0.2">
      <c r="B579">
        <v>0.20336876533927101</v>
      </c>
      <c r="C579">
        <v>0.61512717536813921</v>
      </c>
    </row>
    <row r="580" spans="2:3" x14ac:dyDescent="0.2">
      <c r="B580">
        <v>0.20317421806126601</v>
      </c>
      <c r="C580">
        <v>0.61445783132530118</v>
      </c>
    </row>
    <row r="581" spans="2:3" x14ac:dyDescent="0.2">
      <c r="B581">
        <v>0.202587695977205</v>
      </c>
      <c r="C581">
        <v>0.61378848728246316</v>
      </c>
    </row>
    <row r="582" spans="2:3" x14ac:dyDescent="0.2">
      <c r="B582">
        <v>0.202074201936566</v>
      </c>
      <c r="C582">
        <v>0.61311914323962513</v>
      </c>
    </row>
    <row r="583" spans="2:3" x14ac:dyDescent="0.2">
      <c r="B583">
        <v>0.201937479615241</v>
      </c>
      <c r="C583">
        <v>0.6124497991967871</v>
      </c>
    </row>
    <row r="584" spans="2:3" x14ac:dyDescent="0.2">
      <c r="B584">
        <v>0.20191917752359001</v>
      </c>
      <c r="C584">
        <v>0.61178045515394908</v>
      </c>
    </row>
    <row r="585" spans="2:3" x14ac:dyDescent="0.2">
      <c r="B585">
        <v>0.20156623003427501</v>
      </c>
      <c r="C585">
        <v>0.61111111111111116</v>
      </c>
    </row>
    <row r="586" spans="2:3" x14ac:dyDescent="0.2">
      <c r="B586">
        <v>0.201335511631311</v>
      </c>
      <c r="C586">
        <v>0.61044176706827313</v>
      </c>
    </row>
    <row r="587" spans="2:3" x14ac:dyDescent="0.2">
      <c r="B587">
        <v>0.20120167456983901</v>
      </c>
      <c r="C587">
        <v>0.60977242302543511</v>
      </c>
    </row>
    <row r="588" spans="2:3" x14ac:dyDescent="0.2">
      <c r="B588">
        <v>0.20115364008687001</v>
      </c>
      <c r="C588">
        <v>0.60910307898259708</v>
      </c>
    </row>
    <row r="589" spans="2:3" x14ac:dyDescent="0.2">
      <c r="B589">
        <v>0.201003818767512</v>
      </c>
      <c r="C589">
        <v>0.60843373493975905</v>
      </c>
    </row>
    <row r="590" spans="2:3" x14ac:dyDescent="0.2">
      <c r="B590">
        <v>0.20099651740170399</v>
      </c>
      <c r="C590">
        <v>0.60776439089692103</v>
      </c>
    </row>
    <row r="591" spans="2:3" x14ac:dyDescent="0.2">
      <c r="B591">
        <v>0.20091866680826601</v>
      </c>
      <c r="C591">
        <v>0.607095046854083</v>
      </c>
    </row>
    <row r="592" spans="2:3" x14ac:dyDescent="0.2">
      <c r="B592">
        <v>0.20063702150655899</v>
      </c>
      <c r="C592">
        <v>0.60642570281124497</v>
      </c>
    </row>
    <row r="593" spans="2:3" x14ac:dyDescent="0.2">
      <c r="B593">
        <v>0.20052173564789499</v>
      </c>
      <c r="C593">
        <v>0.60575635876840694</v>
      </c>
    </row>
    <row r="594" spans="2:3" x14ac:dyDescent="0.2">
      <c r="B594">
        <v>0.200375542448683</v>
      </c>
      <c r="C594">
        <v>0.60508701472556892</v>
      </c>
    </row>
    <row r="595" spans="2:3" x14ac:dyDescent="0.2">
      <c r="B595">
        <v>0.20035207442799899</v>
      </c>
      <c r="C595">
        <v>0.60441767068273089</v>
      </c>
    </row>
    <row r="596" spans="2:3" x14ac:dyDescent="0.2">
      <c r="B596">
        <v>0.20009046273747999</v>
      </c>
      <c r="C596">
        <v>0.60374832663989286</v>
      </c>
    </row>
    <row r="597" spans="2:3" x14ac:dyDescent="0.2">
      <c r="B597">
        <v>0.19994826296866999</v>
      </c>
      <c r="C597">
        <v>0.60307898259705484</v>
      </c>
    </row>
    <row r="598" spans="2:3" x14ac:dyDescent="0.2">
      <c r="B598">
        <v>0.19965190326749099</v>
      </c>
      <c r="C598">
        <v>0.60240963855421692</v>
      </c>
    </row>
    <row r="599" spans="2:3" x14ac:dyDescent="0.2">
      <c r="B599">
        <v>0.19957180582967499</v>
      </c>
      <c r="C599">
        <v>0.60174029451137889</v>
      </c>
    </row>
    <row r="600" spans="2:3" x14ac:dyDescent="0.2">
      <c r="B600">
        <v>0.19864198153168899</v>
      </c>
      <c r="C600">
        <v>0.60107095046854087</v>
      </c>
    </row>
    <row r="601" spans="2:3" x14ac:dyDescent="0.2">
      <c r="B601">
        <v>0.19790924723233799</v>
      </c>
      <c r="C601">
        <v>0.60040160642570284</v>
      </c>
    </row>
    <row r="602" spans="2:3" x14ac:dyDescent="0.2">
      <c r="B602">
        <v>0.19770178529605101</v>
      </c>
      <c r="C602">
        <v>0.59973226238286481</v>
      </c>
    </row>
    <row r="603" spans="2:3" x14ac:dyDescent="0.2">
      <c r="B603">
        <v>0.197664038337339</v>
      </c>
      <c r="C603">
        <v>0.59906291834002678</v>
      </c>
    </row>
    <row r="604" spans="2:3" x14ac:dyDescent="0.2">
      <c r="B604">
        <v>0.19717010639270399</v>
      </c>
      <c r="C604">
        <v>0.59839357429718876</v>
      </c>
    </row>
    <row r="605" spans="2:3" x14ac:dyDescent="0.2">
      <c r="B605">
        <v>0.19671141035336001</v>
      </c>
      <c r="C605">
        <v>0.59772423025435073</v>
      </c>
    </row>
    <row r="606" spans="2:3" x14ac:dyDescent="0.2">
      <c r="B606">
        <v>0.19655272200026799</v>
      </c>
      <c r="C606">
        <v>0.5970548862115127</v>
      </c>
    </row>
    <row r="607" spans="2:3" x14ac:dyDescent="0.2">
      <c r="B607">
        <v>0.196223768981199</v>
      </c>
      <c r="C607">
        <v>0.59638554216867468</v>
      </c>
    </row>
    <row r="608" spans="2:3" x14ac:dyDescent="0.2">
      <c r="B608">
        <v>0.195960552989562</v>
      </c>
      <c r="C608">
        <v>0.59571619812583665</v>
      </c>
    </row>
    <row r="609" spans="2:3" x14ac:dyDescent="0.2">
      <c r="B609">
        <v>0.195844010220285</v>
      </c>
      <c r="C609">
        <v>0.59504685408299862</v>
      </c>
    </row>
    <row r="610" spans="2:3" x14ac:dyDescent="0.2">
      <c r="B610">
        <v>0.19563405912350301</v>
      </c>
      <c r="C610">
        <v>0.59437751004016059</v>
      </c>
    </row>
    <row r="611" spans="2:3" x14ac:dyDescent="0.2">
      <c r="B611">
        <v>0.19538355618853701</v>
      </c>
      <c r="C611">
        <v>0.59370816599732268</v>
      </c>
    </row>
    <row r="612" spans="2:3" x14ac:dyDescent="0.2">
      <c r="B612">
        <v>0.19466651737196999</v>
      </c>
      <c r="C612">
        <v>0.59303882195448465</v>
      </c>
    </row>
    <row r="613" spans="2:3" x14ac:dyDescent="0.2">
      <c r="B613">
        <v>0.194662118079232</v>
      </c>
      <c r="C613">
        <v>0.59236947791164662</v>
      </c>
    </row>
    <row r="614" spans="2:3" x14ac:dyDescent="0.2">
      <c r="B614">
        <v>0.19465616117144299</v>
      </c>
      <c r="C614">
        <v>0.5917001338688086</v>
      </c>
    </row>
    <row r="615" spans="2:3" x14ac:dyDescent="0.2">
      <c r="B615">
        <v>0.19395303299878699</v>
      </c>
      <c r="C615">
        <v>0.59103078982597057</v>
      </c>
    </row>
    <row r="616" spans="2:3" x14ac:dyDescent="0.2">
      <c r="B616">
        <v>0.19364959741051699</v>
      </c>
      <c r="C616">
        <v>0.59036144578313254</v>
      </c>
    </row>
    <row r="617" spans="2:3" x14ac:dyDescent="0.2">
      <c r="B617">
        <v>0.19358354534125199</v>
      </c>
      <c r="C617">
        <v>0.58969210174029452</v>
      </c>
    </row>
    <row r="618" spans="2:3" x14ac:dyDescent="0.2">
      <c r="B618">
        <v>0.19333847695145301</v>
      </c>
      <c r="C618">
        <v>0.58902275769745649</v>
      </c>
    </row>
    <row r="619" spans="2:3" x14ac:dyDescent="0.2">
      <c r="B619">
        <v>0.19333390488212299</v>
      </c>
      <c r="C619">
        <v>0.58835341365461846</v>
      </c>
    </row>
    <row r="620" spans="2:3" x14ac:dyDescent="0.2">
      <c r="B620">
        <v>0.19323367284696</v>
      </c>
      <c r="C620">
        <v>0.58768406961178044</v>
      </c>
    </row>
    <row r="621" spans="2:3" x14ac:dyDescent="0.2">
      <c r="B621">
        <v>0.19322278391324199</v>
      </c>
      <c r="C621">
        <v>0.58701472556894241</v>
      </c>
    </row>
    <row r="622" spans="2:3" x14ac:dyDescent="0.2">
      <c r="B622">
        <v>0.19286964625344399</v>
      </c>
      <c r="C622">
        <v>0.58634538152610438</v>
      </c>
    </row>
    <row r="623" spans="2:3" x14ac:dyDescent="0.2">
      <c r="B623">
        <v>0.19233534081652601</v>
      </c>
      <c r="C623">
        <v>0.58567603748326635</v>
      </c>
    </row>
    <row r="624" spans="2:3" x14ac:dyDescent="0.2">
      <c r="B624">
        <v>0.19219809883573599</v>
      </c>
      <c r="C624">
        <v>0.58500669344042833</v>
      </c>
    </row>
    <row r="625" spans="2:3" x14ac:dyDescent="0.2">
      <c r="B625">
        <v>0.19213405069546899</v>
      </c>
      <c r="C625">
        <v>0.58433734939759041</v>
      </c>
    </row>
    <row r="626" spans="2:3" x14ac:dyDescent="0.2">
      <c r="B626">
        <v>0.19201662341266401</v>
      </c>
      <c r="C626">
        <v>0.58366800535475238</v>
      </c>
    </row>
    <row r="627" spans="2:3" x14ac:dyDescent="0.2">
      <c r="B627">
        <v>0.19152899280164301</v>
      </c>
      <c r="C627">
        <v>0.58299866131191436</v>
      </c>
    </row>
    <row r="628" spans="2:3" x14ac:dyDescent="0.2">
      <c r="B628">
        <v>0.19140037240183899</v>
      </c>
      <c r="C628">
        <v>0.58232931726907633</v>
      </c>
    </row>
    <row r="629" spans="2:3" x14ac:dyDescent="0.2">
      <c r="B629">
        <v>0.191334502038978</v>
      </c>
      <c r="C629">
        <v>0.5816599732262383</v>
      </c>
    </row>
    <row r="630" spans="2:3" x14ac:dyDescent="0.2">
      <c r="B630">
        <v>0.19099849015635101</v>
      </c>
      <c r="C630">
        <v>0.58099062918340028</v>
      </c>
    </row>
    <row r="631" spans="2:3" x14ac:dyDescent="0.2">
      <c r="B631">
        <v>0.19092985667022699</v>
      </c>
      <c r="C631">
        <v>0.58032128514056225</v>
      </c>
    </row>
    <row r="632" spans="2:3" x14ac:dyDescent="0.2">
      <c r="B632">
        <v>0.19075917360441599</v>
      </c>
      <c r="C632">
        <v>0.57965194109772422</v>
      </c>
    </row>
    <row r="633" spans="2:3" x14ac:dyDescent="0.2">
      <c r="B633">
        <v>0.190700708340727</v>
      </c>
      <c r="C633">
        <v>0.57898259705488619</v>
      </c>
    </row>
    <row r="634" spans="2:3" x14ac:dyDescent="0.2">
      <c r="B634">
        <v>0.189914414649067</v>
      </c>
      <c r="C634">
        <v>0.57831325301204817</v>
      </c>
    </row>
    <row r="635" spans="2:3" x14ac:dyDescent="0.2">
      <c r="B635">
        <v>0.189785995056896</v>
      </c>
      <c r="C635">
        <v>0.57764390896921014</v>
      </c>
    </row>
    <row r="636" spans="2:3" x14ac:dyDescent="0.2">
      <c r="B636">
        <v>0.18975007183379999</v>
      </c>
      <c r="C636">
        <v>0.57697456492637211</v>
      </c>
    </row>
    <row r="637" spans="2:3" x14ac:dyDescent="0.2">
      <c r="B637">
        <v>0.18966273058146399</v>
      </c>
      <c r="C637">
        <v>0.57630522088353409</v>
      </c>
    </row>
    <row r="638" spans="2:3" x14ac:dyDescent="0.2">
      <c r="B638">
        <v>0.188691608760128</v>
      </c>
      <c r="C638">
        <v>0.57563587684069617</v>
      </c>
    </row>
    <row r="639" spans="2:3" x14ac:dyDescent="0.2">
      <c r="B639">
        <v>0.18842768197300599</v>
      </c>
      <c r="C639">
        <v>0.57496653279785814</v>
      </c>
    </row>
    <row r="640" spans="2:3" x14ac:dyDescent="0.2">
      <c r="B640">
        <v>0.188400371296468</v>
      </c>
      <c r="C640">
        <v>0.57429718875502012</v>
      </c>
    </row>
    <row r="641" spans="2:3" x14ac:dyDescent="0.2">
      <c r="B641">
        <v>0.18780704866252301</v>
      </c>
      <c r="C641">
        <v>0.57362784471218209</v>
      </c>
    </row>
    <row r="642" spans="2:3" x14ac:dyDescent="0.2">
      <c r="B642">
        <v>0.18762481154647201</v>
      </c>
      <c r="C642">
        <v>0.57295850066934406</v>
      </c>
    </row>
    <row r="643" spans="2:3" x14ac:dyDescent="0.2">
      <c r="B643">
        <v>0.187605276374641</v>
      </c>
      <c r="C643">
        <v>0.57228915662650603</v>
      </c>
    </row>
    <row r="644" spans="2:3" x14ac:dyDescent="0.2">
      <c r="B644">
        <v>0.18701647258107301</v>
      </c>
      <c r="C644">
        <v>0.57161981258366801</v>
      </c>
    </row>
    <row r="645" spans="2:3" x14ac:dyDescent="0.2">
      <c r="B645">
        <v>0.18674451940933501</v>
      </c>
      <c r="C645">
        <v>0.57095046854082998</v>
      </c>
    </row>
    <row r="646" spans="2:3" x14ac:dyDescent="0.2">
      <c r="B646">
        <v>0.18650122864007401</v>
      </c>
      <c r="C646">
        <v>0.57028112449799195</v>
      </c>
    </row>
    <row r="647" spans="2:3" x14ac:dyDescent="0.2">
      <c r="B647">
        <v>0.18650035175639401</v>
      </c>
      <c r="C647">
        <v>0.56961178045515393</v>
      </c>
    </row>
    <row r="648" spans="2:3" x14ac:dyDescent="0.2">
      <c r="B648">
        <v>0.18607734698240599</v>
      </c>
      <c r="C648">
        <v>0.5689424364123159</v>
      </c>
    </row>
    <row r="649" spans="2:3" x14ac:dyDescent="0.2">
      <c r="B649">
        <v>0.18605708134004501</v>
      </c>
      <c r="C649">
        <v>0.56827309236947787</v>
      </c>
    </row>
    <row r="650" spans="2:3" x14ac:dyDescent="0.2">
      <c r="B650">
        <v>0.185923767847336</v>
      </c>
      <c r="C650">
        <v>0.56760374832663985</v>
      </c>
    </row>
    <row r="651" spans="2:3" x14ac:dyDescent="0.2">
      <c r="B651">
        <v>0.18572854208805101</v>
      </c>
      <c r="C651">
        <v>0.56693440428380193</v>
      </c>
    </row>
    <row r="652" spans="2:3" x14ac:dyDescent="0.2">
      <c r="B652">
        <v>0.185239969153564</v>
      </c>
      <c r="C652">
        <v>0.5662650602409639</v>
      </c>
    </row>
    <row r="653" spans="2:3" x14ac:dyDescent="0.2">
      <c r="B653">
        <v>0.185167618780997</v>
      </c>
      <c r="C653">
        <v>0.56559571619812588</v>
      </c>
    </row>
    <row r="654" spans="2:3" x14ac:dyDescent="0.2">
      <c r="B654">
        <v>0.18493123723218599</v>
      </c>
      <c r="C654">
        <v>0.56492637215528785</v>
      </c>
    </row>
    <row r="655" spans="2:3" x14ac:dyDescent="0.2">
      <c r="B655">
        <v>0.18434697951395501</v>
      </c>
      <c r="C655">
        <v>0.56425702811244982</v>
      </c>
    </row>
    <row r="656" spans="2:3" x14ac:dyDescent="0.2">
      <c r="B656">
        <v>0.184077215961718</v>
      </c>
      <c r="C656">
        <v>0.56358768406961179</v>
      </c>
    </row>
    <row r="657" spans="2:3" x14ac:dyDescent="0.2">
      <c r="B657">
        <v>0.18404934654081401</v>
      </c>
      <c r="C657">
        <v>0.56291834002677377</v>
      </c>
    </row>
    <row r="658" spans="2:3" x14ac:dyDescent="0.2">
      <c r="B658">
        <v>0.18403814480384201</v>
      </c>
      <c r="C658">
        <v>0.56224899598393574</v>
      </c>
    </row>
    <row r="659" spans="2:3" x14ac:dyDescent="0.2">
      <c r="B659">
        <v>0.183979880123009</v>
      </c>
      <c r="C659">
        <v>0.56157965194109771</v>
      </c>
    </row>
    <row r="660" spans="2:3" x14ac:dyDescent="0.2">
      <c r="B660">
        <v>0.18358234269521101</v>
      </c>
      <c r="C660">
        <v>0.56091030789825969</v>
      </c>
    </row>
    <row r="661" spans="2:3" x14ac:dyDescent="0.2">
      <c r="B661">
        <v>0.182462656755354</v>
      </c>
      <c r="C661">
        <v>0.56024096385542166</v>
      </c>
    </row>
    <row r="662" spans="2:3" x14ac:dyDescent="0.2">
      <c r="B662">
        <v>0.18219156269762399</v>
      </c>
      <c r="C662">
        <v>0.55957161981258363</v>
      </c>
    </row>
    <row r="663" spans="2:3" x14ac:dyDescent="0.2">
      <c r="B663">
        <v>0.18202598480931301</v>
      </c>
      <c r="C663">
        <v>0.5589022757697456</v>
      </c>
    </row>
    <row r="664" spans="2:3" x14ac:dyDescent="0.2">
      <c r="B664">
        <v>0.18196197865615399</v>
      </c>
      <c r="C664">
        <v>0.55823293172690758</v>
      </c>
    </row>
    <row r="665" spans="2:3" x14ac:dyDescent="0.2">
      <c r="B665">
        <v>0.18174366633092401</v>
      </c>
      <c r="C665">
        <v>0.55756358768406966</v>
      </c>
    </row>
    <row r="666" spans="2:3" x14ac:dyDescent="0.2">
      <c r="B666">
        <v>0.181082593528577</v>
      </c>
      <c r="C666">
        <v>0.55689424364123163</v>
      </c>
    </row>
    <row r="667" spans="2:3" x14ac:dyDescent="0.2">
      <c r="B667">
        <v>0.18076761944469599</v>
      </c>
      <c r="C667">
        <v>0.55622489959839361</v>
      </c>
    </row>
    <row r="668" spans="2:3" x14ac:dyDescent="0.2">
      <c r="B668">
        <v>0.180422334194134</v>
      </c>
      <c r="C668">
        <v>0.55555555555555558</v>
      </c>
    </row>
    <row r="669" spans="2:3" x14ac:dyDescent="0.2">
      <c r="B669">
        <v>0.180376348537273</v>
      </c>
      <c r="C669">
        <v>0.55488621151271755</v>
      </c>
    </row>
    <row r="670" spans="2:3" x14ac:dyDescent="0.2">
      <c r="B670">
        <v>0.17981873593151801</v>
      </c>
      <c r="C670">
        <v>0.55421686746987953</v>
      </c>
    </row>
    <row r="671" spans="2:3" x14ac:dyDescent="0.2">
      <c r="B671">
        <v>0.17957653374045801</v>
      </c>
      <c r="C671">
        <v>0.5535475234270415</v>
      </c>
    </row>
    <row r="672" spans="2:3" x14ac:dyDescent="0.2">
      <c r="B672">
        <v>0.17935242908422899</v>
      </c>
      <c r="C672">
        <v>0.55287817938420347</v>
      </c>
    </row>
    <row r="673" spans="2:3" x14ac:dyDescent="0.2">
      <c r="B673">
        <v>0.178903389419097</v>
      </c>
      <c r="C673">
        <v>0.55220883534136544</v>
      </c>
    </row>
    <row r="674" spans="2:3" x14ac:dyDescent="0.2">
      <c r="B674">
        <v>0.178478842640626</v>
      </c>
      <c r="C674">
        <v>0.55153949129852742</v>
      </c>
    </row>
    <row r="675" spans="2:3" x14ac:dyDescent="0.2">
      <c r="B675">
        <v>0.17795601455978199</v>
      </c>
      <c r="C675">
        <v>0.55087014725568939</v>
      </c>
    </row>
    <row r="676" spans="2:3" x14ac:dyDescent="0.2">
      <c r="B676">
        <v>0.17795362636074</v>
      </c>
      <c r="C676">
        <v>0.55020080321285136</v>
      </c>
    </row>
    <row r="677" spans="2:3" x14ac:dyDescent="0.2">
      <c r="B677">
        <v>0.17790591969611499</v>
      </c>
      <c r="C677">
        <v>0.54953145917001334</v>
      </c>
    </row>
    <row r="678" spans="2:3" x14ac:dyDescent="0.2">
      <c r="B678">
        <v>0.17780819840989401</v>
      </c>
      <c r="C678">
        <v>0.54886211512717542</v>
      </c>
    </row>
    <row r="679" spans="2:3" x14ac:dyDescent="0.2">
      <c r="B679">
        <v>0.177641741445596</v>
      </c>
      <c r="C679">
        <v>0.54819277108433739</v>
      </c>
    </row>
    <row r="680" spans="2:3" x14ac:dyDescent="0.2">
      <c r="B680">
        <v>0.17764121973411001</v>
      </c>
      <c r="C680">
        <v>0.54752342704149937</v>
      </c>
    </row>
    <row r="681" spans="2:3" x14ac:dyDescent="0.2">
      <c r="B681">
        <v>0.17751415314545399</v>
      </c>
      <c r="C681">
        <v>0.54685408299866134</v>
      </c>
    </row>
    <row r="682" spans="2:3" x14ac:dyDescent="0.2">
      <c r="B682">
        <v>0.177426367687258</v>
      </c>
      <c r="C682">
        <v>0.54618473895582331</v>
      </c>
    </row>
    <row r="683" spans="2:3" x14ac:dyDescent="0.2">
      <c r="B683">
        <v>0.17741828655053299</v>
      </c>
      <c r="C683">
        <v>0.54551539491298529</v>
      </c>
    </row>
    <row r="684" spans="2:3" x14ac:dyDescent="0.2">
      <c r="B684">
        <v>0.17734884425233199</v>
      </c>
      <c r="C684">
        <v>0.54484605087014726</v>
      </c>
    </row>
    <row r="685" spans="2:3" x14ac:dyDescent="0.2">
      <c r="B685">
        <v>0.17722977561797201</v>
      </c>
      <c r="C685">
        <v>0.54417670682730923</v>
      </c>
    </row>
    <row r="686" spans="2:3" x14ac:dyDescent="0.2">
      <c r="B686">
        <v>0.177163109604939</v>
      </c>
      <c r="C686">
        <v>0.5435073627844712</v>
      </c>
    </row>
    <row r="687" spans="2:3" x14ac:dyDescent="0.2">
      <c r="B687">
        <v>0.177085587464126</v>
      </c>
      <c r="C687">
        <v>0.54283801874163318</v>
      </c>
    </row>
    <row r="688" spans="2:3" x14ac:dyDescent="0.2">
      <c r="B688">
        <v>0.176793672335192</v>
      </c>
      <c r="C688">
        <v>0.54216867469879515</v>
      </c>
    </row>
    <row r="689" spans="2:3" x14ac:dyDescent="0.2">
      <c r="B689">
        <v>0.17677332183410899</v>
      </c>
      <c r="C689">
        <v>0.54149933065595712</v>
      </c>
    </row>
    <row r="690" spans="2:3" x14ac:dyDescent="0.2">
      <c r="B690">
        <v>0.176766141721799</v>
      </c>
      <c r="C690">
        <v>0.5408299866131191</v>
      </c>
    </row>
    <row r="691" spans="2:3" x14ac:dyDescent="0.2">
      <c r="B691">
        <v>0.176446286964482</v>
      </c>
      <c r="C691">
        <v>0.54016064257028118</v>
      </c>
    </row>
    <row r="692" spans="2:3" x14ac:dyDescent="0.2">
      <c r="B692">
        <v>0.176258960164585</v>
      </c>
      <c r="C692">
        <v>0.53949129852744315</v>
      </c>
    </row>
    <row r="693" spans="2:3" x14ac:dyDescent="0.2">
      <c r="B693">
        <v>0.17624152937696</v>
      </c>
      <c r="C693">
        <v>0.53882195448460513</v>
      </c>
    </row>
    <row r="694" spans="2:3" x14ac:dyDescent="0.2">
      <c r="B694">
        <v>0.176141106289949</v>
      </c>
      <c r="C694">
        <v>0.5381526104417671</v>
      </c>
    </row>
    <row r="695" spans="2:3" x14ac:dyDescent="0.2">
      <c r="B695">
        <v>0.17593558619716801</v>
      </c>
      <c r="C695">
        <v>0.53748326639892907</v>
      </c>
    </row>
    <row r="696" spans="2:3" x14ac:dyDescent="0.2">
      <c r="B696">
        <v>0.17567648396080099</v>
      </c>
      <c r="C696">
        <v>0.53681392235609104</v>
      </c>
    </row>
    <row r="697" spans="2:3" x14ac:dyDescent="0.2">
      <c r="B697">
        <v>0.17518387373568101</v>
      </c>
      <c r="C697">
        <v>0.53614457831325302</v>
      </c>
    </row>
    <row r="698" spans="2:3" x14ac:dyDescent="0.2">
      <c r="B698">
        <v>0.175021508052084</v>
      </c>
      <c r="C698">
        <v>0.53547523427041499</v>
      </c>
    </row>
    <row r="699" spans="2:3" x14ac:dyDescent="0.2">
      <c r="B699">
        <v>0.17494519988784801</v>
      </c>
      <c r="C699">
        <v>0.53480589022757696</v>
      </c>
    </row>
    <row r="700" spans="2:3" x14ac:dyDescent="0.2">
      <c r="B700">
        <v>0.17468868372570301</v>
      </c>
      <c r="C700">
        <v>0.53413654618473894</v>
      </c>
    </row>
    <row r="701" spans="2:3" x14ac:dyDescent="0.2">
      <c r="B701">
        <v>0.174502896362038</v>
      </c>
      <c r="C701">
        <v>0.53346720214190091</v>
      </c>
    </row>
    <row r="702" spans="2:3" x14ac:dyDescent="0.2">
      <c r="B702">
        <v>0.174485525850855</v>
      </c>
      <c r="C702">
        <v>0.53279785809906288</v>
      </c>
    </row>
    <row r="703" spans="2:3" x14ac:dyDescent="0.2">
      <c r="B703">
        <v>0.17443762581619099</v>
      </c>
      <c r="C703">
        <v>0.53212851405622486</v>
      </c>
    </row>
    <row r="704" spans="2:3" x14ac:dyDescent="0.2">
      <c r="B704">
        <v>0.174436750548706</v>
      </c>
      <c r="C704">
        <v>0.53145917001338683</v>
      </c>
    </row>
    <row r="705" spans="2:3" x14ac:dyDescent="0.2">
      <c r="B705">
        <v>0.17433432275799399</v>
      </c>
      <c r="C705">
        <v>0.53078982597054891</v>
      </c>
    </row>
    <row r="706" spans="2:3" x14ac:dyDescent="0.2">
      <c r="B706">
        <v>0.17413646244132999</v>
      </c>
      <c r="C706">
        <v>0.53012048192771088</v>
      </c>
    </row>
    <row r="707" spans="2:3" x14ac:dyDescent="0.2">
      <c r="B707">
        <v>0.17409693877680199</v>
      </c>
      <c r="C707">
        <v>0.52945113788487286</v>
      </c>
    </row>
    <row r="708" spans="2:3" x14ac:dyDescent="0.2">
      <c r="B708">
        <v>0.174020824603076</v>
      </c>
      <c r="C708">
        <v>0.52878179384203483</v>
      </c>
    </row>
    <row r="709" spans="2:3" x14ac:dyDescent="0.2">
      <c r="B709">
        <v>0.17378923490122</v>
      </c>
      <c r="C709">
        <v>0.5281124497991968</v>
      </c>
    </row>
    <row r="710" spans="2:3" x14ac:dyDescent="0.2">
      <c r="B710">
        <v>0.172617545520939</v>
      </c>
      <c r="C710">
        <v>0.52744310575635878</v>
      </c>
    </row>
    <row r="711" spans="2:3" x14ac:dyDescent="0.2">
      <c r="B711">
        <v>0.17254882455836601</v>
      </c>
      <c r="C711">
        <v>0.52677376171352075</v>
      </c>
    </row>
    <row r="712" spans="2:3" x14ac:dyDescent="0.2">
      <c r="B712">
        <v>0.172275874635649</v>
      </c>
      <c r="C712">
        <v>0.52610441767068272</v>
      </c>
    </row>
    <row r="713" spans="2:3" x14ac:dyDescent="0.2">
      <c r="B713">
        <v>0.171824143268998</v>
      </c>
      <c r="C713">
        <v>0.5254350736278447</v>
      </c>
    </row>
    <row r="714" spans="2:3" x14ac:dyDescent="0.2">
      <c r="B714">
        <v>0.17162019517716301</v>
      </c>
      <c r="C714">
        <v>0.52476572958500667</v>
      </c>
    </row>
    <row r="715" spans="2:3" x14ac:dyDescent="0.2">
      <c r="B715">
        <v>0.171515333827269</v>
      </c>
      <c r="C715">
        <v>0.52409638554216864</v>
      </c>
    </row>
    <row r="716" spans="2:3" x14ac:dyDescent="0.2">
      <c r="B716">
        <v>0.17136384648087</v>
      </c>
      <c r="C716">
        <v>0.52342704149933061</v>
      </c>
    </row>
    <row r="717" spans="2:3" x14ac:dyDescent="0.2">
      <c r="B717">
        <v>0.171331421783982</v>
      </c>
      <c r="C717">
        <v>0.52275769745649259</v>
      </c>
    </row>
    <row r="718" spans="2:3" x14ac:dyDescent="0.2">
      <c r="B718">
        <v>0.171273589810613</v>
      </c>
      <c r="C718">
        <v>0.52208835341365467</v>
      </c>
    </row>
    <row r="719" spans="2:3" x14ac:dyDescent="0.2">
      <c r="B719">
        <v>0.17108040004069899</v>
      </c>
      <c r="C719">
        <v>0.52141900937081664</v>
      </c>
    </row>
    <row r="720" spans="2:3" x14ac:dyDescent="0.2">
      <c r="B720">
        <v>0.170868113551291</v>
      </c>
      <c r="C720">
        <v>0.52074966532797862</v>
      </c>
    </row>
    <row r="721" spans="2:3" x14ac:dyDescent="0.2">
      <c r="B721">
        <v>0.17082801856704399</v>
      </c>
      <c r="C721">
        <v>0.52008032128514059</v>
      </c>
    </row>
    <row r="722" spans="2:3" x14ac:dyDescent="0.2">
      <c r="B722">
        <v>0.17082600458526001</v>
      </c>
      <c r="C722">
        <v>0.51941097724230256</v>
      </c>
    </row>
    <row r="723" spans="2:3" x14ac:dyDescent="0.2">
      <c r="B723">
        <v>0.17064538575336999</v>
      </c>
      <c r="C723">
        <v>0.51874163319946454</v>
      </c>
    </row>
    <row r="724" spans="2:3" x14ac:dyDescent="0.2">
      <c r="B724">
        <v>0.17033020530377299</v>
      </c>
      <c r="C724">
        <v>0.51807228915662651</v>
      </c>
    </row>
    <row r="725" spans="2:3" x14ac:dyDescent="0.2">
      <c r="B725">
        <v>0.16998121775365499</v>
      </c>
      <c r="C725">
        <v>0.51740294511378848</v>
      </c>
    </row>
    <row r="726" spans="2:3" x14ac:dyDescent="0.2">
      <c r="B726">
        <v>0.169608700505158</v>
      </c>
      <c r="C726">
        <v>0.51673360107095045</v>
      </c>
    </row>
    <row r="727" spans="2:3" x14ac:dyDescent="0.2">
      <c r="B727">
        <v>0.169425511716433</v>
      </c>
      <c r="C727">
        <v>0.51606425702811243</v>
      </c>
    </row>
    <row r="728" spans="2:3" x14ac:dyDescent="0.2">
      <c r="B728">
        <v>0.16917191320490799</v>
      </c>
      <c r="C728">
        <v>0.5153949129852744</v>
      </c>
    </row>
    <row r="729" spans="2:3" x14ac:dyDescent="0.2">
      <c r="B729">
        <v>0.168974512544667</v>
      </c>
      <c r="C729">
        <v>0.51472556894243637</v>
      </c>
    </row>
    <row r="730" spans="2:3" x14ac:dyDescent="0.2">
      <c r="B730">
        <v>0.168903220028225</v>
      </c>
      <c r="C730">
        <v>0.51405622489959835</v>
      </c>
    </row>
    <row r="731" spans="2:3" x14ac:dyDescent="0.2">
      <c r="B731">
        <v>0.16848997413036401</v>
      </c>
      <c r="C731">
        <v>0.51338688085676043</v>
      </c>
    </row>
    <row r="732" spans="2:3" x14ac:dyDescent="0.2">
      <c r="B732">
        <v>0.16816829847300099</v>
      </c>
      <c r="C732">
        <v>0.5127175368139224</v>
      </c>
    </row>
    <row r="733" spans="2:3" x14ac:dyDescent="0.2">
      <c r="B733">
        <v>0.16816165210070999</v>
      </c>
      <c r="C733">
        <v>0.51204819277108438</v>
      </c>
    </row>
    <row r="734" spans="2:3" x14ac:dyDescent="0.2">
      <c r="B734">
        <v>0.16810587284496201</v>
      </c>
      <c r="C734">
        <v>0.51137884872824635</v>
      </c>
    </row>
    <row r="735" spans="2:3" x14ac:dyDescent="0.2">
      <c r="B735">
        <v>0.16806196946355001</v>
      </c>
      <c r="C735">
        <v>0.51070950468540832</v>
      </c>
    </row>
    <row r="736" spans="2:3" x14ac:dyDescent="0.2">
      <c r="B736">
        <v>0.16795488352498</v>
      </c>
      <c r="C736">
        <v>0.51004016064257029</v>
      </c>
    </row>
    <row r="737" spans="2:3" x14ac:dyDescent="0.2">
      <c r="B737">
        <v>0.167484813002792</v>
      </c>
      <c r="C737">
        <v>0.50937081659973227</v>
      </c>
    </row>
    <row r="738" spans="2:3" x14ac:dyDescent="0.2">
      <c r="B738">
        <v>0.16731277387083801</v>
      </c>
      <c r="C738">
        <v>0.50870147255689424</v>
      </c>
    </row>
    <row r="739" spans="2:3" x14ac:dyDescent="0.2">
      <c r="B739">
        <v>0.16715709415598701</v>
      </c>
      <c r="C739">
        <v>0.50803212851405621</v>
      </c>
    </row>
    <row r="740" spans="2:3" x14ac:dyDescent="0.2">
      <c r="B740">
        <v>0.16646568598450601</v>
      </c>
      <c r="C740">
        <v>0.50736278447121819</v>
      </c>
    </row>
    <row r="741" spans="2:3" x14ac:dyDescent="0.2">
      <c r="B741">
        <v>0.16634505537760599</v>
      </c>
      <c r="C741">
        <v>0.50669344042838016</v>
      </c>
    </row>
    <row r="742" spans="2:3" x14ac:dyDescent="0.2">
      <c r="B742">
        <v>0.166339735804102</v>
      </c>
      <c r="C742">
        <v>0.50602409638554213</v>
      </c>
    </row>
    <row r="743" spans="2:3" x14ac:dyDescent="0.2">
      <c r="B743">
        <v>0.165847624667882</v>
      </c>
      <c r="C743">
        <v>0.50535475234270411</v>
      </c>
    </row>
    <row r="744" spans="2:3" x14ac:dyDescent="0.2">
      <c r="B744">
        <v>0.16582406010846801</v>
      </c>
      <c r="C744">
        <v>0.50468540829986608</v>
      </c>
    </row>
    <row r="745" spans="2:3" x14ac:dyDescent="0.2">
      <c r="B745">
        <v>0.16563576532876301</v>
      </c>
      <c r="C745">
        <v>0.50401606425702816</v>
      </c>
    </row>
    <row r="746" spans="2:3" x14ac:dyDescent="0.2">
      <c r="B746">
        <v>0.165601719273297</v>
      </c>
      <c r="C746">
        <v>0.50334672021419014</v>
      </c>
    </row>
    <row r="747" spans="2:3" x14ac:dyDescent="0.2">
      <c r="B747">
        <v>0.16514936685380099</v>
      </c>
      <c r="C747">
        <v>0.50267737617135211</v>
      </c>
    </row>
    <row r="748" spans="2:3" x14ac:dyDescent="0.2">
      <c r="B748">
        <v>0.165100690364547</v>
      </c>
      <c r="C748">
        <v>0.50200803212851408</v>
      </c>
    </row>
    <row r="749" spans="2:3" x14ac:dyDescent="0.2">
      <c r="B749">
        <v>0.16493314993495001</v>
      </c>
      <c r="C749">
        <v>0.50133868808567605</v>
      </c>
    </row>
    <row r="750" spans="2:3" x14ac:dyDescent="0.2">
      <c r="B750">
        <v>0.16479614006066701</v>
      </c>
      <c r="C750">
        <v>0.50066934404283803</v>
      </c>
    </row>
    <row r="751" spans="2:3" x14ac:dyDescent="0.2">
      <c r="B751">
        <v>0.163803073287452</v>
      </c>
      <c r="C751">
        <v>0.5</v>
      </c>
    </row>
    <row r="752" spans="2:3" x14ac:dyDescent="0.2">
      <c r="B752">
        <v>0.163656817819295</v>
      </c>
      <c r="C752">
        <v>0.49933065595716197</v>
      </c>
    </row>
    <row r="753" spans="2:3" x14ac:dyDescent="0.2">
      <c r="B753">
        <v>0.163308610729169</v>
      </c>
      <c r="C753">
        <v>0.49866131191432395</v>
      </c>
    </row>
    <row r="754" spans="2:3" x14ac:dyDescent="0.2">
      <c r="B754">
        <v>0.163256581969033</v>
      </c>
      <c r="C754">
        <v>0.49799196787148592</v>
      </c>
    </row>
    <row r="755" spans="2:3" x14ac:dyDescent="0.2">
      <c r="B755">
        <v>0.16324806334773201</v>
      </c>
      <c r="C755">
        <v>0.49732262382864795</v>
      </c>
    </row>
    <row r="756" spans="2:3" x14ac:dyDescent="0.2">
      <c r="B756">
        <v>0.16296153231399799</v>
      </c>
      <c r="C756">
        <v>0.49665327978580992</v>
      </c>
    </row>
    <row r="757" spans="2:3" x14ac:dyDescent="0.2">
      <c r="B757">
        <v>0.16292640453564</v>
      </c>
      <c r="C757">
        <v>0.49598393574297189</v>
      </c>
    </row>
    <row r="758" spans="2:3" x14ac:dyDescent="0.2">
      <c r="B758">
        <v>0.16274473294755601</v>
      </c>
      <c r="C758">
        <v>0.49531459170013387</v>
      </c>
    </row>
    <row r="759" spans="2:3" x14ac:dyDescent="0.2">
      <c r="B759">
        <v>0.162640081679163</v>
      </c>
      <c r="C759">
        <v>0.49464524765729584</v>
      </c>
    </row>
    <row r="760" spans="2:3" x14ac:dyDescent="0.2">
      <c r="B760">
        <v>0.16261472842333499</v>
      </c>
      <c r="C760">
        <v>0.49397590361445781</v>
      </c>
    </row>
    <row r="761" spans="2:3" x14ac:dyDescent="0.2">
      <c r="B761">
        <v>0.16241174541835501</v>
      </c>
      <c r="C761">
        <v>0.49330655957161978</v>
      </c>
    </row>
    <row r="762" spans="2:3" x14ac:dyDescent="0.2">
      <c r="B762">
        <v>0.162363538684584</v>
      </c>
      <c r="C762">
        <v>0.49263721552878181</v>
      </c>
    </row>
    <row r="763" spans="2:3" x14ac:dyDescent="0.2">
      <c r="B763">
        <v>0.16230497451675499</v>
      </c>
      <c r="C763">
        <v>0.49196787148594379</v>
      </c>
    </row>
    <row r="764" spans="2:3" x14ac:dyDescent="0.2">
      <c r="B764">
        <v>0.162237950430492</v>
      </c>
      <c r="C764">
        <v>0.49129852744310576</v>
      </c>
    </row>
    <row r="765" spans="2:3" x14ac:dyDescent="0.2">
      <c r="B765">
        <v>0.16213120289337399</v>
      </c>
      <c r="C765">
        <v>0.49062918340026773</v>
      </c>
    </row>
    <row r="766" spans="2:3" x14ac:dyDescent="0.2">
      <c r="B766">
        <v>0.16187758497476401</v>
      </c>
      <c r="C766">
        <v>0.48995983935742971</v>
      </c>
    </row>
    <row r="767" spans="2:3" x14ac:dyDescent="0.2">
      <c r="B767">
        <v>0.16173880541477201</v>
      </c>
      <c r="C767">
        <v>0.48929049531459168</v>
      </c>
    </row>
    <row r="768" spans="2:3" x14ac:dyDescent="0.2">
      <c r="B768">
        <v>0.16155079577496201</v>
      </c>
      <c r="C768">
        <v>0.48862115127175371</v>
      </c>
    </row>
    <row r="769" spans="2:3" x14ac:dyDescent="0.2">
      <c r="B769">
        <v>0.16138822363375099</v>
      </c>
      <c r="C769">
        <v>0.48795180722891568</v>
      </c>
    </row>
    <row r="770" spans="2:3" x14ac:dyDescent="0.2">
      <c r="B770">
        <v>0.161200123571069</v>
      </c>
      <c r="C770">
        <v>0.48728246318607765</v>
      </c>
    </row>
    <row r="771" spans="2:3" x14ac:dyDescent="0.2">
      <c r="B771">
        <v>0.16111859401763701</v>
      </c>
      <c r="C771">
        <v>0.48661311914323963</v>
      </c>
    </row>
    <row r="772" spans="2:3" x14ac:dyDescent="0.2">
      <c r="B772">
        <v>0.16013462324704</v>
      </c>
      <c r="C772">
        <v>0.4859437751004016</v>
      </c>
    </row>
    <row r="773" spans="2:3" x14ac:dyDescent="0.2">
      <c r="B773">
        <v>0.16010256461893299</v>
      </c>
      <c r="C773">
        <v>0.48527443105756357</v>
      </c>
    </row>
    <row r="774" spans="2:3" x14ac:dyDescent="0.2">
      <c r="B774">
        <v>0.15939653327863099</v>
      </c>
      <c r="C774">
        <v>0.48460508701472554</v>
      </c>
    </row>
    <row r="775" spans="2:3" x14ac:dyDescent="0.2">
      <c r="B775">
        <v>0.15932615182384699</v>
      </c>
      <c r="C775">
        <v>0.48393574297188757</v>
      </c>
    </row>
    <row r="776" spans="2:3" x14ac:dyDescent="0.2">
      <c r="B776">
        <v>0.15915206418130701</v>
      </c>
      <c r="C776">
        <v>0.48326639892904955</v>
      </c>
    </row>
    <row r="777" spans="2:3" x14ac:dyDescent="0.2">
      <c r="B777">
        <v>0.158980710451326</v>
      </c>
      <c r="C777">
        <v>0.48259705488621152</v>
      </c>
    </row>
    <row r="778" spans="2:3" x14ac:dyDescent="0.2">
      <c r="B778">
        <v>0.15896062878192899</v>
      </c>
      <c r="C778">
        <v>0.48192771084337349</v>
      </c>
    </row>
    <row r="779" spans="2:3" x14ac:dyDescent="0.2">
      <c r="B779">
        <v>0.158792147264183</v>
      </c>
      <c r="C779">
        <v>0.48125836680053546</v>
      </c>
    </row>
    <row r="780" spans="2:3" x14ac:dyDescent="0.2">
      <c r="B780">
        <v>0.15877130830654501</v>
      </c>
      <c r="C780">
        <v>0.48058902275769744</v>
      </c>
    </row>
    <row r="781" spans="2:3" x14ac:dyDescent="0.2">
      <c r="B781">
        <v>0.15818004554932899</v>
      </c>
      <c r="C781">
        <v>0.47991967871485941</v>
      </c>
    </row>
    <row r="782" spans="2:3" x14ac:dyDescent="0.2">
      <c r="B782">
        <v>0.15808582035101301</v>
      </c>
      <c r="C782">
        <v>0.47925033467202144</v>
      </c>
    </row>
    <row r="783" spans="2:3" x14ac:dyDescent="0.2">
      <c r="B783">
        <v>0.15800736602107901</v>
      </c>
      <c r="C783">
        <v>0.47858099062918341</v>
      </c>
    </row>
    <row r="784" spans="2:3" x14ac:dyDescent="0.2">
      <c r="B784">
        <v>0.15797137751447099</v>
      </c>
      <c r="C784">
        <v>0.47791164658634538</v>
      </c>
    </row>
    <row r="785" spans="2:3" x14ac:dyDescent="0.2">
      <c r="B785">
        <v>0.15758853549507701</v>
      </c>
      <c r="C785">
        <v>0.47724230254350736</v>
      </c>
    </row>
    <row r="786" spans="2:3" x14ac:dyDescent="0.2">
      <c r="B786">
        <v>0.15693906753923201</v>
      </c>
      <c r="C786">
        <v>0.47657295850066933</v>
      </c>
    </row>
    <row r="787" spans="2:3" x14ac:dyDescent="0.2">
      <c r="B787">
        <v>0.15693751043136001</v>
      </c>
      <c r="C787">
        <v>0.4759036144578313</v>
      </c>
    </row>
    <row r="788" spans="2:3" x14ac:dyDescent="0.2">
      <c r="B788">
        <v>0.15693000933425899</v>
      </c>
      <c r="C788">
        <v>0.47523427041499333</v>
      </c>
    </row>
    <row r="789" spans="2:3" x14ac:dyDescent="0.2">
      <c r="B789">
        <v>0.156907504923289</v>
      </c>
      <c r="C789">
        <v>0.4745649263721553</v>
      </c>
    </row>
    <row r="790" spans="2:3" x14ac:dyDescent="0.2">
      <c r="B790">
        <v>0.15689731181883901</v>
      </c>
      <c r="C790">
        <v>0.47389558232931728</v>
      </c>
    </row>
    <row r="791" spans="2:3" x14ac:dyDescent="0.2">
      <c r="B791">
        <v>0.15680069845470099</v>
      </c>
      <c r="C791">
        <v>0.47322623828647925</v>
      </c>
    </row>
    <row r="792" spans="2:3" x14ac:dyDescent="0.2">
      <c r="B792">
        <v>0.15675578221831599</v>
      </c>
      <c r="C792">
        <v>0.47255689424364122</v>
      </c>
    </row>
    <row r="793" spans="2:3" x14ac:dyDescent="0.2">
      <c r="B793">
        <v>0.15671130246485901</v>
      </c>
      <c r="C793">
        <v>0.4718875502008032</v>
      </c>
    </row>
    <row r="794" spans="2:3" x14ac:dyDescent="0.2">
      <c r="B794">
        <v>0.15658551362891401</v>
      </c>
      <c r="C794">
        <v>0.47121820615796517</v>
      </c>
    </row>
    <row r="795" spans="2:3" x14ac:dyDescent="0.2">
      <c r="B795">
        <v>0.15646977352204799</v>
      </c>
      <c r="C795">
        <v>0.4705488621151272</v>
      </c>
    </row>
    <row r="796" spans="2:3" x14ac:dyDescent="0.2">
      <c r="B796">
        <v>0.15641087830762401</v>
      </c>
      <c r="C796">
        <v>0.46987951807228917</v>
      </c>
    </row>
    <row r="797" spans="2:3" x14ac:dyDescent="0.2">
      <c r="B797">
        <v>0.15626719672372899</v>
      </c>
      <c r="C797">
        <v>0.46921017402945114</v>
      </c>
    </row>
    <row r="798" spans="2:3" x14ac:dyDescent="0.2">
      <c r="B798">
        <v>0.15621299452161</v>
      </c>
      <c r="C798">
        <v>0.46854082998661312</v>
      </c>
    </row>
    <row r="799" spans="2:3" x14ac:dyDescent="0.2">
      <c r="B799">
        <v>0.15616993759985301</v>
      </c>
      <c r="C799">
        <v>0.46787148594377509</v>
      </c>
    </row>
    <row r="800" spans="2:3" x14ac:dyDescent="0.2">
      <c r="B800">
        <v>0.156047394903544</v>
      </c>
      <c r="C800">
        <v>0.46720214190093706</v>
      </c>
    </row>
    <row r="801" spans="2:3" x14ac:dyDescent="0.2">
      <c r="B801">
        <v>0.155753397023115</v>
      </c>
      <c r="C801">
        <v>0.46653279785809904</v>
      </c>
    </row>
    <row r="802" spans="2:3" x14ac:dyDescent="0.2">
      <c r="B802">
        <v>0.15566711740049199</v>
      </c>
      <c r="C802">
        <v>0.46586345381526106</v>
      </c>
    </row>
    <row r="803" spans="2:3" x14ac:dyDescent="0.2">
      <c r="B803">
        <v>0.155480860636136</v>
      </c>
      <c r="C803">
        <v>0.46519410977242304</v>
      </c>
    </row>
    <row r="804" spans="2:3" x14ac:dyDescent="0.2">
      <c r="B804">
        <v>0.154762984612386</v>
      </c>
      <c r="C804">
        <v>0.46452476572958501</v>
      </c>
    </row>
    <row r="805" spans="2:3" x14ac:dyDescent="0.2">
      <c r="B805">
        <v>0.15432451346803699</v>
      </c>
      <c r="C805">
        <v>0.46385542168674698</v>
      </c>
    </row>
    <row r="806" spans="2:3" x14ac:dyDescent="0.2">
      <c r="B806">
        <v>0.15391279005660899</v>
      </c>
      <c r="C806">
        <v>0.46318607764390896</v>
      </c>
    </row>
    <row r="807" spans="2:3" x14ac:dyDescent="0.2">
      <c r="B807">
        <v>0.153901317425922</v>
      </c>
      <c r="C807">
        <v>0.46251673360107093</v>
      </c>
    </row>
    <row r="808" spans="2:3" x14ac:dyDescent="0.2">
      <c r="B808">
        <v>0.15370482756158901</v>
      </c>
      <c r="C808">
        <v>0.46184738955823296</v>
      </c>
    </row>
    <row r="809" spans="2:3" x14ac:dyDescent="0.2">
      <c r="B809">
        <v>0.15342340303851701</v>
      </c>
      <c r="C809">
        <v>0.46117804551539493</v>
      </c>
    </row>
    <row r="810" spans="2:3" x14ac:dyDescent="0.2">
      <c r="B810">
        <v>0.153159220223649</v>
      </c>
      <c r="C810">
        <v>0.4605087014725569</v>
      </c>
    </row>
    <row r="811" spans="2:3" x14ac:dyDescent="0.2">
      <c r="B811">
        <v>0.15314641418712599</v>
      </c>
      <c r="C811">
        <v>0.45983935742971888</v>
      </c>
    </row>
    <row r="812" spans="2:3" x14ac:dyDescent="0.2">
      <c r="B812">
        <v>0.153124419653307</v>
      </c>
      <c r="C812">
        <v>0.45917001338688085</v>
      </c>
    </row>
    <row r="813" spans="2:3" x14ac:dyDescent="0.2">
      <c r="B813">
        <v>0.15286499541304199</v>
      </c>
      <c r="C813">
        <v>0.45850066934404282</v>
      </c>
    </row>
    <row r="814" spans="2:3" x14ac:dyDescent="0.2">
      <c r="B814">
        <v>0.15258096174948299</v>
      </c>
      <c r="C814">
        <v>0.45783132530120479</v>
      </c>
    </row>
    <row r="815" spans="2:3" x14ac:dyDescent="0.2">
      <c r="B815">
        <v>0.152580404440535</v>
      </c>
      <c r="C815">
        <v>0.45716198125836682</v>
      </c>
    </row>
    <row r="816" spans="2:3" x14ac:dyDescent="0.2">
      <c r="B816">
        <v>0.152515145825215</v>
      </c>
      <c r="C816">
        <v>0.4564926372155288</v>
      </c>
    </row>
    <row r="817" spans="2:3" x14ac:dyDescent="0.2">
      <c r="B817">
        <v>0.15240828970001499</v>
      </c>
      <c r="C817">
        <v>0.45582329317269077</v>
      </c>
    </row>
    <row r="818" spans="2:3" x14ac:dyDescent="0.2">
      <c r="B818">
        <v>0.151685528109302</v>
      </c>
      <c r="C818">
        <v>0.45515394912985274</v>
      </c>
    </row>
    <row r="819" spans="2:3" x14ac:dyDescent="0.2">
      <c r="B819">
        <v>0.151630809290072</v>
      </c>
      <c r="C819">
        <v>0.45448460508701471</v>
      </c>
    </row>
    <row r="820" spans="2:3" x14ac:dyDescent="0.2">
      <c r="B820">
        <v>0.151563071258382</v>
      </c>
      <c r="C820">
        <v>0.45381526104417669</v>
      </c>
    </row>
    <row r="821" spans="2:3" x14ac:dyDescent="0.2">
      <c r="B821">
        <v>0.151259144272961</v>
      </c>
      <c r="C821">
        <v>0.45314591700133866</v>
      </c>
    </row>
    <row r="822" spans="2:3" x14ac:dyDescent="0.2">
      <c r="B822">
        <v>0.151104798666158</v>
      </c>
      <c r="C822">
        <v>0.45247657295850069</v>
      </c>
    </row>
    <row r="823" spans="2:3" x14ac:dyDescent="0.2">
      <c r="B823">
        <v>0.15101019795061399</v>
      </c>
      <c r="C823">
        <v>0.45180722891566266</v>
      </c>
    </row>
    <row r="824" spans="2:3" x14ac:dyDescent="0.2">
      <c r="B824">
        <v>0.150807170576372</v>
      </c>
      <c r="C824">
        <v>0.45113788487282463</v>
      </c>
    </row>
    <row r="825" spans="2:3" x14ac:dyDescent="0.2">
      <c r="B825">
        <v>0.15075200197039401</v>
      </c>
      <c r="C825">
        <v>0.45046854082998661</v>
      </c>
    </row>
    <row r="826" spans="2:3" x14ac:dyDescent="0.2">
      <c r="B826">
        <v>0.150592351702734</v>
      </c>
      <c r="C826">
        <v>0.44979919678714858</v>
      </c>
    </row>
    <row r="827" spans="2:3" x14ac:dyDescent="0.2">
      <c r="B827">
        <v>0.15032984095471599</v>
      </c>
      <c r="C827">
        <v>0.44912985274431055</v>
      </c>
    </row>
    <row r="828" spans="2:3" x14ac:dyDescent="0.2">
      <c r="B828">
        <v>0.150306340239442</v>
      </c>
      <c r="C828">
        <v>0.44846050870147258</v>
      </c>
    </row>
    <row r="829" spans="2:3" x14ac:dyDescent="0.2">
      <c r="B829">
        <v>0.150227912036588</v>
      </c>
      <c r="C829">
        <v>0.44779116465863456</v>
      </c>
    </row>
    <row r="830" spans="2:3" x14ac:dyDescent="0.2">
      <c r="B830">
        <v>0.15014788566602799</v>
      </c>
      <c r="C830">
        <v>0.44712182061579653</v>
      </c>
    </row>
    <row r="831" spans="2:3" x14ac:dyDescent="0.2">
      <c r="B831">
        <v>0.15013760872951501</v>
      </c>
      <c r="C831">
        <v>0.4464524765729585</v>
      </c>
    </row>
    <row r="832" spans="2:3" x14ac:dyDescent="0.2">
      <c r="B832">
        <v>0.15013611433923599</v>
      </c>
      <c r="C832">
        <v>0.44578313253012047</v>
      </c>
    </row>
    <row r="833" spans="2:3" x14ac:dyDescent="0.2">
      <c r="B833">
        <v>0.14995510219958499</v>
      </c>
      <c r="C833">
        <v>0.44511378848728245</v>
      </c>
    </row>
    <row r="834" spans="2:3" x14ac:dyDescent="0.2">
      <c r="B834">
        <v>0.149804707511108</v>
      </c>
      <c r="C834">
        <v>0.44444444444444442</v>
      </c>
    </row>
    <row r="835" spans="2:3" x14ac:dyDescent="0.2">
      <c r="B835">
        <v>0.14979516784824601</v>
      </c>
      <c r="C835">
        <v>0.44377510040160645</v>
      </c>
    </row>
    <row r="836" spans="2:3" x14ac:dyDescent="0.2">
      <c r="B836">
        <v>0.149603307276889</v>
      </c>
      <c r="C836">
        <v>0.44310575635876842</v>
      </c>
    </row>
    <row r="837" spans="2:3" x14ac:dyDescent="0.2">
      <c r="B837">
        <v>0.149376690368935</v>
      </c>
      <c r="C837">
        <v>0.44243641231593039</v>
      </c>
    </row>
    <row r="838" spans="2:3" x14ac:dyDescent="0.2">
      <c r="B838">
        <v>0.149082507707121</v>
      </c>
      <c r="C838">
        <v>0.44176706827309237</v>
      </c>
    </row>
    <row r="839" spans="2:3" x14ac:dyDescent="0.2">
      <c r="B839">
        <v>0.14874264385913899</v>
      </c>
      <c r="C839">
        <v>0.44109772423025434</v>
      </c>
    </row>
    <row r="840" spans="2:3" x14ac:dyDescent="0.2">
      <c r="B840">
        <v>0.14869375861331799</v>
      </c>
      <c r="C840">
        <v>0.44042838018741631</v>
      </c>
    </row>
    <row r="841" spans="2:3" x14ac:dyDescent="0.2">
      <c r="B841">
        <v>0.14867650221989201</v>
      </c>
      <c r="C841">
        <v>0.43975903614457829</v>
      </c>
    </row>
    <row r="842" spans="2:3" x14ac:dyDescent="0.2">
      <c r="B842">
        <v>0.14832582003726799</v>
      </c>
      <c r="C842">
        <v>0.43908969210174031</v>
      </c>
    </row>
    <row r="843" spans="2:3" x14ac:dyDescent="0.2">
      <c r="B843">
        <v>0.14825282446188201</v>
      </c>
      <c r="C843">
        <v>0.43842034805890229</v>
      </c>
    </row>
    <row r="844" spans="2:3" x14ac:dyDescent="0.2">
      <c r="B844">
        <v>0.14794472917722801</v>
      </c>
      <c r="C844">
        <v>0.43775100401606426</v>
      </c>
    </row>
    <row r="845" spans="2:3" x14ac:dyDescent="0.2">
      <c r="B845">
        <v>0.14769223955578001</v>
      </c>
      <c r="C845">
        <v>0.43708165997322623</v>
      </c>
    </row>
    <row r="846" spans="2:3" x14ac:dyDescent="0.2">
      <c r="B846">
        <v>0.14731583627266201</v>
      </c>
      <c r="C846">
        <v>0.43641231593038821</v>
      </c>
    </row>
    <row r="847" spans="2:3" x14ac:dyDescent="0.2">
      <c r="B847">
        <v>0.14724811393447201</v>
      </c>
      <c r="C847">
        <v>0.43574297188755018</v>
      </c>
    </row>
    <row r="848" spans="2:3" x14ac:dyDescent="0.2">
      <c r="B848">
        <v>0.14718143379256601</v>
      </c>
      <c r="C848">
        <v>0.43507362784471221</v>
      </c>
    </row>
    <row r="849" spans="2:3" x14ac:dyDescent="0.2">
      <c r="B849">
        <v>0.146941025821067</v>
      </c>
      <c r="C849">
        <v>0.43440428380187418</v>
      </c>
    </row>
    <row r="850" spans="2:3" x14ac:dyDescent="0.2">
      <c r="B850">
        <v>0.146387185344379</v>
      </c>
      <c r="C850">
        <v>0.43373493975903615</v>
      </c>
    </row>
    <row r="851" spans="2:3" x14ac:dyDescent="0.2">
      <c r="B851">
        <v>0.14638528942246401</v>
      </c>
      <c r="C851">
        <v>0.43306559571619813</v>
      </c>
    </row>
    <row r="852" spans="2:3" x14ac:dyDescent="0.2">
      <c r="B852">
        <v>0.146319460705988</v>
      </c>
      <c r="C852">
        <v>0.4323962516733601</v>
      </c>
    </row>
    <row r="853" spans="2:3" x14ac:dyDescent="0.2">
      <c r="B853">
        <v>0.145916491058454</v>
      </c>
      <c r="C853">
        <v>0.43172690763052207</v>
      </c>
    </row>
    <row r="854" spans="2:3" x14ac:dyDescent="0.2">
      <c r="B854">
        <v>0.145793095885004</v>
      </c>
      <c r="C854">
        <v>0.43105756358768405</v>
      </c>
    </row>
    <row r="855" spans="2:3" x14ac:dyDescent="0.2">
      <c r="B855">
        <v>0.14577047172778601</v>
      </c>
      <c r="C855">
        <v>0.43038821954484607</v>
      </c>
    </row>
    <row r="856" spans="2:3" x14ac:dyDescent="0.2">
      <c r="B856">
        <v>0.14568038126504201</v>
      </c>
      <c r="C856">
        <v>0.42971887550200805</v>
      </c>
    </row>
    <row r="857" spans="2:3" x14ac:dyDescent="0.2">
      <c r="B857">
        <v>0.145558496664146</v>
      </c>
      <c r="C857">
        <v>0.42904953145917002</v>
      </c>
    </row>
    <row r="858" spans="2:3" x14ac:dyDescent="0.2">
      <c r="B858">
        <v>0.14552087785742601</v>
      </c>
      <c r="C858">
        <v>0.42838018741633199</v>
      </c>
    </row>
    <row r="859" spans="2:3" x14ac:dyDescent="0.2">
      <c r="B859">
        <v>0.145400676453769</v>
      </c>
      <c r="C859">
        <v>0.42771084337349397</v>
      </c>
    </row>
    <row r="860" spans="2:3" x14ac:dyDescent="0.2">
      <c r="B860">
        <v>0.14519890978877301</v>
      </c>
      <c r="C860">
        <v>0.42704149933065594</v>
      </c>
    </row>
    <row r="861" spans="2:3" x14ac:dyDescent="0.2">
      <c r="B861">
        <v>0.14479269971894601</v>
      </c>
      <c r="C861">
        <v>0.42637215528781791</v>
      </c>
    </row>
    <row r="862" spans="2:3" x14ac:dyDescent="0.2">
      <c r="B862">
        <v>0.14473802983565101</v>
      </c>
      <c r="C862">
        <v>0.42570281124497994</v>
      </c>
    </row>
    <row r="863" spans="2:3" x14ac:dyDescent="0.2">
      <c r="B863">
        <v>0.14441640193140301</v>
      </c>
      <c r="C863">
        <v>0.42503346720214191</v>
      </c>
    </row>
    <row r="864" spans="2:3" x14ac:dyDescent="0.2">
      <c r="B864">
        <v>0.144292996423938</v>
      </c>
      <c r="C864">
        <v>0.42436412315930389</v>
      </c>
    </row>
    <row r="865" spans="2:3" x14ac:dyDescent="0.2">
      <c r="B865">
        <v>0.14428597061777501</v>
      </c>
      <c r="C865">
        <v>0.42369477911646586</v>
      </c>
    </row>
    <row r="866" spans="2:3" x14ac:dyDescent="0.2">
      <c r="B866">
        <v>0.14407356637059501</v>
      </c>
      <c r="C866">
        <v>0.42302543507362783</v>
      </c>
    </row>
    <row r="867" spans="2:3" x14ac:dyDescent="0.2">
      <c r="B867">
        <v>0.143603913077059</v>
      </c>
      <c r="C867">
        <v>0.4223560910307898</v>
      </c>
    </row>
    <row r="868" spans="2:3" x14ac:dyDescent="0.2">
      <c r="B868">
        <v>0.143603114797308</v>
      </c>
      <c r="C868">
        <v>0.42168674698795183</v>
      </c>
    </row>
    <row r="869" spans="2:3" x14ac:dyDescent="0.2">
      <c r="B869">
        <v>0.14338758301542801</v>
      </c>
      <c r="C869">
        <v>0.42101740294511381</v>
      </c>
    </row>
    <row r="870" spans="2:3" x14ac:dyDescent="0.2">
      <c r="B870">
        <v>0.14328470621084499</v>
      </c>
      <c r="C870">
        <v>0.42034805890227578</v>
      </c>
    </row>
    <row r="871" spans="2:3" x14ac:dyDescent="0.2">
      <c r="B871">
        <v>0.14326523890450901</v>
      </c>
      <c r="C871">
        <v>0.41967871485943775</v>
      </c>
    </row>
    <row r="872" spans="2:3" x14ac:dyDescent="0.2">
      <c r="B872">
        <v>0.142929280765451</v>
      </c>
      <c r="C872">
        <v>0.41900937081659972</v>
      </c>
    </row>
    <row r="873" spans="2:3" x14ac:dyDescent="0.2">
      <c r="B873">
        <v>0.14282162481942801</v>
      </c>
      <c r="C873">
        <v>0.4183400267737617</v>
      </c>
    </row>
    <row r="874" spans="2:3" x14ac:dyDescent="0.2">
      <c r="B874">
        <v>0.14266865090870001</v>
      </c>
      <c r="C874">
        <v>0.41767068273092367</v>
      </c>
    </row>
    <row r="875" spans="2:3" x14ac:dyDescent="0.2">
      <c r="B875">
        <v>0.142643345050423</v>
      </c>
      <c r="C875">
        <v>0.4170013386880857</v>
      </c>
    </row>
    <row r="876" spans="2:3" x14ac:dyDescent="0.2">
      <c r="B876">
        <v>0.14251191465391899</v>
      </c>
      <c r="C876">
        <v>0.41633199464524767</v>
      </c>
    </row>
    <row r="877" spans="2:3" x14ac:dyDescent="0.2">
      <c r="B877">
        <v>0.14202779338653099</v>
      </c>
      <c r="C877">
        <v>0.41566265060240964</v>
      </c>
    </row>
    <row r="878" spans="2:3" x14ac:dyDescent="0.2">
      <c r="B878">
        <v>0.14196061603759</v>
      </c>
      <c r="C878">
        <v>0.41499330655957162</v>
      </c>
    </row>
    <row r="879" spans="2:3" x14ac:dyDescent="0.2">
      <c r="B879">
        <v>0.14171373666255599</v>
      </c>
      <c r="C879">
        <v>0.41432396251673359</v>
      </c>
    </row>
    <row r="880" spans="2:3" x14ac:dyDescent="0.2">
      <c r="B880">
        <v>0.141711701817472</v>
      </c>
      <c r="C880">
        <v>0.41365461847389556</v>
      </c>
    </row>
    <row r="881" spans="2:3" x14ac:dyDescent="0.2">
      <c r="B881">
        <v>0.14103337357760901</v>
      </c>
      <c r="C881">
        <v>0.41298527443105754</v>
      </c>
    </row>
    <row r="882" spans="2:3" x14ac:dyDescent="0.2">
      <c r="B882">
        <v>0.140615401548114</v>
      </c>
      <c r="C882">
        <v>0.41231593038821956</v>
      </c>
    </row>
    <row r="883" spans="2:3" x14ac:dyDescent="0.2">
      <c r="B883">
        <v>0.140452162356905</v>
      </c>
      <c r="C883">
        <v>0.41164658634538154</v>
      </c>
    </row>
    <row r="884" spans="2:3" x14ac:dyDescent="0.2">
      <c r="B884">
        <v>0.140401210272008</v>
      </c>
      <c r="C884">
        <v>0.41097724230254351</v>
      </c>
    </row>
    <row r="885" spans="2:3" x14ac:dyDescent="0.2">
      <c r="B885">
        <v>0.13978338142399599</v>
      </c>
      <c r="C885">
        <v>0.41030789825970548</v>
      </c>
    </row>
    <row r="886" spans="2:3" x14ac:dyDescent="0.2">
      <c r="B886">
        <v>0.13973251437664699</v>
      </c>
      <c r="C886">
        <v>0.40963855421686746</v>
      </c>
    </row>
    <row r="887" spans="2:3" x14ac:dyDescent="0.2">
      <c r="B887">
        <v>0.139710425870954</v>
      </c>
      <c r="C887">
        <v>0.40896921017402943</v>
      </c>
    </row>
    <row r="888" spans="2:3" x14ac:dyDescent="0.2">
      <c r="B888">
        <v>0.139568633160433</v>
      </c>
      <c r="C888">
        <v>0.40829986613119146</v>
      </c>
    </row>
    <row r="889" spans="2:3" x14ac:dyDescent="0.2">
      <c r="B889">
        <v>0.13946217520360801</v>
      </c>
      <c r="C889">
        <v>0.40763052208835343</v>
      </c>
    </row>
    <row r="890" spans="2:3" x14ac:dyDescent="0.2">
      <c r="B890">
        <v>0.13934266934225201</v>
      </c>
      <c r="C890">
        <v>0.4069611780455154</v>
      </c>
    </row>
    <row r="891" spans="2:3" x14ac:dyDescent="0.2">
      <c r="B891">
        <v>0.13901063966369101</v>
      </c>
      <c r="C891">
        <v>0.40629183400267738</v>
      </c>
    </row>
    <row r="892" spans="2:3" x14ac:dyDescent="0.2">
      <c r="B892">
        <v>0.138875522160295</v>
      </c>
      <c r="C892">
        <v>0.40562248995983935</v>
      </c>
    </row>
    <row r="893" spans="2:3" x14ac:dyDescent="0.2">
      <c r="B893">
        <v>0.138798979973391</v>
      </c>
      <c r="C893">
        <v>0.40495314591700132</v>
      </c>
    </row>
    <row r="894" spans="2:3" x14ac:dyDescent="0.2">
      <c r="B894">
        <v>0.137375488875806</v>
      </c>
      <c r="C894">
        <v>0.4042838018741633</v>
      </c>
    </row>
    <row r="895" spans="2:3" x14ac:dyDescent="0.2">
      <c r="B895">
        <v>0.13735017666655799</v>
      </c>
      <c r="C895">
        <v>0.40361445783132532</v>
      </c>
    </row>
    <row r="896" spans="2:3" x14ac:dyDescent="0.2">
      <c r="B896">
        <v>0.13732389557278801</v>
      </c>
      <c r="C896">
        <v>0.4029451137884873</v>
      </c>
    </row>
    <row r="897" spans="2:3" x14ac:dyDescent="0.2">
      <c r="B897">
        <v>0.13726430146946</v>
      </c>
      <c r="C897">
        <v>0.40227576974564927</v>
      </c>
    </row>
    <row r="898" spans="2:3" x14ac:dyDescent="0.2">
      <c r="B898">
        <v>0.13703156581261899</v>
      </c>
      <c r="C898">
        <v>0.40160642570281124</v>
      </c>
    </row>
    <row r="899" spans="2:3" x14ac:dyDescent="0.2">
      <c r="B899">
        <v>0.13661923358195599</v>
      </c>
      <c r="C899">
        <v>0.40093708165997322</v>
      </c>
    </row>
    <row r="900" spans="2:3" x14ac:dyDescent="0.2">
      <c r="B900">
        <v>0.13640486272560401</v>
      </c>
      <c r="C900">
        <v>0.40026773761713519</v>
      </c>
    </row>
    <row r="901" spans="2:3" x14ac:dyDescent="0.2">
      <c r="B901">
        <v>0.13608754191501801</v>
      </c>
      <c r="C901">
        <v>0.39959839357429716</v>
      </c>
    </row>
    <row r="902" spans="2:3" x14ac:dyDescent="0.2">
      <c r="B902">
        <v>0.135699210161946</v>
      </c>
      <c r="C902">
        <v>0.39892904953145919</v>
      </c>
    </row>
    <row r="903" spans="2:3" x14ac:dyDescent="0.2">
      <c r="B903">
        <v>0.135430783106433</v>
      </c>
      <c r="C903">
        <v>0.39825970548862116</v>
      </c>
    </row>
    <row r="904" spans="2:3" x14ac:dyDescent="0.2">
      <c r="B904">
        <v>0.135058072686907</v>
      </c>
      <c r="C904">
        <v>0.39759036144578314</v>
      </c>
    </row>
    <row r="905" spans="2:3" x14ac:dyDescent="0.2">
      <c r="B905">
        <v>0.134865456192995</v>
      </c>
      <c r="C905">
        <v>0.39692101740294511</v>
      </c>
    </row>
    <row r="906" spans="2:3" x14ac:dyDescent="0.2">
      <c r="B906">
        <v>0.13464156902635499</v>
      </c>
      <c r="C906">
        <v>0.39625167336010708</v>
      </c>
    </row>
    <row r="907" spans="2:3" x14ac:dyDescent="0.2">
      <c r="B907">
        <v>0.134499836005403</v>
      </c>
      <c r="C907">
        <v>0.39558232931726905</v>
      </c>
    </row>
    <row r="908" spans="2:3" x14ac:dyDescent="0.2">
      <c r="B908">
        <v>0.13445189265127799</v>
      </c>
      <c r="C908">
        <v>0.39491298527443108</v>
      </c>
    </row>
    <row r="909" spans="2:3" x14ac:dyDescent="0.2">
      <c r="B909">
        <v>0.134338693650633</v>
      </c>
      <c r="C909">
        <v>0.39424364123159306</v>
      </c>
    </row>
    <row r="910" spans="2:3" x14ac:dyDescent="0.2">
      <c r="B910">
        <v>0.13379003759762501</v>
      </c>
      <c r="C910">
        <v>0.39357429718875503</v>
      </c>
    </row>
    <row r="911" spans="2:3" x14ac:dyDescent="0.2">
      <c r="B911">
        <v>0.13356223135301901</v>
      </c>
      <c r="C911">
        <v>0.392904953145917</v>
      </c>
    </row>
    <row r="912" spans="2:3" x14ac:dyDescent="0.2">
      <c r="B912">
        <v>0.133284229339204</v>
      </c>
      <c r="C912">
        <v>0.39223560910307897</v>
      </c>
    </row>
    <row r="913" spans="2:3" x14ac:dyDescent="0.2">
      <c r="B913">
        <v>0.13281164239065099</v>
      </c>
      <c r="C913">
        <v>0.39156626506024095</v>
      </c>
    </row>
    <row r="914" spans="2:3" x14ac:dyDescent="0.2">
      <c r="B914">
        <v>0.13257347012135001</v>
      </c>
      <c r="C914">
        <v>0.39089692101740292</v>
      </c>
    </row>
    <row r="915" spans="2:3" x14ac:dyDescent="0.2">
      <c r="B915">
        <v>0.132213329382705</v>
      </c>
      <c r="C915">
        <v>0.39022757697456495</v>
      </c>
    </row>
    <row r="916" spans="2:3" x14ac:dyDescent="0.2">
      <c r="B916">
        <v>0.13211376396666499</v>
      </c>
      <c r="C916">
        <v>0.38955823293172692</v>
      </c>
    </row>
    <row r="917" spans="2:3" x14ac:dyDescent="0.2">
      <c r="B917">
        <v>0.13210536450421201</v>
      </c>
      <c r="C917">
        <v>0.3888888888888889</v>
      </c>
    </row>
    <row r="918" spans="2:3" x14ac:dyDescent="0.2">
      <c r="B918">
        <v>0.132012885340373</v>
      </c>
      <c r="C918">
        <v>0.38821954484605087</v>
      </c>
    </row>
    <row r="919" spans="2:3" x14ac:dyDescent="0.2">
      <c r="B919">
        <v>0.13190111146394301</v>
      </c>
      <c r="C919">
        <v>0.38755020080321284</v>
      </c>
    </row>
    <row r="920" spans="2:3" x14ac:dyDescent="0.2">
      <c r="B920">
        <v>0.131856436810491</v>
      </c>
      <c r="C920">
        <v>0.38688085676037481</v>
      </c>
    </row>
    <row r="921" spans="2:3" x14ac:dyDescent="0.2">
      <c r="B921">
        <v>0.131846820374556</v>
      </c>
      <c r="C921">
        <v>0.38621151271753679</v>
      </c>
    </row>
    <row r="922" spans="2:3" x14ac:dyDescent="0.2">
      <c r="B922">
        <v>0.13157746270102</v>
      </c>
      <c r="C922">
        <v>0.38554216867469882</v>
      </c>
    </row>
    <row r="923" spans="2:3" x14ac:dyDescent="0.2">
      <c r="B923">
        <v>0.13151489117468601</v>
      </c>
      <c r="C923">
        <v>0.38487282463186079</v>
      </c>
    </row>
    <row r="924" spans="2:3" x14ac:dyDescent="0.2">
      <c r="B924">
        <v>0.13123944500583501</v>
      </c>
      <c r="C924">
        <v>0.38420348058902276</v>
      </c>
    </row>
    <row r="925" spans="2:3" x14ac:dyDescent="0.2">
      <c r="B925">
        <v>0.131133916447809</v>
      </c>
      <c r="C925">
        <v>0.38353413654618473</v>
      </c>
    </row>
    <row r="926" spans="2:3" x14ac:dyDescent="0.2">
      <c r="B926">
        <v>0.13103313547974499</v>
      </c>
      <c r="C926">
        <v>0.38286479250334671</v>
      </c>
    </row>
    <row r="927" spans="2:3" x14ac:dyDescent="0.2">
      <c r="B927">
        <v>0.13096421812362399</v>
      </c>
      <c r="C927">
        <v>0.38219544846050868</v>
      </c>
    </row>
    <row r="928" spans="2:3" x14ac:dyDescent="0.2">
      <c r="B928">
        <v>0.13075998095525801</v>
      </c>
      <c r="C928">
        <v>0.38152610441767071</v>
      </c>
    </row>
    <row r="929" spans="2:3" x14ac:dyDescent="0.2">
      <c r="B929">
        <v>0.13062783459083199</v>
      </c>
      <c r="C929">
        <v>0.38085676037483268</v>
      </c>
    </row>
    <row r="930" spans="2:3" x14ac:dyDescent="0.2">
      <c r="B930">
        <v>0.13057629913535199</v>
      </c>
      <c r="C930">
        <v>0.38018741633199465</v>
      </c>
    </row>
    <row r="931" spans="2:3" x14ac:dyDescent="0.2">
      <c r="B931">
        <v>0.13031459651233901</v>
      </c>
      <c r="C931">
        <v>0.37951807228915663</v>
      </c>
    </row>
    <row r="932" spans="2:3" x14ac:dyDescent="0.2">
      <c r="B932">
        <v>0.13027241946791401</v>
      </c>
      <c r="C932">
        <v>0.3788487282463186</v>
      </c>
    </row>
    <row r="933" spans="2:3" x14ac:dyDescent="0.2">
      <c r="B933">
        <v>0.13018293718551799</v>
      </c>
      <c r="C933">
        <v>0.37817938420348057</v>
      </c>
    </row>
    <row r="934" spans="2:3" x14ac:dyDescent="0.2">
      <c r="B934">
        <v>0.13017802619170199</v>
      </c>
      <c r="C934">
        <v>0.37751004016064255</v>
      </c>
    </row>
    <row r="935" spans="2:3" x14ac:dyDescent="0.2">
      <c r="B935">
        <v>0.13004839088037001</v>
      </c>
      <c r="C935">
        <v>0.37684069611780457</v>
      </c>
    </row>
    <row r="936" spans="2:3" x14ac:dyDescent="0.2">
      <c r="B936">
        <v>0.129848004376345</v>
      </c>
      <c r="C936">
        <v>0.37617135207496655</v>
      </c>
    </row>
    <row r="937" spans="2:3" x14ac:dyDescent="0.2">
      <c r="B937">
        <v>0.129667080102532</v>
      </c>
      <c r="C937">
        <v>0.37550200803212852</v>
      </c>
    </row>
    <row r="938" spans="2:3" x14ac:dyDescent="0.2">
      <c r="B938">
        <v>0.129578703778259</v>
      </c>
      <c r="C938">
        <v>0.37483266398929049</v>
      </c>
    </row>
    <row r="939" spans="2:3" x14ac:dyDescent="0.2">
      <c r="B939">
        <v>0.12894984133906501</v>
      </c>
      <c r="C939">
        <v>0.37416331994645247</v>
      </c>
    </row>
    <row r="940" spans="2:3" x14ac:dyDescent="0.2">
      <c r="B940">
        <v>0.12825146247548899</v>
      </c>
      <c r="C940">
        <v>0.37349397590361444</v>
      </c>
    </row>
    <row r="941" spans="2:3" x14ac:dyDescent="0.2">
      <c r="B941">
        <v>0.128070985666632</v>
      </c>
      <c r="C941">
        <v>0.37282463186077641</v>
      </c>
    </row>
    <row r="942" spans="2:3" x14ac:dyDescent="0.2">
      <c r="B942">
        <v>0.128025519155091</v>
      </c>
      <c r="C942">
        <v>0.37215528781793844</v>
      </c>
    </row>
    <row r="943" spans="2:3" x14ac:dyDescent="0.2">
      <c r="B943">
        <v>0.12776350929972599</v>
      </c>
      <c r="C943">
        <v>0.37148594377510041</v>
      </c>
    </row>
    <row r="944" spans="2:3" x14ac:dyDescent="0.2">
      <c r="B944">
        <v>0.12776104135444699</v>
      </c>
      <c r="C944">
        <v>0.37081659973226239</v>
      </c>
    </row>
    <row r="945" spans="2:3" x14ac:dyDescent="0.2">
      <c r="B945">
        <v>0.12757545893501401</v>
      </c>
      <c r="C945">
        <v>0.37014725568942436</v>
      </c>
    </row>
    <row r="946" spans="2:3" x14ac:dyDescent="0.2">
      <c r="B946">
        <v>0.12724644352660999</v>
      </c>
      <c r="C946">
        <v>0.36947791164658633</v>
      </c>
    </row>
    <row r="947" spans="2:3" x14ac:dyDescent="0.2">
      <c r="B947">
        <v>0.12706793971819999</v>
      </c>
      <c r="C947">
        <v>0.36880856760374831</v>
      </c>
    </row>
    <row r="948" spans="2:3" x14ac:dyDescent="0.2">
      <c r="B948">
        <v>0.12703633627067801</v>
      </c>
      <c r="C948">
        <v>0.36813922356091033</v>
      </c>
    </row>
    <row r="949" spans="2:3" x14ac:dyDescent="0.2">
      <c r="B949">
        <v>0.12687813832710301</v>
      </c>
      <c r="C949">
        <v>0.36746987951807231</v>
      </c>
    </row>
    <row r="950" spans="2:3" x14ac:dyDescent="0.2">
      <c r="B950">
        <v>0.12681349449207399</v>
      </c>
      <c r="C950">
        <v>0.36680053547523428</v>
      </c>
    </row>
    <row r="951" spans="2:3" x14ac:dyDescent="0.2">
      <c r="B951">
        <v>0.12667303143289699</v>
      </c>
      <c r="C951">
        <v>0.36613119143239625</v>
      </c>
    </row>
    <row r="952" spans="2:3" x14ac:dyDescent="0.2">
      <c r="B952">
        <v>0.126298453896281</v>
      </c>
      <c r="C952">
        <v>0.36546184738955823</v>
      </c>
    </row>
    <row r="953" spans="2:3" x14ac:dyDescent="0.2">
      <c r="B953">
        <v>0.12605040575976501</v>
      </c>
      <c r="C953">
        <v>0.3647925033467202</v>
      </c>
    </row>
    <row r="954" spans="2:3" x14ac:dyDescent="0.2">
      <c r="B954">
        <v>0.125527268280205</v>
      </c>
      <c r="C954">
        <v>0.36412315930388217</v>
      </c>
    </row>
    <row r="955" spans="2:3" x14ac:dyDescent="0.2">
      <c r="B955">
        <v>0.12542027992006399</v>
      </c>
      <c r="C955">
        <v>0.3634538152610442</v>
      </c>
    </row>
    <row r="956" spans="2:3" x14ac:dyDescent="0.2">
      <c r="B956">
        <v>0.125406018315843</v>
      </c>
      <c r="C956">
        <v>0.36278447121820617</v>
      </c>
    </row>
    <row r="957" spans="2:3" x14ac:dyDescent="0.2">
      <c r="B957">
        <v>0.12506412597738301</v>
      </c>
      <c r="C957">
        <v>0.36211512717536815</v>
      </c>
    </row>
    <row r="958" spans="2:3" x14ac:dyDescent="0.2">
      <c r="B958">
        <v>0.12501281546326701</v>
      </c>
      <c r="C958">
        <v>0.36144578313253012</v>
      </c>
    </row>
    <row r="959" spans="2:3" x14ac:dyDescent="0.2">
      <c r="B959">
        <v>0.124639253576321</v>
      </c>
      <c r="C959">
        <v>0.36077643908969209</v>
      </c>
    </row>
    <row r="960" spans="2:3" x14ac:dyDescent="0.2">
      <c r="B960">
        <v>0.123330302191064</v>
      </c>
      <c r="C960">
        <v>0.36010709504685406</v>
      </c>
    </row>
    <row r="961" spans="2:3" x14ac:dyDescent="0.2">
      <c r="B961">
        <v>0.123307533339256</v>
      </c>
      <c r="C961">
        <v>0.35943775100401604</v>
      </c>
    </row>
    <row r="962" spans="2:3" x14ac:dyDescent="0.2">
      <c r="B962">
        <v>0.12330644530927699</v>
      </c>
      <c r="C962">
        <v>0.35876840696117807</v>
      </c>
    </row>
    <row r="963" spans="2:3" x14ac:dyDescent="0.2">
      <c r="B963">
        <v>0.123236088323336</v>
      </c>
      <c r="C963">
        <v>0.35809906291834004</v>
      </c>
    </row>
    <row r="964" spans="2:3" x14ac:dyDescent="0.2">
      <c r="B964">
        <v>0.12315589315592999</v>
      </c>
      <c r="C964">
        <v>0.35742971887550201</v>
      </c>
    </row>
    <row r="965" spans="2:3" x14ac:dyDescent="0.2">
      <c r="B965">
        <v>0.123096747249982</v>
      </c>
      <c r="C965">
        <v>0.35676037483266398</v>
      </c>
    </row>
    <row r="966" spans="2:3" x14ac:dyDescent="0.2">
      <c r="B966">
        <v>0.122749300332939</v>
      </c>
      <c r="C966">
        <v>0.35609103078982596</v>
      </c>
    </row>
    <row r="967" spans="2:3" x14ac:dyDescent="0.2">
      <c r="B967">
        <v>0.122731339733475</v>
      </c>
      <c r="C967">
        <v>0.35542168674698793</v>
      </c>
    </row>
    <row r="968" spans="2:3" x14ac:dyDescent="0.2">
      <c r="B968">
        <v>0.12241273807658801</v>
      </c>
      <c r="C968">
        <v>0.35475234270414996</v>
      </c>
    </row>
    <row r="969" spans="2:3" x14ac:dyDescent="0.2">
      <c r="B969">
        <v>0.122239674185213</v>
      </c>
      <c r="C969">
        <v>0.35408299866131193</v>
      </c>
    </row>
    <row r="970" spans="2:3" x14ac:dyDescent="0.2">
      <c r="B970">
        <v>0.122152479763941</v>
      </c>
      <c r="C970">
        <v>0.3534136546184739</v>
      </c>
    </row>
    <row r="971" spans="2:3" x14ac:dyDescent="0.2">
      <c r="B971">
        <v>0.12198396900501</v>
      </c>
      <c r="C971">
        <v>0.35274431057563588</v>
      </c>
    </row>
    <row r="972" spans="2:3" x14ac:dyDescent="0.2">
      <c r="B972">
        <v>0.121760904743549</v>
      </c>
      <c r="C972">
        <v>0.35207496653279785</v>
      </c>
    </row>
    <row r="973" spans="2:3" x14ac:dyDescent="0.2">
      <c r="B973">
        <v>0.121643788565271</v>
      </c>
      <c r="C973">
        <v>0.35140562248995982</v>
      </c>
    </row>
    <row r="974" spans="2:3" x14ac:dyDescent="0.2">
      <c r="B974">
        <v>0.1215438425481</v>
      </c>
      <c r="C974">
        <v>0.3507362784471218</v>
      </c>
    </row>
    <row r="975" spans="2:3" x14ac:dyDescent="0.2">
      <c r="B975">
        <v>0.121236496221721</v>
      </c>
      <c r="C975">
        <v>0.35006693440428382</v>
      </c>
    </row>
    <row r="976" spans="2:3" x14ac:dyDescent="0.2">
      <c r="B976">
        <v>0.121188820282893</v>
      </c>
      <c r="C976">
        <v>0.3493975903614458</v>
      </c>
    </row>
    <row r="977" spans="2:3" x14ac:dyDescent="0.2">
      <c r="B977">
        <v>0.12093956325991601</v>
      </c>
      <c r="C977">
        <v>0.34872824631860777</v>
      </c>
    </row>
    <row r="978" spans="2:3" x14ac:dyDescent="0.2">
      <c r="B978">
        <v>0.120898347310621</v>
      </c>
      <c r="C978">
        <v>0.34805890227576974</v>
      </c>
    </row>
    <row r="979" spans="2:3" x14ac:dyDescent="0.2">
      <c r="B979">
        <v>0.120772727570112</v>
      </c>
      <c r="C979">
        <v>0.34738955823293172</v>
      </c>
    </row>
    <row r="980" spans="2:3" x14ac:dyDescent="0.2">
      <c r="B980">
        <v>0.12065171493818599</v>
      </c>
      <c r="C980">
        <v>0.34672021419009369</v>
      </c>
    </row>
    <row r="981" spans="2:3" x14ac:dyDescent="0.2">
      <c r="B981">
        <v>0.120484747972115</v>
      </c>
      <c r="C981">
        <v>0.34605087014725566</v>
      </c>
    </row>
    <row r="982" spans="2:3" x14ac:dyDescent="0.2">
      <c r="B982">
        <v>0.120338776243236</v>
      </c>
      <c r="C982">
        <v>0.34538152610441769</v>
      </c>
    </row>
    <row r="983" spans="2:3" x14ac:dyDescent="0.2">
      <c r="B983">
        <v>0.119793873806295</v>
      </c>
      <c r="C983">
        <v>0.34471218206157966</v>
      </c>
    </row>
    <row r="984" spans="2:3" x14ac:dyDescent="0.2">
      <c r="B984">
        <v>0.119748074976776</v>
      </c>
      <c r="C984">
        <v>0.34404283801874164</v>
      </c>
    </row>
    <row r="985" spans="2:3" x14ac:dyDescent="0.2">
      <c r="B985">
        <v>0.119579235706648</v>
      </c>
      <c r="C985">
        <v>0.34337349397590361</v>
      </c>
    </row>
    <row r="986" spans="2:3" x14ac:dyDescent="0.2">
      <c r="B986">
        <v>0.11955445964759</v>
      </c>
      <c r="C986">
        <v>0.34270414993306558</v>
      </c>
    </row>
    <row r="987" spans="2:3" x14ac:dyDescent="0.2">
      <c r="B987">
        <v>0.119553630117084</v>
      </c>
      <c r="C987">
        <v>0.34203480589022756</v>
      </c>
    </row>
    <row r="988" spans="2:3" x14ac:dyDescent="0.2">
      <c r="B988">
        <v>0.11922872308669</v>
      </c>
      <c r="C988">
        <v>0.34136546184738958</v>
      </c>
    </row>
    <row r="989" spans="2:3" x14ac:dyDescent="0.2">
      <c r="B989">
        <v>0.11882543618960301</v>
      </c>
      <c r="C989">
        <v>0.34069611780455156</v>
      </c>
    </row>
    <row r="990" spans="2:3" x14ac:dyDescent="0.2">
      <c r="B990">
        <v>0.118670695646617</v>
      </c>
      <c r="C990">
        <v>0.34002677376171353</v>
      </c>
    </row>
    <row r="991" spans="2:3" x14ac:dyDescent="0.2">
      <c r="B991">
        <v>0.118530304494324</v>
      </c>
      <c r="C991">
        <v>0.3393574297188755</v>
      </c>
    </row>
    <row r="992" spans="2:3" x14ac:dyDescent="0.2">
      <c r="B992">
        <v>0.11811334444980399</v>
      </c>
      <c r="C992">
        <v>0.33868808567603748</v>
      </c>
    </row>
    <row r="993" spans="2:3" x14ac:dyDescent="0.2">
      <c r="B993">
        <v>0.118088636540411</v>
      </c>
      <c r="C993">
        <v>0.33801874163319945</v>
      </c>
    </row>
    <row r="994" spans="2:3" x14ac:dyDescent="0.2">
      <c r="B994">
        <v>0.11793869749923901</v>
      </c>
      <c r="C994">
        <v>0.33734939759036142</v>
      </c>
    </row>
    <row r="995" spans="2:3" x14ac:dyDescent="0.2">
      <c r="B995">
        <v>0.117886897707314</v>
      </c>
      <c r="C995">
        <v>0.33668005354752345</v>
      </c>
    </row>
    <row r="996" spans="2:3" x14ac:dyDescent="0.2">
      <c r="B996">
        <v>0.117834902201211</v>
      </c>
      <c r="C996">
        <v>0.33601070950468542</v>
      </c>
    </row>
    <row r="997" spans="2:3" x14ac:dyDescent="0.2">
      <c r="B997">
        <v>0.11770729267573</v>
      </c>
      <c r="C997">
        <v>0.3353413654618474</v>
      </c>
    </row>
    <row r="998" spans="2:3" x14ac:dyDescent="0.2">
      <c r="B998">
        <v>0.117679900856448</v>
      </c>
      <c r="C998">
        <v>0.33467202141900937</v>
      </c>
    </row>
    <row r="999" spans="2:3" x14ac:dyDescent="0.2">
      <c r="B999">
        <v>0.11759379593977599</v>
      </c>
      <c r="C999">
        <v>0.33400267737617134</v>
      </c>
    </row>
    <row r="1000" spans="2:3" x14ac:dyDescent="0.2">
      <c r="B1000">
        <v>0.117590977819916</v>
      </c>
      <c r="C1000">
        <v>0.33333333333333331</v>
      </c>
    </row>
    <row r="1001" spans="2:3" x14ac:dyDescent="0.2">
      <c r="B1001">
        <v>0.117586880260275</v>
      </c>
      <c r="C1001">
        <v>0.33266398929049529</v>
      </c>
    </row>
    <row r="1002" spans="2:3" x14ac:dyDescent="0.2">
      <c r="B1002">
        <v>0.117486970327899</v>
      </c>
      <c r="C1002">
        <v>0.33199464524765732</v>
      </c>
    </row>
    <row r="1003" spans="2:3" x14ac:dyDescent="0.2">
      <c r="B1003">
        <v>0.117304686126687</v>
      </c>
      <c r="C1003">
        <v>0.33132530120481929</v>
      </c>
    </row>
    <row r="1004" spans="2:3" x14ac:dyDescent="0.2">
      <c r="B1004">
        <v>0.117020343375242</v>
      </c>
      <c r="C1004">
        <v>0.33065595716198126</v>
      </c>
    </row>
    <row r="1005" spans="2:3" x14ac:dyDescent="0.2">
      <c r="B1005">
        <v>0.116907958605523</v>
      </c>
      <c r="C1005">
        <v>0.32998661311914324</v>
      </c>
    </row>
    <row r="1006" spans="2:3" x14ac:dyDescent="0.2">
      <c r="B1006">
        <v>0.116884159656395</v>
      </c>
      <c r="C1006">
        <v>0.32931726907630521</v>
      </c>
    </row>
    <row r="1007" spans="2:3" x14ac:dyDescent="0.2">
      <c r="B1007">
        <v>0.116865306930407</v>
      </c>
      <c r="C1007">
        <v>0.32864792503346718</v>
      </c>
    </row>
    <row r="1008" spans="2:3" x14ac:dyDescent="0.2">
      <c r="B1008">
        <v>0.116567718483211</v>
      </c>
      <c r="C1008">
        <v>0.32797858099062921</v>
      </c>
    </row>
    <row r="1009" spans="2:3" x14ac:dyDescent="0.2">
      <c r="B1009">
        <v>0.11637926190515201</v>
      </c>
      <c r="C1009">
        <v>0.32730923694779118</v>
      </c>
    </row>
    <row r="1010" spans="2:3" x14ac:dyDescent="0.2">
      <c r="B1010">
        <v>0.11617879783386099</v>
      </c>
      <c r="C1010">
        <v>0.32663989290495316</v>
      </c>
    </row>
    <row r="1011" spans="2:3" x14ac:dyDescent="0.2">
      <c r="B1011">
        <v>0.116175307791655</v>
      </c>
      <c r="C1011">
        <v>0.32597054886211513</v>
      </c>
    </row>
    <row r="1012" spans="2:3" x14ac:dyDescent="0.2">
      <c r="B1012">
        <v>0.11614312717290901</v>
      </c>
      <c r="C1012">
        <v>0.3253012048192771</v>
      </c>
    </row>
    <row r="1013" spans="2:3" x14ac:dyDescent="0.2">
      <c r="B1013">
        <v>0.11601638341215</v>
      </c>
      <c r="C1013">
        <v>0.32463186077643907</v>
      </c>
    </row>
    <row r="1014" spans="2:3" x14ac:dyDescent="0.2">
      <c r="B1014">
        <v>0.115816387036577</v>
      </c>
      <c r="C1014">
        <v>0.32396251673360105</v>
      </c>
    </row>
    <row r="1015" spans="2:3" x14ac:dyDescent="0.2">
      <c r="B1015">
        <v>0.115683323251547</v>
      </c>
      <c r="C1015">
        <v>0.32329317269076308</v>
      </c>
    </row>
    <row r="1016" spans="2:3" x14ac:dyDescent="0.2">
      <c r="B1016">
        <v>0.115577485214599</v>
      </c>
      <c r="C1016">
        <v>0.32262382864792505</v>
      </c>
    </row>
    <row r="1017" spans="2:3" x14ac:dyDescent="0.2">
      <c r="B1017">
        <v>0.115403820045375</v>
      </c>
      <c r="C1017">
        <v>0.32195448460508702</v>
      </c>
    </row>
    <row r="1018" spans="2:3" x14ac:dyDescent="0.2">
      <c r="B1018">
        <v>0.115367084112058</v>
      </c>
      <c r="C1018">
        <v>0.32128514056224899</v>
      </c>
    </row>
    <row r="1019" spans="2:3" x14ac:dyDescent="0.2">
      <c r="B1019">
        <v>0.114865572470902</v>
      </c>
      <c r="C1019">
        <v>0.32061579651941097</v>
      </c>
    </row>
    <row r="1020" spans="2:3" x14ac:dyDescent="0.2">
      <c r="B1020">
        <v>0.114799860138929</v>
      </c>
      <c r="C1020">
        <v>0.31994645247657294</v>
      </c>
    </row>
    <row r="1021" spans="2:3" x14ac:dyDescent="0.2">
      <c r="B1021">
        <v>0.11475264116098099</v>
      </c>
      <c r="C1021">
        <v>0.31927710843373491</v>
      </c>
    </row>
    <row r="1022" spans="2:3" x14ac:dyDescent="0.2">
      <c r="B1022">
        <v>0.114748672153881</v>
      </c>
      <c r="C1022">
        <v>0.31860776439089694</v>
      </c>
    </row>
    <row r="1023" spans="2:3" x14ac:dyDescent="0.2">
      <c r="B1023">
        <v>0.114663662842554</v>
      </c>
      <c r="C1023">
        <v>0.31793842034805891</v>
      </c>
    </row>
    <row r="1024" spans="2:3" x14ac:dyDescent="0.2">
      <c r="B1024">
        <v>0.114578322179896</v>
      </c>
      <c r="C1024">
        <v>0.31726907630522089</v>
      </c>
    </row>
    <row r="1025" spans="2:3" x14ac:dyDescent="0.2">
      <c r="B1025">
        <v>0.114227128235437</v>
      </c>
      <c r="C1025">
        <v>0.31659973226238286</v>
      </c>
    </row>
    <row r="1026" spans="2:3" x14ac:dyDescent="0.2">
      <c r="B1026">
        <v>0.11397317208711299</v>
      </c>
      <c r="C1026">
        <v>0.31593038821954483</v>
      </c>
    </row>
    <row r="1027" spans="2:3" x14ac:dyDescent="0.2">
      <c r="B1027">
        <v>0.113888609514303</v>
      </c>
      <c r="C1027">
        <v>0.31526104417670681</v>
      </c>
    </row>
    <row r="1028" spans="2:3" x14ac:dyDescent="0.2">
      <c r="B1028">
        <v>0.11362749026079801</v>
      </c>
      <c r="C1028">
        <v>0.31459170013386883</v>
      </c>
    </row>
    <row r="1029" spans="2:3" x14ac:dyDescent="0.2">
      <c r="B1029">
        <v>0.113385435814472</v>
      </c>
      <c r="C1029">
        <v>0.31392235609103081</v>
      </c>
    </row>
    <row r="1030" spans="2:3" x14ac:dyDescent="0.2">
      <c r="B1030">
        <v>0.113197223134351</v>
      </c>
      <c r="C1030">
        <v>0.31325301204819278</v>
      </c>
    </row>
    <row r="1031" spans="2:3" x14ac:dyDescent="0.2">
      <c r="B1031">
        <v>0.11316674151934999</v>
      </c>
      <c r="C1031">
        <v>0.31258366800535475</v>
      </c>
    </row>
    <row r="1032" spans="2:3" x14ac:dyDescent="0.2">
      <c r="B1032">
        <v>0.113075935211224</v>
      </c>
      <c r="C1032">
        <v>0.31191432396251673</v>
      </c>
    </row>
    <row r="1033" spans="2:3" x14ac:dyDescent="0.2">
      <c r="B1033">
        <v>0.112890685170215</v>
      </c>
      <c r="C1033">
        <v>0.3112449799196787</v>
      </c>
    </row>
    <row r="1034" spans="2:3" x14ac:dyDescent="0.2">
      <c r="B1034">
        <v>0.11277371564745001</v>
      </c>
      <c r="C1034">
        <v>0.31057563587684067</v>
      </c>
    </row>
    <row r="1035" spans="2:3" x14ac:dyDescent="0.2">
      <c r="B1035">
        <v>0.112692680001935</v>
      </c>
      <c r="C1035">
        <v>0.3099062918340027</v>
      </c>
    </row>
    <row r="1036" spans="2:3" x14ac:dyDescent="0.2">
      <c r="B1036">
        <v>0.11211413142802901</v>
      </c>
      <c r="C1036">
        <v>0.30923694779116467</v>
      </c>
    </row>
    <row r="1037" spans="2:3" x14ac:dyDescent="0.2">
      <c r="B1037">
        <v>0.11201038606741499</v>
      </c>
      <c r="C1037">
        <v>0.30856760374832665</v>
      </c>
    </row>
    <row r="1038" spans="2:3" x14ac:dyDescent="0.2">
      <c r="B1038">
        <v>0.11197542683806901</v>
      </c>
      <c r="C1038">
        <v>0.30789825970548862</v>
      </c>
    </row>
    <row r="1039" spans="2:3" x14ac:dyDescent="0.2">
      <c r="B1039">
        <v>0.11174229114961701</v>
      </c>
      <c r="C1039">
        <v>0.30722891566265059</v>
      </c>
    </row>
    <row r="1040" spans="2:3" x14ac:dyDescent="0.2">
      <c r="B1040">
        <v>0.111695432826107</v>
      </c>
      <c r="C1040">
        <v>0.30655957161981257</v>
      </c>
    </row>
    <row r="1041" spans="2:3" x14ac:dyDescent="0.2">
      <c r="B1041">
        <v>0.111519787342891</v>
      </c>
      <c r="C1041">
        <v>0.30589022757697454</v>
      </c>
    </row>
    <row r="1042" spans="2:3" x14ac:dyDescent="0.2">
      <c r="B1042">
        <v>0.111252103566853</v>
      </c>
      <c r="C1042">
        <v>0.30522088353413657</v>
      </c>
    </row>
    <row r="1043" spans="2:3" x14ac:dyDescent="0.2">
      <c r="B1043">
        <v>0.111169209224</v>
      </c>
      <c r="C1043">
        <v>0.30455153949129854</v>
      </c>
    </row>
    <row r="1044" spans="2:3" x14ac:dyDescent="0.2">
      <c r="B1044">
        <v>0.11095380143552</v>
      </c>
      <c r="C1044">
        <v>0.30388219544846051</v>
      </c>
    </row>
    <row r="1045" spans="2:3" x14ac:dyDescent="0.2">
      <c r="B1045">
        <v>0.110822179475615</v>
      </c>
      <c r="C1045">
        <v>0.30321285140562249</v>
      </c>
    </row>
    <row r="1046" spans="2:3" x14ac:dyDescent="0.2">
      <c r="B1046">
        <v>0.11075603661637</v>
      </c>
      <c r="C1046">
        <v>0.30254350736278446</v>
      </c>
    </row>
    <row r="1047" spans="2:3" x14ac:dyDescent="0.2">
      <c r="B1047">
        <v>0.110605058249733</v>
      </c>
      <c r="C1047">
        <v>0.30187416331994643</v>
      </c>
    </row>
    <row r="1048" spans="2:3" x14ac:dyDescent="0.2">
      <c r="B1048">
        <v>0.110298753016464</v>
      </c>
      <c r="C1048">
        <v>0.30120481927710846</v>
      </c>
    </row>
    <row r="1049" spans="2:3" x14ac:dyDescent="0.2">
      <c r="B1049">
        <v>0.109990977825974</v>
      </c>
      <c r="C1049">
        <v>0.30053547523427043</v>
      </c>
    </row>
    <row r="1050" spans="2:3" x14ac:dyDescent="0.2">
      <c r="B1050">
        <v>0.10978097046975401</v>
      </c>
      <c r="C1050">
        <v>0.29986613119143241</v>
      </c>
    </row>
    <row r="1051" spans="2:3" x14ac:dyDescent="0.2">
      <c r="B1051">
        <v>0.10972010890386601</v>
      </c>
      <c r="C1051">
        <v>0.29919678714859438</v>
      </c>
    </row>
    <row r="1052" spans="2:3" x14ac:dyDescent="0.2">
      <c r="B1052">
        <v>0.10926031519000701</v>
      </c>
      <c r="C1052">
        <v>0.29852744310575635</v>
      </c>
    </row>
    <row r="1053" spans="2:3" x14ac:dyDescent="0.2">
      <c r="B1053">
        <v>0.10920439858597</v>
      </c>
      <c r="C1053">
        <v>0.29785809906291832</v>
      </c>
    </row>
    <row r="1054" spans="2:3" x14ac:dyDescent="0.2">
      <c r="B1054">
        <v>0.109151784185519</v>
      </c>
      <c r="C1054">
        <v>0.2971887550200803</v>
      </c>
    </row>
    <row r="1055" spans="2:3" x14ac:dyDescent="0.2">
      <c r="B1055">
        <v>0.108895780101436</v>
      </c>
      <c r="C1055">
        <v>0.29651941097724233</v>
      </c>
    </row>
    <row r="1056" spans="2:3" x14ac:dyDescent="0.2">
      <c r="B1056">
        <v>0.108428989577476</v>
      </c>
      <c r="C1056">
        <v>0.2958500669344043</v>
      </c>
    </row>
    <row r="1057" spans="2:3" x14ac:dyDescent="0.2">
      <c r="B1057">
        <v>0.108035336039424</v>
      </c>
      <c r="C1057">
        <v>0.29518072289156627</v>
      </c>
    </row>
    <row r="1058" spans="2:3" x14ac:dyDescent="0.2">
      <c r="B1058">
        <v>0.107649684342963</v>
      </c>
      <c r="C1058">
        <v>0.29451137884872824</v>
      </c>
    </row>
    <row r="1059" spans="2:3" x14ac:dyDescent="0.2">
      <c r="B1059">
        <v>0.107610070999936</v>
      </c>
      <c r="C1059">
        <v>0.29384203480589022</v>
      </c>
    </row>
    <row r="1060" spans="2:3" x14ac:dyDescent="0.2">
      <c r="B1060">
        <v>0.107569981778065</v>
      </c>
      <c r="C1060">
        <v>0.29317269076305219</v>
      </c>
    </row>
    <row r="1061" spans="2:3" x14ac:dyDescent="0.2">
      <c r="B1061">
        <v>0.107525168854414</v>
      </c>
      <c r="C1061">
        <v>0.29250334672021416</v>
      </c>
    </row>
    <row r="1062" spans="2:3" x14ac:dyDescent="0.2">
      <c r="B1062">
        <v>0.10643552302105</v>
      </c>
      <c r="C1062">
        <v>0.29183400267737619</v>
      </c>
    </row>
    <row r="1063" spans="2:3" x14ac:dyDescent="0.2">
      <c r="B1063">
        <v>0.10616635118008901</v>
      </c>
      <c r="C1063">
        <v>0.29116465863453816</v>
      </c>
    </row>
    <row r="1064" spans="2:3" x14ac:dyDescent="0.2">
      <c r="B1064">
        <v>0.106139315802636</v>
      </c>
      <c r="C1064">
        <v>0.29049531459170014</v>
      </c>
    </row>
    <row r="1065" spans="2:3" x14ac:dyDescent="0.2">
      <c r="B1065">
        <v>0.105862864552918</v>
      </c>
      <c r="C1065">
        <v>0.28982597054886211</v>
      </c>
    </row>
    <row r="1066" spans="2:3" x14ac:dyDescent="0.2">
      <c r="B1066">
        <v>0.105441249463959</v>
      </c>
      <c r="C1066">
        <v>0.28915662650602408</v>
      </c>
    </row>
    <row r="1067" spans="2:3" x14ac:dyDescent="0.2">
      <c r="B1067">
        <v>0.105337794537728</v>
      </c>
      <c r="C1067">
        <v>0.28848728246318606</v>
      </c>
    </row>
    <row r="1068" spans="2:3" x14ac:dyDescent="0.2">
      <c r="B1068">
        <v>0.105103742106343</v>
      </c>
      <c r="C1068">
        <v>0.28781793842034809</v>
      </c>
    </row>
    <row r="1069" spans="2:3" x14ac:dyDescent="0.2">
      <c r="B1069">
        <v>0.10490530109259</v>
      </c>
      <c r="C1069">
        <v>0.28714859437751006</v>
      </c>
    </row>
    <row r="1070" spans="2:3" x14ac:dyDescent="0.2">
      <c r="B1070">
        <v>0.10463033637553899</v>
      </c>
      <c r="C1070">
        <v>0.28647925033467203</v>
      </c>
    </row>
    <row r="1071" spans="2:3" x14ac:dyDescent="0.2">
      <c r="B1071">
        <v>0.104288193254921</v>
      </c>
      <c r="C1071">
        <v>0.285809906291834</v>
      </c>
    </row>
    <row r="1072" spans="2:3" x14ac:dyDescent="0.2">
      <c r="B1072">
        <v>0.104000767561803</v>
      </c>
      <c r="C1072">
        <v>0.28514056224899598</v>
      </c>
    </row>
    <row r="1073" spans="2:3" x14ac:dyDescent="0.2">
      <c r="B1073">
        <v>0.103989160324911</v>
      </c>
      <c r="C1073">
        <v>0.28447121820615795</v>
      </c>
    </row>
    <row r="1074" spans="2:3" x14ac:dyDescent="0.2">
      <c r="B1074">
        <v>0.103987893119104</v>
      </c>
      <c r="C1074">
        <v>0.28380187416331992</v>
      </c>
    </row>
    <row r="1075" spans="2:3" x14ac:dyDescent="0.2">
      <c r="B1075">
        <v>0.103258215286962</v>
      </c>
      <c r="C1075">
        <v>0.28313253012048195</v>
      </c>
    </row>
    <row r="1076" spans="2:3" x14ac:dyDescent="0.2">
      <c r="B1076">
        <v>0.103048634196629</v>
      </c>
      <c r="C1076">
        <v>0.28246318607764392</v>
      </c>
    </row>
    <row r="1077" spans="2:3" x14ac:dyDescent="0.2">
      <c r="B1077">
        <v>0.10299105174452799</v>
      </c>
      <c r="C1077">
        <v>0.2817938420348059</v>
      </c>
    </row>
    <row r="1078" spans="2:3" x14ac:dyDescent="0.2">
      <c r="B1078">
        <v>0.10274485538361</v>
      </c>
      <c r="C1078">
        <v>0.28112449799196787</v>
      </c>
    </row>
    <row r="1079" spans="2:3" x14ac:dyDescent="0.2">
      <c r="B1079">
        <v>0.102422023408374</v>
      </c>
      <c r="C1079">
        <v>0.28045515394912984</v>
      </c>
    </row>
    <row r="1080" spans="2:3" x14ac:dyDescent="0.2">
      <c r="B1080">
        <v>0.10234242300699201</v>
      </c>
      <c r="C1080">
        <v>0.27978580990629182</v>
      </c>
    </row>
    <row r="1081" spans="2:3" x14ac:dyDescent="0.2">
      <c r="B1081">
        <v>0.102241760488037</v>
      </c>
      <c r="C1081">
        <v>0.27911646586345379</v>
      </c>
    </row>
    <row r="1082" spans="2:3" x14ac:dyDescent="0.2">
      <c r="B1082">
        <v>0.102233378166199</v>
      </c>
      <c r="C1082">
        <v>0.27844712182061582</v>
      </c>
    </row>
    <row r="1083" spans="2:3" x14ac:dyDescent="0.2">
      <c r="B1083">
        <v>0.10195122506964099</v>
      </c>
      <c r="C1083">
        <v>0.27777777777777779</v>
      </c>
    </row>
    <row r="1084" spans="2:3" x14ac:dyDescent="0.2">
      <c r="B1084">
        <v>0.10179081075237199</v>
      </c>
      <c r="C1084">
        <v>0.27710843373493976</v>
      </c>
    </row>
    <row r="1085" spans="2:3" x14ac:dyDescent="0.2">
      <c r="B1085">
        <v>0.10173621150935599</v>
      </c>
      <c r="C1085">
        <v>0.27643908969210174</v>
      </c>
    </row>
    <row r="1086" spans="2:3" x14ac:dyDescent="0.2">
      <c r="B1086">
        <v>0.101567272551517</v>
      </c>
      <c r="C1086">
        <v>0.27576974564926371</v>
      </c>
    </row>
    <row r="1087" spans="2:3" x14ac:dyDescent="0.2">
      <c r="B1087">
        <v>0.10126998332880199</v>
      </c>
      <c r="C1087">
        <v>0.27510040160642568</v>
      </c>
    </row>
    <row r="1088" spans="2:3" x14ac:dyDescent="0.2">
      <c r="B1088">
        <v>0.101056847033139</v>
      </c>
      <c r="C1088">
        <v>0.27443105756358771</v>
      </c>
    </row>
    <row r="1089" spans="2:3" x14ac:dyDescent="0.2">
      <c r="B1089">
        <v>0.100659367349514</v>
      </c>
      <c r="C1089">
        <v>0.27376171352074968</v>
      </c>
    </row>
    <row r="1090" spans="2:3" x14ac:dyDescent="0.2">
      <c r="B1090">
        <v>0.10035729706690399</v>
      </c>
      <c r="C1090">
        <v>0.27309236947791166</v>
      </c>
    </row>
    <row r="1091" spans="2:3" x14ac:dyDescent="0.2">
      <c r="B1091">
        <v>0.100257488159891</v>
      </c>
      <c r="C1091">
        <v>0.27242302543507363</v>
      </c>
    </row>
    <row r="1092" spans="2:3" x14ac:dyDescent="0.2">
      <c r="B1092">
        <v>0.100253203459502</v>
      </c>
      <c r="C1092">
        <v>0.2717536813922356</v>
      </c>
    </row>
    <row r="1093" spans="2:3" x14ac:dyDescent="0.2">
      <c r="B1093">
        <v>0.10024799393761701</v>
      </c>
      <c r="C1093">
        <v>0.27108433734939757</v>
      </c>
    </row>
    <row r="1094" spans="2:3" x14ac:dyDescent="0.2">
      <c r="B1094">
        <v>9.9855561766361706E-2</v>
      </c>
      <c r="C1094">
        <v>0.27041499330655955</v>
      </c>
    </row>
    <row r="1095" spans="2:3" x14ac:dyDescent="0.2">
      <c r="B1095">
        <v>9.9728392807251501E-2</v>
      </c>
      <c r="C1095">
        <v>0.26974564926372158</v>
      </c>
    </row>
    <row r="1096" spans="2:3" x14ac:dyDescent="0.2">
      <c r="B1096">
        <v>9.9696522165993298E-2</v>
      </c>
      <c r="C1096">
        <v>0.26907630522088355</v>
      </c>
    </row>
    <row r="1097" spans="2:3" x14ac:dyDescent="0.2">
      <c r="B1097">
        <v>9.9402818561252299E-2</v>
      </c>
      <c r="C1097">
        <v>0.26840696117804552</v>
      </c>
    </row>
    <row r="1098" spans="2:3" x14ac:dyDescent="0.2">
      <c r="B1098">
        <v>9.9372854374949804E-2</v>
      </c>
      <c r="C1098">
        <v>0.2677376171352075</v>
      </c>
    </row>
    <row r="1099" spans="2:3" x14ac:dyDescent="0.2">
      <c r="B1099">
        <v>9.9320443356309407E-2</v>
      </c>
      <c r="C1099">
        <v>0.26706827309236947</v>
      </c>
    </row>
    <row r="1100" spans="2:3" x14ac:dyDescent="0.2">
      <c r="B1100">
        <v>9.9292461550279501E-2</v>
      </c>
      <c r="C1100">
        <v>0.26639892904953144</v>
      </c>
    </row>
    <row r="1101" spans="2:3" x14ac:dyDescent="0.2">
      <c r="B1101">
        <v>9.8848474641680104E-2</v>
      </c>
      <c r="C1101">
        <v>0.26572958500669341</v>
      </c>
    </row>
    <row r="1102" spans="2:3" x14ac:dyDescent="0.2">
      <c r="B1102">
        <v>9.86924398410296E-2</v>
      </c>
      <c r="C1102">
        <v>0.26506024096385544</v>
      </c>
    </row>
    <row r="1103" spans="2:3" x14ac:dyDescent="0.2">
      <c r="B1103">
        <v>9.8555504419505099E-2</v>
      </c>
      <c r="C1103">
        <v>0.26439089692101742</v>
      </c>
    </row>
    <row r="1104" spans="2:3" x14ac:dyDescent="0.2">
      <c r="B1104">
        <v>9.8553182807941397E-2</v>
      </c>
      <c r="C1104">
        <v>0.26372155287817939</v>
      </c>
    </row>
    <row r="1105" spans="2:3" x14ac:dyDescent="0.2">
      <c r="B1105">
        <v>9.8384952774099907E-2</v>
      </c>
      <c r="C1105">
        <v>0.26305220883534136</v>
      </c>
    </row>
    <row r="1106" spans="2:3" x14ac:dyDescent="0.2">
      <c r="B1106">
        <v>9.8291035140816302E-2</v>
      </c>
      <c r="C1106">
        <v>0.26238286479250333</v>
      </c>
    </row>
    <row r="1107" spans="2:3" x14ac:dyDescent="0.2">
      <c r="B1107">
        <v>9.8284953209316003E-2</v>
      </c>
      <c r="C1107">
        <v>0.26171352074966531</v>
      </c>
    </row>
    <row r="1108" spans="2:3" x14ac:dyDescent="0.2">
      <c r="B1108">
        <v>9.8164874251263898E-2</v>
      </c>
      <c r="C1108">
        <v>0.26104417670682734</v>
      </c>
    </row>
    <row r="1109" spans="2:3" x14ac:dyDescent="0.2">
      <c r="B1109">
        <v>9.8150350876126793E-2</v>
      </c>
      <c r="C1109">
        <v>0.26037483266398931</v>
      </c>
    </row>
    <row r="1110" spans="2:3" x14ac:dyDescent="0.2">
      <c r="B1110">
        <v>9.8088221938146605E-2</v>
      </c>
      <c r="C1110">
        <v>0.25970548862115128</v>
      </c>
    </row>
    <row r="1111" spans="2:3" x14ac:dyDescent="0.2">
      <c r="B1111">
        <v>9.8063592653351905E-2</v>
      </c>
      <c r="C1111">
        <v>0.25903614457831325</v>
      </c>
    </row>
    <row r="1112" spans="2:3" x14ac:dyDescent="0.2">
      <c r="B1112">
        <v>9.7973437799268703E-2</v>
      </c>
      <c r="C1112">
        <v>0.25836680053547523</v>
      </c>
    </row>
    <row r="1113" spans="2:3" x14ac:dyDescent="0.2">
      <c r="B1113">
        <v>9.7919027056080299E-2</v>
      </c>
      <c r="C1113">
        <v>0.2576974564926372</v>
      </c>
    </row>
    <row r="1114" spans="2:3" x14ac:dyDescent="0.2">
      <c r="B1114">
        <v>9.7770284555900297E-2</v>
      </c>
      <c r="C1114">
        <v>0.25702811244979917</v>
      </c>
    </row>
    <row r="1115" spans="2:3" x14ac:dyDescent="0.2">
      <c r="B1115">
        <v>9.7403906326069697E-2</v>
      </c>
      <c r="C1115">
        <v>0.2563587684069612</v>
      </c>
    </row>
    <row r="1116" spans="2:3" x14ac:dyDescent="0.2">
      <c r="B1116">
        <v>9.7137018608917006E-2</v>
      </c>
      <c r="C1116">
        <v>0.25568942436412317</v>
      </c>
    </row>
    <row r="1117" spans="2:3" x14ac:dyDescent="0.2">
      <c r="B1117">
        <v>9.7115753141194902E-2</v>
      </c>
      <c r="C1117">
        <v>0.25502008032128515</v>
      </c>
    </row>
    <row r="1118" spans="2:3" x14ac:dyDescent="0.2">
      <c r="B1118">
        <v>9.7027392361863501E-2</v>
      </c>
      <c r="C1118">
        <v>0.25435073627844712</v>
      </c>
    </row>
    <row r="1119" spans="2:3" x14ac:dyDescent="0.2">
      <c r="B1119">
        <v>9.6663767611911505E-2</v>
      </c>
      <c r="C1119">
        <v>0.25368139223560909</v>
      </c>
    </row>
    <row r="1120" spans="2:3" x14ac:dyDescent="0.2">
      <c r="B1120">
        <v>9.61833804166881E-2</v>
      </c>
      <c r="C1120">
        <v>0.25301204819277107</v>
      </c>
    </row>
    <row r="1121" spans="2:3" x14ac:dyDescent="0.2">
      <c r="B1121">
        <v>9.6105035165991601E-2</v>
      </c>
      <c r="C1121">
        <v>0.25234270414993304</v>
      </c>
    </row>
    <row r="1122" spans="2:3" x14ac:dyDescent="0.2">
      <c r="B1122">
        <v>9.5727012304241896E-2</v>
      </c>
      <c r="C1122">
        <v>0.25167336010709507</v>
      </c>
    </row>
    <row r="1123" spans="2:3" x14ac:dyDescent="0.2">
      <c r="B1123">
        <v>9.5702334922169202E-2</v>
      </c>
      <c r="C1123">
        <v>0.25100401606425704</v>
      </c>
    </row>
    <row r="1124" spans="2:3" x14ac:dyDescent="0.2">
      <c r="B1124">
        <v>9.5359030926777097E-2</v>
      </c>
      <c r="C1124">
        <v>0.25033467202141901</v>
      </c>
    </row>
    <row r="1125" spans="2:3" x14ac:dyDescent="0.2">
      <c r="B1125">
        <v>9.51618901917438E-2</v>
      </c>
      <c r="C1125">
        <v>0.24966532797858099</v>
      </c>
    </row>
    <row r="1126" spans="2:3" x14ac:dyDescent="0.2">
      <c r="B1126">
        <v>9.5049891719219695E-2</v>
      </c>
      <c r="C1126">
        <v>0.24899598393574296</v>
      </c>
    </row>
    <row r="1127" spans="2:3" x14ac:dyDescent="0.2">
      <c r="B1127">
        <v>9.5019146297001297E-2</v>
      </c>
      <c r="C1127">
        <v>0.24832663989290496</v>
      </c>
    </row>
    <row r="1128" spans="2:3" x14ac:dyDescent="0.2">
      <c r="B1128">
        <v>9.4942675652628997E-2</v>
      </c>
      <c r="C1128">
        <v>0.24765729585006693</v>
      </c>
    </row>
    <row r="1129" spans="2:3" x14ac:dyDescent="0.2">
      <c r="B1129">
        <v>9.46589210016857E-2</v>
      </c>
      <c r="C1129">
        <v>0.24698795180722891</v>
      </c>
    </row>
    <row r="1130" spans="2:3" x14ac:dyDescent="0.2">
      <c r="B1130">
        <v>9.4648671474772197E-2</v>
      </c>
      <c r="C1130">
        <v>0.24631860776439091</v>
      </c>
    </row>
    <row r="1131" spans="2:3" x14ac:dyDescent="0.2">
      <c r="B1131">
        <v>9.4636202945113698E-2</v>
      </c>
      <c r="C1131">
        <v>0.24564926372155288</v>
      </c>
    </row>
    <row r="1132" spans="2:3" x14ac:dyDescent="0.2">
      <c r="B1132">
        <v>9.4393656224018699E-2</v>
      </c>
      <c r="C1132">
        <v>0.24497991967871485</v>
      </c>
    </row>
    <row r="1133" spans="2:3" x14ac:dyDescent="0.2">
      <c r="B1133">
        <v>9.4191540610453095E-2</v>
      </c>
      <c r="C1133">
        <v>0.24431057563587685</v>
      </c>
    </row>
    <row r="1134" spans="2:3" x14ac:dyDescent="0.2">
      <c r="B1134">
        <v>9.4098370060146402E-2</v>
      </c>
      <c r="C1134">
        <v>0.24364123159303883</v>
      </c>
    </row>
    <row r="1135" spans="2:3" x14ac:dyDescent="0.2">
      <c r="B1135">
        <v>9.3945405091356404E-2</v>
      </c>
      <c r="C1135">
        <v>0.2429718875502008</v>
      </c>
    </row>
    <row r="1136" spans="2:3" x14ac:dyDescent="0.2">
      <c r="B1136">
        <v>9.3886959885185806E-2</v>
      </c>
      <c r="C1136">
        <v>0.24230254350736277</v>
      </c>
    </row>
    <row r="1137" spans="2:3" x14ac:dyDescent="0.2">
      <c r="B1137">
        <v>9.3862870911240695E-2</v>
      </c>
      <c r="C1137">
        <v>0.24163319946452477</v>
      </c>
    </row>
    <row r="1138" spans="2:3" x14ac:dyDescent="0.2">
      <c r="B1138">
        <v>9.3118155221911206E-2</v>
      </c>
      <c r="C1138">
        <v>0.24096385542168675</v>
      </c>
    </row>
    <row r="1139" spans="2:3" x14ac:dyDescent="0.2">
      <c r="B1139">
        <v>9.2857969539700602E-2</v>
      </c>
      <c r="C1139">
        <v>0.24029451137884872</v>
      </c>
    </row>
    <row r="1140" spans="2:3" x14ac:dyDescent="0.2">
      <c r="B1140">
        <v>9.2405387581680307E-2</v>
      </c>
      <c r="C1140">
        <v>0.23962516733601072</v>
      </c>
    </row>
    <row r="1141" spans="2:3" x14ac:dyDescent="0.2">
      <c r="B1141">
        <v>9.1800384507268601E-2</v>
      </c>
      <c r="C1141">
        <v>0.23895582329317269</v>
      </c>
    </row>
    <row r="1142" spans="2:3" x14ac:dyDescent="0.2">
      <c r="B1142">
        <v>9.1611782829453606E-2</v>
      </c>
      <c r="C1142">
        <v>0.23828647925033467</v>
      </c>
    </row>
    <row r="1143" spans="2:3" x14ac:dyDescent="0.2">
      <c r="B1143">
        <v>9.1331766614156998E-2</v>
      </c>
      <c r="C1143">
        <v>0.23761713520749667</v>
      </c>
    </row>
    <row r="1144" spans="2:3" x14ac:dyDescent="0.2">
      <c r="B1144">
        <v>9.1002114735957498E-2</v>
      </c>
      <c r="C1144">
        <v>0.23694779116465864</v>
      </c>
    </row>
    <row r="1145" spans="2:3" x14ac:dyDescent="0.2">
      <c r="B1145">
        <v>9.0908522347723703E-2</v>
      </c>
      <c r="C1145">
        <v>0.23627844712182061</v>
      </c>
    </row>
    <row r="1146" spans="2:3" x14ac:dyDescent="0.2">
      <c r="B1146">
        <v>9.0885677250535202E-2</v>
      </c>
      <c r="C1146">
        <v>0.23560910307898258</v>
      </c>
    </row>
    <row r="1147" spans="2:3" x14ac:dyDescent="0.2">
      <c r="B1147">
        <v>9.0426988616110496E-2</v>
      </c>
      <c r="C1147">
        <v>0.23493975903614459</v>
      </c>
    </row>
    <row r="1148" spans="2:3" x14ac:dyDescent="0.2">
      <c r="B1148">
        <v>9.0388632852864498E-2</v>
      </c>
      <c r="C1148">
        <v>0.23427041499330656</v>
      </c>
    </row>
    <row r="1149" spans="2:3" x14ac:dyDescent="0.2">
      <c r="B1149">
        <v>9.03319448521403E-2</v>
      </c>
      <c r="C1149">
        <v>0.23360107095046853</v>
      </c>
    </row>
    <row r="1150" spans="2:3" x14ac:dyDescent="0.2">
      <c r="B1150">
        <v>9.00590665029984E-2</v>
      </c>
      <c r="C1150">
        <v>0.23293172690763053</v>
      </c>
    </row>
    <row r="1151" spans="2:3" x14ac:dyDescent="0.2">
      <c r="B1151">
        <v>8.9763240912362804E-2</v>
      </c>
      <c r="C1151">
        <v>0.2322623828647925</v>
      </c>
    </row>
    <row r="1152" spans="2:3" x14ac:dyDescent="0.2">
      <c r="B1152">
        <v>8.9400129144579496E-2</v>
      </c>
      <c r="C1152">
        <v>0.23159303882195448</v>
      </c>
    </row>
    <row r="1153" spans="2:3" x14ac:dyDescent="0.2">
      <c r="B1153">
        <v>8.8789115717643197E-2</v>
      </c>
      <c r="C1153">
        <v>0.23092369477911648</v>
      </c>
    </row>
    <row r="1154" spans="2:3" x14ac:dyDescent="0.2">
      <c r="B1154">
        <v>8.8632683049430894E-2</v>
      </c>
      <c r="C1154">
        <v>0.23025435073627845</v>
      </c>
    </row>
    <row r="1155" spans="2:3" x14ac:dyDescent="0.2">
      <c r="B1155">
        <v>8.8493217208017297E-2</v>
      </c>
      <c r="C1155">
        <v>0.22958500669344042</v>
      </c>
    </row>
    <row r="1156" spans="2:3" x14ac:dyDescent="0.2">
      <c r="B1156">
        <v>8.8388539819887896E-2</v>
      </c>
      <c r="C1156">
        <v>0.2289156626506024</v>
      </c>
    </row>
    <row r="1157" spans="2:3" x14ac:dyDescent="0.2">
      <c r="B1157">
        <v>8.8186184011874197E-2</v>
      </c>
      <c r="C1157">
        <v>0.2282463186077644</v>
      </c>
    </row>
    <row r="1158" spans="2:3" x14ac:dyDescent="0.2">
      <c r="B1158">
        <v>8.8138269656621498E-2</v>
      </c>
      <c r="C1158">
        <v>0.22757697456492637</v>
      </c>
    </row>
    <row r="1159" spans="2:3" x14ac:dyDescent="0.2">
      <c r="B1159">
        <v>8.7843193926467805E-2</v>
      </c>
      <c r="C1159">
        <v>0.22690763052208834</v>
      </c>
    </row>
    <row r="1160" spans="2:3" x14ac:dyDescent="0.2">
      <c r="B1160">
        <v>8.7804090870221702E-2</v>
      </c>
      <c r="C1160">
        <v>0.22623828647925034</v>
      </c>
    </row>
    <row r="1161" spans="2:3" x14ac:dyDescent="0.2">
      <c r="B1161">
        <v>8.7762250804630099E-2</v>
      </c>
      <c r="C1161">
        <v>0.22556894243641232</v>
      </c>
    </row>
    <row r="1162" spans="2:3" x14ac:dyDescent="0.2">
      <c r="B1162">
        <v>8.7616002157133305E-2</v>
      </c>
      <c r="C1162">
        <v>0.22489959839357429</v>
      </c>
    </row>
    <row r="1163" spans="2:3" x14ac:dyDescent="0.2">
      <c r="B1163">
        <v>8.76116350371485E-2</v>
      </c>
      <c r="C1163">
        <v>0.22423025435073629</v>
      </c>
    </row>
    <row r="1164" spans="2:3" x14ac:dyDescent="0.2">
      <c r="B1164">
        <v>8.7596168851124603E-2</v>
      </c>
      <c r="C1164">
        <v>0.22356091030789826</v>
      </c>
    </row>
    <row r="1165" spans="2:3" x14ac:dyDescent="0.2">
      <c r="B1165">
        <v>8.7545471307375597E-2</v>
      </c>
      <c r="C1165">
        <v>0.22289156626506024</v>
      </c>
    </row>
    <row r="1166" spans="2:3" x14ac:dyDescent="0.2">
      <c r="B1166">
        <v>8.7404200516332298E-2</v>
      </c>
      <c r="C1166">
        <v>0.22222222222222221</v>
      </c>
    </row>
    <row r="1167" spans="2:3" x14ac:dyDescent="0.2">
      <c r="B1167">
        <v>8.7138581474274904E-2</v>
      </c>
      <c r="C1167">
        <v>0.22155287817938421</v>
      </c>
    </row>
    <row r="1168" spans="2:3" x14ac:dyDescent="0.2">
      <c r="B1168">
        <v>8.6972614183734698E-2</v>
      </c>
      <c r="C1168">
        <v>0.22088353413654618</v>
      </c>
    </row>
    <row r="1169" spans="2:3" x14ac:dyDescent="0.2">
      <c r="B1169">
        <v>8.6713728307067903E-2</v>
      </c>
      <c r="C1169">
        <v>0.22021419009370816</v>
      </c>
    </row>
    <row r="1170" spans="2:3" x14ac:dyDescent="0.2">
      <c r="B1170">
        <v>8.6545769340279605E-2</v>
      </c>
      <c r="C1170">
        <v>0.21954484605087016</v>
      </c>
    </row>
    <row r="1171" spans="2:3" x14ac:dyDescent="0.2">
      <c r="B1171">
        <v>8.64908094988346E-2</v>
      </c>
      <c r="C1171">
        <v>0.21887550200803213</v>
      </c>
    </row>
    <row r="1172" spans="2:3" x14ac:dyDescent="0.2">
      <c r="B1172">
        <v>8.6413996746851199E-2</v>
      </c>
      <c r="C1172">
        <v>0.2182061579651941</v>
      </c>
    </row>
    <row r="1173" spans="2:3" x14ac:dyDescent="0.2">
      <c r="B1173">
        <v>8.6289532671875793E-2</v>
      </c>
      <c r="C1173">
        <v>0.2175368139223561</v>
      </c>
    </row>
    <row r="1174" spans="2:3" x14ac:dyDescent="0.2">
      <c r="B1174">
        <v>8.6195912653327003E-2</v>
      </c>
      <c r="C1174">
        <v>0.21686746987951808</v>
      </c>
    </row>
    <row r="1175" spans="2:3" x14ac:dyDescent="0.2">
      <c r="B1175">
        <v>8.6126531122123498E-2</v>
      </c>
      <c r="C1175">
        <v>0.21619812583668005</v>
      </c>
    </row>
    <row r="1176" spans="2:3" x14ac:dyDescent="0.2">
      <c r="B1176">
        <v>8.6122052107916805E-2</v>
      </c>
      <c r="C1176">
        <v>0.21552878179384202</v>
      </c>
    </row>
    <row r="1177" spans="2:3" x14ac:dyDescent="0.2">
      <c r="B1177">
        <v>8.60836202476183E-2</v>
      </c>
      <c r="C1177">
        <v>0.21485943775100402</v>
      </c>
    </row>
    <row r="1178" spans="2:3" x14ac:dyDescent="0.2">
      <c r="B1178">
        <v>8.6054574817671495E-2</v>
      </c>
      <c r="C1178">
        <v>0.214190093708166</v>
      </c>
    </row>
    <row r="1179" spans="2:3" x14ac:dyDescent="0.2">
      <c r="B1179">
        <v>8.5972001254873101E-2</v>
      </c>
      <c r="C1179">
        <v>0.21352074966532797</v>
      </c>
    </row>
    <row r="1180" spans="2:3" x14ac:dyDescent="0.2">
      <c r="B1180">
        <v>8.5829264633410507E-2</v>
      </c>
      <c r="C1180">
        <v>0.21285140562248997</v>
      </c>
    </row>
    <row r="1181" spans="2:3" x14ac:dyDescent="0.2">
      <c r="B1181">
        <v>8.5596407647245396E-2</v>
      </c>
      <c r="C1181">
        <v>0.21218206157965194</v>
      </c>
    </row>
    <row r="1182" spans="2:3" x14ac:dyDescent="0.2">
      <c r="B1182">
        <v>8.5546558265624795E-2</v>
      </c>
      <c r="C1182">
        <v>0.21151271753681392</v>
      </c>
    </row>
    <row r="1183" spans="2:3" x14ac:dyDescent="0.2">
      <c r="B1183">
        <v>8.5433186721801904E-2</v>
      </c>
      <c r="C1183">
        <v>0.21084337349397592</v>
      </c>
    </row>
    <row r="1184" spans="2:3" x14ac:dyDescent="0.2">
      <c r="B1184">
        <v>8.4725817672871906E-2</v>
      </c>
      <c r="C1184">
        <v>0.21017402945113789</v>
      </c>
    </row>
    <row r="1185" spans="2:3" x14ac:dyDescent="0.2">
      <c r="B1185">
        <v>8.4652703206196903E-2</v>
      </c>
      <c r="C1185">
        <v>0.20950468540829986</v>
      </c>
    </row>
    <row r="1186" spans="2:3" x14ac:dyDescent="0.2">
      <c r="B1186">
        <v>8.4466266690019498E-2</v>
      </c>
      <c r="C1186">
        <v>0.20883534136546184</v>
      </c>
    </row>
    <row r="1187" spans="2:3" x14ac:dyDescent="0.2">
      <c r="B1187">
        <v>8.4402053820102393E-2</v>
      </c>
      <c r="C1187">
        <v>0.20816599732262384</v>
      </c>
    </row>
    <row r="1188" spans="2:3" x14ac:dyDescent="0.2">
      <c r="B1188">
        <v>8.4228644464603902E-2</v>
      </c>
      <c r="C1188">
        <v>0.20749665327978581</v>
      </c>
    </row>
    <row r="1189" spans="2:3" x14ac:dyDescent="0.2">
      <c r="B1189">
        <v>8.3834003794618694E-2</v>
      </c>
      <c r="C1189">
        <v>0.20682730923694778</v>
      </c>
    </row>
    <row r="1190" spans="2:3" x14ac:dyDescent="0.2">
      <c r="B1190">
        <v>8.3580483452090307E-2</v>
      </c>
      <c r="C1190">
        <v>0.20615796519410978</v>
      </c>
    </row>
    <row r="1191" spans="2:3" x14ac:dyDescent="0.2">
      <c r="B1191">
        <v>8.3370582575296295E-2</v>
      </c>
      <c r="C1191">
        <v>0.20548862115127176</v>
      </c>
    </row>
    <row r="1192" spans="2:3" x14ac:dyDescent="0.2">
      <c r="B1192">
        <v>8.3258532212365996E-2</v>
      </c>
      <c r="C1192">
        <v>0.20481927710843373</v>
      </c>
    </row>
    <row r="1193" spans="2:3" x14ac:dyDescent="0.2">
      <c r="B1193">
        <v>8.29734687750356E-2</v>
      </c>
      <c r="C1193">
        <v>0.20414993306559573</v>
      </c>
    </row>
    <row r="1194" spans="2:3" x14ac:dyDescent="0.2">
      <c r="B1194">
        <v>8.2873665090239898E-2</v>
      </c>
      <c r="C1194">
        <v>0.2034805890227577</v>
      </c>
    </row>
    <row r="1195" spans="2:3" x14ac:dyDescent="0.2">
      <c r="B1195">
        <v>8.2753949834904098E-2</v>
      </c>
      <c r="C1195">
        <v>0.20281124497991967</v>
      </c>
    </row>
    <row r="1196" spans="2:3" x14ac:dyDescent="0.2">
      <c r="B1196">
        <v>8.22906330496916E-2</v>
      </c>
      <c r="C1196">
        <v>0.20214190093708165</v>
      </c>
    </row>
    <row r="1197" spans="2:3" x14ac:dyDescent="0.2">
      <c r="B1197">
        <v>8.2246326744947404E-2</v>
      </c>
      <c r="C1197">
        <v>0.20147255689424365</v>
      </c>
    </row>
    <row r="1198" spans="2:3" x14ac:dyDescent="0.2">
      <c r="B1198">
        <v>8.22097744866052E-2</v>
      </c>
      <c r="C1198">
        <v>0.20080321285140562</v>
      </c>
    </row>
    <row r="1199" spans="2:3" x14ac:dyDescent="0.2">
      <c r="B1199">
        <v>8.1523620826404603E-2</v>
      </c>
      <c r="C1199">
        <v>0.20013386880856759</v>
      </c>
    </row>
    <row r="1200" spans="2:3" x14ac:dyDescent="0.2">
      <c r="B1200">
        <v>8.1455391421017903E-2</v>
      </c>
      <c r="C1200">
        <v>0.1994645247657296</v>
      </c>
    </row>
    <row r="1201" spans="2:3" x14ac:dyDescent="0.2">
      <c r="B1201">
        <v>8.1452208473470497E-2</v>
      </c>
      <c r="C1201">
        <v>0.19879518072289157</v>
      </c>
    </row>
    <row r="1202" spans="2:3" x14ac:dyDescent="0.2">
      <c r="B1202">
        <v>8.1383600820058799E-2</v>
      </c>
      <c r="C1202">
        <v>0.19812583668005354</v>
      </c>
    </row>
    <row r="1203" spans="2:3" x14ac:dyDescent="0.2">
      <c r="B1203">
        <v>8.1220119373863101E-2</v>
      </c>
      <c r="C1203">
        <v>0.19745649263721554</v>
      </c>
    </row>
    <row r="1204" spans="2:3" x14ac:dyDescent="0.2">
      <c r="B1204">
        <v>8.1140801160704198E-2</v>
      </c>
      <c r="C1204">
        <v>0.19678714859437751</v>
      </c>
    </row>
    <row r="1205" spans="2:3" x14ac:dyDescent="0.2">
      <c r="B1205">
        <v>8.0907967317660701E-2</v>
      </c>
      <c r="C1205">
        <v>0.19611780455153949</v>
      </c>
    </row>
    <row r="1206" spans="2:3" x14ac:dyDescent="0.2">
      <c r="B1206">
        <v>8.0851992280230406E-2</v>
      </c>
      <c r="C1206">
        <v>0.19544846050870146</v>
      </c>
    </row>
    <row r="1207" spans="2:3" x14ac:dyDescent="0.2">
      <c r="B1207">
        <v>8.0737896241331306E-2</v>
      </c>
      <c r="C1207">
        <v>0.19477911646586346</v>
      </c>
    </row>
    <row r="1208" spans="2:3" x14ac:dyDescent="0.2">
      <c r="B1208">
        <v>8.0480868738487699E-2</v>
      </c>
      <c r="C1208">
        <v>0.19410977242302543</v>
      </c>
    </row>
    <row r="1209" spans="2:3" x14ac:dyDescent="0.2">
      <c r="B1209">
        <v>8.0393335498388799E-2</v>
      </c>
      <c r="C1209">
        <v>0.19344042838018741</v>
      </c>
    </row>
    <row r="1210" spans="2:3" x14ac:dyDescent="0.2">
      <c r="B1210">
        <v>7.9974822825133102E-2</v>
      </c>
      <c r="C1210">
        <v>0.19277108433734941</v>
      </c>
    </row>
    <row r="1211" spans="2:3" x14ac:dyDescent="0.2">
      <c r="B1211">
        <v>7.9823723779158806E-2</v>
      </c>
      <c r="C1211">
        <v>0.19210174029451138</v>
      </c>
    </row>
    <row r="1212" spans="2:3" x14ac:dyDescent="0.2">
      <c r="B1212">
        <v>7.9498833131953897E-2</v>
      </c>
      <c r="C1212">
        <v>0.19143239625167335</v>
      </c>
    </row>
    <row r="1213" spans="2:3" x14ac:dyDescent="0.2">
      <c r="B1213">
        <v>7.9396675177121206E-2</v>
      </c>
      <c r="C1213">
        <v>0.19076305220883535</v>
      </c>
    </row>
    <row r="1214" spans="2:3" x14ac:dyDescent="0.2">
      <c r="B1214">
        <v>7.9354414918275995E-2</v>
      </c>
      <c r="C1214">
        <v>0.19009370816599733</v>
      </c>
    </row>
    <row r="1215" spans="2:3" x14ac:dyDescent="0.2">
      <c r="B1215">
        <v>7.9093520249541305E-2</v>
      </c>
      <c r="C1215">
        <v>0.1894243641231593</v>
      </c>
    </row>
    <row r="1216" spans="2:3" x14ac:dyDescent="0.2">
      <c r="B1216">
        <v>7.8983027774321493E-2</v>
      </c>
      <c r="C1216">
        <v>0.18875502008032127</v>
      </c>
    </row>
    <row r="1217" spans="2:3" x14ac:dyDescent="0.2">
      <c r="B1217">
        <v>7.8659741804185807E-2</v>
      </c>
      <c r="C1217">
        <v>0.18808567603748327</v>
      </c>
    </row>
    <row r="1218" spans="2:3" x14ac:dyDescent="0.2">
      <c r="B1218">
        <v>7.8382879597760399E-2</v>
      </c>
      <c r="C1218">
        <v>0.18741633199464525</v>
      </c>
    </row>
    <row r="1219" spans="2:3" x14ac:dyDescent="0.2">
      <c r="B1219">
        <v>7.8355909862923803E-2</v>
      </c>
      <c r="C1219">
        <v>0.18674698795180722</v>
      </c>
    </row>
    <row r="1220" spans="2:3" x14ac:dyDescent="0.2">
      <c r="B1220">
        <v>7.8318363019465306E-2</v>
      </c>
      <c r="C1220">
        <v>0.18607764390896922</v>
      </c>
    </row>
    <row r="1221" spans="2:3" x14ac:dyDescent="0.2">
      <c r="B1221">
        <v>7.8216540642990898E-2</v>
      </c>
      <c r="C1221">
        <v>0.18540829986613119</v>
      </c>
    </row>
    <row r="1222" spans="2:3" x14ac:dyDescent="0.2">
      <c r="B1222">
        <v>7.7975906007671597E-2</v>
      </c>
      <c r="C1222">
        <v>0.18473895582329317</v>
      </c>
    </row>
    <row r="1223" spans="2:3" x14ac:dyDescent="0.2">
      <c r="B1223">
        <v>7.7745285641040704E-2</v>
      </c>
      <c r="C1223">
        <v>0.18406961178045517</v>
      </c>
    </row>
    <row r="1224" spans="2:3" x14ac:dyDescent="0.2">
      <c r="B1224">
        <v>7.7155649106215904E-2</v>
      </c>
      <c r="C1224">
        <v>0.18340026773761714</v>
      </c>
    </row>
    <row r="1225" spans="2:3" x14ac:dyDescent="0.2">
      <c r="B1225">
        <v>7.6999334005112399E-2</v>
      </c>
      <c r="C1225">
        <v>0.18273092369477911</v>
      </c>
    </row>
    <row r="1226" spans="2:3" x14ac:dyDescent="0.2">
      <c r="B1226">
        <v>7.6430093716386302E-2</v>
      </c>
      <c r="C1226">
        <v>0.18206157965194109</v>
      </c>
    </row>
    <row r="1227" spans="2:3" x14ac:dyDescent="0.2">
      <c r="B1227">
        <v>7.6046370389680804E-2</v>
      </c>
      <c r="C1227">
        <v>0.18139223560910309</v>
      </c>
    </row>
    <row r="1228" spans="2:3" x14ac:dyDescent="0.2">
      <c r="B1228">
        <v>7.53686090240656E-2</v>
      </c>
      <c r="C1228">
        <v>0.18072289156626506</v>
      </c>
    </row>
    <row r="1229" spans="2:3" x14ac:dyDescent="0.2">
      <c r="B1229">
        <v>7.5190364599178994E-2</v>
      </c>
      <c r="C1229">
        <v>0.18005354752342703</v>
      </c>
    </row>
    <row r="1230" spans="2:3" x14ac:dyDescent="0.2">
      <c r="B1230">
        <v>7.4950657124881401E-2</v>
      </c>
      <c r="C1230">
        <v>0.17938420348058903</v>
      </c>
    </row>
    <row r="1231" spans="2:3" x14ac:dyDescent="0.2">
      <c r="B1231">
        <v>7.4639690451683602E-2</v>
      </c>
      <c r="C1231">
        <v>0.17871485943775101</v>
      </c>
    </row>
    <row r="1232" spans="2:3" x14ac:dyDescent="0.2">
      <c r="B1232">
        <v>7.4516374127045995E-2</v>
      </c>
      <c r="C1232">
        <v>0.17804551539491298</v>
      </c>
    </row>
    <row r="1233" spans="2:3" x14ac:dyDescent="0.2">
      <c r="B1233">
        <v>7.4251377315886796E-2</v>
      </c>
      <c r="C1233">
        <v>0.17737617135207498</v>
      </c>
    </row>
    <row r="1234" spans="2:3" x14ac:dyDescent="0.2">
      <c r="B1234">
        <v>7.4141245281228493E-2</v>
      </c>
      <c r="C1234">
        <v>0.17670682730923695</v>
      </c>
    </row>
    <row r="1235" spans="2:3" x14ac:dyDescent="0.2">
      <c r="B1235">
        <v>7.4069314679518605E-2</v>
      </c>
      <c r="C1235">
        <v>0.17603748326639893</v>
      </c>
    </row>
    <row r="1236" spans="2:3" x14ac:dyDescent="0.2">
      <c r="B1236">
        <v>7.3746846861566601E-2</v>
      </c>
      <c r="C1236">
        <v>0.1753681392235609</v>
      </c>
    </row>
    <row r="1237" spans="2:3" x14ac:dyDescent="0.2">
      <c r="B1237">
        <v>7.3679671117359097E-2</v>
      </c>
      <c r="C1237">
        <v>0.1746987951807229</v>
      </c>
    </row>
    <row r="1238" spans="2:3" x14ac:dyDescent="0.2">
      <c r="B1238">
        <v>7.3670973460883707E-2</v>
      </c>
      <c r="C1238">
        <v>0.17402945113788487</v>
      </c>
    </row>
    <row r="1239" spans="2:3" x14ac:dyDescent="0.2">
      <c r="B1239">
        <v>7.3504086986305298E-2</v>
      </c>
      <c r="C1239">
        <v>0.17336010709504684</v>
      </c>
    </row>
    <row r="1240" spans="2:3" x14ac:dyDescent="0.2">
      <c r="B1240">
        <v>7.3384986276761904E-2</v>
      </c>
      <c r="C1240">
        <v>0.17269076305220885</v>
      </c>
    </row>
    <row r="1241" spans="2:3" x14ac:dyDescent="0.2">
      <c r="B1241">
        <v>7.3196630933998794E-2</v>
      </c>
      <c r="C1241">
        <v>0.17202141900937082</v>
      </c>
    </row>
    <row r="1242" spans="2:3" x14ac:dyDescent="0.2">
      <c r="B1242">
        <v>7.30181130389468E-2</v>
      </c>
      <c r="C1242">
        <v>0.17135207496653279</v>
      </c>
    </row>
    <row r="1243" spans="2:3" x14ac:dyDescent="0.2">
      <c r="B1243">
        <v>7.2999869407483195E-2</v>
      </c>
      <c r="C1243">
        <v>0.17068273092369479</v>
      </c>
    </row>
    <row r="1244" spans="2:3" x14ac:dyDescent="0.2">
      <c r="B1244">
        <v>7.2780827559729699E-2</v>
      </c>
      <c r="C1244">
        <v>0.17001338688085676</v>
      </c>
    </row>
    <row r="1245" spans="2:3" x14ac:dyDescent="0.2">
      <c r="B1245">
        <v>7.2489115662798503E-2</v>
      </c>
      <c r="C1245">
        <v>0.16934404283801874</v>
      </c>
    </row>
    <row r="1246" spans="2:3" x14ac:dyDescent="0.2">
      <c r="B1246">
        <v>7.22569105224352E-2</v>
      </c>
      <c r="C1246">
        <v>0.16867469879518071</v>
      </c>
    </row>
    <row r="1247" spans="2:3" x14ac:dyDescent="0.2">
      <c r="B1247">
        <v>7.2253317930793107E-2</v>
      </c>
      <c r="C1247">
        <v>0.16800535475234271</v>
      </c>
    </row>
    <row r="1248" spans="2:3" x14ac:dyDescent="0.2">
      <c r="B1248">
        <v>7.2069230829268402E-2</v>
      </c>
      <c r="C1248">
        <v>0.16733601070950468</v>
      </c>
    </row>
    <row r="1249" spans="2:3" x14ac:dyDescent="0.2">
      <c r="B1249">
        <v>7.1873382937676505E-2</v>
      </c>
      <c r="C1249">
        <v>0.16666666666666666</v>
      </c>
    </row>
    <row r="1250" spans="2:3" x14ac:dyDescent="0.2">
      <c r="B1250">
        <v>7.18024112228242E-2</v>
      </c>
      <c r="C1250">
        <v>0.16599732262382866</v>
      </c>
    </row>
    <row r="1251" spans="2:3" x14ac:dyDescent="0.2">
      <c r="B1251">
        <v>7.1499228230494094E-2</v>
      </c>
      <c r="C1251">
        <v>0.16532797858099063</v>
      </c>
    </row>
    <row r="1252" spans="2:3" x14ac:dyDescent="0.2">
      <c r="B1252">
        <v>7.1402550638681297E-2</v>
      </c>
      <c r="C1252">
        <v>0.1646586345381526</v>
      </c>
    </row>
    <row r="1253" spans="2:3" x14ac:dyDescent="0.2">
      <c r="B1253">
        <v>7.1393066665251997E-2</v>
      </c>
      <c r="C1253">
        <v>0.1639892904953146</v>
      </c>
    </row>
    <row r="1254" spans="2:3" x14ac:dyDescent="0.2">
      <c r="B1254">
        <v>7.1161795677812403E-2</v>
      </c>
      <c r="C1254">
        <v>0.16331994645247658</v>
      </c>
    </row>
    <row r="1255" spans="2:3" x14ac:dyDescent="0.2">
      <c r="B1255">
        <v>7.0560404871584395E-2</v>
      </c>
      <c r="C1255">
        <v>0.16265060240963855</v>
      </c>
    </row>
    <row r="1256" spans="2:3" x14ac:dyDescent="0.2">
      <c r="B1256">
        <v>7.0328327750525804E-2</v>
      </c>
      <c r="C1256">
        <v>0.16198125836680052</v>
      </c>
    </row>
    <row r="1257" spans="2:3" x14ac:dyDescent="0.2">
      <c r="B1257">
        <v>7.0239263246011499E-2</v>
      </c>
      <c r="C1257">
        <v>0.16131191432396252</v>
      </c>
    </row>
    <row r="1258" spans="2:3" x14ac:dyDescent="0.2">
      <c r="B1258">
        <v>7.0169506076041693E-2</v>
      </c>
      <c r="C1258">
        <v>0.1606425702811245</v>
      </c>
    </row>
    <row r="1259" spans="2:3" x14ac:dyDescent="0.2">
      <c r="B1259">
        <v>6.9832476987081102E-2</v>
      </c>
      <c r="C1259">
        <v>0.15997322623828647</v>
      </c>
    </row>
    <row r="1260" spans="2:3" x14ac:dyDescent="0.2">
      <c r="B1260">
        <v>6.9421569695520893E-2</v>
      </c>
      <c r="C1260">
        <v>0.15930388219544847</v>
      </c>
    </row>
    <row r="1261" spans="2:3" x14ac:dyDescent="0.2">
      <c r="B1261">
        <v>6.9276790657530604E-2</v>
      </c>
      <c r="C1261">
        <v>0.15863453815261044</v>
      </c>
    </row>
    <row r="1262" spans="2:3" x14ac:dyDescent="0.2">
      <c r="B1262">
        <v>6.8797233686520201E-2</v>
      </c>
      <c r="C1262">
        <v>0.15796519410977242</v>
      </c>
    </row>
    <row r="1263" spans="2:3" x14ac:dyDescent="0.2">
      <c r="B1263">
        <v>6.8601057257207804E-2</v>
      </c>
      <c r="C1263">
        <v>0.15729585006693442</v>
      </c>
    </row>
    <row r="1264" spans="2:3" x14ac:dyDescent="0.2">
      <c r="B1264">
        <v>6.8395512369287204E-2</v>
      </c>
      <c r="C1264">
        <v>0.15662650602409639</v>
      </c>
    </row>
    <row r="1265" spans="2:3" x14ac:dyDescent="0.2">
      <c r="B1265">
        <v>6.7724001820806706E-2</v>
      </c>
      <c r="C1265">
        <v>0.15595716198125836</v>
      </c>
    </row>
    <row r="1266" spans="2:3" x14ac:dyDescent="0.2">
      <c r="B1266">
        <v>6.7486807204888505E-2</v>
      </c>
      <c r="C1266">
        <v>0.15528781793842034</v>
      </c>
    </row>
    <row r="1267" spans="2:3" x14ac:dyDescent="0.2">
      <c r="B1267">
        <v>6.7300250512169701E-2</v>
      </c>
      <c r="C1267">
        <v>0.15461847389558234</v>
      </c>
    </row>
    <row r="1268" spans="2:3" x14ac:dyDescent="0.2">
      <c r="B1268">
        <v>6.7259747547924104E-2</v>
      </c>
      <c r="C1268">
        <v>0.15394912985274431</v>
      </c>
    </row>
    <row r="1269" spans="2:3" x14ac:dyDescent="0.2">
      <c r="B1269">
        <v>6.7194311884698696E-2</v>
      </c>
      <c r="C1269">
        <v>0.15327978580990628</v>
      </c>
    </row>
    <row r="1270" spans="2:3" x14ac:dyDescent="0.2">
      <c r="B1270">
        <v>6.6766099716594404E-2</v>
      </c>
      <c r="C1270">
        <v>0.15261044176706828</v>
      </c>
    </row>
    <row r="1271" spans="2:3" x14ac:dyDescent="0.2">
      <c r="B1271">
        <v>6.6765906805846195E-2</v>
      </c>
      <c r="C1271">
        <v>0.15194109772423026</v>
      </c>
    </row>
    <row r="1272" spans="2:3" x14ac:dyDescent="0.2">
      <c r="B1272">
        <v>6.6710119773343596E-2</v>
      </c>
      <c r="C1272">
        <v>0.15127175368139223</v>
      </c>
    </row>
    <row r="1273" spans="2:3" x14ac:dyDescent="0.2">
      <c r="B1273">
        <v>6.6621050592710604E-2</v>
      </c>
      <c r="C1273">
        <v>0.15060240963855423</v>
      </c>
    </row>
    <row r="1274" spans="2:3" x14ac:dyDescent="0.2">
      <c r="B1274">
        <v>6.6166576760666507E-2</v>
      </c>
      <c r="C1274">
        <v>0.1499330655957162</v>
      </c>
    </row>
    <row r="1275" spans="2:3" x14ac:dyDescent="0.2">
      <c r="B1275">
        <v>6.60947062405048E-2</v>
      </c>
      <c r="C1275">
        <v>0.14926372155287818</v>
      </c>
    </row>
    <row r="1276" spans="2:3" x14ac:dyDescent="0.2">
      <c r="B1276">
        <v>6.6007033436509793E-2</v>
      </c>
      <c r="C1276">
        <v>0.14859437751004015</v>
      </c>
    </row>
    <row r="1277" spans="2:3" x14ac:dyDescent="0.2">
      <c r="B1277">
        <v>6.5805341149250393E-2</v>
      </c>
      <c r="C1277">
        <v>0.14792503346720215</v>
      </c>
    </row>
    <row r="1278" spans="2:3" x14ac:dyDescent="0.2">
      <c r="B1278">
        <v>6.5704543478175295E-2</v>
      </c>
      <c r="C1278">
        <v>0.14725568942436412</v>
      </c>
    </row>
    <row r="1279" spans="2:3" x14ac:dyDescent="0.2">
      <c r="B1279">
        <v>6.5229974302028204E-2</v>
      </c>
      <c r="C1279">
        <v>0.1465863453815261</v>
      </c>
    </row>
    <row r="1280" spans="2:3" x14ac:dyDescent="0.2">
      <c r="B1280">
        <v>6.5203878406810606E-2</v>
      </c>
      <c r="C1280">
        <v>0.1459170013386881</v>
      </c>
    </row>
    <row r="1281" spans="2:3" x14ac:dyDescent="0.2">
      <c r="B1281">
        <v>6.4849087753618306E-2</v>
      </c>
      <c r="C1281">
        <v>0.14524765729585007</v>
      </c>
    </row>
    <row r="1282" spans="2:3" x14ac:dyDescent="0.2">
      <c r="B1282">
        <v>6.4605694341135306E-2</v>
      </c>
      <c r="C1282">
        <v>0.14457831325301204</v>
      </c>
    </row>
    <row r="1283" spans="2:3" x14ac:dyDescent="0.2">
      <c r="B1283">
        <v>6.4529092644347294E-2</v>
      </c>
      <c r="C1283">
        <v>0.14390896921017404</v>
      </c>
    </row>
    <row r="1284" spans="2:3" x14ac:dyDescent="0.2">
      <c r="B1284">
        <v>6.4471412996854396E-2</v>
      </c>
      <c r="C1284">
        <v>0.14323962516733602</v>
      </c>
    </row>
    <row r="1285" spans="2:3" x14ac:dyDescent="0.2">
      <c r="B1285">
        <v>6.4393867046725603E-2</v>
      </c>
      <c r="C1285">
        <v>0.14257028112449799</v>
      </c>
    </row>
    <row r="1286" spans="2:3" x14ac:dyDescent="0.2">
      <c r="B1286">
        <v>6.4034293213933002E-2</v>
      </c>
      <c r="C1286">
        <v>0.14190093708165996</v>
      </c>
    </row>
    <row r="1287" spans="2:3" x14ac:dyDescent="0.2">
      <c r="B1287">
        <v>6.38485736421813E-2</v>
      </c>
      <c r="C1287">
        <v>0.14123159303882196</v>
      </c>
    </row>
    <row r="1288" spans="2:3" x14ac:dyDescent="0.2">
      <c r="B1288">
        <v>6.3811219385492293E-2</v>
      </c>
      <c r="C1288">
        <v>0.14056224899598393</v>
      </c>
    </row>
    <row r="1289" spans="2:3" x14ac:dyDescent="0.2">
      <c r="B1289">
        <v>6.3757356218893405E-2</v>
      </c>
      <c r="C1289">
        <v>0.13989290495314591</v>
      </c>
    </row>
    <row r="1290" spans="2:3" x14ac:dyDescent="0.2">
      <c r="B1290">
        <v>6.3240278349405502E-2</v>
      </c>
      <c r="C1290">
        <v>0.13922356091030791</v>
      </c>
    </row>
    <row r="1291" spans="2:3" x14ac:dyDescent="0.2">
      <c r="B1291">
        <v>6.3194832703707099E-2</v>
      </c>
      <c r="C1291">
        <v>0.13855421686746988</v>
      </c>
    </row>
    <row r="1292" spans="2:3" x14ac:dyDescent="0.2">
      <c r="B1292">
        <v>6.3113645266047E-2</v>
      </c>
      <c r="C1292">
        <v>0.13788487282463185</v>
      </c>
    </row>
    <row r="1293" spans="2:3" x14ac:dyDescent="0.2">
      <c r="B1293">
        <v>6.2912173637547003E-2</v>
      </c>
      <c r="C1293">
        <v>0.13721552878179386</v>
      </c>
    </row>
    <row r="1294" spans="2:3" x14ac:dyDescent="0.2">
      <c r="B1294">
        <v>6.26758188109523E-2</v>
      </c>
      <c r="C1294">
        <v>0.13654618473895583</v>
      </c>
    </row>
    <row r="1295" spans="2:3" x14ac:dyDescent="0.2">
      <c r="B1295">
        <v>6.2606559777232298E-2</v>
      </c>
      <c r="C1295">
        <v>0.1358768406961178</v>
      </c>
    </row>
    <row r="1296" spans="2:3" x14ac:dyDescent="0.2">
      <c r="B1296">
        <v>6.2459505127009998E-2</v>
      </c>
      <c r="C1296">
        <v>0.13520749665327977</v>
      </c>
    </row>
    <row r="1297" spans="2:3" x14ac:dyDescent="0.2">
      <c r="B1297">
        <v>6.2324116870799397E-2</v>
      </c>
      <c r="C1297">
        <v>0.13453815261044177</v>
      </c>
    </row>
    <row r="1298" spans="2:3" x14ac:dyDescent="0.2">
      <c r="B1298">
        <v>6.2156498559243399E-2</v>
      </c>
      <c r="C1298">
        <v>0.13386880856760375</v>
      </c>
    </row>
    <row r="1299" spans="2:3" x14ac:dyDescent="0.2">
      <c r="B1299">
        <v>6.2131415073824699E-2</v>
      </c>
      <c r="C1299">
        <v>0.13319946452476572</v>
      </c>
    </row>
    <row r="1300" spans="2:3" x14ac:dyDescent="0.2">
      <c r="B1300">
        <v>6.2083464314499098E-2</v>
      </c>
      <c r="C1300">
        <v>0.13253012048192772</v>
      </c>
    </row>
    <row r="1301" spans="2:3" x14ac:dyDescent="0.2">
      <c r="B1301">
        <v>6.1924507511342902E-2</v>
      </c>
      <c r="C1301">
        <v>0.13186077643908969</v>
      </c>
    </row>
    <row r="1302" spans="2:3" x14ac:dyDescent="0.2">
      <c r="B1302">
        <v>6.1736738192739199E-2</v>
      </c>
      <c r="C1302">
        <v>0.13119143239625167</v>
      </c>
    </row>
    <row r="1303" spans="2:3" x14ac:dyDescent="0.2">
      <c r="B1303">
        <v>6.16945138016253E-2</v>
      </c>
      <c r="C1303">
        <v>0.13052208835341367</v>
      </c>
    </row>
    <row r="1304" spans="2:3" x14ac:dyDescent="0.2">
      <c r="B1304">
        <v>6.1633401820854403E-2</v>
      </c>
      <c r="C1304">
        <v>0.12985274431057564</v>
      </c>
    </row>
    <row r="1305" spans="2:3" x14ac:dyDescent="0.2">
      <c r="B1305">
        <v>6.1566189095100698E-2</v>
      </c>
      <c r="C1305">
        <v>0.12918340026773761</v>
      </c>
    </row>
    <row r="1306" spans="2:3" x14ac:dyDescent="0.2">
      <c r="B1306">
        <v>6.1079002170163599E-2</v>
      </c>
      <c r="C1306">
        <v>0.12851405622489959</v>
      </c>
    </row>
    <row r="1307" spans="2:3" x14ac:dyDescent="0.2">
      <c r="B1307">
        <v>6.1062079818262602E-2</v>
      </c>
      <c r="C1307">
        <v>0.12784471218206159</v>
      </c>
    </row>
    <row r="1308" spans="2:3" x14ac:dyDescent="0.2">
      <c r="B1308">
        <v>6.0681620345940997E-2</v>
      </c>
      <c r="C1308">
        <v>0.12717536813922356</v>
      </c>
    </row>
    <row r="1309" spans="2:3" x14ac:dyDescent="0.2">
      <c r="B1309">
        <v>6.0550355028792101E-2</v>
      </c>
      <c r="C1309">
        <v>0.12650602409638553</v>
      </c>
    </row>
    <row r="1310" spans="2:3" x14ac:dyDescent="0.2">
      <c r="B1310">
        <v>6.0376037874732703E-2</v>
      </c>
      <c r="C1310">
        <v>0.12583668005354753</v>
      </c>
    </row>
    <row r="1311" spans="2:3" x14ac:dyDescent="0.2">
      <c r="B1311">
        <v>5.9824628000805603E-2</v>
      </c>
      <c r="C1311">
        <v>0.12516733601070951</v>
      </c>
    </row>
    <row r="1312" spans="2:3" x14ac:dyDescent="0.2">
      <c r="B1312">
        <v>5.9801977333454701E-2</v>
      </c>
      <c r="C1312">
        <v>0.12449799196787148</v>
      </c>
    </row>
    <row r="1313" spans="2:3" x14ac:dyDescent="0.2">
      <c r="B1313">
        <v>5.9744129666398298E-2</v>
      </c>
      <c r="C1313">
        <v>0.12382864792503347</v>
      </c>
    </row>
    <row r="1314" spans="2:3" x14ac:dyDescent="0.2">
      <c r="B1314">
        <v>5.9019593350788303E-2</v>
      </c>
      <c r="C1314">
        <v>0.12315930388219545</v>
      </c>
    </row>
    <row r="1315" spans="2:3" x14ac:dyDescent="0.2">
      <c r="B1315">
        <v>5.8971009085929699E-2</v>
      </c>
      <c r="C1315">
        <v>0.12248995983935743</v>
      </c>
    </row>
    <row r="1316" spans="2:3" x14ac:dyDescent="0.2">
      <c r="B1316">
        <v>5.8897387707082298E-2</v>
      </c>
      <c r="C1316">
        <v>0.12182061579651941</v>
      </c>
    </row>
    <row r="1317" spans="2:3" x14ac:dyDescent="0.2">
      <c r="B1317">
        <v>5.8563416464009199E-2</v>
      </c>
      <c r="C1317">
        <v>0.12115127175368139</v>
      </c>
    </row>
    <row r="1318" spans="2:3" x14ac:dyDescent="0.2">
      <c r="B1318">
        <v>5.84316311642398E-2</v>
      </c>
      <c r="C1318">
        <v>0.12048192771084337</v>
      </c>
    </row>
    <row r="1319" spans="2:3" x14ac:dyDescent="0.2">
      <c r="B1319">
        <v>5.7742941235597298E-2</v>
      </c>
      <c r="C1319">
        <v>0.11981258366800536</v>
      </c>
    </row>
    <row r="1320" spans="2:3" x14ac:dyDescent="0.2">
      <c r="B1320">
        <v>5.7579184836551098E-2</v>
      </c>
      <c r="C1320">
        <v>0.11914323962516733</v>
      </c>
    </row>
    <row r="1321" spans="2:3" x14ac:dyDescent="0.2">
      <c r="B1321">
        <v>5.7223226766352699E-2</v>
      </c>
      <c r="C1321">
        <v>0.11847389558232932</v>
      </c>
    </row>
    <row r="1322" spans="2:3" x14ac:dyDescent="0.2">
      <c r="B1322">
        <v>5.7016226967792599E-2</v>
      </c>
      <c r="C1322">
        <v>0.11780455153949129</v>
      </c>
    </row>
    <row r="1323" spans="2:3" x14ac:dyDescent="0.2">
      <c r="B1323">
        <v>5.6960975341757598E-2</v>
      </c>
      <c r="C1323">
        <v>0.11713520749665328</v>
      </c>
    </row>
    <row r="1324" spans="2:3" x14ac:dyDescent="0.2">
      <c r="B1324">
        <v>5.6947689533314499E-2</v>
      </c>
      <c r="C1324">
        <v>0.11646586345381527</v>
      </c>
    </row>
    <row r="1325" spans="2:3" x14ac:dyDescent="0.2">
      <c r="B1325">
        <v>5.6935513099188803E-2</v>
      </c>
      <c r="C1325">
        <v>0.11579651941097724</v>
      </c>
    </row>
    <row r="1326" spans="2:3" x14ac:dyDescent="0.2">
      <c r="B1326">
        <v>5.6797443879188503E-2</v>
      </c>
      <c r="C1326">
        <v>0.11512717536813923</v>
      </c>
    </row>
    <row r="1327" spans="2:3" x14ac:dyDescent="0.2">
      <c r="B1327">
        <v>5.6035602044341201E-2</v>
      </c>
      <c r="C1327">
        <v>0.1144578313253012</v>
      </c>
    </row>
    <row r="1328" spans="2:3" x14ac:dyDescent="0.2">
      <c r="B1328">
        <v>5.5979664048979201E-2</v>
      </c>
      <c r="C1328">
        <v>0.11378848728246319</v>
      </c>
    </row>
    <row r="1329" spans="2:3" x14ac:dyDescent="0.2">
      <c r="B1329">
        <v>5.58850556141232E-2</v>
      </c>
      <c r="C1329">
        <v>0.11311914323962517</v>
      </c>
    </row>
    <row r="1330" spans="2:3" x14ac:dyDescent="0.2">
      <c r="B1330">
        <v>5.5622631930480101E-2</v>
      </c>
      <c r="C1330">
        <v>0.11244979919678715</v>
      </c>
    </row>
    <row r="1331" spans="2:3" x14ac:dyDescent="0.2">
      <c r="B1331">
        <v>5.5523860415409999E-2</v>
      </c>
      <c r="C1331">
        <v>0.11178045515394913</v>
      </c>
    </row>
    <row r="1332" spans="2:3" x14ac:dyDescent="0.2">
      <c r="B1332">
        <v>5.5330963586485801E-2</v>
      </c>
      <c r="C1332">
        <v>0.1111111111111111</v>
      </c>
    </row>
    <row r="1333" spans="2:3" x14ac:dyDescent="0.2">
      <c r="B1333">
        <v>5.5014527544036199E-2</v>
      </c>
      <c r="C1333">
        <v>0.11044176706827309</v>
      </c>
    </row>
    <row r="1334" spans="2:3" x14ac:dyDescent="0.2">
      <c r="B1334">
        <v>5.4574826125821901E-2</v>
      </c>
      <c r="C1334">
        <v>0.10977242302543508</v>
      </c>
    </row>
    <row r="1335" spans="2:3" x14ac:dyDescent="0.2">
      <c r="B1335">
        <v>5.4029660730251901E-2</v>
      </c>
      <c r="C1335">
        <v>0.10910307898259705</v>
      </c>
    </row>
    <row r="1336" spans="2:3" x14ac:dyDescent="0.2">
      <c r="B1336">
        <v>5.3852200424993703E-2</v>
      </c>
      <c r="C1336">
        <v>0.10843373493975904</v>
      </c>
    </row>
    <row r="1337" spans="2:3" x14ac:dyDescent="0.2">
      <c r="B1337">
        <v>5.3441114294268899E-2</v>
      </c>
      <c r="C1337">
        <v>0.10776439089692101</v>
      </c>
    </row>
    <row r="1338" spans="2:3" x14ac:dyDescent="0.2">
      <c r="B1338">
        <v>5.3366445285021699E-2</v>
      </c>
      <c r="C1338">
        <v>0.107095046854083</v>
      </c>
    </row>
    <row r="1339" spans="2:3" x14ac:dyDescent="0.2">
      <c r="B1339">
        <v>5.3215720101496597E-2</v>
      </c>
      <c r="C1339">
        <v>0.10642570281124498</v>
      </c>
    </row>
    <row r="1340" spans="2:3" x14ac:dyDescent="0.2">
      <c r="B1340">
        <v>5.2343998585024303E-2</v>
      </c>
      <c r="C1340">
        <v>0.10575635876840696</v>
      </c>
    </row>
    <row r="1341" spans="2:3" x14ac:dyDescent="0.2">
      <c r="B1341">
        <v>5.22548288456232E-2</v>
      </c>
      <c r="C1341">
        <v>0.10508701472556894</v>
      </c>
    </row>
    <row r="1342" spans="2:3" x14ac:dyDescent="0.2">
      <c r="B1342">
        <v>5.2106766583177401E-2</v>
      </c>
      <c r="C1342">
        <v>0.10441767068273092</v>
      </c>
    </row>
    <row r="1343" spans="2:3" x14ac:dyDescent="0.2">
      <c r="B1343">
        <v>5.20800907909265E-2</v>
      </c>
      <c r="C1343">
        <v>0.1037483266398929</v>
      </c>
    </row>
    <row r="1344" spans="2:3" x14ac:dyDescent="0.2">
      <c r="B1344">
        <v>5.2079575074373802E-2</v>
      </c>
      <c r="C1344">
        <v>0.10307898259705489</v>
      </c>
    </row>
    <row r="1345" spans="2:3" x14ac:dyDescent="0.2">
      <c r="B1345">
        <v>5.2016522469579399E-2</v>
      </c>
      <c r="C1345">
        <v>0.10240963855421686</v>
      </c>
    </row>
    <row r="1346" spans="2:3" x14ac:dyDescent="0.2">
      <c r="B1346">
        <v>5.1834129035616502E-2</v>
      </c>
      <c r="C1346">
        <v>0.10174029451137885</v>
      </c>
    </row>
    <row r="1347" spans="2:3" x14ac:dyDescent="0.2">
      <c r="B1347">
        <v>5.17571502473399E-2</v>
      </c>
      <c r="C1347">
        <v>0.10107095046854082</v>
      </c>
    </row>
    <row r="1348" spans="2:3" x14ac:dyDescent="0.2">
      <c r="B1348">
        <v>5.1499298049186903E-2</v>
      </c>
      <c r="C1348">
        <v>0.10040160642570281</v>
      </c>
    </row>
    <row r="1349" spans="2:3" x14ac:dyDescent="0.2">
      <c r="B1349">
        <v>5.1236626123151899E-2</v>
      </c>
      <c r="C1349">
        <v>9.9732262382864798E-2</v>
      </c>
    </row>
    <row r="1350" spans="2:3" x14ac:dyDescent="0.2">
      <c r="B1350">
        <v>5.0981985194836703E-2</v>
      </c>
      <c r="C1350">
        <v>9.906291834002677E-2</v>
      </c>
    </row>
    <row r="1351" spans="2:3" x14ac:dyDescent="0.2">
      <c r="B1351">
        <v>5.0918386760780802E-2</v>
      </c>
      <c r="C1351">
        <v>9.8393574297188757E-2</v>
      </c>
    </row>
    <row r="1352" spans="2:3" x14ac:dyDescent="0.2">
      <c r="B1352">
        <v>5.07971959710894E-2</v>
      </c>
      <c r="C1352">
        <v>9.772423025435073E-2</v>
      </c>
    </row>
    <row r="1353" spans="2:3" x14ac:dyDescent="0.2">
      <c r="B1353">
        <v>5.0690661662089E-2</v>
      </c>
      <c r="C1353">
        <v>9.7054886211512717E-2</v>
      </c>
    </row>
    <row r="1354" spans="2:3" x14ac:dyDescent="0.2">
      <c r="B1354">
        <v>5.0296651082861098E-2</v>
      </c>
      <c r="C1354">
        <v>9.6385542168674704E-2</v>
      </c>
    </row>
    <row r="1355" spans="2:3" x14ac:dyDescent="0.2">
      <c r="B1355">
        <v>5.0285494005046498E-2</v>
      </c>
      <c r="C1355">
        <v>9.5716198125836677E-2</v>
      </c>
    </row>
    <row r="1356" spans="2:3" x14ac:dyDescent="0.2">
      <c r="B1356">
        <v>4.97983347201187E-2</v>
      </c>
      <c r="C1356">
        <v>9.5046854082998664E-2</v>
      </c>
    </row>
    <row r="1357" spans="2:3" x14ac:dyDescent="0.2">
      <c r="B1357">
        <v>4.9689062909023599E-2</v>
      </c>
      <c r="C1357">
        <v>9.4377510040160636E-2</v>
      </c>
    </row>
    <row r="1358" spans="2:3" x14ac:dyDescent="0.2">
      <c r="B1358">
        <v>4.96697016933225E-2</v>
      </c>
      <c r="C1358">
        <v>9.3708165997322623E-2</v>
      </c>
    </row>
    <row r="1359" spans="2:3" x14ac:dyDescent="0.2">
      <c r="B1359">
        <v>4.9395955164926897E-2</v>
      </c>
      <c r="C1359">
        <v>9.303882195448461E-2</v>
      </c>
    </row>
    <row r="1360" spans="2:3" x14ac:dyDescent="0.2">
      <c r="B1360">
        <v>4.9027221037410598E-2</v>
      </c>
      <c r="C1360">
        <v>9.2369477911646583E-2</v>
      </c>
    </row>
    <row r="1361" spans="2:3" x14ac:dyDescent="0.2">
      <c r="B1361">
        <v>4.8579928918271301E-2</v>
      </c>
      <c r="C1361">
        <v>9.170013386880857E-2</v>
      </c>
    </row>
    <row r="1362" spans="2:3" x14ac:dyDescent="0.2">
      <c r="B1362">
        <v>4.8343431747746399E-2</v>
      </c>
      <c r="C1362">
        <v>9.1030789825970543E-2</v>
      </c>
    </row>
    <row r="1363" spans="2:3" x14ac:dyDescent="0.2">
      <c r="B1363">
        <v>4.8002615078259099E-2</v>
      </c>
      <c r="C1363">
        <v>9.036144578313253E-2</v>
      </c>
    </row>
    <row r="1364" spans="2:3" x14ac:dyDescent="0.2">
      <c r="B1364">
        <v>4.7910067760953599E-2</v>
      </c>
      <c r="C1364">
        <v>8.9692101740294516E-2</v>
      </c>
    </row>
    <row r="1365" spans="2:3" x14ac:dyDescent="0.2">
      <c r="B1365">
        <v>4.77125114997905E-2</v>
      </c>
      <c r="C1365">
        <v>8.9022757697456489E-2</v>
      </c>
    </row>
    <row r="1366" spans="2:3" x14ac:dyDescent="0.2">
      <c r="B1366">
        <v>4.7626393768653297E-2</v>
      </c>
      <c r="C1366">
        <v>8.8353413654618476E-2</v>
      </c>
    </row>
    <row r="1367" spans="2:3" x14ac:dyDescent="0.2">
      <c r="B1367">
        <v>4.7323857126926397E-2</v>
      </c>
      <c r="C1367">
        <v>8.7684069611780449E-2</v>
      </c>
    </row>
    <row r="1368" spans="2:3" x14ac:dyDescent="0.2">
      <c r="B1368">
        <v>4.7240012830382198E-2</v>
      </c>
      <c r="C1368">
        <v>8.7014725568942436E-2</v>
      </c>
    </row>
    <row r="1369" spans="2:3" x14ac:dyDescent="0.2">
      <c r="B1369">
        <v>4.72128236364271E-2</v>
      </c>
      <c r="C1369">
        <v>8.6345381526104423E-2</v>
      </c>
    </row>
    <row r="1370" spans="2:3" x14ac:dyDescent="0.2">
      <c r="B1370">
        <v>4.7204722961109002E-2</v>
      </c>
      <c r="C1370">
        <v>8.5676037483266396E-2</v>
      </c>
    </row>
    <row r="1371" spans="2:3" x14ac:dyDescent="0.2">
      <c r="B1371">
        <v>4.6978061725755298E-2</v>
      </c>
      <c r="C1371">
        <v>8.5006693440428382E-2</v>
      </c>
    </row>
    <row r="1372" spans="2:3" x14ac:dyDescent="0.2">
      <c r="B1372">
        <v>4.6369905061790097E-2</v>
      </c>
      <c r="C1372">
        <v>8.4337349397590355E-2</v>
      </c>
    </row>
    <row r="1373" spans="2:3" x14ac:dyDescent="0.2">
      <c r="B1373">
        <v>4.6146274249014498E-2</v>
      </c>
      <c r="C1373">
        <v>8.3668005354752342E-2</v>
      </c>
    </row>
    <row r="1374" spans="2:3" x14ac:dyDescent="0.2">
      <c r="B1374">
        <v>4.6134748829103601E-2</v>
      </c>
      <c r="C1374">
        <v>8.2998661311914329E-2</v>
      </c>
    </row>
    <row r="1375" spans="2:3" x14ac:dyDescent="0.2">
      <c r="B1375">
        <v>4.5713590247586998E-2</v>
      </c>
      <c r="C1375">
        <v>8.2329317269076302E-2</v>
      </c>
    </row>
    <row r="1376" spans="2:3" x14ac:dyDescent="0.2">
      <c r="B1376">
        <v>4.5558369166561502E-2</v>
      </c>
      <c r="C1376">
        <v>8.1659973226238289E-2</v>
      </c>
    </row>
    <row r="1377" spans="2:3" x14ac:dyDescent="0.2">
      <c r="B1377">
        <v>4.5455103433331701E-2</v>
      </c>
      <c r="C1377">
        <v>8.0990629183400262E-2</v>
      </c>
    </row>
    <row r="1378" spans="2:3" x14ac:dyDescent="0.2">
      <c r="B1378">
        <v>4.5425303328972502E-2</v>
      </c>
      <c r="C1378">
        <v>8.0321285140562249E-2</v>
      </c>
    </row>
    <row r="1379" spans="2:3" x14ac:dyDescent="0.2">
      <c r="B1379">
        <v>4.52459959202033E-2</v>
      </c>
      <c r="C1379">
        <v>7.9651941097724235E-2</v>
      </c>
    </row>
    <row r="1380" spans="2:3" x14ac:dyDescent="0.2">
      <c r="B1380">
        <v>4.4912928865280199E-2</v>
      </c>
      <c r="C1380">
        <v>7.8982597054886208E-2</v>
      </c>
    </row>
    <row r="1381" spans="2:3" x14ac:dyDescent="0.2">
      <c r="B1381">
        <v>4.44271126355636E-2</v>
      </c>
      <c r="C1381">
        <v>7.8313253012048195E-2</v>
      </c>
    </row>
    <row r="1382" spans="2:3" x14ac:dyDescent="0.2">
      <c r="B1382">
        <v>4.44031229797546E-2</v>
      </c>
      <c r="C1382">
        <v>7.7643908969210168E-2</v>
      </c>
    </row>
    <row r="1383" spans="2:3" x14ac:dyDescent="0.2">
      <c r="B1383">
        <v>4.3879497809568402E-2</v>
      </c>
      <c r="C1383">
        <v>7.6974564926372155E-2</v>
      </c>
    </row>
    <row r="1384" spans="2:3" x14ac:dyDescent="0.2">
      <c r="B1384">
        <v>4.3854832511776201E-2</v>
      </c>
      <c r="C1384">
        <v>7.6305220883534142E-2</v>
      </c>
    </row>
    <row r="1385" spans="2:3" x14ac:dyDescent="0.2">
      <c r="B1385">
        <v>4.3796235542986499E-2</v>
      </c>
      <c r="C1385">
        <v>7.5635876840696115E-2</v>
      </c>
    </row>
    <row r="1386" spans="2:3" x14ac:dyDescent="0.2">
      <c r="B1386">
        <v>4.34192733039079E-2</v>
      </c>
      <c r="C1386">
        <v>7.4966532797858101E-2</v>
      </c>
    </row>
    <row r="1387" spans="2:3" x14ac:dyDescent="0.2">
      <c r="B1387">
        <v>4.32983597444212E-2</v>
      </c>
      <c r="C1387">
        <v>7.4297188755020074E-2</v>
      </c>
    </row>
    <row r="1388" spans="2:3" x14ac:dyDescent="0.2">
      <c r="B1388">
        <v>4.2773572961904198E-2</v>
      </c>
      <c r="C1388">
        <v>7.3627844712182061E-2</v>
      </c>
    </row>
    <row r="1389" spans="2:3" x14ac:dyDescent="0.2">
      <c r="B1389">
        <v>4.2652229445199502E-2</v>
      </c>
      <c r="C1389">
        <v>7.2958500669344048E-2</v>
      </c>
    </row>
    <row r="1390" spans="2:3" x14ac:dyDescent="0.2">
      <c r="B1390">
        <v>4.2137521469858302E-2</v>
      </c>
      <c r="C1390">
        <v>7.2289156626506021E-2</v>
      </c>
    </row>
    <row r="1391" spans="2:3" x14ac:dyDescent="0.2">
      <c r="B1391">
        <v>4.18332917387364E-2</v>
      </c>
      <c r="C1391">
        <v>7.1619812583668008E-2</v>
      </c>
    </row>
    <row r="1392" spans="2:3" x14ac:dyDescent="0.2">
      <c r="B1392">
        <v>4.13811392084555E-2</v>
      </c>
      <c r="C1392">
        <v>7.0950468540829981E-2</v>
      </c>
    </row>
    <row r="1393" spans="2:3" x14ac:dyDescent="0.2">
      <c r="B1393">
        <v>4.0978121764210403E-2</v>
      </c>
      <c r="C1393">
        <v>7.0281124497991967E-2</v>
      </c>
    </row>
    <row r="1394" spans="2:3" x14ac:dyDescent="0.2">
      <c r="B1394">
        <v>4.0693759143699902E-2</v>
      </c>
      <c r="C1394">
        <v>6.9611780455153954E-2</v>
      </c>
    </row>
    <row r="1395" spans="2:3" x14ac:dyDescent="0.2">
      <c r="B1395">
        <v>4.0684466491972597E-2</v>
      </c>
      <c r="C1395">
        <v>6.8942436412315927E-2</v>
      </c>
    </row>
    <row r="1396" spans="2:3" x14ac:dyDescent="0.2">
      <c r="B1396">
        <v>4.05636233791433E-2</v>
      </c>
      <c r="C1396">
        <v>6.8273092369477914E-2</v>
      </c>
    </row>
    <row r="1397" spans="2:3" x14ac:dyDescent="0.2">
      <c r="B1397">
        <v>4.0048602790239703E-2</v>
      </c>
      <c r="C1397">
        <v>6.7603748326639887E-2</v>
      </c>
    </row>
    <row r="1398" spans="2:3" x14ac:dyDescent="0.2">
      <c r="B1398">
        <v>3.9822983745640902E-2</v>
      </c>
      <c r="C1398">
        <v>6.6934404283801874E-2</v>
      </c>
    </row>
    <row r="1399" spans="2:3" x14ac:dyDescent="0.2">
      <c r="B1399">
        <v>3.9623699249155098E-2</v>
      </c>
      <c r="C1399">
        <v>6.6265060240963861E-2</v>
      </c>
    </row>
    <row r="1400" spans="2:3" x14ac:dyDescent="0.2">
      <c r="B1400">
        <v>3.91167302910145E-2</v>
      </c>
      <c r="C1400">
        <v>6.5595716198125834E-2</v>
      </c>
    </row>
    <row r="1401" spans="2:3" x14ac:dyDescent="0.2">
      <c r="B1401">
        <v>3.8893439316356797E-2</v>
      </c>
      <c r="C1401">
        <v>6.492637215528782E-2</v>
      </c>
    </row>
    <row r="1402" spans="2:3" x14ac:dyDescent="0.2">
      <c r="B1402">
        <v>3.8074343252809499E-2</v>
      </c>
      <c r="C1402">
        <v>6.4257028112449793E-2</v>
      </c>
    </row>
    <row r="1403" spans="2:3" x14ac:dyDescent="0.2">
      <c r="B1403">
        <v>3.78028048074978E-2</v>
      </c>
      <c r="C1403">
        <v>6.358768406961178E-2</v>
      </c>
    </row>
    <row r="1404" spans="2:3" x14ac:dyDescent="0.2">
      <c r="B1404">
        <v>3.7643523385101699E-2</v>
      </c>
      <c r="C1404">
        <v>6.2918340026773767E-2</v>
      </c>
    </row>
    <row r="1405" spans="2:3" x14ac:dyDescent="0.2">
      <c r="B1405">
        <v>3.7326345043355698E-2</v>
      </c>
      <c r="C1405">
        <v>6.224899598393574E-2</v>
      </c>
    </row>
    <row r="1406" spans="2:3" x14ac:dyDescent="0.2">
      <c r="B1406">
        <v>3.7326344680630202E-2</v>
      </c>
      <c r="C1406">
        <v>6.1579651941097727E-2</v>
      </c>
    </row>
    <row r="1407" spans="2:3" x14ac:dyDescent="0.2">
      <c r="B1407">
        <v>3.6711293305368001E-2</v>
      </c>
      <c r="C1407">
        <v>6.0910307898259707E-2</v>
      </c>
    </row>
    <row r="1408" spans="2:3" x14ac:dyDescent="0.2">
      <c r="B1408">
        <v>3.6572687637344302E-2</v>
      </c>
      <c r="C1408">
        <v>6.0240963855421686E-2</v>
      </c>
    </row>
    <row r="1409" spans="2:3" x14ac:dyDescent="0.2">
      <c r="B1409">
        <v>3.58840100109497E-2</v>
      </c>
      <c r="C1409">
        <v>5.9571619812583666E-2</v>
      </c>
    </row>
    <row r="1410" spans="2:3" x14ac:dyDescent="0.2">
      <c r="B1410">
        <v>3.5769598278168398E-2</v>
      </c>
      <c r="C1410">
        <v>5.8902275769745646E-2</v>
      </c>
    </row>
    <row r="1411" spans="2:3" x14ac:dyDescent="0.2">
      <c r="B1411">
        <v>3.5714821655005002E-2</v>
      </c>
      <c r="C1411">
        <v>5.8232931726907633E-2</v>
      </c>
    </row>
    <row r="1412" spans="2:3" x14ac:dyDescent="0.2">
      <c r="B1412">
        <v>3.54300103982544E-2</v>
      </c>
      <c r="C1412">
        <v>5.7563587684069613E-2</v>
      </c>
    </row>
    <row r="1413" spans="2:3" x14ac:dyDescent="0.2">
      <c r="B1413">
        <v>3.4456491216211603E-2</v>
      </c>
      <c r="C1413">
        <v>5.6894243641231593E-2</v>
      </c>
    </row>
    <row r="1414" spans="2:3" x14ac:dyDescent="0.2">
      <c r="B1414">
        <v>3.4338964300021001E-2</v>
      </c>
      <c r="C1414">
        <v>5.6224899598393573E-2</v>
      </c>
    </row>
    <row r="1415" spans="2:3" x14ac:dyDescent="0.2">
      <c r="B1415">
        <v>3.3684878388960802E-2</v>
      </c>
      <c r="C1415">
        <v>5.5555555555555552E-2</v>
      </c>
    </row>
    <row r="1416" spans="2:3" x14ac:dyDescent="0.2">
      <c r="B1416">
        <v>3.3667281127006399E-2</v>
      </c>
      <c r="C1416">
        <v>5.4886211512717539E-2</v>
      </c>
    </row>
    <row r="1417" spans="2:3" x14ac:dyDescent="0.2">
      <c r="B1417">
        <v>3.3523747672566301E-2</v>
      </c>
      <c r="C1417">
        <v>5.4216867469879519E-2</v>
      </c>
    </row>
    <row r="1418" spans="2:3" x14ac:dyDescent="0.2">
      <c r="B1418">
        <v>3.3106084860909699E-2</v>
      </c>
      <c r="C1418">
        <v>5.3547523427041499E-2</v>
      </c>
    </row>
    <row r="1419" spans="2:3" x14ac:dyDescent="0.2">
      <c r="B1419">
        <v>3.2865579305165801E-2</v>
      </c>
      <c r="C1419">
        <v>5.2878179384203479E-2</v>
      </c>
    </row>
    <row r="1420" spans="2:3" x14ac:dyDescent="0.2">
      <c r="B1420">
        <v>3.2325996481411899E-2</v>
      </c>
      <c r="C1420">
        <v>5.2208835341365459E-2</v>
      </c>
    </row>
    <row r="1421" spans="2:3" x14ac:dyDescent="0.2">
      <c r="B1421">
        <v>3.15865920633355E-2</v>
      </c>
      <c r="C1421">
        <v>5.1539491298527446E-2</v>
      </c>
    </row>
    <row r="1422" spans="2:3" x14ac:dyDescent="0.2">
      <c r="B1422">
        <v>3.0842220579841401E-2</v>
      </c>
      <c r="C1422">
        <v>5.0870147255689425E-2</v>
      </c>
    </row>
    <row r="1423" spans="2:3" x14ac:dyDescent="0.2">
      <c r="B1423">
        <v>3.02139102497864E-2</v>
      </c>
      <c r="C1423">
        <v>5.0200803212851405E-2</v>
      </c>
    </row>
    <row r="1424" spans="2:3" x14ac:dyDescent="0.2">
      <c r="B1424">
        <v>3.0161479493656801E-2</v>
      </c>
      <c r="C1424">
        <v>4.9531459170013385E-2</v>
      </c>
    </row>
    <row r="1425" spans="2:3" x14ac:dyDescent="0.2">
      <c r="B1425">
        <v>2.96326160122437E-2</v>
      </c>
      <c r="C1425">
        <v>4.8862115127175365E-2</v>
      </c>
    </row>
    <row r="1426" spans="2:3" x14ac:dyDescent="0.2">
      <c r="B1426">
        <v>2.9418706657066699E-2</v>
      </c>
      <c r="C1426">
        <v>4.8192771084337352E-2</v>
      </c>
    </row>
    <row r="1427" spans="2:3" x14ac:dyDescent="0.2">
      <c r="B1427">
        <v>2.9412076895431499E-2</v>
      </c>
      <c r="C1427">
        <v>4.7523427041499332E-2</v>
      </c>
    </row>
    <row r="1428" spans="2:3" x14ac:dyDescent="0.2">
      <c r="B1428">
        <v>2.9144557068867E-2</v>
      </c>
      <c r="C1428">
        <v>4.6854082998661312E-2</v>
      </c>
    </row>
    <row r="1429" spans="2:3" x14ac:dyDescent="0.2">
      <c r="B1429">
        <v>2.9037843364058302E-2</v>
      </c>
      <c r="C1429">
        <v>4.6184738955823292E-2</v>
      </c>
    </row>
    <row r="1430" spans="2:3" x14ac:dyDescent="0.2">
      <c r="B1430">
        <v>2.8398912696797202E-2</v>
      </c>
      <c r="C1430">
        <v>4.5515394912985271E-2</v>
      </c>
    </row>
    <row r="1431" spans="2:3" x14ac:dyDescent="0.2">
      <c r="B1431">
        <v>2.8298769341554501E-2</v>
      </c>
      <c r="C1431">
        <v>4.4846050870147258E-2</v>
      </c>
    </row>
    <row r="1432" spans="2:3" x14ac:dyDescent="0.2">
      <c r="B1432">
        <v>2.8155994777764901E-2</v>
      </c>
      <c r="C1432">
        <v>4.4176706827309238E-2</v>
      </c>
    </row>
    <row r="1433" spans="2:3" x14ac:dyDescent="0.2">
      <c r="B1433">
        <v>2.8064917776899501E-2</v>
      </c>
      <c r="C1433">
        <v>4.3507362784471218E-2</v>
      </c>
    </row>
    <row r="1434" spans="2:3" x14ac:dyDescent="0.2">
      <c r="B1434">
        <v>2.7784252370094999E-2</v>
      </c>
      <c r="C1434">
        <v>4.2838018741633198E-2</v>
      </c>
    </row>
    <row r="1435" spans="2:3" x14ac:dyDescent="0.2">
      <c r="B1435">
        <v>2.75791295048869E-2</v>
      </c>
      <c r="C1435">
        <v>4.2168674698795178E-2</v>
      </c>
    </row>
    <row r="1436" spans="2:3" x14ac:dyDescent="0.2">
      <c r="B1436">
        <v>2.7381382498947799E-2</v>
      </c>
      <c r="C1436">
        <v>4.1499330655957165E-2</v>
      </c>
    </row>
    <row r="1437" spans="2:3" x14ac:dyDescent="0.2">
      <c r="B1437">
        <v>2.7352882116967198E-2</v>
      </c>
      <c r="C1437">
        <v>4.0829986613119144E-2</v>
      </c>
    </row>
    <row r="1438" spans="2:3" x14ac:dyDescent="0.2">
      <c r="B1438">
        <v>2.7042544375107801E-2</v>
      </c>
      <c r="C1438">
        <v>4.0160642570281124E-2</v>
      </c>
    </row>
    <row r="1439" spans="2:3" x14ac:dyDescent="0.2">
      <c r="B1439">
        <v>2.6778413666797E-2</v>
      </c>
      <c r="C1439">
        <v>3.9491298527443104E-2</v>
      </c>
    </row>
    <row r="1440" spans="2:3" x14ac:dyDescent="0.2">
      <c r="B1440">
        <v>2.6467127193095099E-2</v>
      </c>
      <c r="C1440">
        <v>3.8821954484605084E-2</v>
      </c>
    </row>
    <row r="1441" spans="2:3" x14ac:dyDescent="0.2">
      <c r="B1441">
        <v>2.5916199616859099E-2</v>
      </c>
      <c r="C1441">
        <v>3.8152610441767071E-2</v>
      </c>
    </row>
    <row r="1442" spans="2:3" x14ac:dyDescent="0.2">
      <c r="B1442">
        <v>2.5858438625430798E-2</v>
      </c>
      <c r="C1442">
        <v>3.7483266398929051E-2</v>
      </c>
    </row>
    <row r="1443" spans="2:3" x14ac:dyDescent="0.2">
      <c r="B1443">
        <v>2.53741442828039E-2</v>
      </c>
      <c r="C1443">
        <v>3.6813922356091031E-2</v>
      </c>
    </row>
    <row r="1444" spans="2:3" x14ac:dyDescent="0.2">
      <c r="B1444">
        <v>2.5300741748789601E-2</v>
      </c>
      <c r="C1444">
        <v>3.614457831325301E-2</v>
      </c>
    </row>
    <row r="1445" spans="2:3" x14ac:dyDescent="0.2">
      <c r="B1445">
        <v>2.5002058626641E-2</v>
      </c>
      <c r="C1445">
        <v>3.547523427041499E-2</v>
      </c>
    </row>
    <row r="1446" spans="2:3" x14ac:dyDescent="0.2">
      <c r="B1446">
        <v>2.4933315991601701E-2</v>
      </c>
      <c r="C1446">
        <v>3.4805890227576977E-2</v>
      </c>
    </row>
    <row r="1447" spans="2:3" x14ac:dyDescent="0.2">
      <c r="B1447">
        <v>2.4534206503591501E-2</v>
      </c>
      <c r="C1447">
        <v>3.4136546184738957E-2</v>
      </c>
    </row>
    <row r="1448" spans="2:3" x14ac:dyDescent="0.2">
      <c r="B1448">
        <v>2.4291682650496801E-2</v>
      </c>
      <c r="C1448">
        <v>3.3467202141900937E-2</v>
      </c>
    </row>
    <row r="1449" spans="2:3" x14ac:dyDescent="0.2">
      <c r="B1449">
        <v>2.41579035334962E-2</v>
      </c>
      <c r="C1449">
        <v>3.2797858099062917E-2</v>
      </c>
    </row>
    <row r="1450" spans="2:3" x14ac:dyDescent="0.2">
      <c r="B1450">
        <v>2.3859771682423099E-2</v>
      </c>
      <c r="C1450">
        <v>3.2128514056224897E-2</v>
      </c>
    </row>
    <row r="1451" spans="2:3" x14ac:dyDescent="0.2">
      <c r="B1451">
        <v>2.3364096773893499E-2</v>
      </c>
      <c r="C1451">
        <v>3.1459170013386883E-2</v>
      </c>
    </row>
    <row r="1452" spans="2:3" x14ac:dyDescent="0.2">
      <c r="B1452">
        <v>2.3314500854562499E-2</v>
      </c>
      <c r="C1452">
        <v>3.0789825970548863E-2</v>
      </c>
    </row>
    <row r="1453" spans="2:3" x14ac:dyDescent="0.2">
      <c r="B1453">
        <v>2.2955944211200001E-2</v>
      </c>
      <c r="C1453">
        <v>3.0120481927710843E-2</v>
      </c>
    </row>
    <row r="1454" spans="2:3" x14ac:dyDescent="0.2">
      <c r="B1454">
        <v>2.2806501472954498E-2</v>
      </c>
      <c r="C1454">
        <v>2.9451137884872823E-2</v>
      </c>
    </row>
    <row r="1455" spans="2:3" x14ac:dyDescent="0.2">
      <c r="B1455">
        <v>2.2665194901780199E-2</v>
      </c>
      <c r="C1455">
        <v>2.8781793842034806E-2</v>
      </c>
    </row>
    <row r="1456" spans="2:3" x14ac:dyDescent="0.2">
      <c r="B1456">
        <v>2.21051932679046E-2</v>
      </c>
      <c r="C1456">
        <v>2.8112449799196786E-2</v>
      </c>
    </row>
    <row r="1457" spans="2:3" x14ac:dyDescent="0.2">
      <c r="B1457">
        <v>2.1299917440456399E-2</v>
      </c>
      <c r="C1457">
        <v>2.744310575635877E-2</v>
      </c>
    </row>
    <row r="1458" spans="2:3" x14ac:dyDescent="0.2">
      <c r="B1458">
        <v>2.1162211301280001E-2</v>
      </c>
      <c r="C1458">
        <v>2.677376171352075E-2</v>
      </c>
    </row>
    <row r="1459" spans="2:3" x14ac:dyDescent="0.2">
      <c r="B1459">
        <v>2.0953294974668898E-2</v>
      </c>
      <c r="C1459">
        <v>2.6104417670682729E-2</v>
      </c>
    </row>
    <row r="1460" spans="2:3" x14ac:dyDescent="0.2">
      <c r="B1460">
        <v>2.0485996501535202E-2</v>
      </c>
      <c r="C1460">
        <v>2.5435073627844713E-2</v>
      </c>
    </row>
    <row r="1461" spans="2:3" x14ac:dyDescent="0.2">
      <c r="B1461">
        <v>1.9427229175787899E-2</v>
      </c>
      <c r="C1461">
        <v>2.4765729585006693E-2</v>
      </c>
    </row>
    <row r="1462" spans="2:3" x14ac:dyDescent="0.2">
      <c r="B1462">
        <v>1.9225016552264499E-2</v>
      </c>
      <c r="C1462">
        <v>2.4096385542168676E-2</v>
      </c>
    </row>
    <row r="1463" spans="2:3" x14ac:dyDescent="0.2">
      <c r="B1463">
        <v>1.8832178106280101E-2</v>
      </c>
      <c r="C1463">
        <v>2.3427041499330656E-2</v>
      </c>
    </row>
    <row r="1464" spans="2:3" x14ac:dyDescent="0.2">
      <c r="B1464">
        <v>1.85375515766972E-2</v>
      </c>
      <c r="C1464">
        <v>2.2757697456492636E-2</v>
      </c>
    </row>
    <row r="1465" spans="2:3" x14ac:dyDescent="0.2">
      <c r="B1465">
        <v>1.8332960849327E-2</v>
      </c>
      <c r="C1465">
        <v>2.2088353413654619E-2</v>
      </c>
    </row>
    <row r="1466" spans="2:3" x14ac:dyDescent="0.2">
      <c r="B1466">
        <v>1.7671569051666398E-2</v>
      </c>
      <c r="C1466">
        <v>2.1419009370816599E-2</v>
      </c>
    </row>
    <row r="1467" spans="2:3" x14ac:dyDescent="0.2">
      <c r="B1467">
        <v>1.7124346818588401E-2</v>
      </c>
      <c r="C1467">
        <v>2.0749665327978582E-2</v>
      </c>
    </row>
    <row r="1468" spans="2:3" x14ac:dyDescent="0.2">
      <c r="B1468">
        <v>1.6832169744706998E-2</v>
      </c>
      <c r="C1468">
        <v>2.0080321285140562E-2</v>
      </c>
    </row>
    <row r="1469" spans="2:3" x14ac:dyDescent="0.2">
      <c r="B1469">
        <v>1.6761098699614198E-2</v>
      </c>
      <c r="C1469">
        <v>1.9410977242302542E-2</v>
      </c>
    </row>
    <row r="1470" spans="2:3" x14ac:dyDescent="0.2">
      <c r="B1470">
        <v>1.6554617886673801E-2</v>
      </c>
      <c r="C1470">
        <v>1.8741633199464525E-2</v>
      </c>
    </row>
    <row r="1471" spans="2:3" x14ac:dyDescent="0.2">
      <c r="B1471">
        <v>1.63361594240128E-2</v>
      </c>
      <c r="C1471">
        <v>1.8072289156626505E-2</v>
      </c>
    </row>
    <row r="1472" spans="2:3" x14ac:dyDescent="0.2">
      <c r="B1472">
        <v>1.61858963781434E-2</v>
      </c>
      <c r="C1472">
        <v>1.7402945113788489E-2</v>
      </c>
    </row>
    <row r="1473" spans="2:3" x14ac:dyDescent="0.2">
      <c r="B1473">
        <v>1.56048889420269E-2</v>
      </c>
      <c r="C1473">
        <v>1.6733601070950468E-2</v>
      </c>
    </row>
    <row r="1474" spans="2:3" x14ac:dyDescent="0.2">
      <c r="B1474">
        <v>1.4861870094776301E-2</v>
      </c>
      <c r="C1474">
        <v>1.6064257028112448E-2</v>
      </c>
    </row>
    <row r="1475" spans="2:3" x14ac:dyDescent="0.2">
      <c r="B1475">
        <v>1.4579038144222199E-2</v>
      </c>
      <c r="C1475">
        <v>1.5394912985274432E-2</v>
      </c>
    </row>
    <row r="1476" spans="2:3" x14ac:dyDescent="0.2">
      <c r="B1476">
        <v>1.43499791994887E-2</v>
      </c>
      <c r="C1476">
        <v>1.4725568942436412E-2</v>
      </c>
    </row>
    <row r="1477" spans="2:3" x14ac:dyDescent="0.2">
      <c r="B1477">
        <v>1.43409229673549E-2</v>
      </c>
      <c r="C1477">
        <v>1.4056224899598393E-2</v>
      </c>
    </row>
    <row r="1478" spans="2:3" x14ac:dyDescent="0.2">
      <c r="B1478">
        <v>1.43386886123879E-2</v>
      </c>
      <c r="C1478">
        <v>1.3386880856760375E-2</v>
      </c>
    </row>
    <row r="1479" spans="2:3" x14ac:dyDescent="0.2">
      <c r="B1479">
        <v>1.4295747190565099E-2</v>
      </c>
      <c r="C1479">
        <v>1.2717536813922356E-2</v>
      </c>
    </row>
    <row r="1480" spans="2:3" x14ac:dyDescent="0.2">
      <c r="B1480">
        <v>1.41929327734788E-2</v>
      </c>
      <c r="C1480">
        <v>1.2048192771084338E-2</v>
      </c>
    </row>
    <row r="1481" spans="2:3" x14ac:dyDescent="0.2">
      <c r="B1481">
        <v>1.3610305355213299E-2</v>
      </c>
      <c r="C1481">
        <v>1.1378848728246318E-2</v>
      </c>
    </row>
    <row r="1482" spans="2:3" x14ac:dyDescent="0.2">
      <c r="B1482">
        <v>1.34907339256411E-2</v>
      </c>
      <c r="C1482">
        <v>1.0709504685408299E-2</v>
      </c>
    </row>
    <row r="1483" spans="2:3" x14ac:dyDescent="0.2">
      <c r="B1483">
        <v>1.30027033077511E-2</v>
      </c>
      <c r="C1483">
        <v>1.0040160642570281E-2</v>
      </c>
    </row>
    <row r="1484" spans="2:3" x14ac:dyDescent="0.2">
      <c r="B1484">
        <v>1.1258449689740701E-2</v>
      </c>
      <c r="C1484">
        <v>9.3708165997322627E-3</v>
      </c>
    </row>
    <row r="1485" spans="2:3" x14ac:dyDescent="0.2">
      <c r="B1485">
        <v>1.1238436642469001E-2</v>
      </c>
      <c r="C1485">
        <v>8.7014725568942443E-3</v>
      </c>
    </row>
    <row r="1486" spans="2:3" x14ac:dyDescent="0.2">
      <c r="B1486">
        <v>1.1206173178829E-2</v>
      </c>
      <c r="C1486">
        <v>8.0321285140562242E-3</v>
      </c>
    </row>
    <row r="1487" spans="2:3" x14ac:dyDescent="0.2">
      <c r="B1487">
        <v>1.1058126939345599E-2</v>
      </c>
      <c r="C1487">
        <v>7.3627844712182058E-3</v>
      </c>
    </row>
    <row r="1488" spans="2:3" x14ac:dyDescent="0.2">
      <c r="B1488">
        <v>1.05532474793487E-2</v>
      </c>
      <c r="C1488">
        <v>6.6934404283801874E-3</v>
      </c>
    </row>
    <row r="1489" spans="2:3" x14ac:dyDescent="0.2">
      <c r="B1489">
        <v>9.4258152172578807E-3</v>
      </c>
      <c r="C1489">
        <v>6.024096385542169E-3</v>
      </c>
    </row>
    <row r="1490" spans="2:3" x14ac:dyDescent="0.2">
      <c r="B1490">
        <v>9.1805414419932792E-3</v>
      </c>
      <c r="C1490">
        <v>5.3547523427041497E-3</v>
      </c>
    </row>
    <row r="1491" spans="2:3" x14ac:dyDescent="0.2">
      <c r="B1491">
        <v>8.3137919278832399E-3</v>
      </c>
      <c r="C1491">
        <v>4.6854082998661313E-3</v>
      </c>
    </row>
    <row r="1492" spans="2:3" x14ac:dyDescent="0.2">
      <c r="B1492">
        <v>6.7769631901644402E-3</v>
      </c>
      <c r="C1492">
        <v>4.0160642570281121E-3</v>
      </c>
    </row>
    <row r="1493" spans="2:3" x14ac:dyDescent="0.2">
      <c r="B1493">
        <v>6.4508727357576101E-3</v>
      </c>
      <c r="C1493">
        <v>3.3467202141900937E-3</v>
      </c>
    </row>
    <row r="1494" spans="2:3" x14ac:dyDescent="0.2">
      <c r="B1494">
        <v>5.8177936625364701E-3</v>
      </c>
      <c r="C1494">
        <v>2.6773761713520749E-3</v>
      </c>
    </row>
    <row r="1495" spans="2:3" x14ac:dyDescent="0.2">
      <c r="B1495">
        <v>4.0533862663264001E-3</v>
      </c>
      <c r="C1495">
        <v>2.008032128514056E-3</v>
      </c>
    </row>
    <row r="1496" spans="2:3" x14ac:dyDescent="0.2">
      <c r="B1496">
        <v>2.3881260774648101E-3</v>
      </c>
      <c r="C1496">
        <v>1.3386880856760374E-3</v>
      </c>
    </row>
    <row r="1497" spans="2:3" x14ac:dyDescent="0.2">
      <c r="B1497">
        <v>1.4263122687384101E-3</v>
      </c>
      <c r="C1497">
        <v>6.6934404283801872E-4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9976-3870-CF42-92C2-85C908A6FFD5}">
  <sheetPr codeName="Sheet6"/>
  <dimension ref="B1:F485"/>
  <sheetViews>
    <sheetView workbookViewId="0">
      <selection activeCell="F3" sqref="F3"/>
    </sheetView>
  </sheetViews>
  <sheetFormatPr baseColWidth="10" defaultRowHeight="16" x14ac:dyDescent="0.2"/>
  <cols>
    <col min="2" max="2" width="18" customWidth="1"/>
    <col min="3" max="3" width="20.83203125" customWidth="1"/>
  </cols>
  <sheetData>
    <row r="1" spans="2:6" x14ac:dyDescent="0.2">
      <c r="B1" t="s">
        <v>38</v>
      </c>
      <c r="C1" t="s">
        <v>39</v>
      </c>
    </row>
    <row r="2" spans="2:6" x14ac:dyDescent="0.2">
      <c r="B2" cm="1">
        <f t="array" ref="B2:B485">_xlfn._xlws.SORT(_xlfn.UNIQUE(TblPolicyLevelAggregate[TotalClaimAmount]), 1, -1)</f>
        <v>2.2858983383904823</v>
      </c>
      <c r="C2" cm="1">
        <f t="array" ref="C2:C485">_xlfn.BYROW(_xlfn.ANCHORARRAY(B2), _xlfn.LAMBDA(_xlpm.x, COUNTIF(TblPolicyLevelAggregate[TotalClaimAmount], "&lt;=" &amp; _xlpm.x) / COUNT(TblPolicyLevelAggregate[PolicyID])))</f>
        <v>1</v>
      </c>
    </row>
    <row r="3" spans="2:6" x14ac:dyDescent="0.2">
      <c r="B3">
        <v>2.2536601643732315</v>
      </c>
      <c r="C3">
        <v>0.998</v>
      </c>
      <c r="F3" t="s">
        <v>37</v>
      </c>
    </row>
    <row r="4" spans="2:6" x14ac:dyDescent="0.2">
      <c r="B4">
        <v>2.2112996940858958</v>
      </c>
      <c r="C4">
        <v>0.996</v>
      </c>
    </row>
    <row r="5" spans="2:6" x14ac:dyDescent="0.2">
      <c r="B5">
        <v>2.1256032557003501</v>
      </c>
      <c r="C5">
        <v>0.99399999999999999</v>
      </c>
    </row>
    <row r="6" spans="2:6" x14ac:dyDescent="0.2">
      <c r="B6">
        <v>2.1124069687071474</v>
      </c>
      <c r="C6">
        <v>0.99199999999999999</v>
      </c>
    </row>
    <row r="7" spans="2:6" x14ac:dyDescent="0.2">
      <c r="B7">
        <v>2.0267569174565505</v>
      </c>
      <c r="C7">
        <v>0.99</v>
      </c>
    </row>
    <row r="8" spans="2:6" x14ac:dyDescent="0.2">
      <c r="B8">
        <v>1.7379629134568175</v>
      </c>
      <c r="C8">
        <v>0.98799999999999999</v>
      </c>
    </row>
    <row r="9" spans="2:6" x14ac:dyDescent="0.2">
      <c r="B9">
        <v>1.6945855229479467</v>
      </c>
      <c r="C9">
        <v>0.98599999999999999</v>
      </c>
    </row>
    <row r="10" spans="2:6" x14ac:dyDescent="0.2">
      <c r="B10">
        <v>1.6479686047033886</v>
      </c>
      <c r="C10">
        <v>0.98399999999999999</v>
      </c>
    </row>
    <row r="11" spans="2:6" x14ac:dyDescent="0.2">
      <c r="B11">
        <v>1.6330846598433548</v>
      </c>
      <c r="C11">
        <v>0.98199999999999998</v>
      </c>
    </row>
    <row r="12" spans="2:6" x14ac:dyDescent="0.2">
      <c r="B12">
        <v>1.6252849497197508</v>
      </c>
      <c r="C12">
        <v>0.98</v>
      </c>
    </row>
    <row r="13" spans="2:6" x14ac:dyDescent="0.2">
      <c r="B13">
        <v>1.6110769565108201</v>
      </c>
      <c r="C13">
        <v>0.97799999999999998</v>
      </c>
    </row>
    <row r="14" spans="2:6" x14ac:dyDescent="0.2">
      <c r="B14">
        <v>1.5943319147350208</v>
      </c>
      <c r="C14">
        <v>0.97599999999999998</v>
      </c>
    </row>
    <row r="15" spans="2:6" x14ac:dyDescent="0.2">
      <c r="B15">
        <v>1.5757026712783704</v>
      </c>
      <c r="C15">
        <v>0.97399999999999998</v>
      </c>
    </row>
    <row r="16" spans="2:6" x14ac:dyDescent="0.2">
      <c r="B16">
        <v>1.515795803138287</v>
      </c>
      <c r="C16">
        <v>0.97199999999999998</v>
      </c>
    </row>
    <row r="17" spans="2:3" x14ac:dyDescent="0.2">
      <c r="B17">
        <v>1.5026562994728645</v>
      </c>
      <c r="C17">
        <v>0.97</v>
      </c>
    </row>
    <row r="18" spans="2:3" x14ac:dyDescent="0.2">
      <c r="B18">
        <v>1.4997184352180317</v>
      </c>
      <c r="C18">
        <v>0.96799999999999997</v>
      </c>
    </row>
    <row r="19" spans="2:3" x14ac:dyDescent="0.2">
      <c r="B19">
        <v>1.4723899013730439</v>
      </c>
      <c r="C19">
        <v>0.96599999999999997</v>
      </c>
    </row>
    <row r="20" spans="2:3" x14ac:dyDescent="0.2">
      <c r="B20">
        <v>1.381998552495439</v>
      </c>
      <c r="C20">
        <v>0.96399999999999997</v>
      </c>
    </row>
    <row r="21" spans="2:3" x14ac:dyDescent="0.2">
      <c r="B21">
        <v>1.3738821187977481</v>
      </c>
      <c r="C21">
        <v>0.96199999999999997</v>
      </c>
    </row>
    <row r="22" spans="2:3" x14ac:dyDescent="0.2">
      <c r="B22">
        <v>1.3531498727093387</v>
      </c>
      <c r="C22">
        <v>0.96</v>
      </c>
    </row>
    <row r="23" spans="2:3" x14ac:dyDescent="0.2">
      <c r="B23">
        <v>1.341157968360795</v>
      </c>
      <c r="C23">
        <v>0.95799999999999996</v>
      </c>
    </row>
    <row r="24" spans="2:3" x14ac:dyDescent="0.2">
      <c r="B24">
        <v>1.3405845095849651</v>
      </c>
      <c r="C24">
        <v>0.95599999999999996</v>
      </c>
    </row>
    <row r="25" spans="2:3" x14ac:dyDescent="0.2">
      <c r="B25">
        <v>1.3339464274328705</v>
      </c>
      <c r="C25">
        <v>0.95399999999999996</v>
      </c>
    </row>
    <row r="26" spans="2:3" x14ac:dyDescent="0.2">
      <c r="B26">
        <v>1.3304982337654634</v>
      </c>
      <c r="C26">
        <v>0.95199999999999996</v>
      </c>
    </row>
    <row r="27" spans="2:3" x14ac:dyDescent="0.2">
      <c r="B27">
        <v>1.326031501733439</v>
      </c>
      <c r="C27">
        <v>0.95</v>
      </c>
    </row>
    <row r="28" spans="2:3" x14ac:dyDescent="0.2">
      <c r="B28">
        <v>1.310156260213498</v>
      </c>
      <c r="C28">
        <v>0.94799999999999995</v>
      </c>
    </row>
    <row r="29" spans="2:3" x14ac:dyDescent="0.2">
      <c r="B29">
        <v>1.30964489905059</v>
      </c>
      <c r="C29">
        <v>0.94599999999999995</v>
      </c>
    </row>
    <row r="30" spans="2:3" x14ac:dyDescent="0.2">
      <c r="B30">
        <v>1.307248158964228</v>
      </c>
      <c r="C30">
        <v>0.94399999999999995</v>
      </c>
    </row>
    <row r="31" spans="2:3" x14ac:dyDescent="0.2">
      <c r="B31">
        <v>1.2854105523724146</v>
      </c>
      <c r="C31">
        <v>0.94199999999999995</v>
      </c>
    </row>
    <row r="32" spans="2:3" x14ac:dyDescent="0.2">
      <c r="B32">
        <v>1.2666712538740201</v>
      </c>
      <c r="C32">
        <v>0.94</v>
      </c>
    </row>
    <row r="33" spans="2:3" x14ac:dyDescent="0.2">
      <c r="B33">
        <v>1.2622682755485499</v>
      </c>
      <c r="C33">
        <v>0.93799999999999994</v>
      </c>
    </row>
    <row r="34" spans="2:3" x14ac:dyDescent="0.2">
      <c r="B34">
        <v>1.2426944099897121</v>
      </c>
      <c r="C34">
        <v>0.93600000000000005</v>
      </c>
    </row>
    <row r="35" spans="2:3" x14ac:dyDescent="0.2">
      <c r="B35">
        <v>1.2384983402184715</v>
      </c>
      <c r="C35">
        <v>0.93400000000000005</v>
      </c>
    </row>
    <row r="36" spans="2:3" x14ac:dyDescent="0.2">
      <c r="B36">
        <v>1.2266118120578102</v>
      </c>
      <c r="C36">
        <v>0.93200000000000005</v>
      </c>
    </row>
    <row r="37" spans="2:3" x14ac:dyDescent="0.2">
      <c r="B37">
        <v>1.2207082342447737</v>
      </c>
      <c r="C37">
        <v>0.93</v>
      </c>
    </row>
    <row r="38" spans="2:3" x14ac:dyDescent="0.2">
      <c r="B38">
        <v>1.2100587939907503</v>
      </c>
      <c r="C38">
        <v>0.92800000000000005</v>
      </c>
    </row>
    <row r="39" spans="2:3" x14ac:dyDescent="0.2">
      <c r="B39">
        <v>1.1975901597106091</v>
      </c>
      <c r="C39">
        <v>0.92600000000000005</v>
      </c>
    </row>
    <row r="40" spans="2:3" x14ac:dyDescent="0.2">
      <c r="B40">
        <v>1.1926241046167601</v>
      </c>
      <c r="C40">
        <v>0.92400000000000004</v>
      </c>
    </row>
    <row r="41" spans="2:3" x14ac:dyDescent="0.2">
      <c r="B41">
        <v>1.1912124537925701</v>
      </c>
      <c r="C41">
        <v>0.92200000000000004</v>
      </c>
    </row>
    <row r="42" spans="2:3" x14ac:dyDescent="0.2">
      <c r="B42">
        <v>1.1714802372329474</v>
      </c>
      <c r="C42">
        <v>0.92</v>
      </c>
    </row>
    <row r="43" spans="2:3" x14ac:dyDescent="0.2">
      <c r="B43">
        <v>1.1631630277849949</v>
      </c>
      <c r="C43">
        <v>0.91800000000000004</v>
      </c>
    </row>
    <row r="44" spans="2:3" x14ac:dyDescent="0.2">
      <c r="B44">
        <v>1.160018785590869</v>
      </c>
      <c r="C44">
        <v>0.91600000000000004</v>
      </c>
    </row>
    <row r="45" spans="2:3" x14ac:dyDescent="0.2">
      <c r="B45">
        <v>1.1480318177053122</v>
      </c>
      <c r="C45">
        <v>0.91400000000000003</v>
      </c>
    </row>
    <row r="46" spans="2:3" x14ac:dyDescent="0.2">
      <c r="B46">
        <v>1.1345346068998701</v>
      </c>
      <c r="C46">
        <v>0.91200000000000003</v>
      </c>
    </row>
    <row r="47" spans="2:3" x14ac:dyDescent="0.2">
      <c r="B47">
        <v>1.128573265769746</v>
      </c>
      <c r="C47">
        <v>0.91</v>
      </c>
    </row>
    <row r="48" spans="2:3" x14ac:dyDescent="0.2">
      <c r="B48">
        <v>1.126339479271087</v>
      </c>
      <c r="C48">
        <v>0.90800000000000003</v>
      </c>
    </row>
    <row r="49" spans="2:3" x14ac:dyDescent="0.2">
      <c r="B49">
        <v>1.1246426960731322</v>
      </c>
      <c r="C49">
        <v>0.90600000000000003</v>
      </c>
    </row>
    <row r="50" spans="2:3" x14ac:dyDescent="0.2">
      <c r="B50">
        <v>1.1150804484874235</v>
      </c>
      <c r="C50">
        <v>0.90400000000000003</v>
      </c>
    </row>
    <row r="51" spans="2:3" x14ac:dyDescent="0.2">
      <c r="B51">
        <v>1.1113528551802518</v>
      </c>
      <c r="C51">
        <v>0.90200000000000002</v>
      </c>
    </row>
    <row r="52" spans="2:3" x14ac:dyDescent="0.2">
      <c r="B52">
        <v>1.1080445219063029</v>
      </c>
      <c r="C52">
        <v>0.9</v>
      </c>
    </row>
    <row r="53" spans="2:3" x14ac:dyDescent="0.2">
      <c r="B53">
        <v>1.0977898893690343</v>
      </c>
      <c r="C53">
        <v>0.89800000000000002</v>
      </c>
    </row>
    <row r="54" spans="2:3" x14ac:dyDescent="0.2">
      <c r="B54">
        <v>1.0967924877891908</v>
      </c>
      <c r="C54">
        <v>0.89600000000000002</v>
      </c>
    </row>
    <row r="55" spans="2:3" x14ac:dyDescent="0.2">
      <c r="B55">
        <v>1.0938215491465224</v>
      </c>
      <c r="C55">
        <v>0.89400000000000002</v>
      </c>
    </row>
    <row r="56" spans="2:3" x14ac:dyDescent="0.2">
      <c r="B56">
        <v>1.0882647499374478</v>
      </c>
      <c r="C56">
        <v>0.89200000000000002</v>
      </c>
    </row>
    <row r="57" spans="2:3" x14ac:dyDescent="0.2">
      <c r="B57">
        <v>1.0705461934158453</v>
      </c>
      <c r="C57">
        <v>0.89</v>
      </c>
    </row>
    <row r="58" spans="2:3" x14ac:dyDescent="0.2">
      <c r="B58">
        <v>1.0688690938153487</v>
      </c>
      <c r="C58">
        <v>0.88800000000000001</v>
      </c>
    </row>
    <row r="59" spans="2:3" x14ac:dyDescent="0.2">
      <c r="B59">
        <v>1.0669212399143031</v>
      </c>
      <c r="C59">
        <v>0.88600000000000001</v>
      </c>
    </row>
    <row r="60" spans="2:3" x14ac:dyDescent="0.2">
      <c r="B60">
        <v>1.06089882822169</v>
      </c>
      <c r="C60">
        <v>0.88400000000000001</v>
      </c>
    </row>
    <row r="61" spans="2:3" x14ac:dyDescent="0.2">
      <c r="B61">
        <v>1.0542789978263045</v>
      </c>
      <c r="C61">
        <v>0.88200000000000001</v>
      </c>
    </row>
    <row r="62" spans="2:3" x14ac:dyDescent="0.2">
      <c r="B62">
        <v>1.0524446937682126</v>
      </c>
      <c r="C62">
        <v>0.88</v>
      </c>
    </row>
    <row r="63" spans="2:3" x14ac:dyDescent="0.2">
      <c r="B63">
        <v>1.0485134402233229</v>
      </c>
      <c r="C63">
        <v>0.878</v>
      </c>
    </row>
    <row r="64" spans="2:3" x14ac:dyDescent="0.2">
      <c r="B64">
        <v>1.0411040940846177</v>
      </c>
      <c r="C64">
        <v>0.876</v>
      </c>
    </row>
    <row r="65" spans="2:3" x14ac:dyDescent="0.2">
      <c r="B65">
        <v>1.0396888701678928</v>
      </c>
      <c r="C65">
        <v>0.874</v>
      </c>
    </row>
    <row r="66" spans="2:3" x14ac:dyDescent="0.2">
      <c r="B66">
        <v>1.035876715616149</v>
      </c>
      <c r="C66">
        <v>0.872</v>
      </c>
    </row>
    <row r="67" spans="2:3" x14ac:dyDescent="0.2">
      <c r="B67">
        <v>1.020124388679811</v>
      </c>
      <c r="C67">
        <v>0.87</v>
      </c>
    </row>
    <row r="68" spans="2:3" x14ac:dyDescent="0.2">
      <c r="B68">
        <v>1.0116480751680585</v>
      </c>
      <c r="C68">
        <v>0.86799999999999999</v>
      </c>
    </row>
    <row r="69" spans="2:3" x14ac:dyDescent="0.2">
      <c r="B69">
        <v>1.0099307200368481</v>
      </c>
      <c r="C69">
        <v>0.86599999999999999</v>
      </c>
    </row>
    <row r="70" spans="2:3" x14ac:dyDescent="0.2">
      <c r="B70">
        <v>0.99672983141034699</v>
      </c>
      <c r="C70">
        <v>0.86399999999999999</v>
      </c>
    </row>
    <row r="71" spans="2:3" x14ac:dyDescent="0.2">
      <c r="B71">
        <v>0.99328871580661682</v>
      </c>
      <c r="C71">
        <v>0.86199999999999999</v>
      </c>
    </row>
    <row r="72" spans="2:3" x14ac:dyDescent="0.2">
      <c r="B72">
        <v>0.99181248943209499</v>
      </c>
      <c r="C72">
        <v>0.86</v>
      </c>
    </row>
    <row r="73" spans="2:3" x14ac:dyDescent="0.2">
      <c r="B73">
        <v>0.98344419129201666</v>
      </c>
      <c r="C73">
        <v>0.85799999999999998</v>
      </c>
    </row>
    <row r="74" spans="2:3" x14ac:dyDescent="0.2">
      <c r="B74">
        <v>0.97954017654871184</v>
      </c>
      <c r="C74">
        <v>0.85599999999999998</v>
      </c>
    </row>
    <row r="75" spans="2:3" x14ac:dyDescent="0.2">
      <c r="B75">
        <v>0.97425904807925301</v>
      </c>
      <c r="C75">
        <v>0.85399999999999998</v>
      </c>
    </row>
    <row r="76" spans="2:3" x14ac:dyDescent="0.2">
      <c r="B76">
        <v>0.96605175782919983</v>
      </c>
      <c r="C76">
        <v>0.85199999999999998</v>
      </c>
    </row>
    <row r="77" spans="2:3" x14ac:dyDescent="0.2">
      <c r="B77">
        <v>0.96587721584346387</v>
      </c>
      <c r="C77">
        <v>0.85</v>
      </c>
    </row>
    <row r="78" spans="2:3" x14ac:dyDescent="0.2">
      <c r="B78">
        <v>0.96171332565365597</v>
      </c>
      <c r="C78">
        <v>0.84799999999999998</v>
      </c>
    </row>
    <row r="79" spans="2:3" x14ac:dyDescent="0.2">
      <c r="B79">
        <v>0.95768070714789699</v>
      </c>
      <c r="C79">
        <v>0.84599999999999997</v>
      </c>
    </row>
    <row r="80" spans="2:3" x14ac:dyDescent="0.2">
      <c r="B80">
        <v>0.95026105556367901</v>
      </c>
      <c r="C80">
        <v>0.84399999999999997</v>
      </c>
    </row>
    <row r="81" spans="2:3" x14ac:dyDescent="0.2">
      <c r="B81">
        <v>0.94053342075007096</v>
      </c>
      <c r="C81">
        <v>0.84199999999999997</v>
      </c>
    </row>
    <row r="82" spans="2:3" x14ac:dyDescent="0.2">
      <c r="B82">
        <v>0.93557722935471044</v>
      </c>
      <c r="C82">
        <v>0.84</v>
      </c>
    </row>
    <row r="83" spans="2:3" x14ac:dyDescent="0.2">
      <c r="B83">
        <v>0.93275897106052397</v>
      </c>
      <c r="C83">
        <v>0.83799999999999997</v>
      </c>
    </row>
    <row r="84" spans="2:3" x14ac:dyDescent="0.2">
      <c r="B84">
        <v>0.92174618575297707</v>
      </c>
      <c r="C84">
        <v>0.83599999999999997</v>
      </c>
    </row>
    <row r="85" spans="2:3" x14ac:dyDescent="0.2">
      <c r="B85">
        <v>0.92169250484306797</v>
      </c>
      <c r="C85">
        <v>0.83399999999999996</v>
      </c>
    </row>
    <row r="86" spans="2:3" x14ac:dyDescent="0.2">
      <c r="B86">
        <v>0.92132681157361107</v>
      </c>
      <c r="C86">
        <v>0.83199999999999996</v>
      </c>
    </row>
    <row r="87" spans="2:3" x14ac:dyDescent="0.2">
      <c r="B87">
        <v>0.91315458259101101</v>
      </c>
      <c r="C87">
        <v>0.83</v>
      </c>
    </row>
    <row r="88" spans="2:3" x14ac:dyDescent="0.2">
      <c r="B88">
        <v>0.91115173951974504</v>
      </c>
      <c r="C88">
        <v>0.82799999999999996</v>
      </c>
    </row>
    <row r="89" spans="2:3" x14ac:dyDescent="0.2">
      <c r="B89">
        <v>0.90955824595450563</v>
      </c>
      <c r="C89">
        <v>0.82599999999999996</v>
      </c>
    </row>
    <row r="90" spans="2:3" x14ac:dyDescent="0.2">
      <c r="B90">
        <v>0.90135507720184072</v>
      </c>
      <c r="C90">
        <v>0.82399999999999995</v>
      </c>
    </row>
    <row r="91" spans="2:3" x14ac:dyDescent="0.2">
      <c r="B91">
        <v>0.90071665247438226</v>
      </c>
      <c r="C91">
        <v>0.82199999999999995</v>
      </c>
    </row>
    <row r="92" spans="2:3" x14ac:dyDescent="0.2">
      <c r="B92">
        <v>0.89338061234017541</v>
      </c>
      <c r="C92">
        <v>0.82</v>
      </c>
    </row>
    <row r="93" spans="2:3" x14ac:dyDescent="0.2">
      <c r="B93">
        <v>0.89211558101401334</v>
      </c>
      <c r="C93">
        <v>0.81799999999999995</v>
      </c>
    </row>
    <row r="94" spans="2:3" x14ac:dyDescent="0.2">
      <c r="B94">
        <v>0.88999475187255994</v>
      </c>
      <c r="C94">
        <v>0.81599999999999995</v>
      </c>
    </row>
    <row r="95" spans="2:3" x14ac:dyDescent="0.2">
      <c r="B95">
        <v>0.88716224911554686</v>
      </c>
      <c r="C95">
        <v>0.81399999999999995</v>
      </c>
    </row>
    <row r="96" spans="2:3" x14ac:dyDescent="0.2">
      <c r="B96">
        <v>0.88585084308238105</v>
      </c>
      <c r="C96">
        <v>0.81200000000000006</v>
      </c>
    </row>
    <row r="97" spans="2:3" x14ac:dyDescent="0.2">
      <c r="B97">
        <v>0.88158972211448305</v>
      </c>
      <c r="C97">
        <v>0.81</v>
      </c>
    </row>
    <row r="98" spans="2:3" x14ac:dyDescent="0.2">
      <c r="B98">
        <v>0.87913614515180094</v>
      </c>
      <c r="C98">
        <v>0.80800000000000005</v>
      </c>
    </row>
    <row r="99" spans="2:3" x14ac:dyDescent="0.2">
      <c r="B99">
        <v>0.87769347536742859</v>
      </c>
      <c r="C99">
        <v>0.80600000000000005</v>
      </c>
    </row>
    <row r="100" spans="2:3" x14ac:dyDescent="0.2">
      <c r="B100">
        <v>0.87762838768888618</v>
      </c>
      <c r="C100">
        <v>0.80400000000000005</v>
      </c>
    </row>
    <row r="101" spans="2:3" x14ac:dyDescent="0.2">
      <c r="B101">
        <v>0.87049980082130596</v>
      </c>
      <c r="C101">
        <v>0.80200000000000005</v>
      </c>
    </row>
    <row r="102" spans="2:3" x14ac:dyDescent="0.2">
      <c r="B102">
        <v>0.86185822194768547</v>
      </c>
      <c r="C102">
        <v>0.8</v>
      </c>
    </row>
    <row r="103" spans="2:3" x14ac:dyDescent="0.2">
      <c r="B103">
        <v>0.8590043683558839</v>
      </c>
      <c r="C103">
        <v>0.79800000000000004</v>
      </c>
    </row>
    <row r="104" spans="2:3" x14ac:dyDescent="0.2">
      <c r="B104">
        <v>0.85121266033949405</v>
      </c>
      <c r="C104">
        <v>0.79600000000000004</v>
      </c>
    </row>
    <row r="105" spans="2:3" x14ac:dyDescent="0.2">
      <c r="B105">
        <v>0.85098538904728827</v>
      </c>
      <c r="C105">
        <v>0.79400000000000004</v>
      </c>
    </row>
    <row r="106" spans="2:3" x14ac:dyDescent="0.2">
      <c r="B106">
        <v>0.8496592083883715</v>
      </c>
      <c r="C106">
        <v>0.79200000000000004</v>
      </c>
    </row>
    <row r="107" spans="2:3" x14ac:dyDescent="0.2">
      <c r="B107">
        <v>0.833578371267097</v>
      </c>
      <c r="C107">
        <v>0.79</v>
      </c>
    </row>
    <row r="108" spans="2:3" x14ac:dyDescent="0.2">
      <c r="B108">
        <v>0.82914799341044998</v>
      </c>
      <c r="C108">
        <v>0.78800000000000003</v>
      </c>
    </row>
    <row r="109" spans="2:3" x14ac:dyDescent="0.2">
      <c r="B109">
        <v>0.82731998662758943</v>
      </c>
      <c r="C109">
        <v>0.78600000000000003</v>
      </c>
    </row>
    <row r="110" spans="2:3" x14ac:dyDescent="0.2">
      <c r="B110">
        <v>0.81849109819667532</v>
      </c>
      <c r="C110">
        <v>0.78400000000000003</v>
      </c>
    </row>
    <row r="111" spans="2:3" x14ac:dyDescent="0.2">
      <c r="B111">
        <v>0.81440322619557537</v>
      </c>
      <c r="C111">
        <v>0.78200000000000003</v>
      </c>
    </row>
    <row r="112" spans="2:3" x14ac:dyDescent="0.2">
      <c r="B112">
        <v>0.81087331719093203</v>
      </c>
      <c r="C112">
        <v>0.78</v>
      </c>
    </row>
    <row r="113" spans="2:3" x14ac:dyDescent="0.2">
      <c r="B113">
        <v>0.80891826608395101</v>
      </c>
      <c r="C113">
        <v>0.77800000000000002</v>
      </c>
    </row>
    <row r="114" spans="2:3" x14ac:dyDescent="0.2">
      <c r="B114">
        <v>0.80868116917083666</v>
      </c>
      <c r="C114">
        <v>0.77600000000000002</v>
      </c>
    </row>
    <row r="115" spans="2:3" x14ac:dyDescent="0.2">
      <c r="B115">
        <v>0.80759266570291321</v>
      </c>
      <c r="C115">
        <v>0.77400000000000002</v>
      </c>
    </row>
    <row r="116" spans="2:3" x14ac:dyDescent="0.2">
      <c r="B116">
        <v>0.80599769899941953</v>
      </c>
      <c r="C116">
        <v>0.77200000000000002</v>
      </c>
    </row>
    <row r="117" spans="2:3" x14ac:dyDescent="0.2">
      <c r="B117">
        <v>0.80315177633396662</v>
      </c>
      <c r="C117">
        <v>0.77</v>
      </c>
    </row>
    <row r="118" spans="2:3" x14ac:dyDescent="0.2">
      <c r="B118">
        <v>0.80201945811933895</v>
      </c>
      <c r="C118">
        <v>0.76800000000000002</v>
      </c>
    </row>
    <row r="119" spans="2:3" x14ac:dyDescent="0.2">
      <c r="B119">
        <v>0.79828483136654249</v>
      </c>
      <c r="C119">
        <v>0.76600000000000001</v>
      </c>
    </row>
    <row r="120" spans="2:3" x14ac:dyDescent="0.2">
      <c r="B120">
        <v>0.79475669297872598</v>
      </c>
      <c r="C120">
        <v>0.76400000000000001</v>
      </c>
    </row>
    <row r="121" spans="2:3" x14ac:dyDescent="0.2">
      <c r="B121">
        <v>0.79350954374308502</v>
      </c>
      <c r="C121">
        <v>0.76200000000000001</v>
      </c>
    </row>
    <row r="122" spans="2:3" x14ac:dyDescent="0.2">
      <c r="B122">
        <v>0.78969309604143301</v>
      </c>
      <c r="C122">
        <v>0.76</v>
      </c>
    </row>
    <row r="123" spans="2:3" x14ac:dyDescent="0.2">
      <c r="B123">
        <v>0.78924770870088901</v>
      </c>
      <c r="C123">
        <v>0.75800000000000001</v>
      </c>
    </row>
    <row r="124" spans="2:3" x14ac:dyDescent="0.2">
      <c r="B124">
        <v>0.78914666665566124</v>
      </c>
      <c r="C124">
        <v>0.75600000000000001</v>
      </c>
    </row>
    <row r="125" spans="2:3" x14ac:dyDescent="0.2">
      <c r="B125">
        <v>0.78832172301439796</v>
      </c>
      <c r="C125">
        <v>0.754</v>
      </c>
    </row>
    <row r="126" spans="2:3" x14ac:dyDescent="0.2">
      <c r="B126">
        <v>0.78717189266888066</v>
      </c>
      <c r="C126">
        <v>0.752</v>
      </c>
    </row>
    <row r="127" spans="2:3" x14ac:dyDescent="0.2">
      <c r="B127">
        <v>0.77867462821236655</v>
      </c>
      <c r="C127">
        <v>0.75</v>
      </c>
    </row>
    <row r="128" spans="2:3" x14ac:dyDescent="0.2">
      <c r="B128">
        <v>0.77700264223326598</v>
      </c>
      <c r="C128">
        <v>0.748</v>
      </c>
    </row>
    <row r="129" spans="2:3" x14ac:dyDescent="0.2">
      <c r="B129">
        <v>0.77634256378548505</v>
      </c>
      <c r="C129">
        <v>0.746</v>
      </c>
    </row>
    <row r="130" spans="2:3" x14ac:dyDescent="0.2">
      <c r="B130">
        <v>0.77473610516709146</v>
      </c>
      <c r="C130">
        <v>0.74399999999999999</v>
      </c>
    </row>
    <row r="131" spans="2:3" x14ac:dyDescent="0.2">
      <c r="B131">
        <v>0.77451569319853142</v>
      </c>
      <c r="C131">
        <v>0.74199999999999999</v>
      </c>
    </row>
    <row r="132" spans="2:3" x14ac:dyDescent="0.2">
      <c r="B132">
        <v>0.77408225024728994</v>
      </c>
      <c r="C132">
        <v>0.74</v>
      </c>
    </row>
    <row r="133" spans="2:3" x14ac:dyDescent="0.2">
      <c r="B133">
        <v>0.77132028471535807</v>
      </c>
      <c r="C133">
        <v>0.73799999999999999</v>
      </c>
    </row>
    <row r="134" spans="2:3" x14ac:dyDescent="0.2">
      <c r="B134">
        <v>0.76845575824915402</v>
      </c>
      <c r="C134">
        <v>0.73599999999999999</v>
      </c>
    </row>
    <row r="135" spans="2:3" x14ac:dyDescent="0.2">
      <c r="B135">
        <v>0.76748467299245393</v>
      </c>
      <c r="C135">
        <v>0.73399999999999999</v>
      </c>
    </row>
    <row r="136" spans="2:3" x14ac:dyDescent="0.2">
      <c r="B136">
        <v>0.76380181286910664</v>
      </c>
      <c r="C136">
        <v>0.73199999999999998</v>
      </c>
    </row>
    <row r="137" spans="2:3" x14ac:dyDescent="0.2">
      <c r="B137">
        <v>0.75964071045201287</v>
      </c>
      <c r="C137">
        <v>0.73</v>
      </c>
    </row>
    <row r="138" spans="2:3" x14ac:dyDescent="0.2">
      <c r="B138">
        <v>0.7573711020642</v>
      </c>
      <c r="C138">
        <v>0.72799999999999998</v>
      </c>
    </row>
    <row r="139" spans="2:3" x14ac:dyDescent="0.2">
      <c r="B139">
        <v>0.75486904105151009</v>
      </c>
      <c r="C139">
        <v>0.72599999999999998</v>
      </c>
    </row>
    <row r="140" spans="2:3" x14ac:dyDescent="0.2">
      <c r="B140">
        <v>0.74959952960032661</v>
      </c>
      <c r="C140">
        <v>0.72399999999999998</v>
      </c>
    </row>
    <row r="141" spans="2:3" x14ac:dyDescent="0.2">
      <c r="B141">
        <v>0.74923483388686296</v>
      </c>
      <c r="C141">
        <v>0.72199999999999998</v>
      </c>
    </row>
    <row r="142" spans="2:3" x14ac:dyDescent="0.2">
      <c r="B142">
        <v>0.74426351686616199</v>
      </c>
      <c r="C142">
        <v>0.72</v>
      </c>
    </row>
    <row r="143" spans="2:3" x14ac:dyDescent="0.2">
      <c r="B143">
        <v>0.73915203269860963</v>
      </c>
      <c r="C143">
        <v>0.71799999999999997</v>
      </c>
    </row>
    <row r="144" spans="2:3" x14ac:dyDescent="0.2">
      <c r="B144">
        <v>0.73802718281752699</v>
      </c>
      <c r="C144">
        <v>0.71599999999999997</v>
      </c>
    </row>
    <row r="145" spans="2:3" x14ac:dyDescent="0.2">
      <c r="B145">
        <v>0.73627968405281807</v>
      </c>
      <c r="C145">
        <v>0.71399999999999997</v>
      </c>
    </row>
    <row r="146" spans="2:3" x14ac:dyDescent="0.2">
      <c r="B146">
        <v>0.73177498304380795</v>
      </c>
      <c r="C146">
        <v>0.71199999999999997</v>
      </c>
    </row>
    <row r="147" spans="2:3" x14ac:dyDescent="0.2">
      <c r="B147">
        <v>0.73079001382540998</v>
      </c>
      <c r="C147">
        <v>0.71</v>
      </c>
    </row>
    <row r="148" spans="2:3" x14ac:dyDescent="0.2">
      <c r="B148">
        <v>0.72700351502490201</v>
      </c>
      <c r="C148">
        <v>0.70799999999999996</v>
      </c>
    </row>
    <row r="149" spans="2:3" x14ac:dyDescent="0.2">
      <c r="B149">
        <v>0.72500075590138402</v>
      </c>
      <c r="C149">
        <v>0.70599999999999996</v>
      </c>
    </row>
    <row r="150" spans="2:3" x14ac:dyDescent="0.2">
      <c r="B150">
        <v>0.72221044199949025</v>
      </c>
      <c r="C150">
        <v>0.70399999999999996</v>
      </c>
    </row>
    <row r="151" spans="2:3" x14ac:dyDescent="0.2">
      <c r="B151">
        <v>0.72070726967401622</v>
      </c>
      <c r="C151">
        <v>0.70199999999999996</v>
      </c>
    </row>
    <row r="152" spans="2:3" x14ac:dyDescent="0.2">
      <c r="B152">
        <v>0.70955482862985408</v>
      </c>
      <c r="C152">
        <v>0.7</v>
      </c>
    </row>
    <row r="153" spans="2:3" x14ac:dyDescent="0.2">
      <c r="B153">
        <v>0.70836588431177994</v>
      </c>
      <c r="C153">
        <v>0.69799999999999995</v>
      </c>
    </row>
    <row r="154" spans="2:3" x14ac:dyDescent="0.2">
      <c r="B154">
        <v>0.70047156568720526</v>
      </c>
      <c r="C154">
        <v>0.69599999999999995</v>
      </c>
    </row>
    <row r="155" spans="2:3" x14ac:dyDescent="0.2">
      <c r="B155">
        <v>0.69956726847558504</v>
      </c>
      <c r="C155">
        <v>0.69399999999999995</v>
      </c>
    </row>
    <row r="156" spans="2:3" x14ac:dyDescent="0.2">
      <c r="B156">
        <v>0.69623335578451995</v>
      </c>
      <c r="C156">
        <v>0.69199999999999995</v>
      </c>
    </row>
    <row r="157" spans="2:3" x14ac:dyDescent="0.2">
      <c r="B157">
        <v>0.69366161276899607</v>
      </c>
      <c r="C157">
        <v>0.69</v>
      </c>
    </row>
    <row r="158" spans="2:3" x14ac:dyDescent="0.2">
      <c r="B158">
        <v>0.69337129715305057</v>
      </c>
      <c r="C158">
        <v>0.68799999999999994</v>
      </c>
    </row>
    <row r="159" spans="2:3" x14ac:dyDescent="0.2">
      <c r="B159">
        <v>0.69277853953398494</v>
      </c>
      <c r="C159">
        <v>0.68600000000000005</v>
      </c>
    </row>
    <row r="160" spans="2:3" x14ac:dyDescent="0.2">
      <c r="B160">
        <v>0.69192713560784747</v>
      </c>
      <c r="C160">
        <v>0.68400000000000005</v>
      </c>
    </row>
    <row r="161" spans="2:3" x14ac:dyDescent="0.2">
      <c r="B161">
        <v>0.69053180087943367</v>
      </c>
      <c r="C161">
        <v>0.68200000000000005</v>
      </c>
    </row>
    <row r="162" spans="2:3" x14ac:dyDescent="0.2">
      <c r="B162">
        <v>0.68548495431164502</v>
      </c>
      <c r="C162">
        <v>0.68</v>
      </c>
    </row>
    <row r="163" spans="2:3" x14ac:dyDescent="0.2">
      <c r="B163">
        <v>0.68426525204274957</v>
      </c>
      <c r="C163">
        <v>0.67800000000000005</v>
      </c>
    </row>
    <row r="164" spans="2:3" x14ac:dyDescent="0.2">
      <c r="B164">
        <v>0.68356211179057824</v>
      </c>
      <c r="C164">
        <v>0.67600000000000005</v>
      </c>
    </row>
    <row r="165" spans="2:3" x14ac:dyDescent="0.2">
      <c r="B165">
        <v>0.68169622690140785</v>
      </c>
      <c r="C165">
        <v>0.67400000000000004</v>
      </c>
    </row>
    <row r="166" spans="2:3" x14ac:dyDescent="0.2">
      <c r="B166">
        <v>0.67182473785528507</v>
      </c>
      <c r="C166">
        <v>0.67200000000000004</v>
      </c>
    </row>
    <row r="167" spans="2:3" x14ac:dyDescent="0.2">
      <c r="B167">
        <v>0.6716922265864731</v>
      </c>
      <c r="C167">
        <v>0.67</v>
      </c>
    </row>
    <row r="168" spans="2:3" x14ac:dyDescent="0.2">
      <c r="B168">
        <v>0.67035519664873555</v>
      </c>
      <c r="C168">
        <v>0.66800000000000004</v>
      </c>
    </row>
    <row r="169" spans="2:3" x14ac:dyDescent="0.2">
      <c r="B169">
        <v>0.66681977748846577</v>
      </c>
      <c r="C169">
        <v>0.66600000000000004</v>
      </c>
    </row>
    <row r="170" spans="2:3" x14ac:dyDescent="0.2">
      <c r="B170">
        <v>0.66222205598371042</v>
      </c>
      <c r="C170">
        <v>0.66400000000000003</v>
      </c>
    </row>
    <row r="171" spans="2:3" x14ac:dyDescent="0.2">
      <c r="B171">
        <v>0.66197932973237994</v>
      </c>
      <c r="C171">
        <v>0.66200000000000003</v>
      </c>
    </row>
    <row r="172" spans="2:3" x14ac:dyDescent="0.2">
      <c r="B172">
        <v>0.66183095044131024</v>
      </c>
      <c r="C172">
        <v>0.66</v>
      </c>
    </row>
    <row r="173" spans="2:3" x14ac:dyDescent="0.2">
      <c r="B173">
        <v>0.661181072631426</v>
      </c>
      <c r="C173">
        <v>0.65800000000000003</v>
      </c>
    </row>
    <row r="174" spans="2:3" x14ac:dyDescent="0.2">
      <c r="B174">
        <v>0.66100735773677199</v>
      </c>
      <c r="C174">
        <v>0.65600000000000003</v>
      </c>
    </row>
    <row r="175" spans="2:3" x14ac:dyDescent="0.2">
      <c r="B175">
        <v>0.65963161515641577</v>
      </c>
      <c r="C175">
        <v>0.65400000000000003</v>
      </c>
    </row>
    <row r="176" spans="2:3" x14ac:dyDescent="0.2">
      <c r="B176">
        <v>0.65885698593195197</v>
      </c>
      <c r="C176">
        <v>0.65200000000000002</v>
      </c>
    </row>
    <row r="177" spans="2:3" x14ac:dyDescent="0.2">
      <c r="B177">
        <v>0.65869473377136356</v>
      </c>
      <c r="C177">
        <v>0.65</v>
      </c>
    </row>
    <row r="178" spans="2:3" x14ac:dyDescent="0.2">
      <c r="B178">
        <v>0.65463864740419875</v>
      </c>
      <c r="C178">
        <v>0.64800000000000002</v>
      </c>
    </row>
    <row r="179" spans="2:3" x14ac:dyDescent="0.2">
      <c r="B179">
        <v>0.64786277515982726</v>
      </c>
      <c r="C179">
        <v>0.64600000000000002</v>
      </c>
    </row>
    <row r="180" spans="2:3" x14ac:dyDescent="0.2">
      <c r="B180">
        <v>0.64710792701709086</v>
      </c>
      <c r="C180">
        <v>0.64400000000000002</v>
      </c>
    </row>
    <row r="181" spans="2:3" x14ac:dyDescent="0.2">
      <c r="B181">
        <v>0.64098713734317425</v>
      </c>
      <c r="C181">
        <v>0.64200000000000002</v>
      </c>
    </row>
    <row r="182" spans="2:3" x14ac:dyDescent="0.2">
      <c r="B182">
        <v>0.63980578967184698</v>
      </c>
      <c r="C182">
        <v>0.64</v>
      </c>
    </row>
    <row r="183" spans="2:3" x14ac:dyDescent="0.2">
      <c r="B183">
        <v>0.63751655741987345</v>
      </c>
      <c r="C183">
        <v>0.63800000000000001</v>
      </c>
    </row>
    <row r="184" spans="2:3" x14ac:dyDescent="0.2">
      <c r="B184">
        <v>0.63572474793357803</v>
      </c>
      <c r="C184">
        <v>0.63600000000000001</v>
      </c>
    </row>
    <row r="185" spans="2:3" x14ac:dyDescent="0.2">
      <c r="B185">
        <v>0.63187691270058799</v>
      </c>
      <c r="C185">
        <v>0.63400000000000001</v>
      </c>
    </row>
    <row r="186" spans="2:3" x14ac:dyDescent="0.2">
      <c r="B186">
        <v>0.63125875789197683</v>
      </c>
      <c r="C186">
        <v>0.63200000000000001</v>
      </c>
    </row>
    <row r="187" spans="2:3" x14ac:dyDescent="0.2">
      <c r="B187">
        <v>0.63061302373876471</v>
      </c>
      <c r="C187">
        <v>0.63</v>
      </c>
    </row>
    <row r="188" spans="2:3" x14ac:dyDescent="0.2">
      <c r="B188">
        <v>0.62877852335461504</v>
      </c>
      <c r="C188">
        <v>0.628</v>
      </c>
    </row>
    <row r="189" spans="2:3" x14ac:dyDescent="0.2">
      <c r="B189">
        <v>0.62840640451805596</v>
      </c>
      <c r="C189">
        <v>0.626</v>
      </c>
    </row>
    <row r="190" spans="2:3" x14ac:dyDescent="0.2">
      <c r="B190">
        <v>0.6270438961541317</v>
      </c>
      <c r="C190">
        <v>0.624</v>
      </c>
    </row>
    <row r="191" spans="2:3" x14ac:dyDescent="0.2">
      <c r="B191">
        <v>0.62567413356525003</v>
      </c>
      <c r="C191">
        <v>0.622</v>
      </c>
    </row>
    <row r="192" spans="2:3" x14ac:dyDescent="0.2">
      <c r="B192">
        <v>0.62312922698398598</v>
      </c>
      <c r="C192">
        <v>0.62</v>
      </c>
    </row>
    <row r="193" spans="2:3" x14ac:dyDescent="0.2">
      <c r="B193">
        <v>0.62210020438254898</v>
      </c>
      <c r="C193">
        <v>0.61799999999999999</v>
      </c>
    </row>
    <row r="194" spans="2:3" x14ac:dyDescent="0.2">
      <c r="B194">
        <v>0.62102765979159824</v>
      </c>
      <c r="C194">
        <v>0.61599999999999999</v>
      </c>
    </row>
    <row r="195" spans="2:3" x14ac:dyDescent="0.2">
      <c r="B195">
        <v>0.62050760250220893</v>
      </c>
      <c r="C195">
        <v>0.61399999999999999</v>
      </c>
    </row>
    <row r="196" spans="2:3" x14ac:dyDescent="0.2">
      <c r="B196">
        <v>0.62032176020109708</v>
      </c>
      <c r="C196">
        <v>0.61199999999999999</v>
      </c>
    </row>
    <row r="197" spans="2:3" x14ac:dyDescent="0.2">
      <c r="B197">
        <v>0.62010547776504676</v>
      </c>
      <c r="C197">
        <v>0.61</v>
      </c>
    </row>
    <row r="198" spans="2:3" x14ac:dyDescent="0.2">
      <c r="B198">
        <v>0.61788769725063375</v>
      </c>
      <c r="C198">
        <v>0.60799999999999998</v>
      </c>
    </row>
    <row r="199" spans="2:3" x14ac:dyDescent="0.2">
      <c r="B199">
        <v>0.61668710071480193</v>
      </c>
      <c r="C199">
        <v>0.60599999999999998</v>
      </c>
    </row>
    <row r="200" spans="2:3" x14ac:dyDescent="0.2">
      <c r="B200">
        <v>0.61226593879036295</v>
      </c>
      <c r="C200">
        <v>0.60399999999999998</v>
      </c>
    </row>
    <row r="201" spans="2:3" x14ac:dyDescent="0.2">
      <c r="B201">
        <v>0.6110865963329476</v>
      </c>
      <c r="C201">
        <v>0.60199999999999998</v>
      </c>
    </row>
    <row r="202" spans="2:3" x14ac:dyDescent="0.2">
      <c r="B202">
        <v>0.61098905150762861</v>
      </c>
      <c r="C202">
        <v>0.6</v>
      </c>
    </row>
    <row r="203" spans="2:3" x14ac:dyDescent="0.2">
      <c r="B203">
        <v>0.61046691491778771</v>
      </c>
      <c r="C203">
        <v>0.59799999999999998</v>
      </c>
    </row>
    <row r="204" spans="2:3" x14ac:dyDescent="0.2">
      <c r="B204">
        <v>0.61024260565266097</v>
      </c>
      <c r="C204">
        <v>0.59599999999999997</v>
      </c>
    </row>
    <row r="205" spans="2:3" x14ac:dyDescent="0.2">
      <c r="B205">
        <v>0.609600011915166</v>
      </c>
      <c r="C205">
        <v>0.59399999999999997</v>
      </c>
    </row>
    <row r="206" spans="2:3" x14ac:dyDescent="0.2">
      <c r="B206">
        <v>0.60946959994247696</v>
      </c>
      <c r="C206">
        <v>0.59199999999999997</v>
      </c>
    </row>
    <row r="207" spans="2:3" x14ac:dyDescent="0.2">
      <c r="B207">
        <v>0.60851585569345246</v>
      </c>
      <c r="C207">
        <v>0.59</v>
      </c>
    </row>
    <row r="208" spans="2:3" x14ac:dyDescent="0.2">
      <c r="B208">
        <v>0.60829045968845308</v>
      </c>
      <c r="C208">
        <v>0.58799999999999997</v>
      </c>
    </row>
    <row r="209" spans="2:3" x14ac:dyDescent="0.2">
      <c r="B209">
        <v>0.60615708031000004</v>
      </c>
      <c r="C209">
        <v>0.58599999999999997</v>
      </c>
    </row>
    <row r="210" spans="2:3" x14ac:dyDescent="0.2">
      <c r="B210">
        <v>0.60598740940455398</v>
      </c>
      <c r="C210">
        <v>0.58399999999999996</v>
      </c>
    </row>
    <row r="211" spans="2:3" x14ac:dyDescent="0.2">
      <c r="B211">
        <v>0.60301120675634001</v>
      </c>
      <c r="C211">
        <v>0.58199999999999996</v>
      </c>
    </row>
    <row r="212" spans="2:3" x14ac:dyDescent="0.2">
      <c r="B212">
        <v>0.60226730205224266</v>
      </c>
      <c r="C212">
        <v>0.57999999999999996</v>
      </c>
    </row>
    <row r="213" spans="2:3" x14ac:dyDescent="0.2">
      <c r="B213">
        <v>0.60221065543561603</v>
      </c>
      <c r="C213">
        <v>0.57799999999999996</v>
      </c>
    </row>
    <row r="214" spans="2:3" x14ac:dyDescent="0.2">
      <c r="B214">
        <v>0.60146067688030902</v>
      </c>
      <c r="C214">
        <v>0.57599999999999996</v>
      </c>
    </row>
    <row r="215" spans="2:3" x14ac:dyDescent="0.2">
      <c r="B215">
        <v>0.60144642542210669</v>
      </c>
      <c r="C215">
        <v>0.57399999999999995</v>
      </c>
    </row>
    <row r="216" spans="2:3" x14ac:dyDescent="0.2">
      <c r="B216">
        <v>0.59619264264678073</v>
      </c>
      <c r="C216">
        <v>0.57199999999999995</v>
      </c>
    </row>
    <row r="217" spans="2:3" x14ac:dyDescent="0.2">
      <c r="B217">
        <v>0.59380130902954398</v>
      </c>
      <c r="C217">
        <v>0.56999999999999995</v>
      </c>
    </row>
    <row r="218" spans="2:3" x14ac:dyDescent="0.2">
      <c r="B218">
        <v>0.58962812591222802</v>
      </c>
      <c r="C218">
        <v>0.56799999999999995</v>
      </c>
    </row>
    <row r="219" spans="2:3" x14ac:dyDescent="0.2">
      <c r="B219">
        <v>0.58435879655077905</v>
      </c>
      <c r="C219">
        <v>0.56599999999999995</v>
      </c>
    </row>
    <row r="220" spans="2:3" x14ac:dyDescent="0.2">
      <c r="B220">
        <v>0.5828619780062626</v>
      </c>
      <c r="C220">
        <v>0.56399999999999995</v>
      </c>
    </row>
    <row r="221" spans="2:3" x14ac:dyDescent="0.2">
      <c r="B221">
        <v>0.58183504983048462</v>
      </c>
      <c r="C221">
        <v>0.56200000000000006</v>
      </c>
    </row>
    <row r="222" spans="2:3" x14ac:dyDescent="0.2">
      <c r="B222">
        <v>0.57971046251840685</v>
      </c>
      <c r="C222">
        <v>0.56000000000000005</v>
      </c>
    </row>
    <row r="223" spans="2:3" x14ac:dyDescent="0.2">
      <c r="B223">
        <v>0.57961171921274901</v>
      </c>
      <c r="C223">
        <v>0.55800000000000005</v>
      </c>
    </row>
    <row r="224" spans="2:3" x14ac:dyDescent="0.2">
      <c r="B224">
        <v>0.5750374754523131</v>
      </c>
      <c r="C224">
        <v>0.55600000000000005</v>
      </c>
    </row>
    <row r="225" spans="2:3" x14ac:dyDescent="0.2">
      <c r="B225">
        <v>0.57315893894064951</v>
      </c>
      <c r="C225">
        <v>0.55400000000000005</v>
      </c>
    </row>
    <row r="226" spans="2:3" x14ac:dyDescent="0.2">
      <c r="B226">
        <v>0.56702717796654833</v>
      </c>
      <c r="C226">
        <v>0.55200000000000005</v>
      </c>
    </row>
    <row r="227" spans="2:3" x14ac:dyDescent="0.2">
      <c r="B227">
        <v>0.56638848144094689</v>
      </c>
      <c r="C227">
        <v>0.55000000000000004</v>
      </c>
    </row>
    <row r="228" spans="2:3" x14ac:dyDescent="0.2">
      <c r="B228">
        <v>0.56447672403734805</v>
      </c>
      <c r="C228">
        <v>0.54800000000000004</v>
      </c>
    </row>
    <row r="229" spans="2:3" x14ac:dyDescent="0.2">
      <c r="B229">
        <v>0.56393447227819904</v>
      </c>
      <c r="C229">
        <v>0.54600000000000004</v>
      </c>
    </row>
    <row r="230" spans="2:3" x14ac:dyDescent="0.2">
      <c r="B230">
        <v>0.56256393277049399</v>
      </c>
      <c r="C230">
        <v>0.54400000000000004</v>
      </c>
    </row>
    <row r="231" spans="2:3" x14ac:dyDescent="0.2">
      <c r="B231">
        <v>0.55917799634625609</v>
      </c>
      <c r="C231">
        <v>0.54200000000000004</v>
      </c>
    </row>
    <row r="232" spans="2:3" x14ac:dyDescent="0.2">
      <c r="B232">
        <v>0.55573063569468295</v>
      </c>
      <c r="C232">
        <v>0.54</v>
      </c>
    </row>
    <row r="233" spans="2:3" x14ac:dyDescent="0.2">
      <c r="B233">
        <v>0.55531036353541752</v>
      </c>
      <c r="C233">
        <v>0.53800000000000003</v>
      </c>
    </row>
    <row r="234" spans="2:3" x14ac:dyDescent="0.2">
      <c r="B234">
        <v>0.55468252292336229</v>
      </c>
      <c r="C234">
        <v>0.53600000000000003</v>
      </c>
    </row>
    <row r="235" spans="2:3" x14ac:dyDescent="0.2">
      <c r="B235">
        <v>0.5537087645009322</v>
      </c>
      <c r="C235">
        <v>0.53400000000000003</v>
      </c>
    </row>
    <row r="236" spans="2:3" x14ac:dyDescent="0.2">
      <c r="B236">
        <v>0.55238049942839196</v>
      </c>
      <c r="C236">
        <v>0.53200000000000003</v>
      </c>
    </row>
    <row r="237" spans="2:3" x14ac:dyDescent="0.2">
      <c r="B237">
        <v>0.55072014847268003</v>
      </c>
      <c r="C237">
        <v>0.53</v>
      </c>
    </row>
    <row r="238" spans="2:3" x14ac:dyDescent="0.2">
      <c r="B238">
        <v>0.54825729905312293</v>
      </c>
      <c r="C238">
        <v>0.52800000000000002</v>
      </c>
    </row>
    <row r="239" spans="2:3" x14ac:dyDescent="0.2">
      <c r="B239">
        <v>0.54635552120703501</v>
      </c>
      <c r="C239">
        <v>0.52600000000000002</v>
      </c>
    </row>
    <row r="240" spans="2:3" x14ac:dyDescent="0.2">
      <c r="B240">
        <v>0.54263270815229181</v>
      </c>
      <c r="C240">
        <v>0.52400000000000002</v>
      </c>
    </row>
    <row r="241" spans="2:3" x14ac:dyDescent="0.2">
      <c r="B241">
        <v>0.54028464829180645</v>
      </c>
      <c r="C241">
        <v>0.52200000000000002</v>
      </c>
    </row>
    <row r="242" spans="2:3" x14ac:dyDescent="0.2">
      <c r="B242">
        <v>0.53763166011132701</v>
      </c>
      <c r="C242">
        <v>0.52</v>
      </c>
    </row>
    <row r="243" spans="2:3" x14ac:dyDescent="0.2">
      <c r="B243">
        <v>0.53272926070074289</v>
      </c>
      <c r="C243">
        <v>0.51800000000000002</v>
      </c>
    </row>
    <row r="244" spans="2:3" x14ac:dyDescent="0.2">
      <c r="B244">
        <v>0.53264092182608602</v>
      </c>
      <c r="C244">
        <v>0.51600000000000001</v>
      </c>
    </row>
    <row r="245" spans="2:3" x14ac:dyDescent="0.2">
      <c r="B245">
        <v>0.5276087556809359</v>
      </c>
      <c r="C245">
        <v>0.51400000000000001</v>
      </c>
    </row>
    <row r="246" spans="2:3" x14ac:dyDescent="0.2">
      <c r="B246">
        <v>0.52531983050426401</v>
      </c>
      <c r="C246">
        <v>0.51200000000000001</v>
      </c>
    </row>
    <row r="247" spans="2:3" x14ac:dyDescent="0.2">
      <c r="B247">
        <v>0.52403374874574593</v>
      </c>
      <c r="C247">
        <v>0.51</v>
      </c>
    </row>
    <row r="248" spans="2:3" x14ac:dyDescent="0.2">
      <c r="B248">
        <v>0.52321740040531628</v>
      </c>
      <c r="C248">
        <v>0.50800000000000001</v>
      </c>
    </row>
    <row r="249" spans="2:3" x14ac:dyDescent="0.2">
      <c r="B249">
        <v>0.51496971353610321</v>
      </c>
      <c r="C249">
        <v>0.50600000000000001</v>
      </c>
    </row>
    <row r="250" spans="2:3" x14ac:dyDescent="0.2">
      <c r="B250">
        <v>0.5143705680326579</v>
      </c>
      <c r="C250">
        <v>0.504</v>
      </c>
    </row>
    <row r="251" spans="2:3" x14ac:dyDescent="0.2">
      <c r="B251">
        <v>0.51230313247678805</v>
      </c>
      <c r="C251">
        <v>0.502</v>
      </c>
    </row>
    <row r="252" spans="2:3" x14ac:dyDescent="0.2">
      <c r="B252">
        <v>0.51021378678213303</v>
      </c>
      <c r="C252">
        <v>0.5</v>
      </c>
    </row>
    <row r="253" spans="2:3" x14ac:dyDescent="0.2">
      <c r="B253">
        <v>0.50582206902538895</v>
      </c>
      <c r="C253">
        <v>0.498</v>
      </c>
    </row>
    <row r="254" spans="2:3" x14ac:dyDescent="0.2">
      <c r="B254">
        <v>0.50550500753960104</v>
      </c>
      <c r="C254">
        <v>0.496</v>
      </c>
    </row>
    <row r="255" spans="2:3" x14ac:dyDescent="0.2">
      <c r="B255">
        <v>0.50495946639886102</v>
      </c>
      <c r="C255">
        <v>0.49399999999999999</v>
      </c>
    </row>
    <row r="256" spans="2:3" x14ac:dyDescent="0.2">
      <c r="B256">
        <v>0.50455354879896763</v>
      </c>
      <c r="C256">
        <v>0.49199999999999999</v>
      </c>
    </row>
    <row r="257" spans="2:3" x14ac:dyDescent="0.2">
      <c r="B257">
        <v>0.50371341154777105</v>
      </c>
      <c r="C257">
        <v>0.49</v>
      </c>
    </row>
    <row r="258" spans="2:3" x14ac:dyDescent="0.2">
      <c r="B258">
        <v>0.50266425419821903</v>
      </c>
      <c r="C258">
        <v>0.48799999999999999</v>
      </c>
    </row>
    <row r="259" spans="2:3" x14ac:dyDescent="0.2">
      <c r="B259">
        <v>0.50248792343985682</v>
      </c>
      <c r="C259">
        <v>0.48599999999999999</v>
      </c>
    </row>
    <row r="260" spans="2:3" x14ac:dyDescent="0.2">
      <c r="B260">
        <v>0.5000613097937554</v>
      </c>
      <c r="C260">
        <v>0.48399999999999999</v>
      </c>
    </row>
    <row r="261" spans="2:3" x14ac:dyDescent="0.2">
      <c r="B261">
        <v>0.49891339344268698</v>
      </c>
      <c r="C261">
        <v>0.48199999999999998</v>
      </c>
    </row>
    <row r="262" spans="2:3" x14ac:dyDescent="0.2">
      <c r="B262">
        <v>0.49887438300803599</v>
      </c>
      <c r="C262">
        <v>0.48</v>
      </c>
    </row>
    <row r="263" spans="2:3" x14ac:dyDescent="0.2">
      <c r="B263">
        <v>0.49507324754382198</v>
      </c>
      <c r="C263">
        <v>0.47799999999999998</v>
      </c>
    </row>
    <row r="264" spans="2:3" x14ac:dyDescent="0.2">
      <c r="B264">
        <v>0.49472060518172228</v>
      </c>
      <c r="C264">
        <v>0.47599999999999998</v>
      </c>
    </row>
    <row r="265" spans="2:3" x14ac:dyDescent="0.2">
      <c r="B265">
        <v>0.49417647360488004</v>
      </c>
      <c r="C265">
        <v>0.47399999999999998</v>
      </c>
    </row>
    <row r="266" spans="2:3" x14ac:dyDescent="0.2">
      <c r="B266">
        <v>0.4885494247485187</v>
      </c>
      <c r="C266">
        <v>0.47199999999999998</v>
      </c>
    </row>
    <row r="267" spans="2:3" x14ac:dyDescent="0.2">
      <c r="B267">
        <v>0.488216921880535</v>
      </c>
      <c r="C267">
        <v>0.47</v>
      </c>
    </row>
    <row r="268" spans="2:3" x14ac:dyDescent="0.2">
      <c r="B268">
        <v>0.48801948204314649</v>
      </c>
      <c r="C268">
        <v>0.46800000000000003</v>
      </c>
    </row>
    <row r="269" spans="2:3" x14ac:dyDescent="0.2">
      <c r="B269">
        <v>0.48527330493733456</v>
      </c>
      <c r="C269">
        <v>0.46600000000000003</v>
      </c>
    </row>
    <row r="270" spans="2:3" x14ac:dyDescent="0.2">
      <c r="B270">
        <v>0.48304228423523199</v>
      </c>
      <c r="C270">
        <v>0.46400000000000002</v>
      </c>
    </row>
    <row r="271" spans="2:3" x14ac:dyDescent="0.2">
      <c r="B271">
        <v>0.48214858663488602</v>
      </c>
      <c r="C271">
        <v>0.46200000000000002</v>
      </c>
    </row>
    <row r="272" spans="2:3" x14ac:dyDescent="0.2">
      <c r="B272">
        <v>0.48189760324390096</v>
      </c>
      <c r="C272">
        <v>0.46</v>
      </c>
    </row>
    <row r="273" spans="2:3" x14ac:dyDescent="0.2">
      <c r="B273">
        <v>0.48058005369250401</v>
      </c>
      <c r="C273">
        <v>0.45800000000000002</v>
      </c>
    </row>
    <row r="274" spans="2:3" x14ac:dyDescent="0.2">
      <c r="B274">
        <v>0.47767874253847054</v>
      </c>
      <c r="C274">
        <v>0.45600000000000002</v>
      </c>
    </row>
    <row r="275" spans="2:3" x14ac:dyDescent="0.2">
      <c r="B275">
        <v>0.47699073165701</v>
      </c>
      <c r="C275">
        <v>0.45400000000000001</v>
      </c>
    </row>
    <row r="276" spans="2:3" x14ac:dyDescent="0.2">
      <c r="B276">
        <v>0.47574249451436534</v>
      </c>
      <c r="C276">
        <v>0.45200000000000001</v>
      </c>
    </row>
    <row r="277" spans="2:3" x14ac:dyDescent="0.2">
      <c r="B277">
        <v>0.47555595608419399</v>
      </c>
      <c r="C277">
        <v>0.45</v>
      </c>
    </row>
    <row r="278" spans="2:3" x14ac:dyDescent="0.2">
      <c r="B278">
        <v>0.47275936652905404</v>
      </c>
      <c r="C278">
        <v>0.44800000000000001</v>
      </c>
    </row>
    <row r="279" spans="2:3" x14ac:dyDescent="0.2">
      <c r="B279">
        <v>0.47204330944526396</v>
      </c>
      <c r="C279">
        <v>0.44600000000000001</v>
      </c>
    </row>
    <row r="280" spans="2:3" x14ac:dyDescent="0.2">
      <c r="B280">
        <v>0.47177099400386158</v>
      </c>
      <c r="C280">
        <v>0.44400000000000001</v>
      </c>
    </row>
    <row r="281" spans="2:3" x14ac:dyDescent="0.2">
      <c r="B281">
        <v>0.47173794950453773</v>
      </c>
      <c r="C281">
        <v>0.442</v>
      </c>
    </row>
    <row r="282" spans="2:3" x14ac:dyDescent="0.2">
      <c r="B282">
        <v>0.46417787726588239</v>
      </c>
      <c r="C282">
        <v>0.44</v>
      </c>
    </row>
    <row r="283" spans="2:3" x14ac:dyDescent="0.2">
      <c r="B283">
        <v>0.45885730603647329</v>
      </c>
      <c r="C283">
        <v>0.438</v>
      </c>
    </row>
    <row r="284" spans="2:3" x14ac:dyDescent="0.2">
      <c r="B284">
        <v>0.45448310890690802</v>
      </c>
      <c r="C284">
        <v>0.436</v>
      </c>
    </row>
    <row r="285" spans="2:3" x14ac:dyDescent="0.2">
      <c r="B285">
        <v>0.454450884658536</v>
      </c>
      <c r="C285">
        <v>0.434</v>
      </c>
    </row>
    <row r="286" spans="2:3" x14ac:dyDescent="0.2">
      <c r="B286">
        <v>0.45374898089665905</v>
      </c>
      <c r="C286">
        <v>0.432</v>
      </c>
    </row>
    <row r="287" spans="2:3" x14ac:dyDescent="0.2">
      <c r="B287">
        <v>0.4534367519816862</v>
      </c>
      <c r="C287">
        <v>0.43</v>
      </c>
    </row>
    <row r="288" spans="2:3" x14ac:dyDescent="0.2">
      <c r="B288">
        <v>0.451322570195622</v>
      </c>
      <c r="C288">
        <v>0.42799999999999999</v>
      </c>
    </row>
    <row r="289" spans="2:3" x14ac:dyDescent="0.2">
      <c r="B289">
        <v>0.45118613958014586</v>
      </c>
      <c r="C289">
        <v>0.42599999999999999</v>
      </c>
    </row>
    <row r="290" spans="2:3" x14ac:dyDescent="0.2">
      <c r="B290">
        <v>0.44954356126012296</v>
      </c>
      <c r="C290">
        <v>0.42399999999999999</v>
      </c>
    </row>
    <row r="291" spans="2:3" x14ac:dyDescent="0.2">
      <c r="B291">
        <v>0.44929185232890306</v>
      </c>
      <c r="C291">
        <v>0.42199999999999999</v>
      </c>
    </row>
    <row r="292" spans="2:3" x14ac:dyDescent="0.2">
      <c r="B292">
        <v>0.44876204951330634</v>
      </c>
      <c r="C292">
        <v>0.42</v>
      </c>
    </row>
    <row r="293" spans="2:3" x14ac:dyDescent="0.2">
      <c r="B293">
        <v>0.44756149880529117</v>
      </c>
      <c r="C293">
        <v>0.41799999999999998</v>
      </c>
    </row>
    <row r="294" spans="2:3" x14ac:dyDescent="0.2">
      <c r="B294">
        <v>0.44735450710884</v>
      </c>
      <c r="C294">
        <v>0.41599999999999998</v>
      </c>
    </row>
    <row r="295" spans="2:3" x14ac:dyDescent="0.2">
      <c r="B295">
        <v>0.44660986536345632</v>
      </c>
      <c r="C295">
        <v>0.41399999999999998</v>
      </c>
    </row>
    <row r="296" spans="2:3" x14ac:dyDescent="0.2">
      <c r="B296">
        <v>0.444781419645077</v>
      </c>
      <c r="C296">
        <v>0.41199999999999998</v>
      </c>
    </row>
    <row r="297" spans="2:3" x14ac:dyDescent="0.2">
      <c r="B297">
        <v>0.44241147759864574</v>
      </c>
      <c r="C297">
        <v>0.41</v>
      </c>
    </row>
    <row r="298" spans="2:3" x14ac:dyDescent="0.2">
      <c r="B298">
        <v>0.44017991142231028</v>
      </c>
      <c r="C298">
        <v>0.40799999999999997</v>
      </c>
    </row>
    <row r="299" spans="2:3" x14ac:dyDescent="0.2">
      <c r="B299">
        <v>0.43680670500263169</v>
      </c>
      <c r="C299">
        <v>0.40600000000000003</v>
      </c>
    </row>
    <row r="300" spans="2:3" x14ac:dyDescent="0.2">
      <c r="B300">
        <v>0.43570368010849203</v>
      </c>
      <c r="C300">
        <v>0.40400000000000003</v>
      </c>
    </row>
    <row r="301" spans="2:3" x14ac:dyDescent="0.2">
      <c r="B301">
        <v>0.43442498549062725</v>
      </c>
      <c r="C301">
        <v>0.40200000000000002</v>
      </c>
    </row>
    <row r="302" spans="2:3" x14ac:dyDescent="0.2">
      <c r="B302">
        <v>0.42711281523849898</v>
      </c>
      <c r="C302">
        <v>0.4</v>
      </c>
    </row>
    <row r="303" spans="2:3" x14ac:dyDescent="0.2">
      <c r="B303">
        <v>0.42441984360962898</v>
      </c>
      <c r="C303">
        <v>0.39800000000000002</v>
      </c>
    </row>
    <row r="304" spans="2:3" x14ac:dyDescent="0.2">
      <c r="B304">
        <v>0.42372673570428798</v>
      </c>
      <c r="C304">
        <v>0.39600000000000002</v>
      </c>
    </row>
    <row r="305" spans="2:3" x14ac:dyDescent="0.2">
      <c r="B305">
        <v>0.42312156739695983</v>
      </c>
      <c r="C305">
        <v>0.39400000000000002</v>
      </c>
    </row>
    <row r="306" spans="2:3" x14ac:dyDescent="0.2">
      <c r="B306">
        <v>0.42115029100936391</v>
      </c>
      <c r="C306">
        <v>0.39200000000000002</v>
      </c>
    </row>
    <row r="307" spans="2:3" x14ac:dyDescent="0.2">
      <c r="B307">
        <v>0.4155571908333987</v>
      </c>
      <c r="C307">
        <v>0.39</v>
      </c>
    </row>
    <row r="308" spans="2:3" x14ac:dyDescent="0.2">
      <c r="B308">
        <v>0.4147814621790904</v>
      </c>
      <c r="C308">
        <v>0.38800000000000001</v>
      </c>
    </row>
    <row r="309" spans="2:3" x14ac:dyDescent="0.2">
      <c r="B309">
        <v>0.41406135236286323</v>
      </c>
      <c r="C309">
        <v>0.38600000000000001</v>
      </c>
    </row>
    <row r="310" spans="2:3" x14ac:dyDescent="0.2">
      <c r="B310">
        <v>0.41320303015825938</v>
      </c>
      <c r="C310">
        <v>0.38400000000000001</v>
      </c>
    </row>
    <row r="311" spans="2:3" x14ac:dyDescent="0.2">
      <c r="B311">
        <v>0.41113144067122337</v>
      </c>
      <c r="C311">
        <v>0.38200000000000001</v>
      </c>
    </row>
    <row r="312" spans="2:3" x14ac:dyDescent="0.2">
      <c r="B312">
        <v>0.40452898209088572</v>
      </c>
      <c r="C312">
        <v>0.38</v>
      </c>
    </row>
    <row r="313" spans="2:3" x14ac:dyDescent="0.2">
      <c r="B313">
        <v>0.40348816043482272</v>
      </c>
      <c r="C313">
        <v>0.378</v>
      </c>
    </row>
    <row r="314" spans="2:3" x14ac:dyDescent="0.2">
      <c r="B314">
        <v>0.39978125387900404</v>
      </c>
      <c r="C314">
        <v>0.376</v>
      </c>
    </row>
    <row r="315" spans="2:3" x14ac:dyDescent="0.2">
      <c r="B315">
        <v>0.399250881277051</v>
      </c>
      <c r="C315">
        <v>0.374</v>
      </c>
    </row>
    <row r="316" spans="2:3" x14ac:dyDescent="0.2">
      <c r="B316">
        <v>0.39651634447508671</v>
      </c>
      <c r="C316">
        <v>0.372</v>
      </c>
    </row>
    <row r="317" spans="2:3" x14ac:dyDescent="0.2">
      <c r="B317">
        <v>0.39299359955765401</v>
      </c>
      <c r="C317">
        <v>0.37</v>
      </c>
    </row>
    <row r="318" spans="2:3" x14ac:dyDescent="0.2">
      <c r="B318">
        <v>0.39226261392111705</v>
      </c>
      <c r="C318">
        <v>0.36799999999999999</v>
      </c>
    </row>
    <row r="319" spans="2:3" x14ac:dyDescent="0.2">
      <c r="B319">
        <v>0.39013806948489499</v>
      </c>
      <c r="C319">
        <v>0.36599999999999999</v>
      </c>
    </row>
    <row r="320" spans="2:3" x14ac:dyDescent="0.2">
      <c r="B320">
        <v>0.38574204973369669</v>
      </c>
      <c r="C320">
        <v>0.36399999999999999</v>
      </c>
    </row>
    <row r="321" spans="2:3" x14ac:dyDescent="0.2">
      <c r="B321">
        <v>0.38309064335948217</v>
      </c>
      <c r="C321">
        <v>0.36199999999999999</v>
      </c>
    </row>
    <row r="322" spans="2:3" x14ac:dyDescent="0.2">
      <c r="B322">
        <v>0.38128794890013906</v>
      </c>
      <c r="C322">
        <v>0.36</v>
      </c>
    </row>
    <row r="323" spans="2:3" x14ac:dyDescent="0.2">
      <c r="B323">
        <v>0.38040039002093101</v>
      </c>
      <c r="C323">
        <v>0.35799999999999998</v>
      </c>
    </row>
    <row r="324" spans="2:3" x14ac:dyDescent="0.2">
      <c r="B324">
        <v>0.37778274046979099</v>
      </c>
      <c r="C324">
        <v>0.35599999999999998</v>
      </c>
    </row>
    <row r="325" spans="2:3" x14ac:dyDescent="0.2">
      <c r="B325">
        <v>0.3772421861256412</v>
      </c>
      <c r="C325">
        <v>0.35399999999999998</v>
      </c>
    </row>
    <row r="326" spans="2:3" x14ac:dyDescent="0.2">
      <c r="B326">
        <v>0.37600022002522199</v>
      </c>
      <c r="C326">
        <v>0.35199999999999998</v>
      </c>
    </row>
    <row r="327" spans="2:3" x14ac:dyDescent="0.2">
      <c r="B327">
        <v>0.37462538363179881</v>
      </c>
      <c r="C327">
        <v>0.35</v>
      </c>
    </row>
    <row r="328" spans="2:3" x14ac:dyDescent="0.2">
      <c r="B328">
        <v>0.37448182100663402</v>
      </c>
      <c r="C328">
        <v>0.34799999999999998</v>
      </c>
    </row>
    <row r="329" spans="2:3" x14ac:dyDescent="0.2">
      <c r="B329">
        <v>0.36875248812801298</v>
      </c>
      <c r="C329">
        <v>0.34599999999999997</v>
      </c>
    </row>
    <row r="330" spans="2:3" x14ac:dyDescent="0.2">
      <c r="B330">
        <v>0.36529971514194626</v>
      </c>
      <c r="C330">
        <v>0.34399999999999997</v>
      </c>
    </row>
    <row r="331" spans="2:3" x14ac:dyDescent="0.2">
      <c r="B331">
        <v>0.36210841837976293</v>
      </c>
      <c r="C331">
        <v>0.34200000000000003</v>
      </c>
    </row>
    <row r="332" spans="2:3" x14ac:dyDescent="0.2">
      <c r="B332">
        <v>0.36133852989132031</v>
      </c>
      <c r="C332">
        <v>0.34</v>
      </c>
    </row>
    <row r="333" spans="2:3" x14ac:dyDescent="0.2">
      <c r="B333">
        <v>0.35997300270101801</v>
      </c>
      <c r="C333">
        <v>0.33800000000000002</v>
      </c>
    </row>
    <row r="334" spans="2:3" x14ac:dyDescent="0.2">
      <c r="B334">
        <v>0.35781029295741301</v>
      </c>
      <c r="C334">
        <v>0.33600000000000002</v>
      </c>
    </row>
    <row r="335" spans="2:3" x14ac:dyDescent="0.2">
      <c r="B335">
        <v>0.35584262419594481</v>
      </c>
      <c r="C335">
        <v>0.33400000000000002</v>
      </c>
    </row>
    <row r="336" spans="2:3" x14ac:dyDescent="0.2">
      <c r="B336">
        <v>0.35548818551994199</v>
      </c>
      <c r="C336">
        <v>0.33200000000000002</v>
      </c>
    </row>
    <row r="337" spans="2:3" x14ac:dyDescent="0.2">
      <c r="B337">
        <v>0.35380844311769433</v>
      </c>
      <c r="C337">
        <v>0.33</v>
      </c>
    </row>
    <row r="338" spans="2:3" x14ac:dyDescent="0.2">
      <c r="B338">
        <v>0.35335469932857266</v>
      </c>
      <c r="C338">
        <v>0.32800000000000001</v>
      </c>
    </row>
    <row r="339" spans="2:3" x14ac:dyDescent="0.2">
      <c r="B339">
        <v>0.35253297367170666</v>
      </c>
      <c r="C339">
        <v>0.32600000000000001</v>
      </c>
    </row>
    <row r="340" spans="2:3" x14ac:dyDescent="0.2">
      <c r="B340">
        <v>0.35087198015336601</v>
      </c>
      <c r="C340">
        <v>0.32400000000000001</v>
      </c>
    </row>
    <row r="341" spans="2:3" x14ac:dyDescent="0.2">
      <c r="B341">
        <v>0.35019569542548001</v>
      </c>
      <c r="C341">
        <v>0.32200000000000001</v>
      </c>
    </row>
    <row r="342" spans="2:3" x14ac:dyDescent="0.2">
      <c r="B342">
        <v>0.34656299415033598</v>
      </c>
      <c r="C342">
        <v>0.32</v>
      </c>
    </row>
    <row r="343" spans="2:3" x14ac:dyDescent="0.2">
      <c r="B343">
        <v>0.33893242840872506</v>
      </c>
      <c r="C343">
        <v>0.318</v>
      </c>
    </row>
    <row r="344" spans="2:3" x14ac:dyDescent="0.2">
      <c r="B344">
        <v>0.33866492894157901</v>
      </c>
      <c r="C344">
        <v>0.316</v>
      </c>
    </row>
    <row r="345" spans="2:3" x14ac:dyDescent="0.2">
      <c r="B345">
        <v>0.3293368665389626</v>
      </c>
      <c r="C345">
        <v>0.314</v>
      </c>
    </row>
    <row r="346" spans="2:3" x14ac:dyDescent="0.2">
      <c r="B346">
        <v>0.32533340676078898</v>
      </c>
      <c r="C346">
        <v>0.312</v>
      </c>
    </row>
    <row r="347" spans="2:3" x14ac:dyDescent="0.2">
      <c r="B347">
        <v>0.32492858063935703</v>
      </c>
      <c r="C347">
        <v>0.31</v>
      </c>
    </row>
    <row r="348" spans="2:3" x14ac:dyDescent="0.2">
      <c r="B348">
        <v>0.323628643151819</v>
      </c>
      <c r="C348">
        <v>0.308</v>
      </c>
    </row>
    <row r="349" spans="2:3" x14ac:dyDescent="0.2">
      <c r="B349">
        <v>0.32261751099446101</v>
      </c>
      <c r="C349">
        <v>0.30599999999999999</v>
      </c>
    </row>
    <row r="350" spans="2:3" x14ac:dyDescent="0.2">
      <c r="B350">
        <v>0.31966755762226878</v>
      </c>
      <c r="C350">
        <v>0.30399999999999999</v>
      </c>
    </row>
    <row r="351" spans="2:3" x14ac:dyDescent="0.2">
      <c r="B351">
        <v>0.31954375157466303</v>
      </c>
      <c r="C351">
        <v>0.30199999999999999</v>
      </c>
    </row>
    <row r="352" spans="2:3" x14ac:dyDescent="0.2">
      <c r="B352">
        <v>0.31882593787789698</v>
      </c>
      <c r="C352">
        <v>0.3</v>
      </c>
    </row>
    <row r="353" spans="2:3" x14ac:dyDescent="0.2">
      <c r="B353">
        <v>0.31800939898251157</v>
      </c>
      <c r="C353">
        <v>0.29799999999999999</v>
      </c>
    </row>
    <row r="354" spans="2:3" x14ac:dyDescent="0.2">
      <c r="B354">
        <v>0.31703009334827298</v>
      </c>
      <c r="C354">
        <v>0.29599999999999999</v>
      </c>
    </row>
    <row r="355" spans="2:3" x14ac:dyDescent="0.2">
      <c r="B355">
        <v>0.3162060425504829</v>
      </c>
      <c r="C355">
        <v>0.29399999999999998</v>
      </c>
    </row>
    <row r="356" spans="2:3" x14ac:dyDescent="0.2">
      <c r="B356">
        <v>0.31573932800281201</v>
      </c>
      <c r="C356">
        <v>0.29199999999999998</v>
      </c>
    </row>
    <row r="357" spans="2:3" x14ac:dyDescent="0.2">
      <c r="B357">
        <v>0.31497209022816292</v>
      </c>
      <c r="C357">
        <v>0.28999999999999998</v>
      </c>
    </row>
    <row r="358" spans="2:3" x14ac:dyDescent="0.2">
      <c r="B358">
        <v>0.31404501494876813</v>
      </c>
      <c r="C358">
        <v>0.28799999999999998</v>
      </c>
    </row>
    <row r="359" spans="2:3" x14ac:dyDescent="0.2">
      <c r="B359">
        <v>0.31136891848194398</v>
      </c>
      <c r="C359">
        <v>0.28599999999999998</v>
      </c>
    </row>
    <row r="360" spans="2:3" x14ac:dyDescent="0.2">
      <c r="B360">
        <v>0.30794729652330022</v>
      </c>
      <c r="C360">
        <v>0.28399999999999997</v>
      </c>
    </row>
    <row r="361" spans="2:3" x14ac:dyDescent="0.2">
      <c r="B361">
        <v>0.3016715619616393</v>
      </c>
      <c r="C361">
        <v>0.28199999999999997</v>
      </c>
    </row>
    <row r="362" spans="2:3" x14ac:dyDescent="0.2">
      <c r="B362">
        <v>0.29982998710855319</v>
      </c>
      <c r="C362">
        <v>0.28000000000000003</v>
      </c>
    </row>
    <row r="363" spans="2:3" x14ac:dyDescent="0.2">
      <c r="B363">
        <v>0.29859104071586001</v>
      </c>
      <c r="C363">
        <v>0.27800000000000002</v>
      </c>
    </row>
    <row r="364" spans="2:3" x14ac:dyDescent="0.2">
      <c r="B364">
        <v>0.296625854262064</v>
      </c>
      <c r="C364">
        <v>0.27600000000000002</v>
      </c>
    </row>
    <row r="365" spans="2:3" x14ac:dyDescent="0.2">
      <c r="B365">
        <v>0.29626380110558703</v>
      </c>
      <c r="C365">
        <v>0.27400000000000002</v>
      </c>
    </row>
    <row r="366" spans="2:3" x14ac:dyDescent="0.2">
      <c r="B366">
        <v>0.295389509979955</v>
      </c>
      <c r="C366">
        <v>0.27200000000000002</v>
      </c>
    </row>
    <row r="367" spans="2:3" x14ac:dyDescent="0.2">
      <c r="B367">
        <v>0.2895543777291657</v>
      </c>
      <c r="C367">
        <v>0.27</v>
      </c>
    </row>
    <row r="368" spans="2:3" x14ac:dyDescent="0.2">
      <c r="B368">
        <v>0.28775798984154921</v>
      </c>
      <c r="C368">
        <v>0.26800000000000002</v>
      </c>
    </row>
    <row r="369" spans="2:3" x14ac:dyDescent="0.2">
      <c r="B369">
        <v>0.28341559438014235</v>
      </c>
      <c r="C369">
        <v>0.26600000000000001</v>
      </c>
    </row>
    <row r="370" spans="2:3" x14ac:dyDescent="0.2">
      <c r="B370">
        <v>0.28148136792487471</v>
      </c>
      <c r="C370">
        <v>0.26400000000000001</v>
      </c>
    </row>
    <row r="371" spans="2:3" x14ac:dyDescent="0.2">
      <c r="B371">
        <v>0.27905460215418099</v>
      </c>
      <c r="C371">
        <v>0.26200000000000001</v>
      </c>
    </row>
    <row r="372" spans="2:3" x14ac:dyDescent="0.2">
      <c r="B372">
        <v>0.27877508710844939</v>
      </c>
      <c r="C372">
        <v>0.26</v>
      </c>
    </row>
    <row r="373" spans="2:3" x14ac:dyDescent="0.2">
      <c r="B373">
        <v>0.27724804495951982</v>
      </c>
      <c r="C373">
        <v>0.25800000000000001</v>
      </c>
    </row>
    <row r="374" spans="2:3" x14ac:dyDescent="0.2">
      <c r="B374">
        <v>0.27703879023456962</v>
      </c>
      <c r="C374">
        <v>0.25600000000000001</v>
      </c>
    </row>
    <row r="375" spans="2:3" x14ac:dyDescent="0.2">
      <c r="B375">
        <v>0.27543722463439341</v>
      </c>
      <c r="C375">
        <v>0.254</v>
      </c>
    </row>
    <row r="376" spans="2:3" x14ac:dyDescent="0.2">
      <c r="B376">
        <v>0.27443477223955298</v>
      </c>
      <c r="C376">
        <v>0.252</v>
      </c>
    </row>
    <row r="377" spans="2:3" x14ac:dyDescent="0.2">
      <c r="B377">
        <v>0.27101485747980431</v>
      </c>
      <c r="C377">
        <v>0.25</v>
      </c>
    </row>
    <row r="378" spans="2:3" x14ac:dyDescent="0.2">
      <c r="B378">
        <v>0.26959855348603901</v>
      </c>
      <c r="C378">
        <v>0.248</v>
      </c>
    </row>
    <row r="379" spans="2:3" x14ac:dyDescent="0.2">
      <c r="B379">
        <v>0.26880647234051203</v>
      </c>
      <c r="C379">
        <v>0.246</v>
      </c>
    </row>
    <row r="380" spans="2:3" x14ac:dyDescent="0.2">
      <c r="B380">
        <v>0.26756656680369273</v>
      </c>
      <c r="C380">
        <v>0.24399999999999999</v>
      </c>
    </row>
    <row r="381" spans="2:3" x14ac:dyDescent="0.2">
      <c r="B381">
        <v>0.25936976796455352</v>
      </c>
      <c r="C381">
        <v>0.24199999999999999</v>
      </c>
    </row>
    <row r="382" spans="2:3" x14ac:dyDescent="0.2">
      <c r="B382">
        <v>0.25891260761887108</v>
      </c>
      <c r="C382">
        <v>0.24</v>
      </c>
    </row>
    <row r="383" spans="2:3" x14ac:dyDescent="0.2">
      <c r="B383">
        <v>0.25858667288827897</v>
      </c>
      <c r="C383">
        <v>0.23799999999999999</v>
      </c>
    </row>
    <row r="384" spans="2:3" x14ac:dyDescent="0.2">
      <c r="B384">
        <v>0.25758210097763401</v>
      </c>
      <c r="C384">
        <v>0.23599999999999999</v>
      </c>
    </row>
    <row r="385" spans="2:3" x14ac:dyDescent="0.2">
      <c r="B385">
        <v>0.25597869548660701</v>
      </c>
      <c r="C385">
        <v>0.23400000000000001</v>
      </c>
    </row>
    <row r="386" spans="2:3" x14ac:dyDescent="0.2">
      <c r="B386">
        <v>0.25319446697532</v>
      </c>
      <c r="C386">
        <v>0.23200000000000001</v>
      </c>
    </row>
    <row r="387" spans="2:3" x14ac:dyDescent="0.2">
      <c r="B387">
        <v>0.25285855342458102</v>
      </c>
      <c r="C387">
        <v>0.23</v>
      </c>
    </row>
    <row r="388" spans="2:3" x14ac:dyDescent="0.2">
      <c r="B388">
        <v>0.25201486365924203</v>
      </c>
      <c r="C388">
        <v>0.22800000000000001</v>
      </c>
    </row>
    <row r="389" spans="2:3" x14ac:dyDescent="0.2">
      <c r="B389">
        <v>0.25133513478055602</v>
      </c>
      <c r="C389">
        <v>0.22600000000000001</v>
      </c>
    </row>
    <row r="390" spans="2:3" x14ac:dyDescent="0.2">
      <c r="B390">
        <v>0.25039837456299691</v>
      </c>
      <c r="C390">
        <v>0.224</v>
      </c>
    </row>
    <row r="391" spans="2:3" x14ac:dyDescent="0.2">
      <c r="B391">
        <v>0.24991014065245201</v>
      </c>
      <c r="C391">
        <v>0.222</v>
      </c>
    </row>
    <row r="392" spans="2:3" x14ac:dyDescent="0.2">
      <c r="B392">
        <v>0.24911290871024799</v>
      </c>
      <c r="C392">
        <v>0.22</v>
      </c>
    </row>
    <row r="393" spans="2:3" x14ac:dyDescent="0.2">
      <c r="B393">
        <v>0.24278525609315679</v>
      </c>
      <c r="C393">
        <v>0.218</v>
      </c>
    </row>
    <row r="394" spans="2:3" x14ac:dyDescent="0.2">
      <c r="B394">
        <v>0.23771489629809628</v>
      </c>
      <c r="C394">
        <v>0.216</v>
      </c>
    </row>
    <row r="395" spans="2:3" x14ac:dyDescent="0.2">
      <c r="B395">
        <v>0.237151818554178</v>
      </c>
      <c r="C395">
        <v>0.214</v>
      </c>
    </row>
    <row r="396" spans="2:3" x14ac:dyDescent="0.2">
      <c r="B396">
        <v>0.2364373522708853</v>
      </c>
      <c r="C396">
        <v>0.21199999999999999</v>
      </c>
    </row>
    <row r="397" spans="2:3" x14ac:dyDescent="0.2">
      <c r="B397">
        <v>0.23606027711328501</v>
      </c>
      <c r="C397">
        <v>0.21</v>
      </c>
    </row>
    <row r="398" spans="2:3" x14ac:dyDescent="0.2">
      <c r="B398">
        <v>0.23176809463418802</v>
      </c>
      <c r="C398">
        <v>0.20799999999999999</v>
      </c>
    </row>
    <row r="399" spans="2:3" x14ac:dyDescent="0.2">
      <c r="B399">
        <v>0.2295065942515731</v>
      </c>
      <c r="C399">
        <v>0.20599999999999999</v>
      </c>
    </row>
    <row r="400" spans="2:3" x14ac:dyDescent="0.2">
      <c r="B400">
        <v>0.22716758478865071</v>
      </c>
      <c r="C400">
        <v>0.20399999999999999</v>
      </c>
    </row>
    <row r="401" spans="2:3" x14ac:dyDescent="0.2">
      <c r="B401">
        <v>0.227112500422257</v>
      </c>
      <c r="C401">
        <v>0.20200000000000001</v>
      </c>
    </row>
    <row r="402" spans="2:3" x14ac:dyDescent="0.2">
      <c r="B402">
        <v>0.22546907891228901</v>
      </c>
      <c r="C402">
        <v>0.2</v>
      </c>
    </row>
    <row r="403" spans="2:3" x14ac:dyDescent="0.2">
      <c r="B403">
        <v>0.2248515656776944</v>
      </c>
      <c r="C403">
        <v>0.19800000000000001</v>
      </c>
    </row>
    <row r="404" spans="2:3" x14ac:dyDescent="0.2">
      <c r="B404">
        <v>0.22412085938217052</v>
      </c>
      <c r="C404">
        <v>0.19600000000000001</v>
      </c>
    </row>
    <row r="405" spans="2:3" x14ac:dyDescent="0.2">
      <c r="B405">
        <v>0.22185243594605858</v>
      </c>
      <c r="C405">
        <v>0.19400000000000001</v>
      </c>
    </row>
    <row r="406" spans="2:3" x14ac:dyDescent="0.2">
      <c r="B406">
        <v>0.21746861955218649</v>
      </c>
      <c r="C406">
        <v>0.192</v>
      </c>
    </row>
    <row r="407" spans="2:3" x14ac:dyDescent="0.2">
      <c r="B407">
        <v>0.21718251957488499</v>
      </c>
      <c r="C407">
        <v>0.19</v>
      </c>
    </row>
    <row r="408" spans="2:3" x14ac:dyDescent="0.2">
      <c r="B408">
        <v>0.21451014815736069</v>
      </c>
      <c r="C408">
        <v>0.188</v>
      </c>
    </row>
    <row r="409" spans="2:3" x14ac:dyDescent="0.2">
      <c r="B409">
        <v>0.21294422265020099</v>
      </c>
      <c r="C409">
        <v>0.186</v>
      </c>
    </row>
    <row r="410" spans="2:3" x14ac:dyDescent="0.2">
      <c r="B410">
        <v>0.20974428280676999</v>
      </c>
      <c r="C410">
        <v>0.184</v>
      </c>
    </row>
    <row r="411" spans="2:3" x14ac:dyDescent="0.2">
      <c r="B411">
        <v>0.208192834994674</v>
      </c>
      <c r="C411">
        <v>0.182</v>
      </c>
    </row>
    <row r="412" spans="2:3" x14ac:dyDescent="0.2">
      <c r="B412">
        <v>0.20608526814610501</v>
      </c>
      <c r="C412">
        <v>0.18</v>
      </c>
    </row>
    <row r="413" spans="2:3" x14ac:dyDescent="0.2">
      <c r="B413">
        <v>0.20461037744625801</v>
      </c>
      <c r="C413">
        <v>0.17799999999999999</v>
      </c>
    </row>
    <row r="414" spans="2:3" x14ac:dyDescent="0.2">
      <c r="B414">
        <v>0.20366776118761101</v>
      </c>
      <c r="C414">
        <v>0.17599999999999999</v>
      </c>
    </row>
    <row r="415" spans="2:3" x14ac:dyDescent="0.2">
      <c r="B415">
        <v>0.2007508134219603</v>
      </c>
      <c r="C415">
        <v>0.17399999999999999</v>
      </c>
    </row>
    <row r="416" spans="2:3" x14ac:dyDescent="0.2">
      <c r="B416">
        <v>0.20063702150655899</v>
      </c>
      <c r="C416">
        <v>0.17199999999999999</v>
      </c>
    </row>
    <row r="417" spans="2:3" x14ac:dyDescent="0.2">
      <c r="B417">
        <v>0.19867471200431358</v>
      </c>
      <c r="C417">
        <v>0.17</v>
      </c>
    </row>
    <row r="418" spans="2:3" x14ac:dyDescent="0.2">
      <c r="B418">
        <v>0.19817976103546681</v>
      </c>
      <c r="C418">
        <v>0.16800000000000001</v>
      </c>
    </row>
    <row r="419" spans="2:3" x14ac:dyDescent="0.2">
      <c r="B419">
        <v>0.196223768981199</v>
      </c>
      <c r="C419">
        <v>0.16600000000000001</v>
      </c>
    </row>
    <row r="420" spans="2:3" x14ac:dyDescent="0.2">
      <c r="B420">
        <v>0.19587586700354359</v>
      </c>
      <c r="C420">
        <v>0.16400000000000001</v>
      </c>
    </row>
    <row r="421" spans="2:3" x14ac:dyDescent="0.2">
      <c r="B421">
        <v>0.19358354534125199</v>
      </c>
      <c r="C421">
        <v>0.16200000000000001</v>
      </c>
    </row>
    <row r="422" spans="2:3" x14ac:dyDescent="0.2">
      <c r="B422">
        <v>0.19333390488212299</v>
      </c>
      <c r="C422">
        <v>0.16</v>
      </c>
    </row>
    <row r="423" spans="2:3" x14ac:dyDescent="0.2">
      <c r="B423">
        <v>0.18951464151436448</v>
      </c>
      <c r="C423">
        <v>0.158</v>
      </c>
    </row>
    <row r="424" spans="2:3" x14ac:dyDescent="0.2">
      <c r="B424">
        <v>0.18650122864007401</v>
      </c>
      <c r="C424">
        <v>0.156</v>
      </c>
    </row>
    <row r="425" spans="2:3" x14ac:dyDescent="0.2">
      <c r="B425">
        <v>0.18447339239232441</v>
      </c>
      <c r="C425">
        <v>0.154</v>
      </c>
    </row>
    <row r="426" spans="2:3" x14ac:dyDescent="0.2">
      <c r="B426">
        <v>0.18403814480384201</v>
      </c>
      <c r="C426">
        <v>0.152</v>
      </c>
    </row>
    <row r="427" spans="2:3" x14ac:dyDescent="0.2">
      <c r="B427">
        <v>0.18174366633092401</v>
      </c>
      <c r="C427">
        <v>0.15</v>
      </c>
    </row>
    <row r="428" spans="2:3" x14ac:dyDescent="0.2">
      <c r="B428">
        <v>0.17764121973411001</v>
      </c>
      <c r="C428">
        <v>0.14799999999999999</v>
      </c>
    </row>
    <row r="429" spans="2:3" x14ac:dyDescent="0.2">
      <c r="B429">
        <v>0.176766141721799</v>
      </c>
      <c r="C429">
        <v>0.14599999999999999</v>
      </c>
    </row>
    <row r="430" spans="2:3" x14ac:dyDescent="0.2">
      <c r="B430">
        <v>0.17429065830957982</v>
      </c>
      <c r="C430">
        <v>0.14399999999999999</v>
      </c>
    </row>
    <row r="431" spans="2:3" x14ac:dyDescent="0.2">
      <c r="B431">
        <v>0.17382090160216399</v>
      </c>
      <c r="C431">
        <v>0.14199999999999999</v>
      </c>
    </row>
    <row r="432" spans="2:3" x14ac:dyDescent="0.2">
      <c r="B432">
        <v>0.1737226999732481</v>
      </c>
      <c r="C432">
        <v>0.14000000000000001</v>
      </c>
    </row>
    <row r="433" spans="2:3" x14ac:dyDescent="0.2">
      <c r="B433">
        <v>0.1707072780238684</v>
      </c>
      <c r="C433">
        <v>0.13800000000000001</v>
      </c>
    </row>
    <row r="434" spans="2:3" x14ac:dyDescent="0.2">
      <c r="B434">
        <v>0.16739847568414429</v>
      </c>
      <c r="C434">
        <v>0.13600000000000001</v>
      </c>
    </row>
    <row r="435" spans="2:3" x14ac:dyDescent="0.2">
      <c r="B435">
        <v>0.16479614006066701</v>
      </c>
      <c r="C435">
        <v>0.13400000000000001</v>
      </c>
    </row>
    <row r="436" spans="2:3" x14ac:dyDescent="0.2">
      <c r="B436">
        <v>0.158980710451326</v>
      </c>
      <c r="C436">
        <v>0.13200000000000001</v>
      </c>
    </row>
    <row r="437" spans="2:3" x14ac:dyDescent="0.2">
      <c r="B437">
        <v>0.152580404440535</v>
      </c>
      <c r="C437">
        <v>0.13</v>
      </c>
    </row>
    <row r="438" spans="2:3" x14ac:dyDescent="0.2">
      <c r="B438">
        <v>0.15075200197039401</v>
      </c>
      <c r="C438">
        <v>0.128</v>
      </c>
    </row>
    <row r="439" spans="2:3" x14ac:dyDescent="0.2">
      <c r="B439">
        <v>0.150227912036588</v>
      </c>
      <c r="C439">
        <v>0.126</v>
      </c>
    </row>
    <row r="440" spans="2:3" x14ac:dyDescent="0.2">
      <c r="B440">
        <v>0.14718143379256601</v>
      </c>
      <c r="C440">
        <v>0.124</v>
      </c>
    </row>
    <row r="441" spans="2:3" x14ac:dyDescent="0.2">
      <c r="B441">
        <v>0.14479269971894601</v>
      </c>
      <c r="C441">
        <v>0.122</v>
      </c>
    </row>
    <row r="442" spans="2:3" x14ac:dyDescent="0.2">
      <c r="B442">
        <v>0.143603114797308</v>
      </c>
      <c r="C442">
        <v>0.12</v>
      </c>
    </row>
    <row r="443" spans="2:3" x14ac:dyDescent="0.2">
      <c r="B443">
        <v>0.14268288805370349</v>
      </c>
      <c r="C443">
        <v>0.11799999999999999</v>
      </c>
    </row>
    <row r="444" spans="2:3" x14ac:dyDescent="0.2">
      <c r="B444">
        <v>0.13913331671374202</v>
      </c>
      <c r="C444">
        <v>0.11600000000000001</v>
      </c>
    </row>
    <row r="445" spans="2:3" x14ac:dyDescent="0.2">
      <c r="B445">
        <v>0.134499836005403</v>
      </c>
      <c r="C445">
        <v>0.114</v>
      </c>
    </row>
    <row r="446" spans="2:3" x14ac:dyDescent="0.2">
      <c r="B446">
        <v>0.13441422938058412</v>
      </c>
      <c r="C446">
        <v>0.112</v>
      </c>
    </row>
    <row r="447" spans="2:3" x14ac:dyDescent="0.2">
      <c r="B447">
        <v>0.12679286937901299</v>
      </c>
      <c r="C447">
        <v>0.11</v>
      </c>
    </row>
    <row r="448" spans="2:3" x14ac:dyDescent="0.2">
      <c r="B448">
        <v>0.12607259030896889</v>
      </c>
      <c r="C448">
        <v>0.108</v>
      </c>
    </row>
    <row r="449" spans="2:3" x14ac:dyDescent="0.2">
      <c r="B449">
        <v>0.12241273807658801</v>
      </c>
      <c r="C449">
        <v>0.106</v>
      </c>
    </row>
    <row r="450" spans="2:3" x14ac:dyDescent="0.2">
      <c r="B450">
        <v>0.1222742750919603</v>
      </c>
      <c r="C450">
        <v>0.104</v>
      </c>
    </row>
    <row r="451" spans="2:3" x14ac:dyDescent="0.2">
      <c r="B451">
        <v>0.120338776243236</v>
      </c>
      <c r="C451">
        <v>0.10199999999999999</v>
      </c>
    </row>
    <row r="452" spans="2:3" x14ac:dyDescent="0.2">
      <c r="B452">
        <v>0.114799860138929</v>
      </c>
      <c r="C452">
        <v>0.1</v>
      </c>
    </row>
    <row r="453" spans="2:3" x14ac:dyDescent="0.2">
      <c r="B453">
        <v>0.11417302102882279</v>
      </c>
      <c r="C453">
        <v>9.8000000000000004E-2</v>
      </c>
    </row>
    <row r="454" spans="2:3" x14ac:dyDescent="0.2">
      <c r="B454">
        <v>0.11141431212738891</v>
      </c>
      <c r="C454">
        <v>9.6000000000000002E-2</v>
      </c>
    </row>
    <row r="455" spans="2:3" x14ac:dyDescent="0.2">
      <c r="B455">
        <v>0.110298753016464</v>
      </c>
      <c r="C455">
        <v>9.4E-2</v>
      </c>
    </row>
    <row r="456" spans="2:3" x14ac:dyDescent="0.2">
      <c r="B456">
        <v>0.10643552302105</v>
      </c>
      <c r="C456">
        <v>9.1999999999999998E-2</v>
      </c>
    </row>
    <row r="457" spans="2:3" x14ac:dyDescent="0.2">
      <c r="B457">
        <v>0.10616635118008901</v>
      </c>
      <c r="C457">
        <v>0.09</v>
      </c>
    </row>
    <row r="458" spans="2:3" x14ac:dyDescent="0.2">
      <c r="B458">
        <v>0.10490530109259</v>
      </c>
      <c r="C458">
        <v>8.7999999999999995E-2</v>
      </c>
    </row>
    <row r="459" spans="2:3" x14ac:dyDescent="0.2">
      <c r="B459">
        <v>0.104288193254921</v>
      </c>
      <c r="C459">
        <v>8.5999999999999993E-2</v>
      </c>
    </row>
    <row r="460" spans="2:3" x14ac:dyDescent="0.2">
      <c r="B460">
        <v>0.103987893119104</v>
      </c>
      <c r="C460">
        <v>8.4000000000000005E-2</v>
      </c>
    </row>
    <row r="461" spans="2:3" x14ac:dyDescent="0.2">
      <c r="B461">
        <v>0.102233378166199</v>
      </c>
      <c r="C461">
        <v>8.2000000000000003E-2</v>
      </c>
    </row>
    <row r="462" spans="2:3" x14ac:dyDescent="0.2">
      <c r="B462">
        <v>0.1010077224560072</v>
      </c>
      <c r="C462">
        <v>0.08</v>
      </c>
    </row>
    <row r="463" spans="2:3" x14ac:dyDescent="0.2">
      <c r="B463">
        <v>0.10024799393761701</v>
      </c>
      <c r="C463">
        <v>7.8E-2</v>
      </c>
    </row>
    <row r="464" spans="2:3" x14ac:dyDescent="0.2">
      <c r="B464">
        <v>9.9728392807251501E-2</v>
      </c>
      <c r="C464">
        <v>7.5999999999999998E-2</v>
      </c>
    </row>
    <row r="465" spans="2:3" x14ac:dyDescent="0.2">
      <c r="B465">
        <v>9.8150350876126793E-2</v>
      </c>
      <c r="C465">
        <v>7.3999999999999996E-2</v>
      </c>
    </row>
    <row r="466" spans="2:3" x14ac:dyDescent="0.2">
      <c r="B466">
        <v>9.1703790040081598E-2</v>
      </c>
      <c r="C466">
        <v>7.1999999999999995E-2</v>
      </c>
    </row>
    <row r="467" spans="2:3" x14ac:dyDescent="0.2">
      <c r="B467">
        <v>8.7804090870221702E-2</v>
      </c>
      <c r="C467">
        <v>7.0000000000000007E-2</v>
      </c>
    </row>
    <row r="468" spans="2:3" x14ac:dyDescent="0.2">
      <c r="B468">
        <v>8.3370582575296295E-2</v>
      </c>
      <c r="C468">
        <v>6.8000000000000005E-2</v>
      </c>
    </row>
    <row r="469" spans="2:3" x14ac:dyDescent="0.2">
      <c r="B469">
        <v>8.29734687750356E-2</v>
      </c>
      <c r="C469">
        <v>6.6000000000000003E-2</v>
      </c>
    </row>
    <row r="470" spans="2:3" x14ac:dyDescent="0.2">
      <c r="B470">
        <v>7.3369851716293705E-2</v>
      </c>
      <c r="C470">
        <v>6.4000000000000001E-2</v>
      </c>
    </row>
    <row r="471" spans="2:3" x14ac:dyDescent="0.2">
      <c r="B471">
        <v>7.2919361548619901E-2</v>
      </c>
      <c r="C471">
        <v>6.2E-2</v>
      </c>
    </row>
    <row r="472" spans="2:3" x14ac:dyDescent="0.2">
      <c r="B472">
        <v>6.7724001820806706E-2</v>
      </c>
      <c r="C472">
        <v>0.06</v>
      </c>
    </row>
    <row r="473" spans="2:3" x14ac:dyDescent="0.2">
      <c r="B473">
        <v>6.6007033436509793E-2</v>
      </c>
      <c r="C473">
        <v>5.8000000000000003E-2</v>
      </c>
    </row>
    <row r="474" spans="2:3" x14ac:dyDescent="0.2">
      <c r="B474">
        <v>6.4034293213933002E-2</v>
      </c>
      <c r="C474">
        <v>5.6000000000000001E-2</v>
      </c>
    </row>
    <row r="475" spans="2:3" x14ac:dyDescent="0.2">
      <c r="B475">
        <v>6.16945138016253E-2</v>
      </c>
      <c r="C475">
        <v>5.3999999999999999E-2</v>
      </c>
    </row>
    <row r="476" spans="2:3" x14ac:dyDescent="0.2">
      <c r="B476">
        <v>5.3215720101496597E-2</v>
      </c>
      <c r="C476">
        <v>5.1999999999999998E-2</v>
      </c>
    </row>
    <row r="477" spans="2:3" x14ac:dyDescent="0.2">
      <c r="B477">
        <v>4.8343431747746399E-2</v>
      </c>
      <c r="C477">
        <v>0.05</v>
      </c>
    </row>
    <row r="478" spans="2:3" x14ac:dyDescent="0.2">
      <c r="B478">
        <v>4.7963028317571502E-2</v>
      </c>
      <c r="C478">
        <v>4.8000000000000001E-2</v>
      </c>
    </row>
    <row r="479" spans="2:3" x14ac:dyDescent="0.2">
      <c r="B479">
        <v>4.44271126355636E-2</v>
      </c>
      <c r="C479">
        <v>4.5999999999999999E-2</v>
      </c>
    </row>
    <row r="480" spans="2:3" x14ac:dyDescent="0.2">
      <c r="B480">
        <v>4.3777217779113309E-2</v>
      </c>
      <c r="C480">
        <v>4.3999999999999997E-2</v>
      </c>
    </row>
    <row r="481" spans="2:3" x14ac:dyDescent="0.2">
      <c r="B481">
        <v>4.2773572961904198E-2</v>
      </c>
      <c r="C481">
        <v>4.2000000000000003E-2</v>
      </c>
    </row>
    <row r="482" spans="2:3" x14ac:dyDescent="0.2">
      <c r="B482">
        <v>4.18332917387364E-2</v>
      </c>
      <c r="C482">
        <v>0.04</v>
      </c>
    </row>
    <row r="483" spans="2:3" x14ac:dyDescent="0.2">
      <c r="B483">
        <v>3.5769598278168398E-2</v>
      </c>
      <c r="C483">
        <v>3.7999999999999999E-2</v>
      </c>
    </row>
    <row r="484" spans="2:3" x14ac:dyDescent="0.2">
      <c r="B484">
        <v>1.4861870094776301E-2</v>
      </c>
      <c r="C484">
        <v>3.5999999999999997E-2</v>
      </c>
    </row>
    <row r="485" spans="2:3" x14ac:dyDescent="0.2">
      <c r="B485">
        <v>0</v>
      </c>
      <c r="C485">
        <v>3.4000000000000002E-2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139767-5219-0B4A-B3B7-68E81FF3B9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Dashboard</vt:lpstr>
      <vt:lpstr>Settings</vt:lpstr>
      <vt:lpstr>PolicyLosses</vt:lpstr>
      <vt:lpstr>claimSimResults</vt:lpstr>
      <vt:lpstr>SeverityCDF</vt:lpstr>
      <vt:lpstr>PolicyLossCDF</vt:lpstr>
      <vt:lpstr>ClaimsByPolicy</vt:lpstr>
      <vt:lpstr>claimSimResultsCsvPath</vt:lpstr>
      <vt:lpstr>frequency_distribution</vt:lpstr>
      <vt:lpstr>frequency_lambda</vt:lpstr>
      <vt:lpstr>frequency_prob</vt:lpstr>
      <vt:lpstr>frequency_trials</vt:lpstr>
      <vt:lpstr>max_claim_amount</vt:lpstr>
      <vt:lpstr>num_policies</vt:lpstr>
      <vt:lpstr>Rscript_path</vt:lpstr>
      <vt:lpstr>severity_alpha</vt:lpstr>
      <vt:lpstr>severity_distribution</vt:lpstr>
      <vt:lpstr>severity_mu</vt:lpstr>
      <vt:lpstr>severity_sigma</vt:lpstr>
      <vt:lpstr>severity_theta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Berg</cp:lastModifiedBy>
  <cp:lastPrinted>2025-02-17T00:57:18Z</cp:lastPrinted>
  <dcterms:created xsi:type="dcterms:W3CDTF">2025-02-08T20:16:04Z</dcterms:created>
  <dcterms:modified xsi:type="dcterms:W3CDTF">2025-02-17T01:59:27Z</dcterms:modified>
</cp:coreProperties>
</file>