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bergtho/Desktop/portfolio/claimsSim/"/>
    </mc:Choice>
  </mc:AlternateContent>
  <xr:revisionPtr revIDLastSave="0" documentId="13_ncr:1_{73509563-BBFA-6D41-8B82-06FF19D50860}" xr6:coauthVersionLast="47" xr6:coauthVersionMax="47" xr10:uidLastSave="{00000000-0000-0000-0000-000000000000}"/>
  <bookViews>
    <workbookView xWindow="0" yWindow="500" windowWidth="30420" windowHeight="19280" xr2:uid="{4BF5421F-6D43-8944-9C24-E443344B4663}"/>
  </bookViews>
  <sheets>
    <sheet name="Sheet1" sheetId="1" r:id="rId1"/>
    <sheet name="ClaimCount" sheetId="13" r:id="rId2"/>
    <sheet name="Settings" sheetId="7" r:id="rId3"/>
    <sheet name="claimSimResults" sheetId="6" r:id="rId4"/>
  </sheets>
  <functionGroups builtInGroupCount="19"/>
  <definedNames>
    <definedName name="_xlpm.id" hidden="1" xlm="1">#NAME?</definedName>
    <definedName name="claimSimResults_" localSheetId="3" hidden="1">'claimSimResults'!$A$1:$F$1005</definedName>
    <definedName name="ExternalData_3" localSheetId="1" hidden="1">ClaimCount!$A$1:$B$501</definedName>
    <definedName name="frequency_distribution">Sheet1!$C$3</definedName>
    <definedName name="frequency_lambda">Sheet1!$C$4</definedName>
    <definedName name="frequency_prob">Sheet1!$C$5</definedName>
    <definedName name="frequency_trials">Sheet1!$C$6</definedName>
    <definedName name="max_claim_amount">Settings!$B$7</definedName>
    <definedName name="num_policies">Settings!$B$6</definedName>
    <definedName name="severity_alpha">Sheet1!$J$4</definedName>
    <definedName name="severity_distribution">Sheet1!$J$3</definedName>
    <definedName name="severity_mu">Sheet1!$J$6</definedName>
    <definedName name="severity_sigma">Sheet1!$J$7</definedName>
    <definedName name="severity_theta">Sheet1!$J$5</definedName>
    <definedName name="simCsvOutputPath">Settings!#REF!</definedName>
    <definedName name="simOutputCsvPath">Settings!#REF!</definedName>
    <definedName name="whoops">Settings!#REF!</definedName>
  </definedNames>
  <calcPr calcId="191029"/>
  <pivotCaches>
    <pivotCache cacheId="24" r:id="rId5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" i="1" l="1"/>
  <c r="C12" i="1" a="1"/>
  <c r="C12" i="1" s="1"/>
  <c r="J11" i="1"/>
  <c r="C1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BF4DAE-3765-6349-A262-E6ACA79B3F6B}" keepAlive="1" name="Query - claimSimResults" description="Connection to the 'claimSimResults' query in the workbook." type="5" refreshedVersion="8" refreshOnLoad="1" saveData="1">
    <dbPr connection="Provider=Microsoft.Mashup.OleDb.1;Data Source=$Workbook$;Location=claimSimResults;Extended Properties=&quot;&quot;" command="SELECT * FROM [claimSimResults]"/>
  </connection>
  <connection id="2" xr16:uid="{43E92657-0528-3A49-87B8-4AA2B7493C71}" keepAlive="1" name="Query - getSetting" description="Connection to the 'getSetting' query in the workbook." type="5" refreshedVersion="0" background="1">
    <dbPr connection="Provider=Microsoft.Mashup.OleDb.1;Data Source=$Workbook$;Location=getSetting;Extended Properties=&quot;&quot;" command="SELECT * FROM [getSetting]"/>
  </connection>
  <connection id="3" xr16:uid="{7E182DFB-1E7A-5E4A-9514-EBF46F3429F0}" keepAlive="1" name="Query - TblPolicyClaimCount" description="Connection to the 'TblPolicyClaimCount' query in the workbook." type="5" refreshedVersion="8" saveData="1">
    <dbPr connection="Provider=Microsoft.Mashup.OleDb.1;Data Source=$Workbook$;Location=TblPolicyClaimCount;Extended Properties=&quot;&quot;" command="SELECT * FROM [TblPolicyClaimCoun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<sst xmlns="http://schemas.openxmlformats.org/spreadsheetml/2006/main" count="2053" uniqueCount="1044">
  <si>
    <t>PolicyID</t>
  </si>
  <si>
    <t>ClaimAmount</t>
  </si>
  <si>
    <t>ClaimDate</t>
  </si>
  <si>
    <t>Frequency</t>
  </si>
  <si>
    <t>Severity</t>
  </si>
  <si>
    <t>Distribution</t>
  </si>
  <si>
    <t>lambda</t>
  </si>
  <si>
    <t>p</t>
  </si>
  <si>
    <t>alpha</t>
  </si>
  <si>
    <t>theta</t>
  </si>
  <si>
    <t>mu</t>
  </si>
  <si>
    <t>sigma</t>
  </si>
  <si>
    <t>Rscript path</t>
  </si>
  <si>
    <t>/usr/local/bin/Rscript</t>
  </si>
  <si>
    <t>Setting</t>
  </si>
  <si>
    <t>Value</t>
  </si>
  <si>
    <t>Notes</t>
  </si>
  <si>
    <t>trials</t>
  </si>
  <si>
    <t>Poisson</t>
  </si>
  <si>
    <t>Lognormal</t>
  </si>
  <si>
    <t>Distribution Summary</t>
  </si>
  <si>
    <t>Mean</t>
  </si>
  <si>
    <t>Standard Deviation</t>
  </si>
  <si>
    <t>Num Policies</t>
  </si>
  <si>
    <t>This is hardcoded in the simulate_claims.R, but in the future we should pass this to R</t>
  </si>
  <si>
    <t>Max Claim Amount</t>
  </si>
  <si>
    <t>Claims will be capped at this (10 million by default)</t>
  </si>
  <si>
    <t>ClaimAmountNumeric</t>
  </si>
  <si>
    <t>ValidClaimAmount</t>
  </si>
  <si>
    <t>CleanedClaimAmountText</t>
  </si>
  <si>
    <t>Users will need to enter this manually - Find with: "which Rscript", used to run the simulation script</t>
  </si>
  <si>
    <t>&lt;- this is the mean number of claims per policy holder</t>
  </si>
  <si>
    <t>&lt;- this is the mean claim amount</t>
  </si>
  <si>
    <t>&lt;- this is the standard deviation of the claim amount</t>
  </si>
  <si>
    <t>&lt;- this is the standard deviation of the number of claims per policy holder</t>
  </si>
  <si>
    <t>2021.34451446286</t>
  </si>
  <si>
    <t>5161.23820713767</t>
  </si>
  <si>
    <t>1401.20623648554</t>
  </si>
  <si>
    <t>670.192790488305</t>
  </si>
  <si>
    <t>3006.0009899577</t>
  </si>
  <si>
    <t>50329.0153249997</t>
  </si>
  <si>
    <t>1012.40747917012</t>
  </si>
  <si>
    <t>407.272727376714</t>
  </si>
  <si>
    <t>1869.67763475076</t>
  </si>
  <si>
    <t>171.424775158208</t>
  </si>
  <si>
    <t>19141.3415723316</t>
  </si>
  <si>
    <t>8003.7045315418</t>
  </si>
  <si>
    <t>5249.8840055063</t>
  </si>
  <si>
    <t>169143.544229938</t>
  </si>
  <si>
    <t>141.113093766445</t>
  </si>
  <si>
    <t>3664.46615311946</t>
  </si>
  <si>
    <t>1868.4546520178</t>
  </si>
  <si>
    <t>363723.851605754</t>
  </si>
  <si>
    <t>221903.284023169</t>
  </si>
  <si>
    <t>105409.349405515</t>
  </si>
  <si>
    <t>95274.7728269221</t>
  </si>
  <si>
    <t>47494.3403466111</t>
  </si>
  <si>
    <t>3310.65621985916</t>
  </si>
  <si>
    <t>9521.84395099946</t>
  </si>
  <si>
    <t>297724.782159901</t>
  </si>
  <si>
    <t>58638.5686778516</t>
  </si>
  <si>
    <t>27139.7828685004</t>
  </si>
  <si>
    <t>754.502327887858</t>
  </si>
  <si>
    <t>15711.2747872329</t>
  </si>
  <si>
    <t>9322.63490222186</t>
  </si>
  <si>
    <t>757051.287032156</t>
  </si>
  <si>
    <t>1161853.86541663</t>
  </si>
  <si>
    <t>2119.89549812539</t>
  </si>
  <si>
    <t>31995.8304173683</t>
  </si>
  <si>
    <t>6546.06771070913</t>
  </si>
  <si>
    <t>1762.29621052334</t>
  </si>
  <si>
    <t>22369.4672553827</t>
  </si>
  <si>
    <t>19.350200792346</t>
  </si>
  <si>
    <t>114048393.674579</t>
  </si>
  <si>
    <t>23074.9965654878</t>
  </si>
  <si>
    <t>453577.254156896</t>
  </si>
  <si>
    <t>458.742287057212</t>
  </si>
  <si>
    <t>7861.29778306242</t>
  </si>
  <si>
    <t>104252.804869127</t>
  </si>
  <si>
    <t>859.379044568706</t>
  </si>
  <si>
    <t>217506.692534416</t>
  </si>
  <si>
    <t>1284.4689796814</t>
  </si>
  <si>
    <t>211791416.488203</t>
  </si>
  <si>
    <t>15099.8671094614</t>
  </si>
  <si>
    <t>84.8629850364587</t>
  </si>
  <si>
    <t>13404.2275254104</t>
  </si>
  <si>
    <t>188.328039062647</t>
  </si>
  <si>
    <t>13410.8980432391</t>
  </si>
  <si>
    <t>34033.426172903</t>
  </si>
  <si>
    <t>26388.9098380816</t>
  </si>
  <si>
    <t>2087995.57938963</t>
  </si>
  <si>
    <t>45298.324534291</t>
  </si>
  <si>
    <t>213615.688205195</t>
  </si>
  <si>
    <t>4788082.8897144</t>
  </si>
  <si>
    <t>24302.7100741466</t>
  </si>
  <si>
    <t>587.370542425669</t>
  </si>
  <si>
    <t>239769.467094759</t>
  </si>
  <si>
    <t>3343.17591817629</t>
  </si>
  <si>
    <t>40486.6858691175</t>
  </si>
  <si>
    <t>15100.5345396824</t>
  </si>
  <si>
    <t>803932.721455079</t>
  </si>
  <si>
    <t>29086.8973201065</t>
  </si>
  <si>
    <t>7775.55214977231</t>
  </si>
  <si>
    <t>28083.1348628939</t>
  </si>
  <si>
    <t>157498.901180095</t>
  </si>
  <si>
    <t>40475.2893491731</t>
  </si>
  <si>
    <t>1684.32455750407</t>
  </si>
  <si>
    <t>256.296760849603</t>
  </si>
  <si>
    <t>997.747358171962</t>
  </si>
  <si>
    <t>228682.109969978</t>
  </si>
  <si>
    <t>4947.51512790734</t>
  </si>
  <si>
    <t>2512.10858704281</t>
  </si>
  <si>
    <t>24.0510711886677</t>
  </si>
  <si>
    <t>29889.7645414669</t>
  </si>
  <si>
    <t>4772.02252013894</t>
  </si>
  <si>
    <t>429.15709326685</t>
  </si>
  <si>
    <t>14193.7301161818</t>
  </si>
  <si>
    <t>4959.61227361181</t>
  </si>
  <si>
    <t>54597.9916475659</t>
  </si>
  <si>
    <t>33882.8018536666</t>
  </si>
  <si>
    <t>6863.07734095135</t>
  </si>
  <si>
    <t>15178.3332722796</t>
  </si>
  <si>
    <t>20478.6863973197</t>
  </si>
  <si>
    <t>127.608704426838</t>
  </si>
  <si>
    <t>298.713029284348</t>
  </si>
  <si>
    <t>7157.95138962685</t>
  </si>
  <si>
    <t>75.3975293095122</t>
  </si>
  <si>
    <t>3.04050516814866</t>
  </si>
  <si>
    <t>666261.053949641</t>
  </si>
  <si>
    <t>703877.620244714</t>
  </si>
  <si>
    <t>477346.206459211</t>
  </si>
  <si>
    <t>442880.486958446</t>
  </si>
  <si>
    <t>703197.087282108</t>
  </si>
  <si>
    <t>2368.55490722939</t>
  </si>
  <si>
    <t>8339.9392097518</t>
  </si>
  <si>
    <t>Grand Total</t>
  </si>
  <si>
    <t>2625.93259178115</t>
  </si>
  <si>
    <t>980214.116922347</t>
  </si>
  <si>
    <t>1799739.63958046</t>
  </si>
  <si>
    <t>192146.959661103</t>
  </si>
  <si>
    <t>1112965.35026139</t>
  </si>
  <si>
    <t>48.7450353645838</t>
  </si>
  <si>
    <t>16519.4014978186</t>
  </si>
  <si>
    <t>146.010295784673</t>
  </si>
  <si>
    <t>108499.761395258</t>
  </si>
  <si>
    <t>10915.9770811753</t>
  </si>
  <si>
    <t>1065.20763579554</t>
  </si>
  <si>
    <t>53.2933858719981</t>
  </si>
  <si>
    <t>16024.5270007408</t>
  </si>
  <si>
    <t>1740.03200029259</t>
  </si>
  <si>
    <t>1699136.42830042</t>
  </si>
  <si>
    <t>893.907448133076</t>
  </si>
  <si>
    <t>5463.28194156028</t>
  </si>
  <si>
    <t>10903.5957119166</t>
  </si>
  <si>
    <t>2778866.45688997</t>
  </si>
  <si>
    <t>1260894.91802923</t>
  </si>
  <si>
    <t>3958.26381861607</t>
  </si>
  <si>
    <t>2554607.49323273</t>
  </si>
  <si>
    <t>4240332.75244673</t>
  </si>
  <si>
    <t>13359.5820392522</t>
  </si>
  <si>
    <t>34264.9004810748</t>
  </si>
  <si>
    <t>22.5306634934852</t>
  </si>
  <si>
    <t>79.7321413864453</t>
  </si>
  <si>
    <t>7072361.02328685</t>
  </si>
  <si>
    <t>37355.2176752105</t>
  </si>
  <si>
    <t>4230.38323744452</t>
  </si>
  <si>
    <t>3529.8067572824</t>
  </si>
  <si>
    <t>12485.3843525546</t>
  </si>
  <si>
    <t>18563.389181053</t>
  </si>
  <si>
    <t>4.3764880750073</t>
  </si>
  <si>
    <t>140296.000109686</t>
  </si>
  <si>
    <t>3.84117294792938</t>
  </si>
  <si>
    <t>19229.710319134</t>
  </si>
  <si>
    <t>2953.32186858977</t>
  </si>
  <si>
    <t>1904.95174468028</t>
  </si>
  <si>
    <t>81321.3263105839</t>
  </si>
  <si>
    <t>3580.28396737534</t>
  </si>
  <si>
    <t>4273.03048649713</t>
  </si>
  <si>
    <t>35754026.1689742</t>
  </si>
  <si>
    <t>4723.38653178412</t>
  </si>
  <si>
    <t>52808.6474941834</t>
  </si>
  <si>
    <t>1298.48568438824</t>
  </si>
  <si>
    <t>98959.1566535879</t>
  </si>
  <si>
    <t>4200.03804767041</t>
  </si>
  <si>
    <t>64192.5691619838</t>
  </si>
  <si>
    <t>42.1101128717681</t>
  </si>
  <si>
    <t>436.143471192378</t>
  </si>
  <si>
    <t>170217.024784669</t>
  </si>
  <si>
    <t>2896.8198164018</t>
  </si>
  <si>
    <t>11836.5511189647</t>
  </si>
  <si>
    <t>13305.9031782362</t>
  </si>
  <si>
    <t>11169.5434936711</t>
  </si>
  <si>
    <t>1518996.41802061</t>
  </si>
  <si>
    <t>6886.10560103965</t>
  </si>
  <si>
    <t>43261.077567036</t>
  </si>
  <si>
    <t>4891.17443098434</t>
  </si>
  <si>
    <t>3794.36476454123</t>
  </si>
  <si>
    <t>5456.65705846398</t>
  </si>
  <si>
    <t>1774.01279158445</t>
  </si>
  <si>
    <t>114.240227031833</t>
  </si>
  <si>
    <t>267201.990432092</t>
  </si>
  <si>
    <t>10973.487927433</t>
  </si>
  <si>
    <t>40093.4340497208</t>
  </si>
  <si>
    <t>312.406280094042</t>
  </si>
  <si>
    <t>8763.06208539909</t>
  </si>
  <si>
    <t>1499.84315676706</t>
  </si>
  <si>
    <t>1.7694627388187</t>
  </si>
  <si>
    <t>32692.5980638149</t>
  </si>
  <si>
    <t>3437.37620840444</t>
  </si>
  <si>
    <t>71599.3232578606</t>
  </si>
  <si>
    <t>1379.78720442937</t>
  </si>
  <si>
    <t>15877.4454173942</t>
  </si>
  <si>
    <t>333.454452179281</t>
  </si>
  <si>
    <t>20551.5320238123</t>
  </si>
  <si>
    <t>12229.3797558492</t>
  </si>
  <si>
    <t>40759.5764638692</t>
  </si>
  <si>
    <t>5839.33183420198</t>
  </si>
  <si>
    <t>5073448.08095517</t>
  </si>
  <si>
    <t>226.306953962528</t>
  </si>
  <si>
    <t>99200.8979321415</t>
  </si>
  <si>
    <t>23.7848136724608</t>
  </si>
  <si>
    <t>539678.330185902</t>
  </si>
  <si>
    <t>6848.82347781513</t>
  </si>
  <si>
    <t>158068.97037667</t>
  </si>
  <si>
    <t>26039938.4007265</t>
  </si>
  <si>
    <t>888.49628425331</t>
  </si>
  <si>
    <t>1071.34722365752</t>
  </si>
  <si>
    <t>2522.40221752928</t>
  </si>
  <si>
    <t>6458.32165736858</t>
  </si>
  <si>
    <t>254063.551217469</t>
  </si>
  <si>
    <t>1056913.70812761</t>
  </si>
  <si>
    <t>124695.37354696</t>
  </si>
  <si>
    <t>5455.47660377181</t>
  </si>
  <si>
    <t>1313.43364630731</t>
  </si>
  <si>
    <t>96.8137522601402</t>
  </si>
  <si>
    <t>209787.632878675</t>
  </si>
  <si>
    <t>1244.26164798525</t>
  </si>
  <si>
    <t>8148.43010859075</t>
  </si>
  <si>
    <t>1617.7158170336</t>
  </si>
  <si>
    <t>189546.584871289</t>
  </si>
  <si>
    <t>4171.46069696803</t>
  </si>
  <si>
    <t>10826.558364162</t>
  </si>
  <si>
    <t>6421.34643406075</t>
  </si>
  <si>
    <t>6668.99899397318</t>
  </si>
  <si>
    <t>61530.4372760788</t>
  </si>
  <si>
    <t>39692708.8153581</t>
  </si>
  <si>
    <t>163.504814695803</t>
  </si>
  <si>
    <t>1552335.99709295</t>
  </si>
  <si>
    <t>45929.0330516009</t>
  </si>
  <si>
    <t>46822.3429163968</t>
  </si>
  <si>
    <t>721.001726537461</t>
  </si>
  <si>
    <t>1412.04597282944</t>
  </si>
  <si>
    <t>22666.9949549528</t>
  </si>
  <si>
    <t>30254.2262718289</t>
  </si>
  <si>
    <t>183848.891758136</t>
  </si>
  <si>
    <t>41634.3715596497</t>
  </si>
  <si>
    <t>154.471624695137</t>
  </si>
  <si>
    <t>2141.83277363719</t>
  </si>
  <si>
    <t>26616.8356675376</t>
  </si>
  <si>
    <t>6973.60925146109</t>
  </si>
  <si>
    <t>2140.40868568223</t>
  </si>
  <si>
    <t>19922.3152223894</t>
  </si>
  <si>
    <t>6072.40730936162</t>
  </si>
  <si>
    <t>33043.341833124</t>
  </si>
  <si>
    <t>425.339678056642</t>
  </si>
  <si>
    <t>18673.949185729</t>
  </si>
  <si>
    <t>231.186571391337</t>
  </si>
  <si>
    <t>2982.85834610286</t>
  </si>
  <si>
    <t>11791.1160643206</t>
  </si>
  <si>
    <t>973.634058255031</t>
  </si>
  <si>
    <t>3969349.76632929</t>
  </si>
  <si>
    <t>5843089.31477173</t>
  </si>
  <si>
    <t>141300.325352035</t>
  </si>
  <si>
    <t>7847.37051338572</t>
  </si>
  <si>
    <t>1196.6648859615</t>
  </si>
  <si>
    <t>52507.7673422031</t>
  </si>
  <si>
    <t>10117.4368498465</t>
  </si>
  <si>
    <t>74894.2300767201</t>
  </si>
  <si>
    <t>84051.0680733217</t>
  </si>
  <si>
    <t>389003.047426874</t>
  </si>
  <si>
    <t>4184.9971019742</t>
  </si>
  <si>
    <t>13049.0331434775</t>
  </si>
  <si>
    <t>905.137561784185</t>
  </si>
  <si>
    <t>227498.63561798</t>
  </si>
  <si>
    <t>330.928362097857</t>
  </si>
  <si>
    <t>164309.684007051</t>
  </si>
  <si>
    <t>38503.4041341465</t>
  </si>
  <si>
    <t>8727.42998397058</t>
  </si>
  <si>
    <t>168.260355731022</t>
  </si>
  <si>
    <t>6040.67973466456</t>
  </si>
  <si>
    <t>986.917746798874</t>
  </si>
  <si>
    <t>53471.0132456076</t>
  </si>
  <si>
    <t>183.720641619999</t>
  </si>
  <si>
    <t>233.131222015482</t>
  </si>
  <si>
    <t>52155.800067841</t>
  </si>
  <si>
    <t>45971.0842623684</t>
  </si>
  <si>
    <t>20377.1657815493</t>
  </si>
  <si>
    <t>17879.642262088</t>
  </si>
  <si>
    <t>19490.3754265627</t>
  </si>
  <si>
    <t>60249.779905073</t>
  </si>
  <si>
    <t>7938.35290861393</t>
  </si>
  <si>
    <t>188089.499547892</t>
  </si>
  <si>
    <t>443809.526945708</t>
  </si>
  <si>
    <t>51732.1474318105</t>
  </si>
  <si>
    <t>4970.68071553061</t>
  </si>
  <si>
    <t>1763.45071623476</t>
  </si>
  <si>
    <t>29684.0095116577</t>
  </si>
  <si>
    <t>308.43237524467</t>
  </si>
  <si>
    <t>155.406364571422</t>
  </si>
  <si>
    <t>7666336.6663918</t>
  </si>
  <si>
    <t>304.934716087025</t>
  </si>
  <si>
    <t>15420.2695244939</t>
  </si>
  <si>
    <t>4967.20720390395</t>
  </si>
  <si>
    <t>541.155124520195</t>
  </si>
  <si>
    <t>53167.693686773</t>
  </si>
  <si>
    <t>7907.31487054035</t>
  </si>
  <si>
    <t>72246.047791373</t>
  </si>
  <si>
    <t>53699.2694612964</t>
  </si>
  <si>
    <t>531.07920582448</t>
  </si>
  <si>
    <t>855.575777795402</t>
  </si>
  <si>
    <t>156049.016115746</t>
  </si>
  <si>
    <t>991.192539540132</t>
  </si>
  <si>
    <t>306.540950274524</t>
  </si>
  <si>
    <t>3642.52793230007</t>
  </si>
  <si>
    <t>1848.21360957839</t>
  </si>
  <si>
    <t>66913.6517332032</t>
  </si>
  <si>
    <t>35198.6966621879</t>
  </si>
  <si>
    <t>426324.40355978</t>
  </si>
  <si>
    <t>47.8878108286839</t>
  </si>
  <si>
    <t>4322.78312275304</t>
  </si>
  <si>
    <t>156967970.030655</t>
  </si>
  <si>
    <t>73869.5954319963</t>
  </si>
  <si>
    <t>293.569111323468</t>
  </si>
  <si>
    <t>377834.711182385</t>
  </si>
  <si>
    <t>4510.46080354179</t>
  </si>
  <si>
    <t>678.821579211425</t>
  </si>
  <si>
    <t>116334.053464456</t>
  </si>
  <si>
    <t>997130.112929315</t>
  </si>
  <si>
    <t>716.038950136785</t>
  </si>
  <si>
    <t>114550.178812213</t>
  </si>
  <si>
    <t>42.3553080419212</t>
  </si>
  <si>
    <t>50.5780873294672</t>
  </si>
  <si>
    <t>15197.6866197624</t>
  </si>
  <si>
    <t>2629.33894224117</t>
  </si>
  <si>
    <t>15.1663877972192</t>
  </si>
  <si>
    <t>1351571.08696221</t>
  </si>
  <si>
    <t>44586.9097965575</t>
  </si>
  <si>
    <t>238.818673513049</t>
  </si>
  <si>
    <t>4485.96746767834</t>
  </si>
  <si>
    <t>234102.033978945</t>
  </si>
  <si>
    <t>32.9581923609457</t>
  </si>
  <si>
    <t>583703.0086229</t>
  </si>
  <si>
    <t>1247.07702711695</t>
  </si>
  <si>
    <t>32290.9012862942</t>
  </si>
  <si>
    <t>1432.87707200979</t>
  </si>
  <si>
    <t>244.157107969254</t>
  </si>
  <si>
    <t>5256.41092584906</t>
  </si>
  <si>
    <t>317016.817774704</t>
  </si>
  <si>
    <t>ClaimCount</t>
  </si>
  <si>
    <t>This sheet is an intermediate step to make building a chart so we can see the frequency distribution easier</t>
  </si>
  <si>
    <t>Claims</t>
  </si>
  <si>
    <t>NumberOfPolicies</t>
  </si>
  <si>
    <t>2887.79437479489</t>
  </si>
  <si>
    <t>10630.579032738</t>
  </si>
  <si>
    <t>3663.64665636315</t>
  </si>
  <si>
    <t>472.531855188672</t>
  </si>
  <si>
    <t>119412.137120688</t>
  </si>
  <si>
    <t>2869.79919287797</t>
  </si>
  <si>
    <t>38.6222600156012</t>
  </si>
  <si>
    <t>32690.024828363</t>
  </si>
  <si>
    <t>5434.63210348552</t>
  </si>
  <si>
    <t>41.6965258893068</t>
  </si>
  <si>
    <t>2524.15190929935</t>
  </si>
  <si>
    <t>10589.5364924565</t>
  </si>
  <si>
    <t>13689.82452546</t>
  </si>
  <si>
    <t>10134.0217423719</t>
  </si>
  <si>
    <t>29275.3251430005</t>
  </si>
  <si>
    <t>8725.6736082844</t>
  </si>
  <si>
    <t>3652.05435111357</t>
  </si>
  <si>
    <t>11549.9170388436</t>
  </si>
  <si>
    <t>116468.130217816</t>
  </si>
  <si>
    <t>2944.53605154312</t>
  </si>
  <si>
    <t>367.920483005086</t>
  </si>
  <si>
    <t>29510.444092181</t>
  </si>
  <si>
    <t>15164.6479537058</t>
  </si>
  <si>
    <t>344463.603248845</t>
  </si>
  <si>
    <t>947.923154515347</t>
  </si>
  <si>
    <t>344.626134727869</t>
  </si>
  <si>
    <t>2183.14417861405</t>
  </si>
  <si>
    <t>21884.5791391257</t>
  </si>
  <si>
    <t>45.5954897508989</t>
  </si>
  <si>
    <t>1333.39003393322</t>
  </si>
  <si>
    <t>2818.21963726106</t>
  </si>
  <si>
    <t>66874.4131124154</t>
  </si>
  <si>
    <t>1268451.12089367</t>
  </si>
  <si>
    <t>58833.1584033857</t>
  </si>
  <si>
    <t>1687.93787582889</t>
  </si>
  <si>
    <t>63021.8370749552</t>
  </si>
  <si>
    <t>6751.59556558436</t>
  </si>
  <si>
    <t>43640.9419069395</t>
  </si>
  <si>
    <t>107.822765970579</t>
  </si>
  <si>
    <t>396.034591559746</t>
  </si>
  <si>
    <t>4436.65925970927</t>
  </si>
  <si>
    <t>108807.790315312</t>
  </si>
  <si>
    <t>5969.09278695001</t>
  </si>
  <si>
    <t>1218540.61881572</t>
  </si>
  <si>
    <t>9585.91583629897</t>
  </si>
  <si>
    <t>1457.45905661432</t>
  </si>
  <si>
    <t>3356.3514085429</t>
  </si>
  <si>
    <t>2.6139210073623</t>
  </si>
  <si>
    <t>244671.498329562</t>
  </si>
  <si>
    <t>65018.3852796487</t>
  </si>
  <si>
    <t>19143.4041048509</t>
  </si>
  <si>
    <t>1923.07313332756</t>
  </si>
  <si>
    <t>7781961.71898938</t>
  </si>
  <si>
    <t>16975.1945550252</t>
  </si>
  <si>
    <t>9998.54345511867</t>
  </si>
  <si>
    <t>12499.2899056913</t>
  </si>
  <si>
    <t>312931.794658189</t>
  </si>
  <si>
    <t>675.214974840473</t>
  </si>
  <si>
    <t>939.758417001576</t>
  </si>
  <si>
    <t>7090.68726173782</t>
  </si>
  <si>
    <t>335.108903813143</t>
  </si>
  <si>
    <t>109771.017664244</t>
  </si>
  <si>
    <t>1079.09125341848</t>
  </si>
  <si>
    <t>4008.91076939277</t>
  </si>
  <si>
    <t>111121.448265104</t>
  </si>
  <si>
    <t>499755.285454669</t>
  </si>
  <si>
    <t>11163.9052069784</t>
  </si>
  <si>
    <t>7483.74782811715</t>
  </si>
  <si>
    <t>1167.91360906486</t>
  </si>
  <si>
    <t>57.3034235482986</t>
  </si>
  <si>
    <t>2837.66634076137</t>
  </si>
  <si>
    <t>35478.6260199564</t>
  </si>
  <si>
    <t>18097.0649382123</t>
  </si>
  <si>
    <t>46911.5530068494</t>
  </si>
  <si>
    <t>40384.3059787559</t>
  </si>
  <si>
    <t>165.285113587411</t>
  </si>
  <si>
    <t>19134.9782057578</t>
  </si>
  <si>
    <t>276.292194704274</t>
  </si>
  <si>
    <t>49309.570077008</t>
  </si>
  <si>
    <t>4999.07117252749</t>
  </si>
  <si>
    <t>108.253972671862</t>
  </si>
  <si>
    <t>45.9808365884007</t>
  </si>
  <si>
    <t>8585.05194408199</t>
  </si>
  <si>
    <t>319.813508721795</t>
  </si>
  <si>
    <t>209887.146909539</t>
  </si>
  <si>
    <t>36857.5150546098</t>
  </si>
  <si>
    <t>22253.9033743235</t>
  </si>
  <si>
    <t>560631.503287976</t>
  </si>
  <si>
    <t>355.152962554181</t>
  </si>
  <si>
    <t>30225.9498857354</t>
  </si>
  <si>
    <t>3263.89116204278</t>
  </si>
  <si>
    <t>69253.9333235891</t>
  </si>
  <si>
    <t>126946.974283122</t>
  </si>
  <si>
    <t>226574.998865647</t>
  </si>
  <si>
    <t>10264.422985359</t>
  </si>
  <si>
    <t>1984.56409498682</t>
  </si>
  <si>
    <t>38388.4264134786</t>
  </si>
  <si>
    <t>2509.76666105935</t>
  </si>
  <si>
    <t>305.404880303797</t>
  </si>
  <si>
    <t>305599.754006246</t>
  </si>
  <si>
    <t>9852.3156483336</t>
  </si>
  <si>
    <t>21.1420669657795</t>
  </si>
  <si>
    <t>7528.7157454676</t>
  </si>
  <si>
    <t>3951.87448535831</t>
  </si>
  <si>
    <t>48.4626708571489</t>
  </si>
  <si>
    <t>78.8240613991695</t>
  </si>
  <si>
    <t>20788.8692557223</t>
  </si>
  <si>
    <t>435671.626399475</t>
  </si>
  <si>
    <t>51.7281984008441</t>
  </si>
  <si>
    <t>1282.01815465366</t>
  </si>
  <si>
    <t>4389.60260152971</t>
  </si>
  <si>
    <t>21431.8159214531</t>
  </si>
  <si>
    <t>830.088705746332</t>
  </si>
  <si>
    <t>42466.5991108993</t>
  </si>
  <si>
    <t>1331.84631064543</t>
  </si>
  <si>
    <t>176372.791634726</t>
  </si>
  <si>
    <t>77125.0884324458</t>
  </si>
  <si>
    <t>87.5754220188419</t>
  </si>
  <si>
    <t>8540.92675138387</t>
  </si>
  <si>
    <t>77120.4151581476</t>
  </si>
  <si>
    <t>93702.3406034507</t>
  </si>
  <si>
    <t>3638.00312941546</t>
  </si>
  <si>
    <t>1968.1277921426</t>
  </si>
  <si>
    <t>358.152524548585</t>
  </si>
  <si>
    <t>5855.63501073288</t>
  </si>
  <si>
    <t>996.987265654552</t>
  </si>
  <si>
    <t>229565.951159275</t>
  </si>
  <si>
    <t>27745.3986072676</t>
  </si>
  <si>
    <t>1517.21130794745</t>
  </si>
  <si>
    <t>89567.0708625732</t>
  </si>
  <si>
    <t>473.609235615924</t>
  </si>
  <si>
    <t>4208.12215660039</t>
  </si>
  <si>
    <t>108278.020112827</t>
  </si>
  <si>
    <t>222.323365363237</t>
  </si>
  <si>
    <t>55186.6300507141</t>
  </si>
  <si>
    <t>11883720.0337141</t>
  </si>
  <si>
    <t>1522.87237989674</t>
  </si>
  <si>
    <t>102202.633469616</t>
  </si>
  <si>
    <t>135849.438136124</t>
  </si>
  <si>
    <t>3539.16641826935</t>
  </si>
  <si>
    <t>1014.82057883808</t>
  </si>
  <si>
    <t>813387.790234023</t>
  </si>
  <si>
    <t>695295.903708951</t>
  </si>
  <si>
    <t>230.760469520941</t>
  </si>
  <si>
    <t>144899.033102951</t>
  </si>
  <si>
    <t>61069.1183905198</t>
  </si>
  <si>
    <t>10061.7889637671</t>
  </si>
  <si>
    <t>701.492891690432</t>
  </si>
  <si>
    <t>102.213494366341</t>
  </si>
  <si>
    <t>772.361444613082</t>
  </si>
  <si>
    <t>46582.2206893084</t>
  </si>
  <si>
    <t>36767.837600748</t>
  </si>
  <si>
    <t>2147323.16449788</t>
  </si>
  <si>
    <t>203218.448585037</t>
  </si>
  <si>
    <t>7581982.46924659</t>
  </si>
  <si>
    <t>398.484955779074</t>
  </si>
  <si>
    <t>11134.9569891523</t>
  </si>
  <si>
    <t>77934234.9763386</t>
  </si>
  <si>
    <t>8597.51041038643</t>
  </si>
  <si>
    <t>9565.32479747064</t>
  </si>
  <si>
    <t>301398.727384974</t>
  </si>
  <si>
    <t>849.273150743811</t>
  </si>
  <si>
    <t>10227.8200130918</t>
  </si>
  <si>
    <t>1848.96554336229</t>
  </si>
  <si>
    <t>13517.8220483567</t>
  </si>
  <si>
    <t>1058.37560516021</t>
  </si>
  <si>
    <t>2600153.35347625</t>
  </si>
  <si>
    <t>48792.4230136428</t>
  </si>
  <si>
    <t>1359.39637802281</t>
  </si>
  <si>
    <t>2471.56331170964</t>
  </si>
  <si>
    <t>120338.292487993</t>
  </si>
  <si>
    <t>74790.3070877721</t>
  </si>
  <si>
    <t>104.326672661401</t>
  </si>
  <si>
    <t>11639.479314587</t>
  </si>
  <si>
    <t>108114.410565683</t>
  </si>
  <si>
    <t>2954216.5488197</t>
  </si>
  <si>
    <t>7441.40411944704</t>
  </si>
  <si>
    <t>9.5147833293102</t>
  </si>
  <si>
    <t>8906.86862583725</t>
  </si>
  <si>
    <t>15013.1779642203</t>
  </si>
  <si>
    <t>1061.59036643386</t>
  </si>
  <si>
    <t>25783.5767098896</t>
  </si>
  <si>
    <t>281.547405277142</t>
  </si>
  <si>
    <t>403.735092013759</t>
  </si>
  <si>
    <t>514.468875352789</t>
  </si>
  <si>
    <t>3955.69976206938</t>
  </si>
  <si>
    <t>34573.8398547119</t>
  </si>
  <si>
    <t>3090.30624530814</t>
  </si>
  <si>
    <t>15.8716134084585</t>
  </si>
  <si>
    <t>6159.16917565702</t>
  </si>
  <si>
    <t>285375.299108136</t>
  </si>
  <si>
    <t>32467.5001069189</t>
  </si>
  <si>
    <t>6048.98791154671</t>
  </si>
  <si>
    <t>63.935939076473</t>
  </si>
  <si>
    <t>911.728881139868</t>
  </si>
  <si>
    <t>1065736.89191123</t>
  </si>
  <si>
    <t>1060215.43957416</t>
  </si>
  <si>
    <t>415.100118923458</t>
  </si>
  <si>
    <t>51026.7220173047</t>
  </si>
  <si>
    <t>2280.70105731647</t>
  </si>
  <si>
    <t>99032.633218522</t>
  </si>
  <si>
    <t>3421.99023371416</t>
  </si>
  <si>
    <t>24827.9248945614</t>
  </si>
  <si>
    <t>1291.7668303132</t>
  </si>
  <si>
    <t>48629.4379628988</t>
  </si>
  <si>
    <t>6062.88949863732</t>
  </si>
  <si>
    <t>6465.33693773626</t>
  </si>
  <si>
    <t>172382.514489425</t>
  </si>
  <si>
    <t>68514.8485188762</t>
  </si>
  <si>
    <t>10.6770936705537</t>
  </si>
  <si>
    <t>24932.5810741129</t>
  </si>
  <si>
    <t>4636.14231542287</t>
  </si>
  <si>
    <t>4427.65580393605</t>
  </si>
  <si>
    <t>17.9385587591377</t>
  </si>
  <si>
    <t>10.6677127121211</t>
  </si>
  <si>
    <t>51518.8712943816</t>
  </si>
  <si>
    <t>24495.0460496857</t>
  </si>
  <si>
    <t>77001.3606651855</t>
  </si>
  <si>
    <t>12073.8396243169</t>
  </si>
  <si>
    <t>1377.00212555649</t>
  </si>
  <si>
    <t>3507.93732714404</t>
  </si>
  <si>
    <t>8168.78109291796</t>
  </si>
  <si>
    <t>59085.5447898197</t>
  </si>
  <si>
    <t>1139.85977076289</t>
  </si>
  <si>
    <t>26454.579067355</t>
  </si>
  <si>
    <t>115872.660324291</t>
  </si>
  <si>
    <t>16395.2965105737</t>
  </si>
  <si>
    <t>16209.370878195</t>
  </si>
  <si>
    <t>56530.7532256303</t>
  </si>
  <si>
    <t>268.390142253648</t>
  </si>
  <si>
    <t>5039.78103104398</t>
  </si>
  <si>
    <t>562.131091408287</t>
  </si>
  <si>
    <t>4525.7689347936</t>
  </si>
  <si>
    <t>510.531260805131</t>
  </si>
  <si>
    <t>98179.0934424638</t>
  </si>
  <si>
    <t>86541.5183222818</t>
  </si>
  <si>
    <t>766409.426346553</t>
  </si>
  <si>
    <t>4558.16574495005</t>
  </si>
  <si>
    <t>1472.80266095083</t>
  </si>
  <si>
    <t>10871.3970564537</t>
  </si>
  <si>
    <t>35.7582571991407</t>
  </si>
  <si>
    <t>56918.4944436067</t>
  </si>
  <si>
    <t>7494.64538352355</t>
  </si>
  <si>
    <t>165943.559334234</t>
  </si>
  <si>
    <t>26310.1881652177</t>
  </si>
  <si>
    <t>567.601875636756</t>
  </si>
  <si>
    <t>132.255699933351</t>
  </si>
  <si>
    <t>19542.1924968351</t>
  </si>
  <si>
    <t>83.6681479015538</t>
  </si>
  <si>
    <t>12583.2954125836</t>
  </si>
  <si>
    <t>82120.8172417419</t>
  </si>
  <si>
    <t>629.198174870217</t>
  </si>
  <si>
    <t>5422.51744659826</t>
  </si>
  <si>
    <t>798591.057832814</t>
  </si>
  <si>
    <t>265.70803151872</t>
  </si>
  <si>
    <t>4.20502359475255</t>
  </si>
  <si>
    <t>2963.19794744688</t>
  </si>
  <si>
    <t>131818.329046258</t>
  </si>
  <si>
    <t>15.1838208438397</t>
  </si>
  <si>
    <t>7853.19171010897</t>
  </si>
  <si>
    <t>441895.148992442</t>
  </si>
  <si>
    <t>23580.2473105453</t>
  </si>
  <si>
    <t>17479.488000924</t>
  </si>
  <si>
    <t>5898.60009724098</t>
  </si>
  <si>
    <t>2814.78286417954</t>
  </si>
  <si>
    <t>1475504.02384753</t>
  </si>
  <si>
    <t>386.703203204946</t>
  </si>
  <si>
    <t>19906.0911978098</t>
  </si>
  <si>
    <t>1106990.6066621</t>
  </si>
  <si>
    <t>3.28186328615778</t>
  </si>
  <si>
    <t>3983.98049214942</t>
  </si>
  <si>
    <t>281822.844457912</t>
  </si>
  <si>
    <t>281125.568959493</t>
  </si>
  <si>
    <t>74210.9357726979</t>
  </si>
  <si>
    <t>79190.4111194199</t>
  </si>
  <si>
    <t>12.3446527242944</t>
  </si>
  <si>
    <t>14132584.2883582</t>
  </si>
  <si>
    <t>829263.057596354</t>
  </si>
  <si>
    <t>36392.6356873811</t>
  </si>
  <si>
    <t>31026.2685826834</t>
  </si>
  <si>
    <t>122104.654004375</t>
  </si>
  <si>
    <t>2985.81592062086</t>
  </si>
  <si>
    <t>774750.523191116</t>
  </si>
  <si>
    <t>306.264299082322</t>
  </si>
  <si>
    <t>51.5344562001392</t>
  </si>
  <si>
    <t>643.067512213353</t>
  </si>
  <si>
    <t>11058.0507097493</t>
  </si>
  <si>
    <t>1110.06979743056</t>
  </si>
  <si>
    <t>10608.4635598967</t>
  </si>
  <si>
    <t>1335.86625651216</t>
  </si>
  <si>
    <t>244108.612001129</t>
  </si>
  <si>
    <t>11875.2615749275</t>
  </si>
  <si>
    <t>125.22482303918</t>
  </si>
  <si>
    <t>342.950474726689</t>
  </si>
  <si>
    <t>8031308.97692646</t>
  </si>
  <si>
    <t>39.1412885197538</t>
  </si>
  <si>
    <t>9549.17053923442</t>
  </si>
  <si>
    <t>14.3877173416683</t>
  </si>
  <si>
    <t>297.540301543457</t>
  </si>
  <si>
    <t>156087.911565404</t>
  </si>
  <si>
    <t>300.224335057274</t>
  </si>
  <si>
    <t>12572.3034676851</t>
  </si>
  <si>
    <t>8163519.50743082</t>
  </si>
  <si>
    <t>3240.85051922248</t>
  </si>
  <si>
    <t>1719.38448941149</t>
  </si>
  <si>
    <t>85939.6721944527</t>
  </si>
  <si>
    <t>338.399920280662</t>
  </si>
  <si>
    <t>6186.1884018786</t>
  </si>
  <si>
    <t>201098.096511898</t>
  </si>
  <si>
    <t>140.709691576658</t>
  </si>
  <si>
    <t>1689.43580403439</t>
  </si>
  <si>
    <t>3836.9304607102</t>
  </si>
  <si>
    <t>68.2776412426905</t>
  </si>
  <si>
    <t>813.999863216936</t>
  </si>
  <si>
    <t>1258.18196508675</t>
  </si>
  <si>
    <t>14539.4760039066</t>
  </si>
  <si>
    <t>14202.2181574614</t>
  </si>
  <si>
    <t>16036.5887235412</t>
  </si>
  <si>
    <t>19087.1142684428</t>
  </si>
  <si>
    <t>1540691.79249036</t>
  </si>
  <si>
    <t>4970.22240658158</t>
  </si>
  <si>
    <t>538054.975577892</t>
  </si>
  <si>
    <t>119993.004238087</t>
  </si>
  <si>
    <t>424.223919743441</t>
  </si>
  <si>
    <t>267.490774261244</t>
  </si>
  <si>
    <t>85626.5680931849</t>
  </si>
  <si>
    <t>2050.71910942921</t>
  </si>
  <si>
    <t>134163.039407993</t>
  </si>
  <si>
    <t>3797.78333473339</t>
  </si>
  <si>
    <t>72612.3683104995</t>
  </si>
  <si>
    <t>56.581870978552</t>
  </si>
  <si>
    <t>38024.7477270854</t>
  </si>
  <si>
    <t>3705.23983525786</t>
  </si>
  <si>
    <t>379.478608610113</t>
  </si>
  <si>
    <t>24.8656376540377</t>
  </si>
  <si>
    <t>9578.67281046129</t>
  </si>
  <si>
    <t>21901.3420485707</t>
  </si>
  <si>
    <t>261380.217874669</t>
  </si>
  <si>
    <t>43182.6013320166</t>
  </si>
  <si>
    <t>690935.701904338</t>
  </si>
  <si>
    <t>22.1526242413638</t>
  </si>
  <si>
    <t>9701.94911542641</t>
  </si>
  <si>
    <t>3209.93708759427</t>
  </si>
  <si>
    <t>525.286952730517</t>
  </si>
  <si>
    <t>373.670074561295</t>
  </si>
  <si>
    <t>2971.98644073566</t>
  </si>
  <si>
    <t>131116.847470288</t>
  </si>
  <si>
    <t>3858.28290444557</t>
  </si>
  <si>
    <t>254.804450918074</t>
  </si>
  <si>
    <t>40403.2561494169</t>
  </si>
  <si>
    <t>26567129.7814354</t>
  </si>
  <si>
    <t>58.9345660753535</t>
  </si>
  <si>
    <t>164927.363927231</t>
  </si>
  <si>
    <t>92856.5912488193</t>
  </si>
  <si>
    <t>28139.5072747853</t>
  </si>
  <si>
    <t>6263.0515079208</t>
  </si>
  <si>
    <t>34623.8546366837</t>
  </si>
  <si>
    <t>487.989016092478</t>
  </si>
  <si>
    <t>3562.1261391535</t>
  </si>
  <si>
    <t>421.31579623527</t>
  </si>
  <si>
    <t>546.417213843749</t>
  </si>
  <si>
    <t>914308.316839715</t>
  </si>
  <si>
    <t>532820.736249529</t>
  </si>
  <si>
    <t>4572.8398490613</t>
  </si>
  <si>
    <t>376.549108710522</t>
  </si>
  <si>
    <t>5698.82778283534</t>
  </si>
  <si>
    <t>58.5725183764148</t>
  </si>
  <si>
    <t>357888.245973409</t>
  </si>
  <si>
    <t>8305.74873864892</t>
  </si>
  <si>
    <t>638.62078884916</t>
  </si>
  <si>
    <t>293969.997336714</t>
  </si>
  <si>
    <t>20113.3104369595</t>
  </si>
  <si>
    <t>6830.05768659551</t>
  </si>
  <si>
    <t>457.808888744609</t>
  </si>
  <si>
    <t>47723.8106906654</t>
  </si>
  <si>
    <t>13620.2729580956</t>
  </si>
  <si>
    <t>6648.30464763999</t>
  </si>
  <si>
    <t>1151.08717423369</t>
  </si>
  <si>
    <t>103.864622334252</t>
  </si>
  <si>
    <t>1017235.01174629</t>
  </si>
  <si>
    <t>13364.3215629054</t>
  </si>
  <si>
    <t>6002.66083967156</t>
  </si>
  <si>
    <t>786.140611437842</t>
  </si>
  <si>
    <t>13906.2485928233</t>
  </si>
  <si>
    <t>4069.25510876146</t>
  </si>
  <si>
    <t>6505.32833952522</t>
  </si>
  <si>
    <t>11.058841430069</t>
  </si>
  <si>
    <t>3104.12336619691</t>
  </si>
  <si>
    <t>12962.1126540454</t>
  </si>
  <si>
    <t>720.937200466961</t>
  </si>
  <si>
    <t>24803.3693950015</t>
  </si>
  <si>
    <t>417.661473691582</t>
  </si>
  <si>
    <t>225029.126279291</t>
  </si>
  <si>
    <t>5386.16756146262</t>
  </si>
  <si>
    <t>11.9129501024425</t>
  </si>
  <si>
    <t>248.188199472188</t>
  </si>
  <si>
    <t>99071.4099154938</t>
  </si>
  <si>
    <t>1014.17228516204</t>
  </si>
  <si>
    <t>14873.8032119713</t>
  </si>
  <si>
    <t>2356.15397562366</t>
  </si>
  <si>
    <t>77064.2212240396</t>
  </si>
  <si>
    <t>7048472.69680636</t>
  </si>
  <si>
    <t>18182.0077764965</t>
  </si>
  <si>
    <t>643.085786434464</t>
  </si>
  <si>
    <t>2342.16962736114</t>
  </si>
  <si>
    <t>24.4509186497961</t>
  </si>
  <si>
    <t>3192.21289457166</t>
  </si>
  <si>
    <t>2283.16745026743</t>
  </si>
  <si>
    <t>90973.779364292</t>
  </si>
  <si>
    <t>581269.235695787</t>
  </si>
  <si>
    <t>770.907186368573</t>
  </si>
  <si>
    <t>1144.57297691621</t>
  </si>
  <si>
    <t>57087.1935532838</t>
  </si>
  <si>
    <t>25880.6110369727</t>
  </si>
  <si>
    <t>190061.657284966</t>
  </si>
  <si>
    <t>87163.648773386</t>
  </si>
  <si>
    <t>9959.31885759821</t>
  </si>
  <si>
    <t>5658.59556831503</t>
  </si>
  <si>
    <t>113.848009727694</t>
  </si>
  <si>
    <t>1117439.0760861</t>
  </si>
  <si>
    <t>11762.9573425129</t>
  </si>
  <si>
    <t>67111.6963934925</t>
  </si>
  <si>
    <t>436374.369648263</t>
  </si>
  <si>
    <t>614.765829919858</t>
  </si>
  <si>
    <t>147721.764678208</t>
  </si>
  <si>
    <t>135.031071114073</t>
  </si>
  <si>
    <t>6519.41071788819</t>
  </si>
  <si>
    <t>220.829743978452</t>
  </si>
  <si>
    <t>20.6019446509357</t>
  </si>
  <si>
    <t>2798.64972915173</t>
  </si>
  <si>
    <t>714654.52413894</t>
  </si>
  <si>
    <t>10394.8573048206</t>
  </si>
  <si>
    <t>11459.7515786566</t>
  </si>
  <si>
    <t>79931.2715966394</t>
  </si>
  <si>
    <t>1636.44552059099</t>
  </si>
  <si>
    <t>400.143262536113</t>
  </si>
  <si>
    <t>8870.14776223502</t>
  </si>
  <si>
    <t>208.631576687024</t>
  </si>
  <si>
    <t>11178.0253118792</t>
  </si>
  <si>
    <t>477.148100081805</t>
  </si>
  <si>
    <t>440.562133603499</t>
  </si>
  <si>
    <t>2437855.49225846</t>
  </si>
  <si>
    <t>2825.41719219545</t>
  </si>
  <si>
    <t>45.5420871200137</t>
  </si>
  <si>
    <t>889.149424715436</t>
  </si>
  <si>
    <t>52429.7443043247</t>
  </si>
  <si>
    <t>3387.51547105078</t>
  </si>
  <si>
    <t>4261.45272952406</t>
  </si>
  <si>
    <t>5780.93865472355</t>
  </si>
  <si>
    <t>5328.41392229196</t>
  </si>
  <si>
    <t>646868.194116108</t>
  </si>
  <si>
    <t>1413.49444371239</t>
  </si>
  <si>
    <t>773.331041851126</t>
  </si>
  <si>
    <t>20173.5194503437</t>
  </si>
  <si>
    <t>5222.42711020943</t>
  </si>
  <si>
    <t>756.102268505798</t>
  </si>
  <si>
    <t>121689.531680935</t>
  </si>
  <si>
    <t>3324134.25223828</t>
  </si>
  <si>
    <t>8016.51505637809</t>
  </si>
  <si>
    <t>1646.82763883609</t>
  </si>
  <si>
    <t>243.648139583048</t>
  </si>
  <si>
    <t>80032.9787521925</t>
  </si>
  <si>
    <t>4646.48373121167</t>
  </si>
  <si>
    <t>176014.812815712</t>
  </si>
  <si>
    <t>536.671561203059</t>
  </si>
  <si>
    <t>11.8622440264497</t>
  </si>
  <si>
    <t>30558.3825984636</t>
  </si>
  <si>
    <t>43119.7858473776</t>
  </si>
  <si>
    <t>55164.2002631883</t>
  </si>
  <si>
    <t>22.0655005999784</t>
  </si>
  <si>
    <t>5185.1337501314</t>
  </si>
  <si>
    <t>1810.21233684321</t>
  </si>
  <si>
    <t>323.458566769671</t>
  </si>
  <si>
    <t>6.99345561321622</t>
  </si>
  <si>
    <t>434526.661798665</t>
  </si>
  <si>
    <t>6247.1518065509</t>
  </si>
  <si>
    <t>1482.77706131409</t>
  </si>
  <si>
    <t>104.758142314384</t>
  </si>
  <si>
    <t>2219.45444429812</t>
  </si>
  <si>
    <t>16040.0631720565</t>
  </si>
  <si>
    <t>394288.197651991</t>
  </si>
  <si>
    <t>45936.0192493709</t>
  </si>
  <si>
    <t>486026.459307698</t>
  </si>
  <si>
    <t>2924.81850695745</t>
  </si>
  <si>
    <t>2993.3829231848</t>
  </si>
  <si>
    <t>56652.382451022</t>
  </si>
  <si>
    <t>5163.5100914791</t>
  </si>
  <si>
    <t>183713.187711975</t>
  </si>
  <si>
    <t>103107.592220761</t>
  </si>
  <si>
    <t>6000.8140998953</t>
  </si>
  <si>
    <t>702.160703022133</t>
  </si>
  <si>
    <t>24468.2585115922</t>
  </si>
  <si>
    <t>12.1186641747124</t>
  </si>
  <si>
    <t>58654.1218672206</t>
  </si>
  <si>
    <t>2076.12571717107</t>
  </si>
  <si>
    <t>1007.46194792165</t>
  </si>
  <si>
    <t>1196400.41369847</t>
  </si>
  <si>
    <t>17070.8526811838</t>
  </si>
  <si>
    <t>36344.48010071</t>
  </si>
  <si>
    <t>970918.88997585</t>
  </si>
  <si>
    <t>445.369507699323</t>
  </si>
  <si>
    <t>31453.2080253857</t>
  </si>
  <si>
    <t>6388.67185111463</t>
  </si>
  <si>
    <t>20266.1615502286</t>
  </si>
  <si>
    <t>84163.6130575578</t>
  </si>
  <si>
    <t>426431.831875949</t>
  </si>
  <si>
    <t>59086.8036994202</t>
  </si>
  <si>
    <t>1195.81880193719</t>
  </si>
  <si>
    <t>3396.24782255775</t>
  </si>
  <si>
    <t>326.24942217182</t>
  </si>
  <si>
    <t>28.127230616795</t>
  </si>
  <si>
    <t>585.846818354134</t>
  </si>
  <si>
    <t>117914.277656721</t>
  </si>
  <si>
    <t>690.240376484067</t>
  </si>
  <si>
    <t>175154.652107793</t>
  </si>
  <si>
    <t>122305.425276255</t>
  </si>
  <si>
    <t>127.664177801145</t>
  </si>
  <si>
    <t>11326.0594380739</t>
  </si>
  <si>
    <t>1376.01718379324</t>
  </si>
  <si>
    <t>3140.6630099307</t>
  </si>
  <si>
    <t>4667.7156105551</t>
  </si>
  <si>
    <t>18722.5217685767</t>
  </si>
  <si>
    <t>6447.75950164221</t>
  </si>
  <si>
    <t>531782.258828213</t>
  </si>
  <si>
    <t>525.781827554157</t>
  </si>
  <si>
    <t>4334411.95639369</t>
  </si>
  <si>
    <t>43580.3334517101</t>
  </si>
  <si>
    <t>9833.88768030539</t>
  </si>
  <si>
    <t>32259.1447421465</t>
  </si>
  <si>
    <t>346.118195237</t>
  </si>
  <si>
    <t>13542.2629357643</t>
  </si>
  <si>
    <t>159602.231601661</t>
  </si>
  <si>
    <t>9095.8250109766</t>
  </si>
  <si>
    <t>30566.3075204231</t>
  </si>
  <si>
    <t>1262.88598091009</t>
  </si>
  <si>
    <t>112.330563177535</t>
  </si>
  <si>
    <t>751.570522967075</t>
  </si>
  <si>
    <t>18900.2540666335</t>
  </si>
  <si>
    <t>878.247490214161</t>
  </si>
  <si>
    <t>1685.76534769959</t>
  </si>
  <si>
    <t>1636544.80496835</t>
  </si>
  <si>
    <t>60165.107691131</t>
  </si>
  <si>
    <t>71548.6381262415</t>
  </si>
  <si>
    <t>9605.30063469383</t>
  </si>
  <si>
    <t>4550.62102337577</t>
  </si>
  <si>
    <t>13745710.9714993</t>
  </si>
  <si>
    <t>157803.619499194</t>
  </si>
  <si>
    <t>33731.1592269118</t>
  </si>
  <si>
    <t>1411.50766491104</t>
  </si>
  <si>
    <t>66.5184937747198</t>
  </si>
  <si>
    <t>10286.0992646277</t>
  </si>
  <si>
    <t>8757.47158992639</t>
  </si>
  <si>
    <t>1567.31171666804</t>
  </si>
  <si>
    <t>7230.96023439094</t>
  </si>
  <si>
    <t>3898.11824177489</t>
  </si>
  <si>
    <t>28325.5300459973</t>
  </si>
  <si>
    <t>121598.845455129</t>
  </si>
  <si>
    <t>29248.9648657581</t>
  </si>
  <si>
    <t>203.296660586852</t>
  </si>
  <si>
    <t>1461.60195261885</t>
  </si>
  <si>
    <t>238.151124232752</t>
  </si>
  <si>
    <t>141162.865025612</t>
  </si>
  <si>
    <t>3389.02090984776</t>
  </si>
  <si>
    <t>12.3317293559221</t>
  </si>
  <si>
    <t>4719.40276082781</t>
  </si>
  <si>
    <t>718.518413585802</t>
  </si>
  <si>
    <t>10656.8065732637</t>
  </si>
  <si>
    <t>9522.10585074353</t>
  </si>
  <si>
    <t>205.674190000794</t>
  </si>
  <si>
    <t>4579.6515623671</t>
  </si>
  <si>
    <t>1094.41331302194</t>
  </si>
  <si>
    <t>129332.270871505</t>
  </si>
  <si>
    <t>510579.172417129</t>
  </si>
  <si>
    <t>112955.72972139</t>
  </si>
  <si>
    <t>13658.1241810391</t>
  </si>
  <si>
    <t>4290.36304426566</t>
  </si>
  <si>
    <t>7400.37274314278</t>
  </si>
  <si>
    <t>698.178711246349</t>
  </si>
  <si>
    <t>144.189364648702</t>
  </si>
  <si>
    <t>12196.2718460441</t>
  </si>
  <si>
    <t>36575.96509663</t>
  </si>
  <si>
    <t>1488.63498789471</t>
  </si>
  <si>
    <t>426859.215026825</t>
  </si>
  <si>
    <t>18355.8614314761</t>
  </si>
  <si>
    <t>4862.07357360147</t>
  </si>
  <si>
    <t>1131.32236571113</t>
  </si>
  <si>
    <t>215398.32784611</t>
  </si>
  <si>
    <t>161922.00848034</t>
  </si>
  <si>
    <t>373175.783196583</t>
  </si>
  <si>
    <t>325.303712358219</t>
  </si>
  <si>
    <t>18472695.6423408</t>
  </si>
  <si>
    <t>270.323697538744</t>
  </si>
  <si>
    <t>77788.510993002</t>
  </si>
  <si>
    <t>12379.8810918902</t>
  </si>
  <si>
    <t>114.927232991558</t>
  </si>
  <si>
    <t>318.608606938183</t>
  </si>
  <si>
    <t>85.9725077486986</t>
  </si>
  <si>
    <t>29763.2015399982</t>
  </si>
  <si>
    <t>416.298850569163</t>
  </si>
  <si>
    <t>6916.06188899772</t>
  </si>
  <si>
    <t>95878.0842713343</t>
  </si>
  <si>
    <t>1530.02802342431</t>
  </si>
  <si>
    <t>5346.27289309894</t>
  </si>
  <si>
    <t>2300229.31282871</t>
  </si>
  <si>
    <t>111413.751211639</t>
  </si>
  <si>
    <t>2751.91765836177</t>
  </si>
  <si>
    <t>436404.176325609</t>
  </si>
  <si>
    <t>19497.4185795109</t>
  </si>
  <si>
    <t>13807.9700762337</t>
  </si>
  <si>
    <t>10.206346499079</t>
  </si>
  <si>
    <t>150877.398741184</t>
  </si>
  <si>
    <t>14414.661299687</t>
  </si>
  <si>
    <t>160879.807701776</t>
  </si>
  <si>
    <t>189430.699040674</t>
  </si>
  <si>
    <t>10991.8005383172</t>
  </si>
  <si>
    <t>2554246.76299755</t>
  </si>
  <si>
    <t>82138.7995959902</t>
  </si>
  <si>
    <t>50238.5588484547</t>
  </si>
  <si>
    <t>166139.913012908</t>
  </si>
  <si>
    <t>14.6820163637833</t>
  </si>
  <si>
    <t>495.680678244005</t>
  </si>
  <si>
    <t>14771.2887431347</t>
  </si>
  <si>
    <t>224248.986858346</t>
  </si>
  <si>
    <t>159.431396070993</t>
  </si>
  <si>
    <t>51624.4619620386</t>
  </si>
  <si>
    <t>328.976196406594</t>
  </si>
  <si>
    <t>888636.026077282</t>
  </si>
  <si>
    <t>363.42609708427</t>
  </si>
  <si>
    <t>13273.9152034587</t>
  </si>
  <si>
    <t>367.420336713696</t>
  </si>
  <si>
    <t>169.339814931159</t>
  </si>
  <si>
    <t>142675.35487678</t>
  </si>
  <si>
    <t>14497.3560834833</t>
  </si>
  <si>
    <t>20290.1571306641</t>
  </si>
  <si>
    <t>3901.30093308888</t>
  </si>
  <si>
    <t>9359.61327794388</t>
  </si>
  <si>
    <t>19337.4940402989</t>
  </si>
  <si>
    <t>22115.5513116895</t>
  </si>
  <si>
    <t>634.9404860429</t>
  </si>
  <si>
    <t>7255.04850575414</t>
  </si>
  <si>
    <t>2133.906116067</t>
  </si>
  <si>
    <t>35224.3559359444</t>
  </si>
  <si>
    <t>211.751324608498</t>
  </si>
  <si>
    <t>110337.826622229</t>
  </si>
  <si>
    <t>10064.6438984757</t>
  </si>
  <si>
    <t>19043.7811604577</t>
  </si>
  <si>
    <t>21287.6874005029</t>
  </si>
  <si>
    <t>296176.42930809</t>
  </si>
  <si>
    <t>109646.731300015</t>
  </si>
  <si>
    <t>634.270924646003</t>
  </si>
  <si>
    <t>152.567984225708</t>
  </si>
  <si>
    <t>2131.07163720532</t>
  </si>
  <si>
    <t>208744.656001638</t>
  </si>
  <si>
    <t>511992.578939513</t>
  </si>
  <si>
    <t>8916.90337491395</t>
  </si>
  <si>
    <t>400.406354595289</t>
  </si>
  <si>
    <t>1520.91760325146</t>
  </si>
  <si>
    <t>43156.333611804</t>
  </si>
  <si>
    <t>24.5733219782341</t>
  </si>
  <si>
    <t>1873.87166153166</t>
  </si>
  <si>
    <t>18392.6629103412</t>
  </si>
  <si>
    <t>57779.1780615819</t>
  </si>
  <si>
    <t>75.6814628934815</t>
  </si>
  <si>
    <t>74944.466850214</t>
  </si>
  <si>
    <t>782.694752325175</t>
  </si>
  <si>
    <t>75.6720300366763</t>
  </si>
  <si>
    <t>207985.89513587</t>
  </si>
  <si>
    <t>836.35731257784</t>
  </si>
  <si>
    <t>169.515027117807</t>
  </si>
  <si>
    <t>417885.185424383</t>
  </si>
  <si>
    <t>847.959018184842</t>
  </si>
  <si>
    <t>42413.6425770226</t>
  </si>
  <si>
    <t>11.7675981591108</t>
  </si>
  <si>
    <t>10695.0192554049</t>
  </si>
  <si>
    <t>1031.42979102216</t>
  </si>
  <si>
    <t>2834.10768809408</t>
  </si>
  <si>
    <t>630.116005669352</t>
  </si>
  <si>
    <t>1975.88835414225</t>
  </si>
  <si>
    <t>63475.2767086774</t>
  </si>
  <si>
    <t>902.013855019923</t>
  </si>
  <si>
    <t>43017.5543948787</t>
  </si>
  <si>
    <t>3937.54201766909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</si>
</sst>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8" x14ac:knownFonts="1">
    <font>
      <sz val="12"/>
      <color theme="1"/>
      <name val="Aptos Narrow"/>
      <family val="2"/>
      <scheme val="minor"/>
    </font>
    <font>
      <sz val="12"/>
      <color rgb="FF3F3F76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rgb="FF000000"/>
      <name val="Aptos Narrow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44" fontId="5" fillId="0" borderId="0" applyFont="0" applyFill="0" applyBorder="0" applyAlignment="0" applyProtection="0"/>
  </cellStyleXfs>
  <cellXfs count="14">
    <xf numFmtId="0" fontId="0" fillId="0" borderId="0" xfId="0"/>
    <xf numFmtId="14" fontId="0" fillId="0" borderId="0" xfId="0" applyNumberFormat="1"/>
    <xf numFmtId="0" fontId="1" fillId="2" borderId="1" xfId="1"/>
    <xf numFmtId="0" fontId="0" fillId="4" borderId="0" xfId="0" applyFill="1"/>
    <xf numFmtId="0" fontId="1" fillId="2" borderId="1" xfId="1" applyAlignment="1">
      <alignment horizontal="right"/>
    </xf>
    <xf numFmtId="11" fontId="0" fillId="0" borderId="0" xfId="0" applyNumberFormat="1"/>
    <xf numFmtId="0" fontId="3" fillId="0" borderId="0" xfId="0" applyFont="1"/>
    <xf numFmtId="44" fontId="0" fillId="0" borderId="0" xfId="2" applyFont="1"/>
    <xf numFmtId="0" fontId="6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</cellXfs>
  <cellStyles count="3">
    <cellStyle name="Currency" xfId="2" builtinId="4"/>
    <cellStyle name="Input" xfId="1" builtinId="20"/>
    <cellStyle name="Normal" xfId="0" builtinId="0"/>
  </cellStyles>
  <dxfs count="10">
    <dxf>
      <numFmt numFmtId="19" formatCode="m/d/yy"/>
    </dxf>
    <dxf>
      <numFmt numFmtId="0" formatCode="General"/>
    </dxf>
    <dxf>
      <numFmt numFmtId="0" formatCode="General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[ClaimsAnalysis.xlsm]ClaimCount!ClaimFrequencyDistribution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Claim Frequency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ClaimCount!$F$11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ClaimCount!$E$12:$E$20</c:f>
              <c:strCach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strCache>
            </c:strRef>
          </c:cat>
          <c:val>
            <c:numRef>
              <c:f>ClaimCount!$F$12:$F$20</c:f>
              <c:numCache>
                <c:formatCode>General</c:formatCode>
                <c:ptCount val="8"/>
                <c:pt idx="0">
                  <c:v>212</c:v>
                </c:pt>
                <c:pt idx="1">
                  <c:v>133</c:v>
                </c:pt>
                <c:pt idx="2">
                  <c:v>84</c:v>
                </c:pt>
                <c:pt idx="3">
                  <c:v>37</c:v>
                </c:pt>
                <c:pt idx="4">
                  <c:v>24</c:v>
                </c:pt>
                <c:pt idx="5">
                  <c:v>8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BA-3C48-B7D8-472C05666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1930658672"/>
        <c:axId val="2066908256"/>
      </c:barChart>
      <c:catAx>
        <c:axId val="1930658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Claims Per Policy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908256"/>
        <c:crosses val="autoZero"/>
        <c:auto val="1"/>
        <c:lblAlgn val="ctr"/>
        <c:lblOffset val="100"/>
        <c:noMultiLvlLbl val="0"/>
      </c:catAx>
      <c:valAx>
        <c:axId val="20669082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Policies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065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3</xdr:row>
          <xdr:rowOff>0</xdr:rowOff>
        </xdr:from>
        <xdr:to>
          <xdr:col>6</xdr:col>
          <xdr:colOff>1409700</xdr:colOff>
          <xdr:row>4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Simulation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63500</xdr:colOff>
      <xdr:row>16</xdr:row>
      <xdr:rowOff>0</xdr:rowOff>
    </xdr:from>
    <xdr:to>
      <xdr:col>5</xdr:col>
      <xdr:colOff>660400</xdr:colOff>
      <xdr:row>29</xdr:row>
      <xdr:rowOff>101600</xdr:rowOff>
    </xdr:to>
    <xdr:graphicFrame macro="">
      <xdr:nvGraphicFramePr>
        <xdr:cNvPr id="3" name="ClaimFrequency">
          <a:extLst>
            <a:ext uri="{FF2B5EF4-FFF2-40B4-BE49-F238E27FC236}">
              <a16:creationId xmlns:a16="http://schemas.microsoft.com/office/drawing/2014/main" id="{3273F966-B947-DB40-A60B-3186A9E07C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 Berg" refreshedDate="45701.926093865739" createdVersion="8" refreshedVersion="8" minRefreshableVersion="3" recordCount="500" xr:uid="{4D4F94C6-548D-AD46-B2D1-28509BD8755E}">
  <cacheSource type="worksheet">
    <worksheetSource name="TblPolicyClaimCount"/>
  </cacheSource>
  <cacheFields count="2">
    <cacheField name="PolicyID" numFmtId="0">
      <sharedItems containsSemiMixedTypes="0" containsString="0" containsNumber="1" containsInteger="1" minValue="1" maxValue="500"/>
    </cacheField>
    <cacheField name="ClaimCount" numFmtId="0">
      <sharedItems containsSemiMixedTypes="0" containsString="0" containsNumber="1" containsInteger="1" minValue="1" maxValue="20" count="19">
        <n v="1"/>
        <n v="3"/>
        <n v="2"/>
        <n v="4"/>
        <n v="5"/>
        <n v="6"/>
        <n v="8"/>
        <n v="7"/>
        <n v="10" u="1"/>
        <n v="9" u="1"/>
        <n v="14" u="1"/>
        <n v="15" u="1"/>
        <n v="11" u="1"/>
        <n v="13" u="1"/>
        <n v="12" u="1"/>
        <n v="16" u="1"/>
        <n v="17" u="1"/>
        <n v="18" u="1"/>
        <n v="2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n v="1"/>
    <x v="0"/>
  </r>
  <r>
    <n v="2"/>
    <x v="1"/>
  </r>
  <r>
    <n v="3"/>
    <x v="2"/>
  </r>
  <r>
    <n v="4"/>
    <x v="3"/>
  </r>
  <r>
    <n v="5"/>
    <x v="3"/>
  </r>
  <r>
    <n v="7"/>
    <x v="2"/>
  </r>
  <r>
    <n v="8"/>
    <x v="3"/>
  </r>
  <r>
    <n v="9"/>
    <x v="2"/>
  </r>
  <r>
    <n v="10"/>
    <x v="2"/>
  </r>
  <r>
    <n v="11"/>
    <x v="4"/>
  </r>
  <r>
    <n v="12"/>
    <x v="2"/>
  </r>
  <r>
    <n v="13"/>
    <x v="1"/>
  </r>
  <r>
    <n v="14"/>
    <x v="2"/>
  </r>
  <r>
    <n v="16"/>
    <x v="3"/>
  </r>
  <r>
    <n v="17"/>
    <x v="0"/>
  </r>
  <r>
    <n v="19"/>
    <x v="0"/>
  </r>
  <r>
    <n v="20"/>
    <x v="4"/>
  </r>
  <r>
    <n v="21"/>
    <x v="3"/>
  </r>
  <r>
    <n v="22"/>
    <x v="1"/>
  </r>
  <r>
    <n v="23"/>
    <x v="2"/>
  </r>
  <r>
    <n v="24"/>
    <x v="5"/>
  </r>
  <r>
    <n v="25"/>
    <x v="2"/>
  </r>
  <r>
    <n v="26"/>
    <x v="1"/>
  </r>
  <r>
    <n v="27"/>
    <x v="2"/>
  </r>
  <r>
    <n v="28"/>
    <x v="2"/>
  </r>
  <r>
    <n v="29"/>
    <x v="0"/>
  </r>
  <r>
    <n v="30"/>
    <x v="0"/>
  </r>
  <r>
    <n v="31"/>
    <x v="4"/>
  </r>
  <r>
    <n v="32"/>
    <x v="3"/>
  </r>
  <r>
    <n v="33"/>
    <x v="1"/>
  </r>
  <r>
    <n v="34"/>
    <x v="1"/>
  </r>
  <r>
    <n v="36"/>
    <x v="2"/>
  </r>
  <r>
    <n v="37"/>
    <x v="1"/>
  </r>
  <r>
    <n v="38"/>
    <x v="0"/>
  </r>
  <r>
    <n v="39"/>
    <x v="0"/>
  </r>
  <r>
    <n v="40"/>
    <x v="0"/>
  </r>
  <r>
    <n v="41"/>
    <x v="0"/>
  </r>
  <r>
    <n v="42"/>
    <x v="2"/>
  </r>
  <r>
    <n v="43"/>
    <x v="2"/>
  </r>
  <r>
    <n v="44"/>
    <x v="0"/>
  </r>
  <r>
    <n v="45"/>
    <x v="0"/>
  </r>
  <r>
    <n v="46"/>
    <x v="0"/>
  </r>
  <r>
    <n v="47"/>
    <x v="0"/>
  </r>
  <r>
    <n v="48"/>
    <x v="2"/>
  </r>
  <r>
    <n v="49"/>
    <x v="0"/>
  </r>
  <r>
    <n v="50"/>
    <x v="3"/>
  </r>
  <r>
    <n v="52"/>
    <x v="2"/>
  </r>
  <r>
    <n v="53"/>
    <x v="1"/>
  </r>
  <r>
    <n v="55"/>
    <x v="2"/>
  </r>
  <r>
    <n v="56"/>
    <x v="0"/>
  </r>
  <r>
    <n v="58"/>
    <x v="1"/>
  </r>
  <r>
    <n v="59"/>
    <x v="3"/>
  </r>
  <r>
    <n v="60"/>
    <x v="0"/>
  </r>
  <r>
    <n v="61"/>
    <x v="2"/>
  </r>
  <r>
    <n v="63"/>
    <x v="0"/>
  </r>
  <r>
    <n v="64"/>
    <x v="0"/>
  </r>
  <r>
    <n v="65"/>
    <x v="1"/>
  </r>
  <r>
    <n v="66"/>
    <x v="2"/>
  </r>
  <r>
    <n v="67"/>
    <x v="1"/>
  </r>
  <r>
    <n v="68"/>
    <x v="1"/>
  </r>
  <r>
    <n v="69"/>
    <x v="1"/>
  </r>
  <r>
    <n v="70"/>
    <x v="2"/>
  </r>
  <r>
    <n v="71"/>
    <x v="1"/>
  </r>
  <r>
    <n v="72"/>
    <x v="2"/>
  </r>
  <r>
    <n v="73"/>
    <x v="1"/>
  </r>
  <r>
    <n v="75"/>
    <x v="2"/>
  </r>
  <r>
    <n v="76"/>
    <x v="0"/>
  </r>
  <r>
    <n v="77"/>
    <x v="0"/>
  </r>
  <r>
    <n v="78"/>
    <x v="2"/>
  </r>
  <r>
    <n v="79"/>
    <x v="0"/>
  </r>
  <r>
    <n v="81"/>
    <x v="0"/>
  </r>
  <r>
    <n v="82"/>
    <x v="2"/>
  </r>
  <r>
    <n v="83"/>
    <x v="2"/>
  </r>
  <r>
    <n v="84"/>
    <x v="1"/>
  </r>
  <r>
    <n v="86"/>
    <x v="2"/>
  </r>
  <r>
    <n v="87"/>
    <x v="5"/>
  </r>
  <r>
    <n v="88"/>
    <x v="3"/>
  </r>
  <r>
    <n v="89"/>
    <x v="3"/>
  </r>
  <r>
    <n v="90"/>
    <x v="0"/>
  </r>
  <r>
    <n v="92"/>
    <x v="2"/>
  </r>
  <r>
    <n v="93"/>
    <x v="0"/>
  </r>
  <r>
    <n v="94"/>
    <x v="2"/>
  </r>
  <r>
    <n v="95"/>
    <x v="0"/>
  </r>
  <r>
    <n v="96"/>
    <x v="0"/>
  </r>
  <r>
    <n v="97"/>
    <x v="1"/>
  </r>
  <r>
    <n v="99"/>
    <x v="2"/>
  </r>
  <r>
    <n v="100"/>
    <x v="2"/>
  </r>
  <r>
    <n v="101"/>
    <x v="2"/>
  </r>
  <r>
    <n v="102"/>
    <x v="0"/>
  </r>
  <r>
    <n v="103"/>
    <x v="2"/>
  </r>
  <r>
    <n v="104"/>
    <x v="4"/>
  </r>
  <r>
    <n v="105"/>
    <x v="2"/>
  </r>
  <r>
    <n v="106"/>
    <x v="3"/>
  </r>
  <r>
    <n v="107"/>
    <x v="3"/>
  </r>
  <r>
    <n v="108"/>
    <x v="2"/>
  </r>
  <r>
    <n v="109"/>
    <x v="2"/>
  </r>
  <r>
    <n v="110"/>
    <x v="0"/>
  </r>
  <r>
    <n v="111"/>
    <x v="3"/>
  </r>
  <r>
    <n v="112"/>
    <x v="0"/>
  </r>
  <r>
    <n v="114"/>
    <x v="4"/>
  </r>
  <r>
    <n v="115"/>
    <x v="1"/>
  </r>
  <r>
    <n v="116"/>
    <x v="0"/>
  </r>
  <r>
    <n v="117"/>
    <x v="2"/>
  </r>
  <r>
    <n v="118"/>
    <x v="4"/>
  </r>
  <r>
    <n v="119"/>
    <x v="2"/>
  </r>
  <r>
    <n v="120"/>
    <x v="0"/>
  </r>
  <r>
    <n v="121"/>
    <x v="2"/>
  </r>
  <r>
    <n v="122"/>
    <x v="0"/>
  </r>
  <r>
    <n v="123"/>
    <x v="0"/>
  </r>
  <r>
    <n v="124"/>
    <x v="0"/>
  </r>
  <r>
    <n v="125"/>
    <x v="0"/>
  </r>
  <r>
    <n v="126"/>
    <x v="5"/>
  </r>
  <r>
    <n v="127"/>
    <x v="0"/>
  </r>
  <r>
    <n v="129"/>
    <x v="0"/>
  </r>
  <r>
    <n v="130"/>
    <x v="1"/>
  </r>
  <r>
    <n v="131"/>
    <x v="2"/>
  </r>
  <r>
    <n v="132"/>
    <x v="3"/>
  </r>
  <r>
    <n v="133"/>
    <x v="2"/>
  </r>
  <r>
    <n v="134"/>
    <x v="1"/>
  </r>
  <r>
    <n v="135"/>
    <x v="2"/>
  </r>
  <r>
    <n v="136"/>
    <x v="2"/>
  </r>
  <r>
    <n v="137"/>
    <x v="1"/>
  </r>
  <r>
    <n v="138"/>
    <x v="1"/>
  </r>
  <r>
    <n v="139"/>
    <x v="4"/>
  </r>
  <r>
    <n v="140"/>
    <x v="2"/>
  </r>
  <r>
    <n v="141"/>
    <x v="0"/>
  </r>
  <r>
    <n v="142"/>
    <x v="2"/>
  </r>
  <r>
    <n v="144"/>
    <x v="0"/>
  </r>
  <r>
    <n v="145"/>
    <x v="1"/>
  </r>
  <r>
    <n v="146"/>
    <x v="0"/>
  </r>
  <r>
    <n v="147"/>
    <x v="0"/>
  </r>
  <r>
    <n v="149"/>
    <x v="0"/>
  </r>
  <r>
    <n v="150"/>
    <x v="1"/>
  </r>
  <r>
    <n v="151"/>
    <x v="1"/>
  </r>
  <r>
    <n v="152"/>
    <x v="2"/>
  </r>
  <r>
    <n v="153"/>
    <x v="0"/>
  </r>
  <r>
    <n v="154"/>
    <x v="0"/>
  </r>
  <r>
    <n v="156"/>
    <x v="0"/>
  </r>
  <r>
    <n v="157"/>
    <x v="2"/>
  </r>
  <r>
    <n v="158"/>
    <x v="0"/>
  </r>
  <r>
    <n v="159"/>
    <x v="2"/>
  </r>
  <r>
    <n v="160"/>
    <x v="0"/>
  </r>
  <r>
    <n v="161"/>
    <x v="2"/>
  </r>
  <r>
    <n v="162"/>
    <x v="0"/>
  </r>
  <r>
    <n v="163"/>
    <x v="2"/>
  </r>
  <r>
    <n v="164"/>
    <x v="0"/>
  </r>
  <r>
    <n v="165"/>
    <x v="0"/>
  </r>
  <r>
    <n v="166"/>
    <x v="2"/>
  </r>
  <r>
    <n v="167"/>
    <x v="1"/>
  </r>
  <r>
    <n v="168"/>
    <x v="0"/>
  </r>
  <r>
    <n v="169"/>
    <x v="2"/>
  </r>
  <r>
    <n v="170"/>
    <x v="0"/>
  </r>
  <r>
    <n v="171"/>
    <x v="2"/>
  </r>
  <r>
    <n v="172"/>
    <x v="0"/>
  </r>
  <r>
    <n v="173"/>
    <x v="3"/>
  </r>
  <r>
    <n v="174"/>
    <x v="1"/>
  </r>
  <r>
    <n v="175"/>
    <x v="2"/>
  </r>
  <r>
    <n v="176"/>
    <x v="2"/>
  </r>
  <r>
    <n v="177"/>
    <x v="0"/>
  </r>
  <r>
    <n v="178"/>
    <x v="2"/>
  </r>
  <r>
    <n v="179"/>
    <x v="3"/>
  </r>
  <r>
    <n v="180"/>
    <x v="2"/>
  </r>
  <r>
    <n v="181"/>
    <x v="1"/>
  </r>
  <r>
    <n v="182"/>
    <x v="0"/>
  </r>
  <r>
    <n v="183"/>
    <x v="1"/>
  </r>
  <r>
    <n v="184"/>
    <x v="0"/>
  </r>
  <r>
    <n v="185"/>
    <x v="2"/>
  </r>
  <r>
    <n v="186"/>
    <x v="2"/>
  </r>
  <r>
    <n v="187"/>
    <x v="0"/>
  </r>
  <r>
    <n v="188"/>
    <x v="2"/>
  </r>
  <r>
    <n v="189"/>
    <x v="3"/>
  </r>
  <r>
    <n v="190"/>
    <x v="3"/>
  </r>
  <r>
    <n v="191"/>
    <x v="0"/>
  </r>
  <r>
    <n v="192"/>
    <x v="0"/>
  </r>
  <r>
    <n v="193"/>
    <x v="5"/>
  </r>
  <r>
    <n v="194"/>
    <x v="2"/>
  </r>
  <r>
    <n v="195"/>
    <x v="3"/>
  </r>
  <r>
    <n v="196"/>
    <x v="2"/>
  </r>
  <r>
    <n v="197"/>
    <x v="2"/>
  </r>
  <r>
    <n v="198"/>
    <x v="2"/>
  </r>
  <r>
    <n v="199"/>
    <x v="0"/>
  </r>
  <r>
    <n v="200"/>
    <x v="2"/>
  </r>
  <r>
    <n v="201"/>
    <x v="0"/>
  </r>
  <r>
    <n v="202"/>
    <x v="4"/>
  </r>
  <r>
    <n v="203"/>
    <x v="2"/>
  </r>
  <r>
    <n v="204"/>
    <x v="2"/>
  </r>
  <r>
    <n v="205"/>
    <x v="0"/>
  </r>
  <r>
    <n v="206"/>
    <x v="3"/>
  </r>
  <r>
    <n v="207"/>
    <x v="0"/>
  </r>
  <r>
    <n v="208"/>
    <x v="0"/>
  </r>
  <r>
    <n v="209"/>
    <x v="0"/>
  </r>
  <r>
    <n v="210"/>
    <x v="0"/>
  </r>
  <r>
    <n v="211"/>
    <x v="2"/>
  </r>
  <r>
    <n v="212"/>
    <x v="0"/>
  </r>
  <r>
    <n v="213"/>
    <x v="0"/>
  </r>
  <r>
    <n v="214"/>
    <x v="2"/>
  </r>
  <r>
    <n v="216"/>
    <x v="1"/>
  </r>
  <r>
    <n v="217"/>
    <x v="0"/>
  </r>
  <r>
    <n v="218"/>
    <x v="2"/>
  </r>
  <r>
    <n v="219"/>
    <x v="1"/>
  </r>
  <r>
    <n v="220"/>
    <x v="3"/>
  </r>
  <r>
    <n v="221"/>
    <x v="0"/>
  </r>
  <r>
    <n v="222"/>
    <x v="4"/>
  </r>
  <r>
    <n v="223"/>
    <x v="1"/>
  </r>
  <r>
    <n v="224"/>
    <x v="1"/>
  </r>
  <r>
    <n v="226"/>
    <x v="0"/>
  </r>
  <r>
    <n v="227"/>
    <x v="2"/>
  </r>
  <r>
    <n v="228"/>
    <x v="2"/>
  </r>
  <r>
    <n v="229"/>
    <x v="1"/>
  </r>
  <r>
    <n v="230"/>
    <x v="3"/>
  </r>
  <r>
    <n v="231"/>
    <x v="2"/>
  </r>
  <r>
    <n v="232"/>
    <x v="2"/>
  </r>
  <r>
    <n v="233"/>
    <x v="2"/>
  </r>
  <r>
    <n v="235"/>
    <x v="0"/>
  </r>
  <r>
    <n v="236"/>
    <x v="0"/>
  </r>
  <r>
    <n v="237"/>
    <x v="0"/>
  </r>
  <r>
    <n v="238"/>
    <x v="1"/>
  </r>
  <r>
    <n v="239"/>
    <x v="0"/>
  </r>
  <r>
    <n v="240"/>
    <x v="1"/>
  </r>
  <r>
    <n v="241"/>
    <x v="2"/>
  </r>
  <r>
    <n v="242"/>
    <x v="2"/>
  </r>
  <r>
    <n v="243"/>
    <x v="0"/>
  </r>
  <r>
    <n v="244"/>
    <x v="2"/>
  </r>
  <r>
    <n v="245"/>
    <x v="0"/>
  </r>
  <r>
    <n v="246"/>
    <x v="1"/>
  </r>
  <r>
    <n v="247"/>
    <x v="0"/>
  </r>
  <r>
    <n v="248"/>
    <x v="4"/>
  </r>
  <r>
    <n v="249"/>
    <x v="4"/>
  </r>
  <r>
    <n v="250"/>
    <x v="1"/>
  </r>
  <r>
    <n v="251"/>
    <x v="0"/>
  </r>
  <r>
    <n v="252"/>
    <x v="0"/>
  </r>
  <r>
    <n v="253"/>
    <x v="2"/>
  </r>
  <r>
    <n v="254"/>
    <x v="0"/>
  </r>
  <r>
    <n v="255"/>
    <x v="2"/>
  </r>
  <r>
    <n v="256"/>
    <x v="1"/>
  </r>
  <r>
    <n v="257"/>
    <x v="0"/>
  </r>
  <r>
    <n v="258"/>
    <x v="0"/>
  </r>
  <r>
    <n v="259"/>
    <x v="2"/>
  </r>
  <r>
    <n v="260"/>
    <x v="3"/>
  </r>
  <r>
    <n v="261"/>
    <x v="3"/>
  </r>
  <r>
    <n v="262"/>
    <x v="3"/>
  </r>
  <r>
    <n v="263"/>
    <x v="2"/>
  </r>
  <r>
    <n v="264"/>
    <x v="4"/>
  </r>
  <r>
    <n v="265"/>
    <x v="2"/>
  </r>
  <r>
    <n v="266"/>
    <x v="2"/>
  </r>
  <r>
    <n v="267"/>
    <x v="0"/>
  </r>
  <r>
    <n v="268"/>
    <x v="0"/>
  </r>
  <r>
    <n v="270"/>
    <x v="2"/>
  </r>
  <r>
    <n v="271"/>
    <x v="3"/>
  </r>
  <r>
    <n v="274"/>
    <x v="0"/>
  </r>
  <r>
    <n v="275"/>
    <x v="1"/>
  </r>
  <r>
    <n v="276"/>
    <x v="1"/>
  </r>
  <r>
    <n v="277"/>
    <x v="4"/>
  </r>
  <r>
    <n v="278"/>
    <x v="2"/>
  </r>
  <r>
    <n v="280"/>
    <x v="2"/>
  </r>
  <r>
    <n v="281"/>
    <x v="1"/>
  </r>
  <r>
    <n v="282"/>
    <x v="0"/>
  </r>
  <r>
    <n v="283"/>
    <x v="0"/>
  </r>
  <r>
    <n v="284"/>
    <x v="0"/>
  </r>
  <r>
    <n v="286"/>
    <x v="0"/>
  </r>
  <r>
    <n v="288"/>
    <x v="0"/>
  </r>
  <r>
    <n v="290"/>
    <x v="2"/>
  </r>
  <r>
    <n v="291"/>
    <x v="0"/>
  </r>
  <r>
    <n v="294"/>
    <x v="3"/>
  </r>
  <r>
    <n v="295"/>
    <x v="1"/>
  </r>
  <r>
    <n v="296"/>
    <x v="1"/>
  </r>
  <r>
    <n v="297"/>
    <x v="4"/>
  </r>
  <r>
    <n v="300"/>
    <x v="1"/>
  </r>
  <r>
    <n v="301"/>
    <x v="1"/>
  </r>
  <r>
    <n v="303"/>
    <x v="1"/>
  </r>
  <r>
    <n v="304"/>
    <x v="1"/>
  </r>
  <r>
    <n v="305"/>
    <x v="2"/>
  </r>
  <r>
    <n v="306"/>
    <x v="2"/>
  </r>
  <r>
    <n v="307"/>
    <x v="0"/>
  </r>
  <r>
    <n v="309"/>
    <x v="2"/>
  </r>
  <r>
    <n v="310"/>
    <x v="2"/>
  </r>
  <r>
    <n v="311"/>
    <x v="0"/>
  </r>
  <r>
    <n v="312"/>
    <x v="2"/>
  </r>
  <r>
    <n v="313"/>
    <x v="1"/>
  </r>
  <r>
    <n v="315"/>
    <x v="0"/>
  </r>
  <r>
    <n v="316"/>
    <x v="1"/>
  </r>
  <r>
    <n v="317"/>
    <x v="1"/>
  </r>
  <r>
    <n v="318"/>
    <x v="0"/>
  </r>
  <r>
    <n v="319"/>
    <x v="0"/>
  </r>
  <r>
    <n v="320"/>
    <x v="1"/>
  </r>
  <r>
    <n v="321"/>
    <x v="1"/>
  </r>
  <r>
    <n v="322"/>
    <x v="0"/>
  </r>
  <r>
    <n v="323"/>
    <x v="0"/>
  </r>
  <r>
    <n v="324"/>
    <x v="1"/>
  </r>
  <r>
    <n v="327"/>
    <x v="6"/>
  </r>
  <r>
    <n v="329"/>
    <x v="0"/>
  </r>
  <r>
    <n v="330"/>
    <x v="3"/>
  </r>
  <r>
    <n v="331"/>
    <x v="2"/>
  </r>
  <r>
    <n v="332"/>
    <x v="0"/>
  </r>
  <r>
    <n v="333"/>
    <x v="1"/>
  </r>
  <r>
    <n v="334"/>
    <x v="1"/>
  </r>
  <r>
    <n v="335"/>
    <x v="0"/>
  </r>
  <r>
    <n v="336"/>
    <x v="2"/>
  </r>
  <r>
    <n v="337"/>
    <x v="1"/>
  </r>
  <r>
    <n v="338"/>
    <x v="2"/>
  </r>
  <r>
    <n v="339"/>
    <x v="2"/>
  </r>
  <r>
    <n v="340"/>
    <x v="4"/>
  </r>
  <r>
    <n v="341"/>
    <x v="2"/>
  </r>
  <r>
    <n v="343"/>
    <x v="2"/>
  </r>
  <r>
    <n v="344"/>
    <x v="0"/>
  </r>
  <r>
    <n v="345"/>
    <x v="2"/>
  </r>
  <r>
    <n v="346"/>
    <x v="0"/>
  </r>
  <r>
    <n v="347"/>
    <x v="4"/>
  </r>
  <r>
    <n v="348"/>
    <x v="0"/>
  </r>
  <r>
    <n v="349"/>
    <x v="0"/>
  </r>
  <r>
    <n v="350"/>
    <x v="2"/>
  </r>
  <r>
    <n v="351"/>
    <x v="0"/>
  </r>
  <r>
    <n v="352"/>
    <x v="4"/>
  </r>
  <r>
    <n v="353"/>
    <x v="2"/>
  </r>
  <r>
    <n v="354"/>
    <x v="0"/>
  </r>
  <r>
    <n v="355"/>
    <x v="2"/>
  </r>
  <r>
    <n v="356"/>
    <x v="5"/>
  </r>
  <r>
    <n v="357"/>
    <x v="2"/>
  </r>
  <r>
    <n v="358"/>
    <x v="2"/>
  </r>
  <r>
    <n v="359"/>
    <x v="0"/>
  </r>
  <r>
    <n v="360"/>
    <x v="1"/>
  </r>
  <r>
    <n v="361"/>
    <x v="0"/>
  </r>
  <r>
    <n v="362"/>
    <x v="0"/>
  </r>
  <r>
    <n v="363"/>
    <x v="3"/>
  </r>
  <r>
    <n v="364"/>
    <x v="0"/>
  </r>
  <r>
    <n v="365"/>
    <x v="0"/>
  </r>
  <r>
    <n v="366"/>
    <x v="1"/>
  </r>
  <r>
    <n v="367"/>
    <x v="0"/>
  </r>
  <r>
    <n v="369"/>
    <x v="2"/>
  </r>
  <r>
    <n v="370"/>
    <x v="2"/>
  </r>
  <r>
    <n v="371"/>
    <x v="2"/>
  </r>
  <r>
    <n v="372"/>
    <x v="0"/>
  </r>
  <r>
    <n v="373"/>
    <x v="3"/>
  </r>
  <r>
    <n v="374"/>
    <x v="2"/>
  </r>
  <r>
    <n v="375"/>
    <x v="2"/>
  </r>
  <r>
    <n v="376"/>
    <x v="4"/>
  </r>
  <r>
    <n v="377"/>
    <x v="1"/>
  </r>
  <r>
    <n v="378"/>
    <x v="0"/>
  </r>
  <r>
    <n v="379"/>
    <x v="0"/>
  </r>
  <r>
    <n v="380"/>
    <x v="4"/>
  </r>
  <r>
    <n v="381"/>
    <x v="2"/>
  </r>
  <r>
    <n v="382"/>
    <x v="1"/>
  </r>
  <r>
    <n v="383"/>
    <x v="0"/>
  </r>
  <r>
    <n v="384"/>
    <x v="1"/>
  </r>
  <r>
    <n v="385"/>
    <x v="2"/>
  </r>
  <r>
    <n v="386"/>
    <x v="3"/>
  </r>
  <r>
    <n v="387"/>
    <x v="0"/>
  </r>
  <r>
    <n v="388"/>
    <x v="0"/>
  </r>
  <r>
    <n v="390"/>
    <x v="0"/>
  </r>
  <r>
    <n v="391"/>
    <x v="4"/>
  </r>
  <r>
    <n v="392"/>
    <x v="0"/>
  </r>
  <r>
    <n v="393"/>
    <x v="1"/>
  </r>
  <r>
    <n v="394"/>
    <x v="1"/>
  </r>
  <r>
    <n v="396"/>
    <x v="0"/>
  </r>
  <r>
    <n v="397"/>
    <x v="0"/>
  </r>
  <r>
    <n v="400"/>
    <x v="5"/>
  </r>
  <r>
    <n v="401"/>
    <x v="5"/>
  </r>
  <r>
    <n v="402"/>
    <x v="0"/>
  </r>
  <r>
    <n v="403"/>
    <x v="3"/>
  </r>
  <r>
    <n v="404"/>
    <x v="2"/>
  </r>
  <r>
    <n v="405"/>
    <x v="0"/>
  </r>
  <r>
    <n v="406"/>
    <x v="2"/>
  </r>
  <r>
    <n v="407"/>
    <x v="1"/>
  </r>
  <r>
    <n v="409"/>
    <x v="0"/>
  </r>
  <r>
    <n v="410"/>
    <x v="1"/>
  </r>
  <r>
    <n v="411"/>
    <x v="0"/>
  </r>
  <r>
    <n v="412"/>
    <x v="1"/>
  </r>
  <r>
    <n v="413"/>
    <x v="0"/>
  </r>
  <r>
    <n v="414"/>
    <x v="2"/>
  </r>
  <r>
    <n v="415"/>
    <x v="0"/>
  </r>
  <r>
    <n v="416"/>
    <x v="0"/>
  </r>
  <r>
    <n v="417"/>
    <x v="4"/>
  </r>
  <r>
    <n v="418"/>
    <x v="0"/>
  </r>
  <r>
    <n v="419"/>
    <x v="2"/>
  </r>
  <r>
    <n v="421"/>
    <x v="2"/>
  </r>
  <r>
    <n v="422"/>
    <x v="2"/>
  </r>
  <r>
    <n v="423"/>
    <x v="2"/>
  </r>
  <r>
    <n v="424"/>
    <x v="0"/>
  </r>
  <r>
    <n v="425"/>
    <x v="3"/>
  </r>
  <r>
    <n v="426"/>
    <x v="2"/>
  </r>
  <r>
    <n v="427"/>
    <x v="0"/>
  </r>
  <r>
    <n v="428"/>
    <x v="0"/>
  </r>
  <r>
    <n v="429"/>
    <x v="0"/>
  </r>
  <r>
    <n v="430"/>
    <x v="3"/>
  </r>
  <r>
    <n v="431"/>
    <x v="4"/>
  </r>
  <r>
    <n v="432"/>
    <x v="2"/>
  </r>
  <r>
    <n v="433"/>
    <x v="0"/>
  </r>
  <r>
    <n v="434"/>
    <x v="7"/>
  </r>
  <r>
    <n v="435"/>
    <x v="0"/>
  </r>
  <r>
    <n v="436"/>
    <x v="2"/>
  </r>
  <r>
    <n v="438"/>
    <x v="2"/>
  </r>
  <r>
    <n v="440"/>
    <x v="0"/>
  </r>
  <r>
    <n v="441"/>
    <x v="0"/>
  </r>
  <r>
    <n v="442"/>
    <x v="2"/>
  </r>
  <r>
    <n v="443"/>
    <x v="1"/>
  </r>
  <r>
    <n v="444"/>
    <x v="0"/>
  </r>
  <r>
    <n v="445"/>
    <x v="3"/>
  </r>
  <r>
    <n v="446"/>
    <x v="1"/>
  </r>
  <r>
    <n v="447"/>
    <x v="1"/>
  </r>
  <r>
    <n v="448"/>
    <x v="0"/>
  </r>
  <r>
    <n v="449"/>
    <x v="0"/>
  </r>
  <r>
    <n v="450"/>
    <x v="2"/>
  </r>
  <r>
    <n v="451"/>
    <x v="2"/>
  </r>
  <r>
    <n v="452"/>
    <x v="0"/>
  </r>
  <r>
    <n v="453"/>
    <x v="0"/>
  </r>
  <r>
    <n v="455"/>
    <x v="0"/>
  </r>
  <r>
    <n v="456"/>
    <x v="3"/>
  </r>
  <r>
    <n v="457"/>
    <x v="1"/>
  </r>
  <r>
    <n v="458"/>
    <x v="1"/>
  </r>
  <r>
    <n v="459"/>
    <x v="0"/>
  </r>
  <r>
    <n v="461"/>
    <x v="4"/>
  </r>
  <r>
    <n v="462"/>
    <x v="2"/>
  </r>
  <r>
    <n v="463"/>
    <x v="2"/>
  </r>
  <r>
    <n v="464"/>
    <x v="0"/>
  </r>
  <r>
    <n v="465"/>
    <x v="2"/>
  </r>
  <r>
    <n v="466"/>
    <x v="0"/>
  </r>
  <r>
    <n v="467"/>
    <x v="0"/>
  </r>
  <r>
    <n v="468"/>
    <x v="1"/>
  </r>
  <r>
    <n v="469"/>
    <x v="0"/>
  </r>
  <r>
    <n v="470"/>
    <x v="1"/>
  </r>
  <r>
    <n v="472"/>
    <x v="1"/>
  </r>
  <r>
    <n v="473"/>
    <x v="2"/>
  </r>
  <r>
    <n v="474"/>
    <x v="1"/>
  </r>
  <r>
    <n v="475"/>
    <x v="2"/>
  </r>
  <r>
    <n v="476"/>
    <x v="2"/>
  </r>
  <r>
    <n v="477"/>
    <x v="2"/>
  </r>
  <r>
    <n v="479"/>
    <x v="0"/>
  </r>
  <r>
    <n v="480"/>
    <x v="1"/>
  </r>
  <r>
    <n v="481"/>
    <x v="0"/>
  </r>
  <r>
    <n v="482"/>
    <x v="1"/>
  </r>
  <r>
    <n v="483"/>
    <x v="0"/>
  </r>
  <r>
    <n v="484"/>
    <x v="1"/>
  </r>
  <r>
    <n v="485"/>
    <x v="3"/>
  </r>
  <r>
    <n v="488"/>
    <x v="1"/>
  </r>
  <r>
    <n v="489"/>
    <x v="2"/>
  </r>
  <r>
    <n v="490"/>
    <x v="1"/>
  </r>
  <r>
    <n v="491"/>
    <x v="4"/>
  </r>
  <r>
    <n v="493"/>
    <x v="2"/>
  </r>
  <r>
    <n v="494"/>
    <x v="1"/>
  </r>
  <r>
    <n v="496"/>
    <x v="5"/>
  </r>
  <r>
    <n v="497"/>
    <x v="0"/>
  </r>
  <r>
    <n v="499"/>
    <x v="1"/>
  </r>
  <r>
    <n v="500"/>
    <x v="1"/>
  </r>
  <r>
    <n v="6"/>
    <x v="0"/>
  </r>
  <r>
    <n v="15"/>
    <x v="0"/>
  </r>
  <r>
    <n v="18"/>
    <x v="0"/>
  </r>
  <r>
    <n v="35"/>
    <x v="0"/>
  </r>
  <r>
    <n v="51"/>
    <x v="0"/>
  </r>
  <r>
    <n v="54"/>
    <x v="0"/>
  </r>
  <r>
    <n v="57"/>
    <x v="0"/>
  </r>
  <r>
    <n v="62"/>
    <x v="0"/>
  </r>
  <r>
    <n v="74"/>
    <x v="0"/>
  </r>
  <r>
    <n v="80"/>
    <x v="0"/>
  </r>
  <r>
    <n v="85"/>
    <x v="0"/>
  </r>
  <r>
    <n v="91"/>
    <x v="0"/>
  </r>
  <r>
    <n v="98"/>
    <x v="0"/>
  </r>
  <r>
    <n v="113"/>
    <x v="0"/>
  </r>
  <r>
    <n v="128"/>
    <x v="0"/>
  </r>
  <r>
    <n v="143"/>
    <x v="0"/>
  </r>
  <r>
    <n v="148"/>
    <x v="0"/>
  </r>
  <r>
    <n v="155"/>
    <x v="0"/>
  </r>
  <r>
    <n v="215"/>
    <x v="0"/>
  </r>
  <r>
    <n v="225"/>
    <x v="0"/>
  </r>
  <r>
    <n v="234"/>
    <x v="0"/>
  </r>
  <r>
    <n v="269"/>
    <x v="0"/>
  </r>
  <r>
    <n v="272"/>
    <x v="0"/>
  </r>
  <r>
    <n v="273"/>
    <x v="0"/>
  </r>
  <r>
    <n v="279"/>
    <x v="0"/>
  </r>
  <r>
    <n v="285"/>
    <x v="0"/>
  </r>
  <r>
    <n v="287"/>
    <x v="0"/>
  </r>
  <r>
    <n v="289"/>
    <x v="0"/>
  </r>
  <r>
    <n v="292"/>
    <x v="0"/>
  </r>
  <r>
    <n v="293"/>
    <x v="0"/>
  </r>
  <r>
    <n v="298"/>
    <x v="0"/>
  </r>
  <r>
    <n v="299"/>
    <x v="0"/>
  </r>
  <r>
    <n v="302"/>
    <x v="0"/>
  </r>
  <r>
    <n v="308"/>
    <x v="0"/>
  </r>
  <r>
    <n v="314"/>
    <x v="0"/>
  </r>
  <r>
    <n v="325"/>
    <x v="0"/>
  </r>
  <r>
    <n v="326"/>
    <x v="0"/>
  </r>
  <r>
    <n v="328"/>
    <x v="0"/>
  </r>
  <r>
    <n v="342"/>
    <x v="0"/>
  </r>
  <r>
    <n v="368"/>
    <x v="0"/>
  </r>
  <r>
    <n v="389"/>
    <x v="0"/>
  </r>
  <r>
    <n v="395"/>
    <x v="0"/>
  </r>
  <r>
    <n v="398"/>
    <x v="0"/>
  </r>
  <r>
    <n v="399"/>
    <x v="0"/>
  </r>
  <r>
    <n v="408"/>
    <x v="0"/>
  </r>
  <r>
    <n v="420"/>
    <x v="0"/>
  </r>
  <r>
    <n v="437"/>
    <x v="0"/>
  </r>
  <r>
    <n v="439"/>
    <x v="0"/>
  </r>
  <r>
    <n v="454"/>
    <x v="0"/>
  </r>
  <r>
    <n v="460"/>
    <x v="0"/>
  </r>
  <r>
    <n v="471"/>
    <x v="0"/>
  </r>
  <r>
    <n v="478"/>
    <x v="0"/>
  </r>
  <r>
    <n v="486"/>
    <x v="0"/>
  </r>
  <r>
    <n v="487"/>
    <x v="0"/>
  </r>
  <r>
    <n v="492"/>
    <x v="0"/>
  </r>
  <r>
    <n v="495"/>
    <x v="0"/>
  </r>
  <r>
    <n v="498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7C0153-8FC8-F243-B58A-FBFA7F8F4D73}" name="ClaimFrequencyDistribution" cacheId="2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0" rowHeaderCaption="Claims">
  <location ref="E11:F20" firstHeaderRow="1" firstDataRow="1" firstDataCol="1"/>
  <pivotFields count="2">
    <pivotField dataField="1" showAll="0"/>
    <pivotField axis="axisRow" showAll="0">
      <items count="20">
        <item x="0"/>
        <item x="2"/>
        <item x="1"/>
        <item x="3"/>
        <item x="4"/>
        <item x="5"/>
        <item x="7"/>
        <item x="6"/>
        <item m="1" x="9"/>
        <item m="1" x="8"/>
        <item m="1" x="10"/>
        <item m="1" x="11"/>
        <item m="1" x="12"/>
        <item m="1" x="13"/>
        <item m="1" x="14"/>
        <item m="1" x="15"/>
        <item m="1" x="16"/>
        <item m="1" x="17"/>
        <item m="1" x="18"/>
        <item t="default"/>
      </items>
    </pivotField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NumberOfPolicies" fld="0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3" xr16:uid="{54A2DDD5-115D-E142-ADC1-B31DEE01F18A}" autoFormatId="16" applyNumberFormats="0" applyBorderFormats="0" applyFontFormats="0" applyPatternFormats="0" applyAlignmentFormats="0" applyWidthHeightFormats="0">
  <queryTableRefresh nextId="6">
    <queryTableFields count="2">
      <queryTableField id="1" name="PolicyID" tableColumnId="1"/>
      <queryTableField id="5" name="ClaimCount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aimSimResults" backgroundRefresh="0" refreshOnLoad="1" connectionId="1" xr16:uid="{C1B424AA-EE86-9847-A984-07328903A40B}" autoFormatId="16" applyNumberFormats="0" applyBorderFormats="0" applyFontFormats="0" applyPatternFormats="0" applyAlignmentFormats="0" applyWidthHeightFormats="0">
  <queryTableRefresh nextId="13">
    <queryTableFields count="6">
      <queryTableField id="7" name="PolicyID" tableColumnId="7"/>
      <queryTableField id="8" name="ClaimAmount" tableColumnId="8"/>
      <queryTableField id="9" name="ClaimDate" tableColumnId="9"/>
      <queryTableField id="10" name="CleanedClaimAmountText" tableColumnId="10"/>
      <queryTableField id="11" name="ClaimAmountNumeric" tableColumnId="11"/>
      <queryTableField id="12" name="ValidClaimAmount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FD60C7A-11CB-D64A-9178-3665ED20C177}" name="TblPolicyClaimCount" displayName="TblPolicyClaimCount" ref="A1:B501" tableType="queryTable" totalsRowShown="0">
  <autoFilter ref="A1:B501" xr:uid="{6FD60C7A-11CB-D64A-9178-3665ED20C177}"/>
  <tableColumns count="2">
    <tableColumn id="1" xr3:uid="{5DE5B291-796D-7045-BFD1-5A9B4FB90FEE}" uniqueName="1" name="PolicyID" queryTableFieldId="1"/>
    <tableColumn id="5" xr3:uid="{8847E856-0F77-8A48-B37D-4CF5AF451F69}" uniqueName="5" name="ClaimCount" queryTableField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4B94C43-ED3E-7947-BA37-10C7899373ED}" name="Settings" displayName="Settings" ref="A4:C7" totalsRowShown="0" headerRowCellStyle="Normal">
  <autoFilter ref="A4:C7" xr:uid="{D4B94C43-ED3E-7947-BA37-10C7899373ED}"/>
  <tableColumns count="3">
    <tableColumn id="1" xr3:uid="{EC47AF9F-E8EB-3946-98BE-21817EF44FBE}" name="Setting"/>
    <tableColumn id="2" xr3:uid="{8424A42E-AA76-234C-9BD1-D9C71C4A8792}" name="Value"/>
    <tableColumn id="3" xr3:uid="{A8523DC1-1945-CD44-B82A-EEB83E13E903}" name="Notes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D67EFB8-5B12-C344-B64C-472EE147D7A0}" name="claimSimResults" displayName="claimSimResults" ref="A1:F1005" tableType="queryTable" totalsRowShown="0">
  <autoFilter ref="A1:F1005" xr:uid="{5D67EFB8-5B12-C344-B64C-472EE147D7A0}"/>
  <tableColumns count="6">
    <tableColumn id="7" xr3:uid="{D240BCFF-6850-0641-9C71-0DE04B630408}" uniqueName="7" name="PolicyID" queryTableFieldId="7"/>
    <tableColumn id="8" xr3:uid="{EC82ACD0-23E7-E444-81AB-9C1C4EE0ECFE}" uniqueName="8" name="ClaimAmount" queryTableFieldId="8" dataDxfId="2"/>
    <tableColumn id="9" xr3:uid="{6E1BE1DB-73BF-114D-B4CD-11D91104C0BA}" uniqueName="9" name="ClaimDate" queryTableFieldId="9" dataDxfId="0"/>
    <tableColumn id="10" xr3:uid="{57B99380-2615-4C46-8D84-866206D505EC}" uniqueName="10" name="CleanedClaimAmountText" queryTableFieldId="10" dataDxfId="1"/>
    <tableColumn id="11" xr3:uid="{283AA7ED-2A02-AF4C-9482-5D7BCD8BF7F1}" uniqueName="11" name="ClaimAmountNumeric" queryTableFieldId="11"/>
    <tableColumn id="12" xr3:uid="{2CE1C66C-B6F0-6E49-97C3-619604A4871F}" uniqueName="12" name="ValidClaimAmount" queryTableField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CED8-1116-8E40-AE04-F848954D45EF}">
  <sheetPr codeName="Sheet1"/>
  <dimension ref="B2:K12"/>
  <sheetViews>
    <sheetView tabSelected="1" zoomScaleNormal="100" workbookViewId="0">
      <selection activeCell="G17" sqref="G17"/>
    </sheetView>
  </sheetViews>
  <sheetFormatPr baseColWidth="10" defaultRowHeight="16" x14ac:dyDescent="0.2"/>
  <cols>
    <col min="1" max="1" width="12.1640625" customWidth="1"/>
    <col min="2" max="2" width="13" bestFit="1" customWidth="1"/>
    <col min="3" max="3" width="15.33203125" bestFit="1" customWidth="1"/>
    <col min="4" max="4" width="13" customWidth="1"/>
    <col min="6" max="6" width="13" customWidth="1"/>
    <col min="7" max="7" width="22" customWidth="1"/>
    <col min="9" max="9" width="20.1640625" customWidth="1"/>
    <col min="10" max="10" width="24.1640625" customWidth="1"/>
    <col min="11" max="11" width="13" customWidth="1"/>
    <col min="12" max="12" width="15.83203125" customWidth="1"/>
    <col min="13" max="13" width="13" bestFit="1" customWidth="1"/>
    <col min="14" max="14" width="19.6640625" customWidth="1"/>
    <col min="17" max="17" width="16.5" customWidth="1"/>
    <col min="26" max="27" width="13" bestFit="1" customWidth="1"/>
    <col min="30" max="30" width="20.1640625" bestFit="1" customWidth="1"/>
    <col min="32" max="32" width="13" bestFit="1" customWidth="1"/>
    <col min="33" max="33" width="15.33203125" bestFit="1" customWidth="1"/>
  </cols>
  <sheetData>
    <row r="2" spans="2:11" x14ac:dyDescent="0.2">
      <c r="B2" s="11" t="s">
        <v>3</v>
      </c>
      <c r="C2" s="12"/>
      <c r="I2" s="11" t="s">
        <v>4</v>
      </c>
      <c r="J2" s="12"/>
    </row>
    <row r="3" spans="2:11" x14ac:dyDescent="0.2">
      <c r="B3" s="3" t="s">
        <v>5</v>
      </c>
      <c r="C3" s="3" t="s">
        <v>18</v>
      </c>
      <c r="I3" s="3" t="s">
        <v>5</v>
      </c>
      <c r="J3" s="3" t="s">
        <v>19</v>
      </c>
    </row>
    <row r="4" spans="2:11" x14ac:dyDescent="0.2">
      <c r="B4" s="4" t="s">
        <v>6</v>
      </c>
      <c r="C4" s="2">
        <v>2</v>
      </c>
      <c r="I4" s="4" t="s">
        <v>8</v>
      </c>
      <c r="J4" s="2"/>
    </row>
    <row r="5" spans="2:11" x14ac:dyDescent="0.2">
      <c r="B5" s="4" t="s">
        <v>7</v>
      </c>
      <c r="C5" s="2"/>
      <c r="I5" s="4" t="s">
        <v>9</v>
      </c>
      <c r="J5" s="2">
        <v>1</v>
      </c>
    </row>
    <row r="6" spans="2:11" x14ac:dyDescent="0.2">
      <c r="B6" s="4" t="s">
        <v>17</v>
      </c>
      <c r="C6" s="2">
        <v>10</v>
      </c>
      <c r="I6" s="4" t="s">
        <v>10</v>
      </c>
      <c r="J6" s="2">
        <v>9</v>
      </c>
    </row>
    <row r="7" spans="2:11" x14ac:dyDescent="0.2">
      <c r="I7" s="4" t="s">
        <v>11</v>
      </c>
      <c r="J7" s="2">
        <v>3</v>
      </c>
    </row>
    <row r="10" spans="2:11" x14ac:dyDescent="0.2">
      <c r="B10" s="12" t="s">
        <v>20</v>
      </c>
      <c r="C10" s="12"/>
      <c r="I10" s="12" t="s">
        <v>20</v>
      </c>
      <c r="J10" s="12"/>
    </row>
    <row r="11" spans="2:11" x14ac:dyDescent="0.2">
      <c r="B11" t="s">
        <v>21</v>
      </c>
      <c r="C11">
        <f>COUNT(claimSimResults[PolicyID])/Settings!B6</f>
        <v>2.008</v>
      </c>
      <c r="D11" s="8" t="s">
        <v>31</v>
      </c>
      <c r="I11" t="s">
        <v>21</v>
      </c>
      <c r="J11" s="7">
        <f>AVERAGE(claimSimResults[ValidClaimAmount])</f>
        <v>310380.91916916909</v>
      </c>
      <c r="K11" t="s">
        <v>32</v>
      </c>
    </row>
    <row r="12" spans="2:11" x14ac:dyDescent="0.2">
      <c r="B12" t="s">
        <v>22</v>
      </c>
      <c r="C12" cm="1">
        <f t="array" ref="C12">STDEV(_xlfn.BYROW(_xlfn.SEQUENCE(num_policies, 1, 1, 1), _xlfn.LAMBDA(_xlpm.id, COUNTIFS(claimSimResults[PolicyID], _xlpm.id))))</f>
        <v>1.4296936903043926</v>
      </c>
      <c r="D12" t="s">
        <v>34</v>
      </c>
      <c r="I12" t="s">
        <v>22</v>
      </c>
      <c r="J12" s="7">
        <f>STDEV(claimSimResults[ValidClaimAmount])</f>
        <v>1329206.2525875017</v>
      </c>
      <c r="K12" t="s">
        <v>33</v>
      </c>
    </row>
  </sheetData>
  <mergeCells count="4">
    <mergeCell ref="B2:C2"/>
    <mergeCell ref="I2:J2"/>
    <mergeCell ref="B10:C10"/>
    <mergeCell ref="I10:J10"/>
  </mergeCells>
  <conditionalFormatting sqref="B4:C4">
    <cfRule type="expression" dxfId="9" priority="9">
      <formula>$C$3&lt;&gt;"Poisson"</formula>
    </cfRule>
  </conditionalFormatting>
  <conditionalFormatting sqref="B5:C5">
    <cfRule type="expression" dxfId="8" priority="7">
      <formula>AND($C$3&lt;&gt;"Binomial", $C$3&lt;&gt;"Negative Binomial")</formula>
    </cfRule>
  </conditionalFormatting>
  <conditionalFormatting sqref="B6:C6">
    <cfRule type="expression" dxfId="7" priority="5" stopIfTrue="1">
      <formula>$C$3&lt;&gt;"Binomial"</formula>
    </cfRule>
  </conditionalFormatting>
  <conditionalFormatting sqref="I4:J4">
    <cfRule type="expression" dxfId="6" priority="4" stopIfTrue="1">
      <formula>$J$3&lt;&gt;"Gamma"</formula>
    </cfRule>
  </conditionalFormatting>
  <conditionalFormatting sqref="I5:J5">
    <cfRule type="expression" dxfId="5" priority="3" stopIfTrue="1">
      <formula>$J$3&lt;&gt;"Gamma"</formula>
    </cfRule>
  </conditionalFormatting>
  <conditionalFormatting sqref="I6:J6">
    <cfRule type="expression" dxfId="4" priority="2" stopIfTrue="1">
      <formula>$J$3&lt;&gt;"Lognormal"</formula>
    </cfRule>
  </conditionalFormatting>
  <conditionalFormatting sqref="I7:J7">
    <cfRule type="expression" dxfId="3" priority="1">
      <formula>$J$3&lt;&gt;"Lognormal"</formula>
    </cfRule>
  </conditionalFormatting>
  <dataValidations count="7">
    <dataValidation type="list" showInputMessage="1" showErrorMessage="1" promptTitle="Poisson by default" sqref="C3" xr:uid="{D1411DE7-65CB-C84B-88A4-5928A841D417}">
      <formula1>"Poisson,Binomial"</formula1>
    </dataValidation>
    <dataValidation type="decimal" operator="greaterThan" allowBlank="1" showInputMessage="1" showErrorMessage="1" sqref="C4 J5" xr:uid="{40CF4B19-1C35-7842-872E-420463E70408}">
      <formula1>0</formula1>
    </dataValidation>
    <dataValidation type="decimal" allowBlank="1" showInputMessage="1" showErrorMessage="1" sqref="C5" xr:uid="{AC114271-8CBC-9947-AE7E-F94CAAF79F4E}">
      <formula1>0</formula1>
      <formula2>1</formula2>
    </dataValidation>
    <dataValidation type="whole" operator="greaterThan" allowBlank="1" showInputMessage="1" showErrorMessage="1" sqref="C6 J4" xr:uid="{FDD9DCB0-02C3-E149-93F2-B1199E6C715A}">
      <formula1>0</formula1>
    </dataValidation>
    <dataValidation type="list" showInputMessage="1" showErrorMessage="1" promptTitle="Poisson by default" sqref="J3" xr:uid="{BC5627C4-B098-D145-8BA5-B12B31C0A91B}">
      <formula1>"Gamma,Lognormal"</formula1>
    </dataValidation>
    <dataValidation type="custom" operator="greaterThan" allowBlank="1" showInputMessage="1" showErrorMessage="1" sqref="J7" xr:uid="{40AC7D11-F594-3444-A2A0-3F1807C28FB0}">
      <formula1>ISNUMBER(J7)</formula1>
    </dataValidation>
    <dataValidation type="decimal" operator="greaterThanOrEqual" allowBlank="1" showInputMessage="1" showErrorMessage="1" sqref="J6" xr:uid="{A02B9B2D-5C86-944B-8804-F906AF4F2453}">
      <formula1>0</formula1>
    </dataValidation>
  </dataValidations>
  <pageMargins left="0.7" right="0.7" top="0.75" bottom="0.75" header="0.3" footer="0.3"/>
  <pageSetup scale="5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locked="0" defaultSize="0" print="0" autoFill="0" autoPict="0" macro="[0]!RunRScript">
                <anchor moveWithCells="1" sizeWithCells="1">
                  <from>
                    <xdr:col>4</xdr:col>
                    <xdr:colOff>50800</xdr:colOff>
                    <xdr:row>3</xdr:row>
                    <xdr:rowOff>0</xdr:rowOff>
                  </from>
                  <to>
                    <xdr:col>6</xdr:col>
                    <xdr:colOff>1409700</xdr:colOff>
                    <xdr:row>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2A0CB-66C4-BD4E-9D35-B5ED9E0C9744}">
  <sheetPr codeName="Sheet4"/>
  <dimension ref="A1:F501"/>
  <sheetViews>
    <sheetView workbookViewId="0">
      <selection activeCell="F16" sqref="F16"/>
    </sheetView>
  </sheetViews>
  <sheetFormatPr baseColWidth="10" defaultRowHeight="16" x14ac:dyDescent="0.2"/>
  <cols>
    <col min="1" max="1" width="10.5" bestFit="1" customWidth="1"/>
    <col min="2" max="2" width="13.6640625" bestFit="1" customWidth="1"/>
    <col min="3" max="3" width="12.6640625" bestFit="1" customWidth="1"/>
    <col min="4" max="4" width="19.5" bestFit="1" customWidth="1"/>
    <col min="5" max="5" width="10.5" bestFit="1" customWidth="1"/>
    <col min="6" max="6" width="16.6640625" bestFit="1" customWidth="1"/>
    <col min="8" max="8" width="13" bestFit="1" customWidth="1"/>
    <col min="9" max="9" width="24.5" bestFit="1" customWidth="1"/>
  </cols>
  <sheetData>
    <row r="1" spans="1:6" x14ac:dyDescent="0.2">
      <c r="A1" t="s">
        <v>0</v>
      </c>
      <c r="B1" t="s">
        <v>358</v>
      </c>
    </row>
    <row r="2" spans="1:6" x14ac:dyDescent="0.2">
      <c r="A2">
        <v>1</v>
      </c>
      <c r="B2">
        <v>1</v>
      </c>
    </row>
    <row r="3" spans="1:6" x14ac:dyDescent="0.2">
      <c r="A3">
        <v>2</v>
      </c>
      <c r="B3">
        <v>3</v>
      </c>
    </row>
    <row r="4" spans="1:6" x14ac:dyDescent="0.2">
      <c r="A4">
        <v>3</v>
      </c>
      <c r="B4">
        <v>2</v>
      </c>
    </row>
    <row r="5" spans="1:6" x14ac:dyDescent="0.2">
      <c r="A5">
        <v>4</v>
      </c>
      <c r="B5">
        <v>4</v>
      </c>
    </row>
    <row r="6" spans="1:6" x14ac:dyDescent="0.2">
      <c r="A6">
        <v>5</v>
      </c>
      <c r="B6">
        <v>4</v>
      </c>
    </row>
    <row r="7" spans="1:6" x14ac:dyDescent="0.2">
      <c r="A7">
        <v>7</v>
      </c>
      <c r="B7">
        <v>2</v>
      </c>
    </row>
    <row r="8" spans="1:6" x14ac:dyDescent="0.2">
      <c r="A8">
        <v>8</v>
      </c>
      <c r="B8">
        <v>4</v>
      </c>
      <c r="E8" t="s">
        <v>359</v>
      </c>
    </row>
    <row r="9" spans="1:6" x14ac:dyDescent="0.2">
      <c r="A9">
        <v>9</v>
      </c>
      <c r="B9">
        <v>2</v>
      </c>
    </row>
    <row r="10" spans="1:6" x14ac:dyDescent="0.2">
      <c r="A10">
        <v>10</v>
      </c>
      <c r="B10">
        <v>2</v>
      </c>
    </row>
    <row r="11" spans="1:6" x14ac:dyDescent="0.2">
      <c r="A11">
        <v>11</v>
      </c>
      <c r="B11">
        <v>5</v>
      </c>
      <c r="E11" s="9" t="s">
        <v>360</v>
      </c>
      <c r="F11" t="s">
        <v>361</v>
      </c>
    </row>
    <row r="12" spans="1:6" x14ac:dyDescent="0.2">
      <c r="A12">
        <v>12</v>
      </c>
      <c r="B12">
        <v>2</v>
      </c>
      <c r="E12" s="10">
        <v>1</v>
      </c>
      <c r="F12" s="13">
        <v>212</v>
      </c>
    </row>
    <row r="13" spans="1:6" x14ac:dyDescent="0.2">
      <c r="A13">
        <v>13</v>
      </c>
      <c r="B13">
        <v>3</v>
      </c>
      <c r="E13" s="10">
        <v>2</v>
      </c>
      <c r="F13" s="13">
        <v>133</v>
      </c>
    </row>
    <row r="14" spans="1:6" x14ac:dyDescent="0.2">
      <c r="A14">
        <v>14</v>
      </c>
      <c r="B14">
        <v>2</v>
      </c>
      <c r="E14" s="10">
        <v>3</v>
      </c>
      <c r="F14" s="13">
        <v>84</v>
      </c>
    </row>
    <row r="15" spans="1:6" x14ac:dyDescent="0.2">
      <c r="A15">
        <v>16</v>
      </c>
      <c r="B15">
        <v>4</v>
      </c>
      <c r="E15" s="10">
        <v>4</v>
      </c>
      <c r="F15" s="13">
        <v>37</v>
      </c>
    </row>
    <row r="16" spans="1:6" x14ac:dyDescent="0.2">
      <c r="A16">
        <v>17</v>
      </c>
      <c r="B16">
        <v>1</v>
      </c>
      <c r="E16" s="10">
        <v>5</v>
      </c>
      <c r="F16" s="13">
        <v>24</v>
      </c>
    </row>
    <row r="17" spans="1:6" x14ac:dyDescent="0.2">
      <c r="A17">
        <v>19</v>
      </c>
      <c r="B17">
        <v>1</v>
      </c>
      <c r="E17" s="10">
        <v>6</v>
      </c>
      <c r="F17" s="13">
        <v>8</v>
      </c>
    </row>
    <row r="18" spans="1:6" x14ac:dyDescent="0.2">
      <c r="A18">
        <v>20</v>
      </c>
      <c r="B18">
        <v>5</v>
      </c>
      <c r="E18" s="10">
        <v>7</v>
      </c>
      <c r="F18" s="13">
        <v>1</v>
      </c>
    </row>
    <row r="19" spans="1:6" x14ac:dyDescent="0.2">
      <c r="A19">
        <v>21</v>
      </c>
      <c r="B19">
        <v>4</v>
      </c>
      <c r="E19" s="10">
        <v>8</v>
      </c>
      <c r="F19" s="13">
        <v>1</v>
      </c>
    </row>
    <row r="20" spans="1:6" x14ac:dyDescent="0.2">
      <c r="A20">
        <v>22</v>
      </c>
      <c r="B20">
        <v>3</v>
      </c>
      <c r="E20" s="10" t="s">
        <v>135</v>
      </c>
      <c r="F20" s="13">
        <v>500</v>
      </c>
    </row>
    <row r="21" spans="1:6" x14ac:dyDescent="0.2">
      <c r="A21">
        <v>23</v>
      </c>
      <c r="B21">
        <v>2</v>
      </c>
    </row>
    <row r="22" spans="1:6" x14ac:dyDescent="0.2">
      <c r="A22">
        <v>24</v>
      </c>
      <c r="B22">
        <v>6</v>
      </c>
    </row>
    <row r="23" spans="1:6" x14ac:dyDescent="0.2">
      <c r="A23">
        <v>25</v>
      </c>
      <c r="B23">
        <v>2</v>
      </c>
    </row>
    <row r="24" spans="1:6" x14ac:dyDescent="0.2">
      <c r="A24">
        <v>26</v>
      </c>
      <c r="B24">
        <v>3</v>
      </c>
    </row>
    <row r="25" spans="1:6" x14ac:dyDescent="0.2">
      <c r="A25">
        <v>27</v>
      </c>
      <c r="B25">
        <v>2</v>
      </c>
    </row>
    <row r="26" spans="1:6" x14ac:dyDescent="0.2">
      <c r="A26">
        <v>28</v>
      </c>
      <c r="B26">
        <v>2</v>
      </c>
    </row>
    <row r="27" spans="1:6" x14ac:dyDescent="0.2">
      <c r="A27">
        <v>29</v>
      </c>
      <c r="B27">
        <v>1</v>
      </c>
    </row>
    <row r="28" spans="1:6" x14ac:dyDescent="0.2">
      <c r="A28">
        <v>30</v>
      </c>
      <c r="B28">
        <v>1</v>
      </c>
    </row>
    <row r="29" spans="1:6" x14ac:dyDescent="0.2">
      <c r="A29">
        <v>31</v>
      </c>
      <c r="B29">
        <v>5</v>
      </c>
    </row>
    <row r="30" spans="1:6" x14ac:dyDescent="0.2">
      <c r="A30">
        <v>32</v>
      </c>
      <c r="B30">
        <v>4</v>
      </c>
    </row>
    <row r="31" spans="1:6" x14ac:dyDescent="0.2">
      <c r="A31">
        <v>33</v>
      </c>
      <c r="B31">
        <v>3</v>
      </c>
    </row>
    <row r="32" spans="1:6" x14ac:dyDescent="0.2">
      <c r="A32">
        <v>34</v>
      </c>
      <c r="B32">
        <v>3</v>
      </c>
    </row>
    <row r="33" spans="1:2" x14ac:dyDescent="0.2">
      <c r="A33">
        <v>36</v>
      </c>
      <c r="B33">
        <v>2</v>
      </c>
    </row>
    <row r="34" spans="1:2" x14ac:dyDescent="0.2">
      <c r="A34">
        <v>37</v>
      </c>
      <c r="B34">
        <v>3</v>
      </c>
    </row>
    <row r="35" spans="1:2" x14ac:dyDescent="0.2">
      <c r="A35">
        <v>38</v>
      </c>
      <c r="B35">
        <v>1</v>
      </c>
    </row>
    <row r="36" spans="1:2" x14ac:dyDescent="0.2">
      <c r="A36">
        <v>39</v>
      </c>
      <c r="B36">
        <v>1</v>
      </c>
    </row>
    <row r="37" spans="1:2" x14ac:dyDescent="0.2">
      <c r="A37">
        <v>40</v>
      </c>
      <c r="B37">
        <v>1</v>
      </c>
    </row>
    <row r="38" spans="1:2" x14ac:dyDescent="0.2">
      <c r="A38">
        <v>41</v>
      </c>
      <c r="B38">
        <v>1</v>
      </c>
    </row>
    <row r="39" spans="1:2" x14ac:dyDescent="0.2">
      <c r="A39">
        <v>42</v>
      </c>
      <c r="B39">
        <v>2</v>
      </c>
    </row>
    <row r="40" spans="1:2" x14ac:dyDescent="0.2">
      <c r="A40">
        <v>43</v>
      </c>
      <c r="B40">
        <v>2</v>
      </c>
    </row>
    <row r="41" spans="1:2" x14ac:dyDescent="0.2">
      <c r="A41">
        <v>44</v>
      </c>
      <c r="B41">
        <v>1</v>
      </c>
    </row>
    <row r="42" spans="1:2" x14ac:dyDescent="0.2">
      <c r="A42">
        <v>45</v>
      </c>
      <c r="B42">
        <v>1</v>
      </c>
    </row>
    <row r="43" spans="1:2" x14ac:dyDescent="0.2">
      <c r="A43">
        <v>46</v>
      </c>
      <c r="B43">
        <v>1</v>
      </c>
    </row>
    <row r="44" spans="1:2" x14ac:dyDescent="0.2">
      <c r="A44">
        <v>47</v>
      </c>
      <c r="B44">
        <v>1</v>
      </c>
    </row>
    <row r="45" spans="1:2" x14ac:dyDescent="0.2">
      <c r="A45">
        <v>48</v>
      </c>
      <c r="B45">
        <v>2</v>
      </c>
    </row>
    <row r="46" spans="1:2" x14ac:dyDescent="0.2">
      <c r="A46">
        <v>49</v>
      </c>
      <c r="B46">
        <v>1</v>
      </c>
    </row>
    <row r="47" spans="1:2" x14ac:dyDescent="0.2">
      <c r="A47">
        <v>50</v>
      </c>
      <c r="B47">
        <v>4</v>
      </c>
    </row>
    <row r="48" spans="1:2" x14ac:dyDescent="0.2">
      <c r="A48">
        <v>52</v>
      </c>
      <c r="B48">
        <v>2</v>
      </c>
    </row>
    <row r="49" spans="1:2" x14ac:dyDescent="0.2">
      <c r="A49">
        <v>53</v>
      </c>
      <c r="B49">
        <v>3</v>
      </c>
    </row>
    <row r="50" spans="1:2" x14ac:dyDescent="0.2">
      <c r="A50">
        <v>55</v>
      </c>
      <c r="B50">
        <v>2</v>
      </c>
    </row>
    <row r="51" spans="1:2" x14ac:dyDescent="0.2">
      <c r="A51">
        <v>56</v>
      </c>
      <c r="B51">
        <v>1</v>
      </c>
    </row>
    <row r="52" spans="1:2" x14ac:dyDescent="0.2">
      <c r="A52">
        <v>58</v>
      </c>
      <c r="B52">
        <v>3</v>
      </c>
    </row>
    <row r="53" spans="1:2" x14ac:dyDescent="0.2">
      <c r="A53">
        <v>59</v>
      </c>
      <c r="B53">
        <v>4</v>
      </c>
    </row>
    <row r="54" spans="1:2" x14ac:dyDescent="0.2">
      <c r="A54">
        <v>60</v>
      </c>
      <c r="B54">
        <v>1</v>
      </c>
    </row>
    <row r="55" spans="1:2" x14ac:dyDescent="0.2">
      <c r="A55">
        <v>61</v>
      </c>
      <c r="B55">
        <v>2</v>
      </c>
    </row>
    <row r="56" spans="1:2" x14ac:dyDescent="0.2">
      <c r="A56">
        <v>63</v>
      </c>
      <c r="B56">
        <v>1</v>
      </c>
    </row>
    <row r="57" spans="1:2" x14ac:dyDescent="0.2">
      <c r="A57">
        <v>64</v>
      </c>
      <c r="B57">
        <v>1</v>
      </c>
    </row>
    <row r="58" spans="1:2" x14ac:dyDescent="0.2">
      <c r="A58">
        <v>65</v>
      </c>
      <c r="B58">
        <v>3</v>
      </c>
    </row>
    <row r="59" spans="1:2" x14ac:dyDescent="0.2">
      <c r="A59">
        <v>66</v>
      </c>
      <c r="B59">
        <v>2</v>
      </c>
    </row>
    <row r="60" spans="1:2" x14ac:dyDescent="0.2">
      <c r="A60">
        <v>67</v>
      </c>
      <c r="B60">
        <v>3</v>
      </c>
    </row>
    <row r="61" spans="1:2" x14ac:dyDescent="0.2">
      <c r="A61">
        <v>68</v>
      </c>
      <c r="B61">
        <v>3</v>
      </c>
    </row>
    <row r="62" spans="1:2" x14ac:dyDescent="0.2">
      <c r="A62">
        <v>69</v>
      </c>
      <c r="B62">
        <v>3</v>
      </c>
    </row>
    <row r="63" spans="1:2" x14ac:dyDescent="0.2">
      <c r="A63">
        <v>70</v>
      </c>
      <c r="B63">
        <v>2</v>
      </c>
    </row>
    <row r="64" spans="1:2" x14ac:dyDescent="0.2">
      <c r="A64">
        <v>71</v>
      </c>
      <c r="B64">
        <v>3</v>
      </c>
    </row>
    <row r="65" spans="1:2" x14ac:dyDescent="0.2">
      <c r="A65">
        <v>72</v>
      </c>
      <c r="B65">
        <v>2</v>
      </c>
    </row>
    <row r="66" spans="1:2" x14ac:dyDescent="0.2">
      <c r="A66">
        <v>73</v>
      </c>
      <c r="B66">
        <v>3</v>
      </c>
    </row>
    <row r="67" spans="1:2" x14ac:dyDescent="0.2">
      <c r="A67">
        <v>75</v>
      </c>
      <c r="B67">
        <v>2</v>
      </c>
    </row>
    <row r="68" spans="1:2" x14ac:dyDescent="0.2">
      <c r="A68">
        <v>76</v>
      </c>
      <c r="B68">
        <v>1</v>
      </c>
    </row>
    <row r="69" spans="1:2" x14ac:dyDescent="0.2">
      <c r="A69">
        <v>77</v>
      </c>
      <c r="B69">
        <v>1</v>
      </c>
    </row>
    <row r="70" spans="1:2" x14ac:dyDescent="0.2">
      <c r="A70">
        <v>78</v>
      </c>
      <c r="B70">
        <v>2</v>
      </c>
    </row>
    <row r="71" spans="1:2" x14ac:dyDescent="0.2">
      <c r="A71">
        <v>79</v>
      </c>
      <c r="B71">
        <v>1</v>
      </c>
    </row>
    <row r="72" spans="1:2" x14ac:dyDescent="0.2">
      <c r="A72">
        <v>81</v>
      </c>
      <c r="B72">
        <v>1</v>
      </c>
    </row>
    <row r="73" spans="1:2" x14ac:dyDescent="0.2">
      <c r="A73">
        <v>82</v>
      </c>
      <c r="B73">
        <v>2</v>
      </c>
    </row>
    <row r="74" spans="1:2" x14ac:dyDescent="0.2">
      <c r="A74">
        <v>83</v>
      </c>
      <c r="B74">
        <v>2</v>
      </c>
    </row>
    <row r="75" spans="1:2" x14ac:dyDescent="0.2">
      <c r="A75">
        <v>84</v>
      </c>
      <c r="B75">
        <v>3</v>
      </c>
    </row>
    <row r="76" spans="1:2" x14ac:dyDescent="0.2">
      <c r="A76">
        <v>86</v>
      </c>
      <c r="B76">
        <v>2</v>
      </c>
    </row>
    <row r="77" spans="1:2" x14ac:dyDescent="0.2">
      <c r="A77">
        <v>87</v>
      </c>
      <c r="B77">
        <v>6</v>
      </c>
    </row>
    <row r="78" spans="1:2" x14ac:dyDescent="0.2">
      <c r="A78">
        <v>88</v>
      </c>
      <c r="B78">
        <v>4</v>
      </c>
    </row>
    <row r="79" spans="1:2" x14ac:dyDescent="0.2">
      <c r="A79">
        <v>89</v>
      </c>
      <c r="B79">
        <v>4</v>
      </c>
    </row>
    <row r="80" spans="1:2" x14ac:dyDescent="0.2">
      <c r="A80">
        <v>90</v>
      </c>
      <c r="B80">
        <v>1</v>
      </c>
    </row>
    <row r="81" spans="1:2" x14ac:dyDescent="0.2">
      <c r="A81">
        <v>92</v>
      </c>
      <c r="B81">
        <v>2</v>
      </c>
    </row>
    <row r="82" spans="1:2" x14ac:dyDescent="0.2">
      <c r="A82">
        <v>93</v>
      </c>
      <c r="B82">
        <v>1</v>
      </c>
    </row>
    <row r="83" spans="1:2" x14ac:dyDescent="0.2">
      <c r="A83">
        <v>94</v>
      </c>
      <c r="B83">
        <v>2</v>
      </c>
    </row>
    <row r="84" spans="1:2" x14ac:dyDescent="0.2">
      <c r="A84">
        <v>95</v>
      </c>
      <c r="B84">
        <v>1</v>
      </c>
    </row>
    <row r="85" spans="1:2" x14ac:dyDescent="0.2">
      <c r="A85">
        <v>96</v>
      </c>
      <c r="B85">
        <v>1</v>
      </c>
    </row>
    <row r="86" spans="1:2" x14ac:dyDescent="0.2">
      <c r="A86">
        <v>97</v>
      </c>
      <c r="B86">
        <v>3</v>
      </c>
    </row>
    <row r="87" spans="1:2" x14ac:dyDescent="0.2">
      <c r="A87">
        <v>99</v>
      </c>
      <c r="B87">
        <v>2</v>
      </c>
    </row>
    <row r="88" spans="1:2" x14ac:dyDescent="0.2">
      <c r="A88">
        <v>100</v>
      </c>
      <c r="B88">
        <v>2</v>
      </c>
    </row>
    <row r="89" spans="1:2" x14ac:dyDescent="0.2">
      <c r="A89">
        <v>101</v>
      </c>
      <c r="B89">
        <v>2</v>
      </c>
    </row>
    <row r="90" spans="1:2" x14ac:dyDescent="0.2">
      <c r="A90">
        <v>102</v>
      </c>
      <c r="B90">
        <v>1</v>
      </c>
    </row>
    <row r="91" spans="1:2" x14ac:dyDescent="0.2">
      <c r="A91">
        <v>103</v>
      </c>
      <c r="B91">
        <v>2</v>
      </c>
    </row>
    <row r="92" spans="1:2" x14ac:dyDescent="0.2">
      <c r="A92">
        <v>104</v>
      </c>
      <c r="B92">
        <v>5</v>
      </c>
    </row>
    <row r="93" spans="1:2" x14ac:dyDescent="0.2">
      <c r="A93">
        <v>105</v>
      </c>
      <c r="B93">
        <v>2</v>
      </c>
    </row>
    <row r="94" spans="1:2" x14ac:dyDescent="0.2">
      <c r="A94">
        <v>106</v>
      </c>
      <c r="B94">
        <v>4</v>
      </c>
    </row>
    <row r="95" spans="1:2" x14ac:dyDescent="0.2">
      <c r="A95">
        <v>107</v>
      </c>
      <c r="B95">
        <v>4</v>
      </c>
    </row>
    <row r="96" spans="1:2" x14ac:dyDescent="0.2">
      <c r="A96">
        <v>108</v>
      </c>
      <c r="B96">
        <v>2</v>
      </c>
    </row>
    <row r="97" spans="1:2" x14ac:dyDescent="0.2">
      <c r="A97">
        <v>109</v>
      </c>
      <c r="B97">
        <v>2</v>
      </c>
    </row>
    <row r="98" spans="1:2" x14ac:dyDescent="0.2">
      <c r="A98">
        <v>110</v>
      </c>
      <c r="B98">
        <v>1</v>
      </c>
    </row>
    <row r="99" spans="1:2" x14ac:dyDescent="0.2">
      <c r="A99">
        <v>111</v>
      </c>
      <c r="B99">
        <v>4</v>
      </c>
    </row>
    <row r="100" spans="1:2" x14ac:dyDescent="0.2">
      <c r="A100">
        <v>112</v>
      </c>
      <c r="B100">
        <v>1</v>
      </c>
    </row>
    <row r="101" spans="1:2" x14ac:dyDescent="0.2">
      <c r="A101">
        <v>114</v>
      </c>
      <c r="B101">
        <v>5</v>
      </c>
    </row>
    <row r="102" spans="1:2" x14ac:dyDescent="0.2">
      <c r="A102">
        <v>115</v>
      </c>
      <c r="B102">
        <v>3</v>
      </c>
    </row>
    <row r="103" spans="1:2" x14ac:dyDescent="0.2">
      <c r="A103">
        <v>116</v>
      </c>
      <c r="B103">
        <v>1</v>
      </c>
    </row>
    <row r="104" spans="1:2" x14ac:dyDescent="0.2">
      <c r="A104">
        <v>117</v>
      </c>
      <c r="B104">
        <v>2</v>
      </c>
    </row>
    <row r="105" spans="1:2" x14ac:dyDescent="0.2">
      <c r="A105">
        <v>118</v>
      </c>
      <c r="B105">
        <v>5</v>
      </c>
    </row>
    <row r="106" spans="1:2" x14ac:dyDescent="0.2">
      <c r="A106">
        <v>119</v>
      </c>
      <c r="B106">
        <v>2</v>
      </c>
    </row>
    <row r="107" spans="1:2" x14ac:dyDescent="0.2">
      <c r="A107">
        <v>120</v>
      </c>
      <c r="B107">
        <v>1</v>
      </c>
    </row>
    <row r="108" spans="1:2" x14ac:dyDescent="0.2">
      <c r="A108">
        <v>121</v>
      </c>
      <c r="B108">
        <v>2</v>
      </c>
    </row>
    <row r="109" spans="1:2" x14ac:dyDescent="0.2">
      <c r="A109">
        <v>122</v>
      </c>
      <c r="B109">
        <v>1</v>
      </c>
    </row>
    <row r="110" spans="1:2" x14ac:dyDescent="0.2">
      <c r="A110">
        <v>123</v>
      </c>
      <c r="B110">
        <v>1</v>
      </c>
    </row>
    <row r="111" spans="1:2" x14ac:dyDescent="0.2">
      <c r="A111">
        <v>124</v>
      </c>
      <c r="B111">
        <v>1</v>
      </c>
    </row>
    <row r="112" spans="1:2" x14ac:dyDescent="0.2">
      <c r="A112">
        <v>125</v>
      </c>
      <c r="B112">
        <v>1</v>
      </c>
    </row>
    <row r="113" spans="1:2" x14ac:dyDescent="0.2">
      <c r="A113">
        <v>126</v>
      </c>
      <c r="B113">
        <v>6</v>
      </c>
    </row>
    <row r="114" spans="1:2" x14ac:dyDescent="0.2">
      <c r="A114">
        <v>127</v>
      </c>
      <c r="B114">
        <v>1</v>
      </c>
    </row>
    <row r="115" spans="1:2" x14ac:dyDescent="0.2">
      <c r="A115">
        <v>129</v>
      </c>
      <c r="B115">
        <v>1</v>
      </c>
    </row>
    <row r="116" spans="1:2" x14ac:dyDescent="0.2">
      <c r="A116">
        <v>130</v>
      </c>
      <c r="B116">
        <v>3</v>
      </c>
    </row>
    <row r="117" spans="1:2" x14ac:dyDescent="0.2">
      <c r="A117">
        <v>131</v>
      </c>
      <c r="B117">
        <v>2</v>
      </c>
    </row>
    <row r="118" spans="1:2" x14ac:dyDescent="0.2">
      <c r="A118">
        <v>132</v>
      </c>
      <c r="B118">
        <v>4</v>
      </c>
    </row>
    <row r="119" spans="1:2" x14ac:dyDescent="0.2">
      <c r="A119">
        <v>133</v>
      </c>
      <c r="B119">
        <v>2</v>
      </c>
    </row>
    <row r="120" spans="1:2" x14ac:dyDescent="0.2">
      <c r="A120">
        <v>134</v>
      </c>
      <c r="B120">
        <v>3</v>
      </c>
    </row>
    <row r="121" spans="1:2" x14ac:dyDescent="0.2">
      <c r="A121">
        <v>135</v>
      </c>
      <c r="B121">
        <v>2</v>
      </c>
    </row>
    <row r="122" spans="1:2" x14ac:dyDescent="0.2">
      <c r="A122">
        <v>136</v>
      </c>
      <c r="B122">
        <v>2</v>
      </c>
    </row>
    <row r="123" spans="1:2" x14ac:dyDescent="0.2">
      <c r="A123">
        <v>137</v>
      </c>
      <c r="B123">
        <v>3</v>
      </c>
    </row>
    <row r="124" spans="1:2" x14ac:dyDescent="0.2">
      <c r="A124">
        <v>138</v>
      </c>
      <c r="B124">
        <v>3</v>
      </c>
    </row>
    <row r="125" spans="1:2" x14ac:dyDescent="0.2">
      <c r="A125">
        <v>139</v>
      </c>
      <c r="B125">
        <v>5</v>
      </c>
    </row>
    <row r="126" spans="1:2" x14ac:dyDescent="0.2">
      <c r="A126">
        <v>140</v>
      </c>
      <c r="B126">
        <v>2</v>
      </c>
    </row>
    <row r="127" spans="1:2" x14ac:dyDescent="0.2">
      <c r="A127">
        <v>141</v>
      </c>
      <c r="B127">
        <v>1</v>
      </c>
    </row>
    <row r="128" spans="1:2" x14ac:dyDescent="0.2">
      <c r="A128">
        <v>142</v>
      </c>
      <c r="B128">
        <v>2</v>
      </c>
    </row>
    <row r="129" spans="1:2" x14ac:dyDescent="0.2">
      <c r="A129">
        <v>144</v>
      </c>
      <c r="B129">
        <v>1</v>
      </c>
    </row>
    <row r="130" spans="1:2" x14ac:dyDescent="0.2">
      <c r="A130">
        <v>145</v>
      </c>
      <c r="B130">
        <v>3</v>
      </c>
    </row>
    <row r="131" spans="1:2" x14ac:dyDescent="0.2">
      <c r="A131">
        <v>146</v>
      </c>
      <c r="B131">
        <v>1</v>
      </c>
    </row>
    <row r="132" spans="1:2" x14ac:dyDescent="0.2">
      <c r="A132">
        <v>147</v>
      </c>
      <c r="B132">
        <v>1</v>
      </c>
    </row>
    <row r="133" spans="1:2" x14ac:dyDescent="0.2">
      <c r="A133">
        <v>149</v>
      </c>
      <c r="B133">
        <v>1</v>
      </c>
    </row>
    <row r="134" spans="1:2" x14ac:dyDescent="0.2">
      <c r="A134">
        <v>150</v>
      </c>
      <c r="B134">
        <v>3</v>
      </c>
    </row>
    <row r="135" spans="1:2" x14ac:dyDescent="0.2">
      <c r="A135">
        <v>151</v>
      </c>
      <c r="B135">
        <v>3</v>
      </c>
    </row>
    <row r="136" spans="1:2" x14ac:dyDescent="0.2">
      <c r="A136">
        <v>152</v>
      </c>
      <c r="B136">
        <v>2</v>
      </c>
    </row>
    <row r="137" spans="1:2" x14ac:dyDescent="0.2">
      <c r="A137">
        <v>153</v>
      </c>
      <c r="B137">
        <v>1</v>
      </c>
    </row>
    <row r="138" spans="1:2" x14ac:dyDescent="0.2">
      <c r="A138">
        <v>154</v>
      </c>
      <c r="B138">
        <v>1</v>
      </c>
    </row>
    <row r="139" spans="1:2" x14ac:dyDescent="0.2">
      <c r="A139">
        <v>156</v>
      </c>
      <c r="B139">
        <v>1</v>
      </c>
    </row>
    <row r="140" spans="1:2" x14ac:dyDescent="0.2">
      <c r="A140">
        <v>157</v>
      </c>
      <c r="B140">
        <v>2</v>
      </c>
    </row>
    <row r="141" spans="1:2" x14ac:dyDescent="0.2">
      <c r="A141">
        <v>158</v>
      </c>
      <c r="B141">
        <v>1</v>
      </c>
    </row>
    <row r="142" spans="1:2" x14ac:dyDescent="0.2">
      <c r="A142">
        <v>159</v>
      </c>
      <c r="B142">
        <v>2</v>
      </c>
    </row>
    <row r="143" spans="1:2" x14ac:dyDescent="0.2">
      <c r="A143">
        <v>160</v>
      </c>
      <c r="B143">
        <v>1</v>
      </c>
    </row>
    <row r="144" spans="1:2" x14ac:dyDescent="0.2">
      <c r="A144">
        <v>161</v>
      </c>
      <c r="B144">
        <v>2</v>
      </c>
    </row>
    <row r="145" spans="1:2" x14ac:dyDescent="0.2">
      <c r="A145">
        <v>162</v>
      </c>
      <c r="B145">
        <v>1</v>
      </c>
    </row>
    <row r="146" spans="1:2" x14ac:dyDescent="0.2">
      <c r="A146">
        <v>163</v>
      </c>
      <c r="B146">
        <v>2</v>
      </c>
    </row>
    <row r="147" spans="1:2" x14ac:dyDescent="0.2">
      <c r="A147">
        <v>164</v>
      </c>
      <c r="B147">
        <v>1</v>
      </c>
    </row>
    <row r="148" spans="1:2" x14ac:dyDescent="0.2">
      <c r="A148">
        <v>165</v>
      </c>
      <c r="B148">
        <v>1</v>
      </c>
    </row>
    <row r="149" spans="1:2" x14ac:dyDescent="0.2">
      <c r="A149">
        <v>166</v>
      </c>
      <c r="B149">
        <v>2</v>
      </c>
    </row>
    <row r="150" spans="1:2" x14ac:dyDescent="0.2">
      <c r="A150">
        <v>167</v>
      </c>
      <c r="B150">
        <v>3</v>
      </c>
    </row>
    <row r="151" spans="1:2" x14ac:dyDescent="0.2">
      <c r="A151">
        <v>168</v>
      </c>
      <c r="B151">
        <v>1</v>
      </c>
    </row>
    <row r="152" spans="1:2" x14ac:dyDescent="0.2">
      <c r="A152">
        <v>169</v>
      </c>
      <c r="B152">
        <v>2</v>
      </c>
    </row>
    <row r="153" spans="1:2" x14ac:dyDescent="0.2">
      <c r="A153">
        <v>170</v>
      </c>
      <c r="B153">
        <v>1</v>
      </c>
    </row>
    <row r="154" spans="1:2" x14ac:dyDescent="0.2">
      <c r="A154">
        <v>171</v>
      </c>
      <c r="B154">
        <v>2</v>
      </c>
    </row>
    <row r="155" spans="1:2" x14ac:dyDescent="0.2">
      <c r="A155">
        <v>172</v>
      </c>
      <c r="B155">
        <v>1</v>
      </c>
    </row>
    <row r="156" spans="1:2" x14ac:dyDescent="0.2">
      <c r="A156">
        <v>173</v>
      </c>
      <c r="B156">
        <v>4</v>
      </c>
    </row>
    <row r="157" spans="1:2" x14ac:dyDescent="0.2">
      <c r="A157">
        <v>174</v>
      </c>
      <c r="B157">
        <v>3</v>
      </c>
    </row>
    <row r="158" spans="1:2" x14ac:dyDescent="0.2">
      <c r="A158">
        <v>175</v>
      </c>
      <c r="B158">
        <v>2</v>
      </c>
    </row>
    <row r="159" spans="1:2" x14ac:dyDescent="0.2">
      <c r="A159">
        <v>176</v>
      </c>
      <c r="B159">
        <v>2</v>
      </c>
    </row>
    <row r="160" spans="1:2" x14ac:dyDescent="0.2">
      <c r="A160">
        <v>177</v>
      </c>
      <c r="B160">
        <v>1</v>
      </c>
    </row>
    <row r="161" spans="1:2" x14ac:dyDescent="0.2">
      <c r="A161">
        <v>178</v>
      </c>
      <c r="B161">
        <v>2</v>
      </c>
    </row>
    <row r="162" spans="1:2" x14ac:dyDescent="0.2">
      <c r="A162">
        <v>179</v>
      </c>
      <c r="B162">
        <v>4</v>
      </c>
    </row>
    <row r="163" spans="1:2" x14ac:dyDescent="0.2">
      <c r="A163">
        <v>180</v>
      </c>
      <c r="B163">
        <v>2</v>
      </c>
    </row>
    <row r="164" spans="1:2" x14ac:dyDescent="0.2">
      <c r="A164">
        <v>181</v>
      </c>
      <c r="B164">
        <v>3</v>
      </c>
    </row>
    <row r="165" spans="1:2" x14ac:dyDescent="0.2">
      <c r="A165">
        <v>182</v>
      </c>
      <c r="B165">
        <v>1</v>
      </c>
    </row>
    <row r="166" spans="1:2" x14ac:dyDescent="0.2">
      <c r="A166">
        <v>183</v>
      </c>
      <c r="B166">
        <v>3</v>
      </c>
    </row>
    <row r="167" spans="1:2" x14ac:dyDescent="0.2">
      <c r="A167">
        <v>184</v>
      </c>
      <c r="B167">
        <v>1</v>
      </c>
    </row>
    <row r="168" spans="1:2" x14ac:dyDescent="0.2">
      <c r="A168">
        <v>185</v>
      </c>
      <c r="B168">
        <v>2</v>
      </c>
    </row>
    <row r="169" spans="1:2" x14ac:dyDescent="0.2">
      <c r="A169">
        <v>186</v>
      </c>
      <c r="B169">
        <v>2</v>
      </c>
    </row>
    <row r="170" spans="1:2" x14ac:dyDescent="0.2">
      <c r="A170">
        <v>187</v>
      </c>
      <c r="B170">
        <v>1</v>
      </c>
    </row>
    <row r="171" spans="1:2" x14ac:dyDescent="0.2">
      <c r="A171">
        <v>188</v>
      </c>
      <c r="B171">
        <v>2</v>
      </c>
    </row>
    <row r="172" spans="1:2" x14ac:dyDescent="0.2">
      <c r="A172">
        <v>189</v>
      </c>
      <c r="B172">
        <v>4</v>
      </c>
    </row>
    <row r="173" spans="1:2" x14ac:dyDescent="0.2">
      <c r="A173">
        <v>190</v>
      </c>
      <c r="B173">
        <v>4</v>
      </c>
    </row>
    <row r="174" spans="1:2" x14ac:dyDescent="0.2">
      <c r="A174">
        <v>191</v>
      </c>
      <c r="B174">
        <v>1</v>
      </c>
    </row>
    <row r="175" spans="1:2" x14ac:dyDescent="0.2">
      <c r="A175">
        <v>192</v>
      </c>
      <c r="B175">
        <v>1</v>
      </c>
    </row>
    <row r="176" spans="1:2" x14ac:dyDescent="0.2">
      <c r="A176">
        <v>193</v>
      </c>
      <c r="B176">
        <v>6</v>
      </c>
    </row>
    <row r="177" spans="1:2" x14ac:dyDescent="0.2">
      <c r="A177">
        <v>194</v>
      </c>
      <c r="B177">
        <v>2</v>
      </c>
    </row>
    <row r="178" spans="1:2" x14ac:dyDescent="0.2">
      <c r="A178">
        <v>195</v>
      </c>
      <c r="B178">
        <v>4</v>
      </c>
    </row>
    <row r="179" spans="1:2" x14ac:dyDescent="0.2">
      <c r="A179">
        <v>196</v>
      </c>
      <c r="B179">
        <v>2</v>
      </c>
    </row>
    <row r="180" spans="1:2" x14ac:dyDescent="0.2">
      <c r="A180">
        <v>197</v>
      </c>
      <c r="B180">
        <v>2</v>
      </c>
    </row>
    <row r="181" spans="1:2" x14ac:dyDescent="0.2">
      <c r="A181">
        <v>198</v>
      </c>
      <c r="B181">
        <v>2</v>
      </c>
    </row>
    <row r="182" spans="1:2" x14ac:dyDescent="0.2">
      <c r="A182">
        <v>199</v>
      </c>
      <c r="B182">
        <v>1</v>
      </c>
    </row>
    <row r="183" spans="1:2" x14ac:dyDescent="0.2">
      <c r="A183">
        <v>200</v>
      </c>
      <c r="B183">
        <v>2</v>
      </c>
    </row>
    <row r="184" spans="1:2" x14ac:dyDescent="0.2">
      <c r="A184">
        <v>201</v>
      </c>
      <c r="B184">
        <v>1</v>
      </c>
    </row>
    <row r="185" spans="1:2" x14ac:dyDescent="0.2">
      <c r="A185">
        <v>202</v>
      </c>
      <c r="B185">
        <v>5</v>
      </c>
    </row>
    <row r="186" spans="1:2" x14ac:dyDescent="0.2">
      <c r="A186">
        <v>203</v>
      </c>
      <c r="B186">
        <v>2</v>
      </c>
    </row>
    <row r="187" spans="1:2" x14ac:dyDescent="0.2">
      <c r="A187">
        <v>204</v>
      </c>
      <c r="B187">
        <v>2</v>
      </c>
    </row>
    <row r="188" spans="1:2" x14ac:dyDescent="0.2">
      <c r="A188">
        <v>205</v>
      </c>
      <c r="B188">
        <v>1</v>
      </c>
    </row>
    <row r="189" spans="1:2" x14ac:dyDescent="0.2">
      <c r="A189">
        <v>206</v>
      </c>
      <c r="B189">
        <v>4</v>
      </c>
    </row>
    <row r="190" spans="1:2" x14ac:dyDescent="0.2">
      <c r="A190">
        <v>207</v>
      </c>
      <c r="B190">
        <v>1</v>
      </c>
    </row>
    <row r="191" spans="1:2" x14ac:dyDescent="0.2">
      <c r="A191">
        <v>208</v>
      </c>
      <c r="B191">
        <v>1</v>
      </c>
    </row>
    <row r="192" spans="1:2" x14ac:dyDescent="0.2">
      <c r="A192">
        <v>209</v>
      </c>
      <c r="B192">
        <v>1</v>
      </c>
    </row>
    <row r="193" spans="1:2" x14ac:dyDescent="0.2">
      <c r="A193">
        <v>210</v>
      </c>
      <c r="B193">
        <v>1</v>
      </c>
    </row>
    <row r="194" spans="1:2" x14ac:dyDescent="0.2">
      <c r="A194">
        <v>211</v>
      </c>
      <c r="B194">
        <v>2</v>
      </c>
    </row>
    <row r="195" spans="1:2" x14ac:dyDescent="0.2">
      <c r="A195">
        <v>212</v>
      </c>
      <c r="B195">
        <v>1</v>
      </c>
    </row>
    <row r="196" spans="1:2" x14ac:dyDescent="0.2">
      <c r="A196">
        <v>213</v>
      </c>
      <c r="B196">
        <v>1</v>
      </c>
    </row>
    <row r="197" spans="1:2" x14ac:dyDescent="0.2">
      <c r="A197">
        <v>214</v>
      </c>
      <c r="B197">
        <v>2</v>
      </c>
    </row>
    <row r="198" spans="1:2" x14ac:dyDescent="0.2">
      <c r="A198">
        <v>216</v>
      </c>
      <c r="B198">
        <v>3</v>
      </c>
    </row>
    <row r="199" spans="1:2" x14ac:dyDescent="0.2">
      <c r="A199">
        <v>217</v>
      </c>
      <c r="B199">
        <v>1</v>
      </c>
    </row>
    <row r="200" spans="1:2" x14ac:dyDescent="0.2">
      <c r="A200">
        <v>218</v>
      </c>
      <c r="B200">
        <v>2</v>
      </c>
    </row>
    <row r="201" spans="1:2" x14ac:dyDescent="0.2">
      <c r="A201">
        <v>219</v>
      </c>
      <c r="B201">
        <v>3</v>
      </c>
    </row>
    <row r="202" spans="1:2" x14ac:dyDescent="0.2">
      <c r="A202">
        <v>220</v>
      </c>
      <c r="B202">
        <v>4</v>
      </c>
    </row>
    <row r="203" spans="1:2" x14ac:dyDescent="0.2">
      <c r="A203">
        <v>221</v>
      </c>
      <c r="B203">
        <v>1</v>
      </c>
    </row>
    <row r="204" spans="1:2" x14ac:dyDescent="0.2">
      <c r="A204">
        <v>222</v>
      </c>
      <c r="B204">
        <v>5</v>
      </c>
    </row>
    <row r="205" spans="1:2" x14ac:dyDescent="0.2">
      <c r="A205">
        <v>223</v>
      </c>
      <c r="B205">
        <v>3</v>
      </c>
    </row>
    <row r="206" spans="1:2" x14ac:dyDescent="0.2">
      <c r="A206">
        <v>224</v>
      </c>
      <c r="B206">
        <v>3</v>
      </c>
    </row>
    <row r="207" spans="1:2" x14ac:dyDescent="0.2">
      <c r="A207">
        <v>226</v>
      </c>
      <c r="B207">
        <v>1</v>
      </c>
    </row>
    <row r="208" spans="1:2" x14ac:dyDescent="0.2">
      <c r="A208">
        <v>227</v>
      </c>
      <c r="B208">
        <v>2</v>
      </c>
    </row>
    <row r="209" spans="1:2" x14ac:dyDescent="0.2">
      <c r="A209">
        <v>228</v>
      </c>
      <c r="B209">
        <v>2</v>
      </c>
    </row>
    <row r="210" spans="1:2" x14ac:dyDescent="0.2">
      <c r="A210">
        <v>229</v>
      </c>
      <c r="B210">
        <v>3</v>
      </c>
    </row>
    <row r="211" spans="1:2" x14ac:dyDescent="0.2">
      <c r="A211">
        <v>230</v>
      </c>
      <c r="B211">
        <v>4</v>
      </c>
    </row>
    <row r="212" spans="1:2" x14ac:dyDescent="0.2">
      <c r="A212">
        <v>231</v>
      </c>
      <c r="B212">
        <v>2</v>
      </c>
    </row>
    <row r="213" spans="1:2" x14ac:dyDescent="0.2">
      <c r="A213">
        <v>232</v>
      </c>
      <c r="B213">
        <v>2</v>
      </c>
    </row>
    <row r="214" spans="1:2" x14ac:dyDescent="0.2">
      <c r="A214">
        <v>233</v>
      </c>
      <c r="B214">
        <v>2</v>
      </c>
    </row>
    <row r="215" spans="1:2" x14ac:dyDescent="0.2">
      <c r="A215">
        <v>235</v>
      </c>
      <c r="B215">
        <v>1</v>
      </c>
    </row>
    <row r="216" spans="1:2" x14ac:dyDescent="0.2">
      <c r="A216">
        <v>236</v>
      </c>
      <c r="B216">
        <v>1</v>
      </c>
    </row>
    <row r="217" spans="1:2" x14ac:dyDescent="0.2">
      <c r="A217">
        <v>237</v>
      </c>
      <c r="B217">
        <v>1</v>
      </c>
    </row>
    <row r="218" spans="1:2" x14ac:dyDescent="0.2">
      <c r="A218">
        <v>238</v>
      </c>
      <c r="B218">
        <v>3</v>
      </c>
    </row>
    <row r="219" spans="1:2" x14ac:dyDescent="0.2">
      <c r="A219">
        <v>239</v>
      </c>
      <c r="B219">
        <v>1</v>
      </c>
    </row>
    <row r="220" spans="1:2" x14ac:dyDescent="0.2">
      <c r="A220">
        <v>240</v>
      </c>
      <c r="B220">
        <v>3</v>
      </c>
    </row>
    <row r="221" spans="1:2" x14ac:dyDescent="0.2">
      <c r="A221">
        <v>241</v>
      </c>
      <c r="B221">
        <v>2</v>
      </c>
    </row>
    <row r="222" spans="1:2" x14ac:dyDescent="0.2">
      <c r="A222">
        <v>242</v>
      </c>
      <c r="B222">
        <v>2</v>
      </c>
    </row>
    <row r="223" spans="1:2" x14ac:dyDescent="0.2">
      <c r="A223">
        <v>243</v>
      </c>
      <c r="B223">
        <v>1</v>
      </c>
    </row>
    <row r="224" spans="1:2" x14ac:dyDescent="0.2">
      <c r="A224">
        <v>244</v>
      </c>
      <c r="B224">
        <v>2</v>
      </c>
    </row>
    <row r="225" spans="1:2" x14ac:dyDescent="0.2">
      <c r="A225">
        <v>245</v>
      </c>
      <c r="B225">
        <v>1</v>
      </c>
    </row>
    <row r="226" spans="1:2" x14ac:dyDescent="0.2">
      <c r="A226">
        <v>246</v>
      </c>
      <c r="B226">
        <v>3</v>
      </c>
    </row>
    <row r="227" spans="1:2" x14ac:dyDescent="0.2">
      <c r="A227">
        <v>247</v>
      </c>
      <c r="B227">
        <v>1</v>
      </c>
    </row>
    <row r="228" spans="1:2" x14ac:dyDescent="0.2">
      <c r="A228">
        <v>248</v>
      </c>
      <c r="B228">
        <v>5</v>
      </c>
    </row>
    <row r="229" spans="1:2" x14ac:dyDescent="0.2">
      <c r="A229">
        <v>249</v>
      </c>
      <c r="B229">
        <v>5</v>
      </c>
    </row>
    <row r="230" spans="1:2" x14ac:dyDescent="0.2">
      <c r="A230">
        <v>250</v>
      </c>
      <c r="B230">
        <v>3</v>
      </c>
    </row>
    <row r="231" spans="1:2" x14ac:dyDescent="0.2">
      <c r="A231">
        <v>251</v>
      </c>
      <c r="B231">
        <v>1</v>
      </c>
    </row>
    <row r="232" spans="1:2" x14ac:dyDescent="0.2">
      <c r="A232">
        <v>252</v>
      </c>
      <c r="B232">
        <v>1</v>
      </c>
    </row>
    <row r="233" spans="1:2" x14ac:dyDescent="0.2">
      <c r="A233">
        <v>253</v>
      </c>
      <c r="B233">
        <v>2</v>
      </c>
    </row>
    <row r="234" spans="1:2" x14ac:dyDescent="0.2">
      <c r="A234">
        <v>254</v>
      </c>
      <c r="B234">
        <v>1</v>
      </c>
    </row>
    <row r="235" spans="1:2" x14ac:dyDescent="0.2">
      <c r="A235">
        <v>255</v>
      </c>
      <c r="B235">
        <v>2</v>
      </c>
    </row>
    <row r="236" spans="1:2" x14ac:dyDescent="0.2">
      <c r="A236">
        <v>256</v>
      </c>
      <c r="B236">
        <v>3</v>
      </c>
    </row>
    <row r="237" spans="1:2" x14ac:dyDescent="0.2">
      <c r="A237">
        <v>257</v>
      </c>
      <c r="B237">
        <v>1</v>
      </c>
    </row>
    <row r="238" spans="1:2" x14ac:dyDescent="0.2">
      <c r="A238">
        <v>258</v>
      </c>
      <c r="B238">
        <v>1</v>
      </c>
    </row>
    <row r="239" spans="1:2" x14ac:dyDescent="0.2">
      <c r="A239">
        <v>259</v>
      </c>
      <c r="B239">
        <v>2</v>
      </c>
    </row>
    <row r="240" spans="1:2" x14ac:dyDescent="0.2">
      <c r="A240">
        <v>260</v>
      </c>
      <c r="B240">
        <v>4</v>
      </c>
    </row>
    <row r="241" spans="1:2" x14ac:dyDescent="0.2">
      <c r="A241">
        <v>261</v>
      </c>
      <c r="B241">
        <v>4</v>
      </c>
    </row>
    <row r="242" spans="1:2" x14ac:dyDescent="0.2">
      <c r="A242">
        <v>262</v>
      </c>
      <c r="B242">
        <v>4</v>
      </c>
    </row>
    <row r="243" spans="1:2" x14ac:dyDescent="0.2">
      <c r="A243">
        <v>263</v>
      </c>
      <c r="B243">
        <v>2</v>
      </c>
    </row>
    <row r="244" spans="1:2" x14ac:dyDescent="0.2">
      <c r="A244">
        <v>264</v>
      </c>
      <c r="B244">
        <v>5</v>
      </c>
    </row>
    <row r="245" spans="1:2" x14ac:dyDescent="0.2">
      <c r="A245">
        <v>265</v>
      </c>
      <c r="B245">
        <v>2</v>
      </c>
    </row>
    <row r="246" spans="1:2" x14ac:dyDescent="0.2">
      <c r="A246">
        <v>266</v>
      </c>
      <c r="B246">
        <v>2</v>
      </c>
    </row>
    <row r="247" spans="1:2" x14ac:dyDescent="0.2">
      <c r="A247">
        <v>267</v>
      </c>
      <c r="B247">
        <v>1</v>
      </c>
    </row>
    <row r="248" spans="1:2" x14ac:dyDescent="0.2">
      <c r="A248">
        <v>268</v>
      </c>
      <c r="B248">
        <v>1</v>
      </c>
    </row>
    <row r="249" spans="1:2" x14ac:dyDescent="0.2">
      <c r="A249">
        <v>270</v>
      </c>
      <c r="B249">
        <v>2</v>
      </c>
    </row>
    <row r="250" spans="1:2" x14ac:dyDescent="0.2">
      <c r="A250">
        <v>271</v>
      </c>
      <c r="B250">
        <v>4</v>
      </c>
    </row>
    <row r="251" spans="1:2" x14ac:dyDescent="0.2">
      <c r="A251">
        <v>274</v>
      </c>
      <c r="B251">
        <v>1</v>
      </c>
    </row>
    <row r="252" spans="1:2" x14ac:dyDescent="0.2">
      <c r="A252">
        <v>275</v>
      </c>
      <c r="B252">
        <v>3</v>
      </c>
    </row>
    <row r="253" spans="1:2" x14ac:dyDescent="0.2">
      <c r="A253">
        <v>276</v>
      </c>
      <c r="B253">
        <v>3</v>
      </c>
    </row>
    <row r="254" spans="1:2" x14ac:dyDescent="0.2">
      <c r="A254">
        <v>277</v>
      </c>
      <c r="B254">
        <v>5</v>
      </c>
    </row>
    <row r="255" spans="1:2" x14ac:dyDescent="0.2">
      <c r="A255">
        <v>278</v>
      </c>
      <c r="B255">
        <v>2</v>
      </c>
    </row>
    <row r="256" spans="1:2" x14ac:dyDescent="0.2">
      <c r="A256">
        <v>280</v>
      </c>
      <c r="B256">
        <v>2</v>
      </c>
    </row>
    <row r="257" spans="1:2" x14ac:dyDescent="0.2">
      <c r="A257">
        <v>281</v>
      </c>
      <c r="B257">
        <v>3</v>
      </c>
    </row>
    <row r="258" spans="1:2" x14ac:dyDescent="0.2">
      <c r="A258">
        <v>282</v>
      </c>
      <c r="B258">
        <v>1</v>
      </c>
    </row>
    <row r="259" spans="1:2" x14ac:dyDescent="0.2">
      <c r="A259">
        <v>283</v>
      </c>
      <c r="B259">
        <v>1</v>
      </c>
    </row>
    <row r="260" spans="1:2" x14ac:dyDescent="0.2">
      <c r="A260">
        <v>284</v>
      </c>
      <c r="B260">
        <v>1</v>
      </c>
    </row>
    <row r="261" spans="1:2" x14ac:dyDescent="0.2">
      <c r="A261">
        <v>286</v>
      </c>
      <c r="B261">
        <v>1</v>
      </c>
    </row>
    <row r="262" spans="1:2" x14ac:dyDescent="0.2">
      <c r="A262">
        <v>288</v>
      </c>
      <c r="B262">
        <v>1</v>
      </c>
    </row>
    <row r="263" spans="1:2" x14ac:dyDescent="0.2">
      <c r="A263">
        <v>290</v>
      </c>
      <c r="B263">
        <v>2</v>
      </c>
    </row>
    <row r="264" spans="1:2" x14ac:dyDescent="0.2">
      <c r="A264">
        <v>291</v>
      </c>
      <c r="B264">
        <v>1</v>
      </c>
    </row>
    <row r="265" spans="1:2" x14ac:dyDescent="0.2">
      <c r="A265">
        <v>294</v>
      </c>
      <c r="B265">
        <v>4</v>
      </c>
    </row>
    <row r="266" spans="1:2" x14ac:dyDescent="0.2">
      <c r="A266">
        <v>295</v>
      </c>
      <c r="B266">
        <v>3</v>
      </c>
    </row>
    <row r="267" spans="1:2" x14ac:dyDescent="0.2">
      <c r="A267">
        <v>296</v>
      </c>
      <c r="B267">
        <v>3</v>
      </c>
    </row>
    <row r="268" spans="1:2" x14ac:dyDescent="0.2">
      <c r="A268">
        <v>297</v>
      </c>
      <c r="B268">
        <v>5</v>
      </c>
    </row>
    <row r="269" spans="1:2" x14ac:dyDescent="0.2">
      <c r="A269">
        <v>300</v>
      </c>
      <c r="B269">
        <v>3</v>
      </c>
    </row>
    <row r="270" spans="1:2" x14ac:dyDescent="0.2">
      <c r="A270">
        <v>301</v>
      </c>
      <c r="B270">
        <v>3</v>
      </c>
    </row>
    <row r="271" spans="1:2" x14ac:dyDescent="0.2">
      <c r="A271">
        <v>303</v>
      </c>
      <c r="B271">
        <v>3</v>
      </c>
    </row>
    <row r="272" spans="1:2" x14ac:dyDescent="0.2">
      <c r="A272">
        <v>304</v>
      </c>
      <c r="B272">
        <v>3</v>
      </c>
    </row>
    <row r="273" spans="1:2" x14ac:dyDescent="0.2">
      <c r="A273">
        <v>305</v>
      </c>
      <c r="B273">
        <v>2</v>
      </c>
    </row>
    <row r="274" spans="1:2" x14ac:dyDescent="0.2">
      <c r="A274">
        <v>306</v>
      </c>
      <c r="B274">
        <v>2</v>
      </c>
    </row>
    <row r="275" spans="1:2" x14ac:dyDescent="0.2">
      <c r="A275">
        <v>307</v>
      </c>
      <c r="B275">
        <v>1</v>
      </c>
    </row>
    <row r="276" spans="1:2" x14ac:dyDescent="0.2">
      <c r="A276">
        <v>309</v>
      </c>
      <c r="B276">
        <v>2</v>
      </c>
    </row>
    <row r="277" spans="1:2" x14ac:dyDescent="0.2">
      <c r="A277">
        <v>310</v>
      </c>
      <c r="B277">
        <v>2</v>
      </c>
    </row>
    <row r="278" spans="1:2" x14ac:dyDescent="0.2">
      <c r="A278">
        <v>311</v>
      </c>
      <c r="B278">
        <v>1</v>
      </c>
    </row>
    <row r="279" spans="1:2" x14ac:dyDescent="0.2">
      <c r="A279">
        <v>312</v>
      </c>
      <c r="B279">
        <v>2</v>
      </c>
    </row>
    <row r="280" spans="1:2" x14ac:dyDescent="0.2">
      <c r="A280">
        <v>313</v>
      </c>
      <c r="B280">
        <v>3</v>
      </c>
    </row>
    <row r="281" spans="1:2" x14ac:dyDescent="0.2">
      <c r="A281">
        <v>315</v>
      </c>
      <c r="B281">
        <v>1</v>
      </c>
    </row>
    <row r="282" spans="1:2" x14ac:dyDescent="0.2">
      <c r="A282">
        <v>316</v>
      </c>
      <c r="B282">
        <v>3</v>
      </c>
    </row>
    <row r="283" spans="1:2" x14ac:dyDescent="0.2">
      <c r="A283">
        <v>317</v>
      </c>
      <c r="B283">
        <v>3</v>
      </c>
    </row>
    <row r="284" spans="1:2" x14ac:dyDescent="0.2">
      <c r="A284">
        <v>318</v>
      </c>
      <c r="B284">
        <v>1</v>
      </c>
    </row>
    <row r="285" spans="1:2" x14ac:dyDescent="0.2">
      <c r="A285">
        <v>319</v>
      </c>
      <c r="B285">
        <v>1</v>
      </c>
    </row>
    <row r="286" spans="1:2" x14ac:dyDescent="0.2">
      <c r="A286">
        <v>320</v>
      </c>
      <c r="B286">
        <v>3</v>
      </c>
    </row>
    <row r="287" spans="1:2" x14ac:dyDescent="0.2">
      <c r="A287">
        <v>321</v>
      </c>
      <c r="B287">
        <v>3</v>
      </c>
    </row>
    <row r="288" spans="1:2" x14ac:dyDescent="0.2">
      <c r="A288">
        <v>322</v>
      </c>
      <c r="B288">
        <v>1</v>
      </c>
    </row>
    <row r="289" spans="1:2" x14ac:dyDescent="0.2">
      <c r="A289">
        <v>323</v>
      </c>
      <c r="B289">
        <v>1</v>
      </c>
    </row>
    <row r="290" spans="1:2" x14ac:dyDescent="0.2">
      <c r="A290">
        <v>324</v>
      </c>
      <c r="B290">
        <v>3</v>
      </c>
    </row>
    <row r="291" spans="1:2" x14ac:dyDescent="0.2">
      <c r="A291">
        <v>327</v>
      </c>
      <c r="B291">
        <v>8</v>
      </c>
    </row>
    <row r="292" spans="1:2" x14ac:dyDescent="0.2">
      <c r="A292">
        <v>329</v>
      </c>
      <c r="B292">
        <v>1</v>
      </c>
    </row>
    <row r="293" spans="1:2" x14ac:dyDescent="0.2">
      <c r="A293">
        <v>330</v>
      </c>
      <c r="B293">
        <v>4</v>
      </c>
    </row>
    <row r="294" spans="1:2" x14ac:dyDescent="0.2">
      <c r="A294">
        <v>331</v>
      </c>
      <c r="B294">
        <v>2</v>
      </c>
    </row>
    <row r="295" spans="1:2" x14ac:dyDescent="0.2">
      <c r="A295">
        <v>332</v>
      </c>
      <c r="B295">
        <v>1</v>
      </c>
    </row>
    <row r="296" spans="1:2" x14ac:dyDescent="0.2">
      <c r="A296">
        <v>333</v>
      </c>
      <c r="B296">
        <v>3</v>
      </c>
    </row>
    <row r="297" spans="1:2" x14ac:dyDescent="0.2">
      <c r="A297">
        <v>334</v>
      </c>
      <c r="B297">
        <v>3</v>
      </c>
    </row>
    <row r="298" spans="1:2" x14ac:dyDescent="0.2">
      <c r="A298">
        <v>335</v>
      </c>
      <c r="B298">
        <v>1</v>
      </c>
    </row>
    <row r="299" spans="1:2" x14ac:dyDescent="0.2">
      <c r="A299">
        <v>336</v>
      </c>
      <c r="B299">
        <v>2</v>
      </c>
    </row>
    <row r="300" spans="1:2" x14ac:dyDescent="0.2">
      <c r="A300">
        <v>337</v>
      </c>
      <c r="B300">
        <v>3</v>
      </c>
    </row>
    <row r="301" spans="1:2" x14ac:dyDescent="0.2">
      <c r="A301">
        <v>338</v>
      </c>
      <c r="B301">
        <v>2</v>
      </c>
    </row>
    <row r="302" spans="1:2" x14ac:dyDescent="0.2">
      <c r="A302">
        <v>339</v>
      </c>
      <c r="B302">
        <v>2</v>
      </c>
    </row>
    <row r="303" spans="1:2" x14ac:dyDescent="0.2">
      <c r="A303">
        <v>340</v>
      </c>
      <c r="B303">
        <v>5</v>
      </c>
    </row>
    <row r="304" spans="1:2" x14ac:dyDescent="0.2">
      <c r="A304">
        <v>341</v>
      </c>
      <c r="B304">
        <v>2</v>
      </c>
    </row>
    <row r="305" spans="1:2" x14ac:dyDescent="0.2">
      <c r="A305">
        <v>343</v>
      </c>
      <c r="B305">
        <v>2</v>
      </c>
    </row>
    <row r="306" spans="1:2" x14ac:dyDescent="0.2">
      <c r="A306">
        <v>344</v>
      </c>
      <c r="B306">
        <v>1</v>
      </c>
    </row>
    <row r="307" spans="1:2" x14ac:dyDescent="0.2">
      <c r="A307">
        <v>345</v>
      </c>
      <c r="B307">
        <v>2</v>
      </c>
    </row>
    <row r="308" spans="1:2" x14ac:dyDescent="0.2">
      <c r="A308">
        <v>346</v>
      </c>
      <c r="B308">
        <v>1</v>
      </c>
    </row>
    <row r="309" spans="1:2" x14ac:dyDescent="0.2">
      <c r="A309">
        <v>347</v>
      </c>
      <c r="B309">
        <v>5</v>
      </c>
    </row>
    <row r="310" spans="1:2" x14ac:dyDescent="0.2">
      <c r="A310">
        <v>348</v>
      </c>
      <c r="B310">
        <v>1</v>
      </c>
    </row>
    <row r="311" spans="1:2" x14ac:dyDescent="0.2">
      <c r="A311">
        <v>349</v>
      </c>
      <c r="B311">
        <v>1</v>
      </c>
    </row>
    <row r="312" spans="1:2" x14ac:dyDescent="0.2">
      <c r="A312">
        <v>350</v>
      </c>
      <c r="B312">
        <v>2</v>
      </c>
    </row>
    <row r="313" spans="1:2" x14ac:dyDescent="0.2">
      <c r="A313">
        <v>351</v>
      </c>
      <c r="B313">
        <v>1</v>
      </c>
    </row>
    <row r="314" spans="1:2" x14ac:dyDescent="0.2">
      <c r="A314">
        <v>352</v>
      </c>
      <c r="B314">
        <v>5</v>
      </c>
    </row>
    <row r="315" spans="1:2" x14ac:dyDescent="0.2">
      <c r="A315">
        <v>353</v>
      </c>
      <c r="B315">
        <v>2</v>
      </c>
    </row>
    <row r="316" spans="1:2" x14ac:dyDescent="0.2">
      <c r="A316">
        <v>354</v>
      </c>
      <c r="B316">
        <v>1</v>
      </c>
    </row>
    <row r="317" spans="1:2" x14ac:dyDescent="0.2">
      <c r="A317">
        <v>355</v>
      </c>
      <c r="B317">
        <v>2</v>
      </c>
    </row>
    <row r="318" spans="1:2" x14ac:dyDescent="0.2">
      <c r="A318">
        <v>356</v>
      </c>
      <c r="B318">
        <v>6</v>
      </c>
    </row>
    <row r="319" spans="1:2" x14ac:dyDescent="0.2">
      <c r="A319">
        <v>357</v>
      </c>
      <c r="B319">
        <v>2</v>
      </c>
    </row>
    <row r="320" spans="1:2" x14ac:dyDescent="0.2">
      <c r="A320">
        <v>358</v>
      </c>
      <c r="B320">
        <v>2</v>
      </c>
    </row>
    <row r="321" spans="1:2" x14ac:dyDescent="0.2">
      <c r="A321">
        <v>359</v>
      </c>
      <c r="B321">
        <v>1</v>
      </c>
    </row>
    <row r="322" spans="1:2" x14ac:dyDescent="0.2">
      <c r="A322">
        <v>360</v>
      </c>
      <c r="B322">
        <v>3</v>
      </c>
    </row>
    <row r="323" spans="1:2" x14ac:dyDescent="0.2">
      <c r="A323">
        <v>361</v>
      </c>
      <c r="B323">
        <v>1</v>
      </c>
    </row>
    <row r="324" spans="1:2" x14ac:dyDescent="0.2">
      <c r="A324">
        <v>362</v>
      </c>
      <c r="B324">
        <v>1</v>
      </c>
    </row>
    <row r="325" spans="1:2" x14ac:dyDescent="0.2">
      <c r="A325">
        <v>363</v>
      </c>
      <c r="B325">
        <v>4</v>
      </c>
    </row>
    <row r="326" spans="1:2" x14ac:dyDescent="0.2">
      <c r="A326">
        <v>364</v>
      </c>
      <c r="B326">
        <v>1</v>
      </c>
    </row>
    <row r="327" spans="1:2" x14ac:dyDescent="0.2">
      <c r="A327">
        <v>365</v>
      </c>
      <c r="B327">
        <v>1</v>
      </c>
    </row>
    <row r="328" spans="1:2" x14ac:dyDescent="0.2">
      <c r="A328">
        <v>366</v>
      </c>
      <c r="B328">
        <v>3</v>
      </c>
    </row>
    <row r="329" spans="1:2" x14ac:dyDescent="0.2">
      <c r="A329">
        <v>367</v>
      </c>
      <c r="B329">
        <v>1</v>
      </c>
    </row>
    <row r="330" spans="1:2" x14ac:dyDescent="0.2">
      <c r="A330">
        <v>369</v>
      </c>
      <c r="B330">
        <v>2</v>
      </c>
    </row>
    <row r="331" spans="1:2" x14ac:dyDescent="0.2">
      <c r="A331">
        <v>370</v>
      </c>
      <c r="B331">
        <v>2</v>
      </c>
    </row>
    <row r="332" spans="1:2" x14ac:dyDescent="0.2">
      <c r="A332">
        <v>371</v>
      </c>
      <c r="B332">
        <v>2</v>
      </c>
    </row>
    <row r="333" spans="1:2" x14ac:dyDescent="0.2">
      <c r="A333">
        <v>372</v>
      </c>
      <c r="B333">
        <v>1</v>
      </c>
    </row>
    <row r="334" spans="1:2" x14ac:dyDescent="0.2">
      <c r="A334">
        <v>373</v>
      </c>
      <c r="B334">
        <v>4</v>
      </c>
    </row>
    <row r="335" spans="1:2" x14ac:dyDescent="0.2">
      <c r="A335">
        <v>374</v>
      </c>
      <c r="B335">
        <v>2</v>
      </c>
    </row>
    <row r="336" spans="1:2" x14ac:dyDescent="0.2">
      <c r="A336">
        <v>375</v>
      </c>
      <c r="B336">
        <v>2</v>
      </c>
    </row>
    <row r="337" spans="1:2" x14ac:dyDescent="0.2">
      <c r="A337">
        <v>376</v>
      </c>
      <c r="B337">
        <v>5</v>
      </c>
    </row>
    <row r="338" spans="1:2" x14ac:dyDescent="0.2">
      <c r="A338">
        <v>377</v>
      </c>
      <c r="B338">
        <v>3</v>
      </c>
    </row>
    <row r="339" spans="1:2" x14ac:dyDescent="0.2">
      <c r="A339">
        <v>378</v>
      </c>
      <c r="B339">
        <v>1</v>
      </c>
    </row>
    <row r="340" spans="1:2" x14ac:dyDescent="0.2">
      <c r="A340">
        <v>379</v>
      </c>
      <c r="B340">
        <v>1</v>
      </c>
    </row>
    <row r="341" spans="1:2" x14ac:dyDescent="0.2">
      <c r="A341">
        <v>380</v>
      </c>
      <c r="B341">
        <v>5</v>
      </c>
    </row>
    <row r="342" spans="1:2" x14ac:dyDescent="0.2">
      <c r="A342">
        <v>381</v>
      </c>
      <c r="B342">
        <v>2</v>
      </c>
    </row>
    <row r="343" spans="1:2" x14ac:dyDescent="0.2">
      <c r="A343">
        <v>382</v>
      </c>
      <c r="B343">
        <v>3</v>
      </c>
    </row>
    <row r="344" spans="1:2" x14ac:dyDescent="0.2">
      <c r="A344">
        <v>383</v>
      </c>
      <c r="B344">
        <v>1</v>
      </c>
    </row>
    <row r="345" spans="1:2" x14ac:dyDescent="0.2">
      <c r="A345">
        <v>384</v>
      </c>
      <c r="B345">
        <v>3</v>
      </c>
    </row>
    <row r="346" spans="1:2" x14ac:dyDescent="0.2">
      <c r="A346">
        <v>385</v>
      </c>
      <c r="B346">
        <v>2</v>
      </c>
    </row>
    <row r="347" spans="1:2" x14ac:dyDescent="0.2">
      <c r="A347">
        <v>386</v>
      </c>
      <c r="B347">
        <v>4</v>
      </c>
    </row>
    <row r="348" spans="1:2" x14ac:dyDescent="0.2">
      <c r="A348">
        <v>387</v>
      </c>
      <c r="B348">
        <v>1</v>
      </c>
    </row>
    <row r="349" spans="1:2" x14ac:dyDescent="0.2">
      <c r="A349">
        <v>388</v>
      </c>
      <c r="B349">
        <v>1</v>
      </c>
    </row>
    <row r="350" spans="1:2" x14ac:dyDescent="0.2">
      <c r="A350">
        <v>390</v>
      </c>
      <c r="B350">
        <v>1</v>
      </c>
    </row>
    <row r="351" spans="1:2" x14ac:dyDescent="0.2">
      <c r="A351">
        <v>391</v>
      </c>
      <c r="B351">
        <v>5</v>
      </c>
    </row>
    <row r="352" spans="1:2" x14ac:dyDescent="0.2">
      <c r="A352">
        <v>392</v>
      </c>
      <c r="B352">
        <v>1</v>
      </c>
    </row>
    <row r="353" spans="1:2" x14ac:dyDescent="0.2">
      <c r="A353">
        <v>393</v>
      </c>
      <c r="B353">
        <v>3</v>
      </c>
    </row>
    <row r="354" spans="1:2" x14ac:dyDescent="0.2">
      <c r="A354">
        <v>394</v>
      </c>
      <c r="B354">
        <v>3</v>
      </c>
    </row>
    <row r="355" spans="1:2" x14ac:dyDescent="0.2">
      <c r="A355">
        <v>396</v>
      </c>
      <c r="B355">
        <v>1</v>
      </c>
    </row>
    <row r="356" spans="1:2" x14ac:dyDescent="0.2">
      <c r="A356">
        <v>397</v>
      </c>
      <c r="B356">
        <v>1</v>
      </c>
    </row>
    <row r="357" spans="1:2" x14ac:dyDescent="0.2">
      <c r="A357">
        <v>400</v>
      </c>
      <c r="B357">
        <v>6</v>
      </c>
    </row>
    <row r="358" spans="1:2" x14ac:dyDescent="0.2">
      <c r="A358">
        <v>401</v>
      </c>
      <c r="B358">
        <v>6</v>
      </c>
    </row>
    <row r="359" spans="1:2" x14ac:dyDescent="0.2">
      <c r="A359">
        <v>402</v>
      </c>
      <c r="B359">
        <v>1</v>
      </c>
    </row>
    <row r="360" spans="1:2" x14ac:dyDescent="0.2">
      <c r="A360">
        <v>403</v>
      </c>
      <c r="B360">
        <v>4</v>
      </c>
    </row>
    <row r="361" spans="1:2" x14ac:dyDescent="0.2">
      <c r="A361">
        <v>404</v>
      </c>
      <c r="B361">
        <v>2</v>
      </c>
    </row>
    <row r="362" spans="1:2" x14ac:dyDescent="0.2">
      <c r="A362">
        <v>405</v>
      </c>
      <c r="B362">
        <v>1</v>
      </c>
    </row>
    <row r="363" spans="1:2" x14ac:dyDescent="0.2">
      <c r="A363">
        <v>406</v>
      </c>
      <c r="B363">
        <v>2</v>
      </c>
    </row>
    <row r="364" spans="1:2" x14ac:dyDescent="0.2">
      <c r="A364">
        <v>407</v>
      </c>
      <c r="B364">
        <v>3</v>
      </c>
    </row>
    <row r="365" spans="1:2" x14ac:dyDescent="0.2">
      <c r="A365">
        <v>409</v>
      </c>
      <c r="B365">
        <v>1</v>
      </c>
    </row>
    <row r="366" spans="1:2" x14ac:dyDescent="0.2">
      <c r="A366">
        <v>410</v>
      </c>
      <c r="B366">
        <v>3</v>
      </c>
    </row>
    <row r="367" spans="1:2" x14ac:dyDescent="0.2">
      <c r="A367">
        <v>411</v>
      </c>
      <c r="B367">
        <v>1</v>
      </c>
    </row>
    <row r="368" spans="1:2" x14ac:dyDescent="0.2">
      <c r="A368">
        <v>412</v>
      </c>
      <c r="B368">
        <v>3</v>
      </c>
    </row>
    <row r="369" spans="1:2" x14ac:dyDescent="0.2">
      <c r="A369">
        <v>413</v>
      </c>
      <c r="B369">
        <v>1</v>
      </c>
    </row>
    <row r="370" spans="1:2" x14ac:dyDescent="0.2">
      <c r="A370">
        <v>414</v>
      </c>
      <c r="B370">
        <v>2</v>
      </c>
    </row>
    <row r="371" spans="1:2" x14ac:dyDescent="0.2">
      <c r="A371">
        <v>415</v>
      </c>
      <c r="B371">
        <v>1</v>
      </c>
    </row>
    <row r="372" spans="1:2" x14ac:dyDescent="0.2">
      <c r="A372">
        <v>416</v>
      </c>
      <c r="B372">
        <v>1</v>
      </c>
    </row>
    <row r="373" spans="1:2" x14ac:dyDescent="0.2">
      <c r="A373">
        <v>417</v>
      </c>
      <c r="B373">
        <v>5</v>
      </c>
    </row>
    <row r="374" spans="1:2" x14ac:dyDescent="0.2">
      <c r="A374">
        <v>418</v>
      </c>
      <c r="B374">
        <v>1</v>
      </c>
    </row>
    <row r="375" spans="1:2" x14ac:dyDescent="0.2">
      <c r="A375">
        <v>419</v>
      </c>
      <c r="B375">
        <v>2</v>
      </c>
    </row>
    <row r="376" spans="1:2" x14ac:dyDescent="0.2">
      <c r="A376">
        <v>421</v>
      </c>
      <c r="B376">
        <v>2</v>
      </c>
    </row>
    <row r="377" spans="1:2" x14ac:dyDescent="0.2">
      <c r="A377">
        <v>422</v>
      </c>
      <c r="B377">
        <v>2</v>
      </c>
    </row>
    <row r="378" spans="1:2" x14ac:dyDescent="0.2">
      <c r="A378">
        <v>423</v>
      </c>
      <c r="B378">
        <v>2</v>
      </c>
    </row>
    <row r="379" spans="1:2" x14ac:dyDescent="0.2">
      <c r="A379">
        <v>424</v>
      </c>
      <c r="B379">
        <v>1</v>
      </c>
    </row>
    <row r="380" spans="1:2" x14ac:dyDescent="0.2">
      <c r="A380">
        <v>425</v>
      </c>
      <c r="B380">
        <v>4</v>
      </c>
    </row>
    <row r="381" spans="1:2" x14ac:dyDescent="0.2">
      <c r="A381">
        <v>426</v>
      </c>
      <c r="B381">
        <v>2</v>
      </c>
    </row>
    <row r="382" spans="1:2" x14ac:dyDescent="0.2">
      <c r="A382">
        <v>427</v>
      </c>
      <c r="B382">
        <v>1</v>
      </c>
    </row>
    <row r="383" spans="1:2" x14ac:dyDescent="0.2">
      <c r="A383">
        <v>428</v>
      </c>
      <c r="B383">
        <v>1</v>
      </c>
    </row>
    <row r="384" spans="1:2" x14ac:dyDescent="0.2">
      <c r="A384">
        <v>429</v>
      </c>
      <c r="B384">
        <v>1</v>
      </c>
    </row>
    <row r="385" spans="1:2" x14ac:dyDescent="0.2">
      <c r="A385">
        <v>430</v>
      </c>
      <c r="B385">
        <v>4</v>
      </c>
    </row>
    <row r="386" spans="1:2" x14ac:dyDescent="0.2">
      <c r="A386">
        <v>431</v>
      </c>
      <c r="B386">
        <v>5</v>
      </c>
    </row>
    <row r="387" spans="1:2" x14ac:dyDescent="0.2">
      <c r="A387">
        <v>432</v>
      </c>
      <c r="B387">
        <v>2</v>
      </c>
    </row>
    <row r="388" spans="1:2" x14ac:dyDescent="0.2">
      <c r="A388">
        <v>433</v>
      </c>
      <c r="B388">
        <v>1</v>
      </c>
    </row>
    <row r="389" spans="1:2" x14ac:dyDescent="0.2">
      <c r="A389">
        <v>434</v>
      </c>
      <c r="B389">
        <v>7</v>
      </c>
    </row>
    <row r="390" spans="1:2" x14ac:dyDescent="0.2">
      <c r="A390">
        <v>435</v>
      </c>
      <c r="B390">
        <v>1</v>
      </c>
    </row>
    <row r="391" spans="1:2" x14ac:dyDescent="0.2">
      <c r="A391">
        <v>436</v>
      </c>
      <c r="B391">
        <v>2</v>
      </c>
    </row>
    <row r="392" spans="1:2" x14ac:dyDescent="0.2">
      <c r="A392">
        <v>438</v>
      </c>
      <c r="B392">
        <v>2</v>
      </c>
    </row>
    <row r="393" spans="1:2" x14ac:dyDescent="0.2">
      <c r="A393">
        <v>440</v>
      </c>
      <c r="B393">
        <v>1</v>
      </c>
    </row>
    <row r="394" spans="1:2" x14ac:dyDescent="0.2">
      <c r="A394">
        <v>441</v>
      </c>
      <c r="B394">
        <v>1</v>
      </c>
    </row>
    <row r="395" spans="1:2" x14ac:dyDescent="0.2">
      <c r="A395">
        <v>442</v>
      </c>
      <c r="B395">
        <v>2</v>
      </c>
    </row>
    <row r="396" spans="1:2" x14ac:dyDescent="0.2">
      <c r="A396">
        <v>443</v>
      </c>
      <c r="B396">
        <v>3</v>
      </c>
    </row>
    <row r="397" spans="1:2" x14ac:dyDescent="0.2">
      <c r="A397">
        <v>444</v>
      </c>
      <c r="B397">
        <v>1</v>
      </c>
    </row>
    <row r="398" spans="1:2" x14ac:dyDescent="0.2">
      <c r="A398">
        <v>445</v>
      </c>
      <c r="B398">
        <v>4</v>
      </c>
    </row>
    <row r="399" spans="1:2" x14ac:dyDescent="0.2">
      <c r="A399">
        <v>446</v>
      </c>
      <c r="B399">
        <v>3</v>
      </c>
    </row>
    <row r="400" spans="1:2" x14ac:dyDescent="0.2">
      <c r="A400">
        <v>447</v>
      </c>
      <c r="B400">
        <v>3</v>
      </c>
    </row>
    <row r="401" spans="1:2" x14ac:dyDescent="0.2">
      <c r="A401">
        <v>448</v>
      </c>
      <c r="B401">
        <v>1</v>
      </c>
    </row>
    <row r="402" spans="1:2" x14ac:dyDescent="0.2">
      <c r="A402">
        <v>449</v>
      </c>
      <c r="B402">
        <v>1</v>
      </c>
    </row>
    <row r="403" spans="1:2" x14ac:dyDescent="0.2">
      <c r="A403">
        <v>450</v>
      </c>
      <c r="B403">
        <v>2</v>
      </c>
    </row>
    <row r="404" spans="1:2" x14ac:dyDescent="0.2">
      <c r="A404">
        <v>451</v>
      </c>
      <c r="B404">
        <v>2</v>
      </c>
    </row>
    <row r="405" spans="1:2" x14ac:dyDescent="0.2">
      <c r="A405">
        <v>452</v>
      </c>
      <c r="B405">
        <v>1</v>
      </c>
    </row>
    <row r="406" spans="1:2" x14ac:dyDescent="0.2">
      <c r="A406">
        <v>453</v>
      </c>
      <c r="B406">
        <v>1</v>
      </c>
    </row>
    <row r="407" spans="1:2" x14ac:dyDescent="0.2">
      <c r="A407">
        <v>455</v>
      </c>
      <c r="B407">
        <v>1</v>
      </c>
    </row>
    <row r="408" spans="1:2" x14ac:dyDescent="0.2">
      <c r="A408">
        <v>456</v>
      </c>
      <c r="B408">
        <v>4</v>
      </c>
    </row>
    <row r="409" spans="1:2" x14ac:dyDescent="0.2">
      <c r="A409">
        <v>457</v>
      </c>
      <c r="B409">
        <v>3</v>
      </c>
    </row>
    <row r="410" spans="1:2" x14ac:dyDescent="0.2">
      <c r="A410">
        <v>458</v>
      </c>
      <c r="B410">
        <v>3</v>
      </c>
    </row>
    <row r="411" spans="1:2" x14ac:dyDescent="0.2">
      <c r="A411">
        <v>459</v>
      </c>
      <c r="B411">
        <v>1</v>
      </c>
    </row>
    <row r="412" spans="1:2" x14ac:dyDescent="0.2">
      <c r="A412">
        <v>461</v>
      </c>
      <c r="B412">
        <v>5</v>
      </c>
    </row>
    <row r="413" spans="1:2" x14ac:dyDescent="0.2">
      <c r="A413">
        <v>462</v>
      </c>
      <c r="B413">
        <v>2</v>
      </c>
    </row>
    <row r="414" spans="1:2" x14ac:dyDescent="0.2">
      <c r="A414">
        <v>463</v>
      </c>
      <c r="B414">
        <v>2</v>
      </c>
    </row>
    <row r="415" spans="1:2" x14ac:dyDescent="0.2">
      <c r="A415">
        <v>464</v>
      </c>
      <c r="B415">
        <v>1</v>
      </c>
    </row>
    <row r="416" spans="1:2" x14ac:dyDescent="0.2">
      <c r="A416">
        <v>465</v>
      </c>
      <c r="B416">
        <v>2</v>
      </c>
    </row>
    <row r="417" spans="1:2" x14ac:dyDescent="0.2">
      <c r="A417">
        <v>466</v>
      </c>
      <c r="B417">
        <v>1</v>
      </c>
    </row>
    <row r="418" spans="1:2" x14ac:dyDescent="0.2">
      <c r="A418">
        <v>467</v>
      </c>
      <c r="B418">
        <v>1</v>
      </c>
    </row>
    <row r="419" spans="1:2" x14ac:dyDescent="0.2">
      <c r="A419">
        <v>468</v>
      </c>
      <c r="B419">
        <v>3</v>
      </c>
    </row>
    <row r="420" spans="1:2" x14ac:dyDescent="0.2">
      <c r="A420">
        <v>469</v>
      </c>
      <c r="B420">
        <v>1</v>
      </c>
    </row>
    <row r="421" spans="1:2" x14ac:dyDescent="0.2">
      <c r="A421">
        <v>470</v>
      </c>
      <c r="B421">
        <v>3</v>
      </c>
    </row>
    <row r="422" spans="1:2" x14ac:dyDescent="0.2">
      <c r="A422">
        <v>472</v>
      </c>
      <c r="B422">
        <v>3</v>
      </c>
    </row>
    <row r="423" spans="1:2" x14ac:dyDescent="0.2">
      <c r="A423">
        <v>473</v>
      </c>
      <c r="B423">
        <v>2</v>
      </c>
    </row>
    <row r="424" spans="1:2" x14ac:dyDescent="0.2">
      <c r="A424">
        <v>474</v>
      </c>
      <c r="B424">
        <v>3</v>
      </c>
    </row>
    <row r="425" spans="1:2" x14ac:dyDescent="0.2">
      <c r="A425">
        <v>475</v>
      </c>
      <c r="B425">
        <v>2</v>
      </c>
    </row>
    <row r="426" spans="1:2" x14ac:dyDescent="0.2">
      <c r="A426">
        <v>476</v>
      </c>
      <c r="B426">
        <v>2</v>
      </c>
    </row>
    <row r="427" spans="1:2" x14ac:dyDescent="0.2">
      <c r="A427">
        <v>477</v>
      </c>
      <c r="B427">
        <v>2</v>
      </c>
    </row>
    <row r="428" spans="1:2" x14ac:dyDescent="0.2">
      <c r="A428">
        <v>479</v>
      </c>
      <c r="B428">
        <v>1</v>
      </c>
    </row>
    <row r="429" spans="1:2" x14ac:dyDescent="0.2">
      <c r="A429">
        <v>480</v>
      </c>
      <c r="B429">
        <v>3</v>
      </c>
    </row>
    <row r="430" spans="1:2" x14ac:dyDescent="0.2">
      <c r="A430">
        <v>481</v>
      </c>
      <c r="B430">
        <v>1</v>
      </c>
    </row>
    <row r="431" spans="1:2" x14ac:dyDescent="0.2">
      <c r="A431">
        <v>482</v>
      </c>
      <c r="B431">
        <v>3</v>
      </c>
    </row>
    <row r="432" spans="1:2" x14ac:dyDescent="0.2">
      <c r="A432">
        <v>483</v>
      </c>
      <c r="B432">
        <v>1</v>
      </c>
    </row>
    <row r="433" spans="1:2" x14ac:dyDescent="0.2">
      <c r="A433">
        <v>484</v>
      </c>
      <c r="B433">
        <v>3</v>
      </c>
    </row>
    <row r="434" spans="1:2" x14ac:dyDescent="0.2">
      <c r="A434">
        <v>485</v>
      </c>
      <c r="B434">
        <v>4</v>
      </c>
    </row>
    <row r="435" spans="1:2" x14ac:dyDescent="0.2">
      <c r="A435">
        <v>488</v>
      </c>
      <c r="B435">
        <v>3</v>
      </c>
    </row>
    <row r="436" spans="1:2" x14ac:dyDescent="0.2">
      <c r="A436">
        <v>489</v>
      </c>
      <c r="B436">
        <v>2</v>
      </c>
    </row>
    <row r="437" spans="1:2" x14ac:dyDescent="0.2">
      <c r="A437">
        <v>490</v>
      </c>
      <c r="B437">
        <v>3</v>
      </c>
    </row>
    <row r="438" spans="1:2" x14ac:dyDescent="0.2">
      <c r="A438">
        <v>491</v>
      </c>
      <c r="B438">
        <v>5</v>
      </c>
    </row>
    <row r="439" spans="1:2" x14ac:dyDescent="0.2">
      <c r="A439">
        <v>493</v>
      </c>
      <c r="B439">
        <v>2</v>
      </c>
    </row>
    <row r="440" spans="1:2" x14ac:dyDescent="0.2">
      <c r="A440">
        <v>494</v>
      </c>
      <c r="B440">
        <v>3</v>
      </c>
    </row>
    <row r="441" spans="1:2" x14ac:dyDescent="0.2">
      <c r="A441">
        <v>496</v>
      </c>
      <c r="B441">
        <v>6</v>
      </c>
    </row>
    <row r="442" spans="1:2" x14ac:dyDescent="0.2">
      <c r="A442">
        <v>497</v>
      </c>
      <c r="B442">
        <v>1</v>
      </c>
    </row>
    <row r="443" spans="1:2" x14ac:dyDescent="0.2">
      <c r="A443">
        <v>499</v>
      </c>
      <c r="B443">
        <v>3</v>
      </c>
    </row>
    <row r="444" spans="1:2" x14ac:dyDescent="0.2">
      <c r="A444">
        <v>500</v>
      </c>
      <c r="B444">
        <v>3</v>
      </c>
    </row>
    <row r="445" spans="1:2" x14ac:dyDescent="0.2">
      <c r="A445">
        <v>6</v>
      </c>
      <c r="B445">
        <v>1</v>
      </c>
    </row>
    <row r="446" spans="1:2" x14ac:dyDescent="0.2">
      <c r="A446">
        <v>15</v>
      </c>
      <c r="B446">
        <v>1</v>
      </c>
    </row>
    <row r="447" spans="1:2" x14ac:dyDescent="0.2">
      <c r="A447">
        <v>18</v>
      </c>
      <c r="B447">
        <v>1</v>
      </c>
    </row>
    <row r="448" spans="1:2" x14ac:dyDescent="0.2">
      <c r="A448">
        <v>35</v>
      </c>
      <c r="B448">
        <v>1</v>
      </c>
    </row>
    <row r="449" spans="1:2" x14ac:dyDescent="0.2">
      <c r="A449">
        <v>51</v>
      </c>
      <c r="B449">
        <v>1</v>
      </c>
    </row>
    <row r="450" spans="1:2" x14ac:dyDescent="0.2">
      <c r="A450">
        <v>54</v>
      </c>
      <c r="B450">
        <v>1</v>
      </c>
    </row>
    <row r="451" spans="1:2" x14ac:dyDescent="0.2">
      <c r="A451">
        <v>57</v>
      </c>
      <c r="B451">
        <v>1</v>
      </c>
    </row>
    <row r="452" spans="1:2" x14ac:dyDescent="0.2">
      <c r="A452">
        <v>62</v>
      </c>
      <c r="B452">
        <v>1</v>
      </c>
    </row>
    <row r="453" spans="1:2" x14ac:dyDescent="0.2">
      <c r="A453">
        <v>74</v>
      </c>
      <c r="B453">
        <v>1</v>
      </c>
    </row>
    <row r="454" spans="1:2" x14ac:dyDescent="0.2">
      <c r="A454">
        <v>80</v>
      </c>
      <c r="B454">
        <v>1</v>
      </c>
    </row>
    <row r="455" spans="1:2" x14ac:dyDescent="0.2">
      <c r="A455">
        <v>85</v>
      </c>
      <c r="B455">
        <v>1</v>
      </c>
    </row>
    <row r="456" spans="1:2" x14ac:dyDescent="0.2">
      <c r="A456">
        <v>91</v>
      </c>
      <c r="B456">
        <v>1</v>
      </c>
    </row>
    <row r="457" spans="1:2" x14ac:dyDescent="0.2">
      <c r="A457">
        <v>98</v>
      </c>
      <c r="B457">
        <v>1</v>
      </c>
    </row>
    <row r="458" spans="1:2" x14ac:dyDescent="0.2">
      <c r="A458">
        <v>113</v>
      </c>
      <c r="B458">
        <v>1</v>
      </c>
    </row>
    <row r="459" spans="1:2" x14ac:dyDescent="0.2">
      <c r="A459">
        <v>128</v>
      </c>
      <c r="B459">
        <v>1</v>
      </c>
    </row>
    <row r="460" spans="1:2" x14ac:dyDescent="0.2">
      <c r="A460">
        <v>143</v>
      </c>
      <c r="B460">
        <v>1</v>
      </c>
    </row>
    <row r="461" spans="1:2" x14ac:dyDescent="0.2">
      <c r="A461">
        <v>148</v>
      </c>
      <c r="B461">
        <v>1</v>
      </c>
    </row>
    <row r="462" spans="1:2" x14ac:dyDescent="0.2">
      <c r="A462">
        <v>155</v>
      </c>
      <c r="B462">
        <v>1</v>
      </c>
    </row>
    <row r="463" spans="1:2" x14ac:dyDescent="0.2">
      <c r="A463">
        <v>215</v>
      </c>
      <c r="B463">
        <v>1</v>
      </c>
    </row>
    <row r="464" spans="1:2" x14ac:dyDescent="0.2">
      <c r="A464">
        <v>225</v>
      </c>
      <c r="B464">
        <v>1</v>
      </c>
    </row>
    <row r="465" spans="1:2" x14ac:dyDescent="0.2">
      <c r="A465">
        <v>234</v>
      </c>
      <c r="B465">
        <v>1</v>
      </c>
    </row>
    <row r="466" spans="1:2" x14ac:dyDescent="0.2">
      <c r="A466">
        <v>269</v>
      </c>
      <c r="B466">
        <v>1</v>
      </c>
    </row>
    <row r="467" spans="1:2" x14ac:dyDescent="0.2">
      <c r="A467">
        <v>272</v>
      </c>
      <c r="B467">
        <v>1</v>
      </c>
    </row>
    <row r="468" spans="1:2" x14ac:dyDescent="0.2">
      <c r="A468">
        <v>273</v>
      </c>
      <c r="B468">
        <v>1</v>
      </c>
    </row>
    <row r="469" spans="1:2" x14ac:dyDescent="0.2">
      <c r="A469">
        <v>279</v>
      </c>
      <c r="B469">
        <v>1</v>
      </c>
    </row>
    <row r="470" spans="1:2" x14ac:dyDescent="0.2">
      <c r="A470">
        <v>285</v>
      </c>
      <c r="B470">
        <v>1</v>
      </c>
    </row>
    <row r="471" spans="1:2" x14ac:dyDescent="0.2">
      <c r="A471">
        <v>287</v>
      </c>
      <c r="B471">
        <v>1</v>
      </c>
    </row>
    <row r="472" spans="1:2" x14ac:dyDescent="0.2">
      <c r="A472">
        <v>289</v>
      </c>
      <c r="B472">
        <v>1</v>
      </c>
    </row>
    <row r="473" spans="1:2" x14ac:dyDescent="0.2">
      <c r="A473">
        <v>292</v>
      </c>
      <c r="B473">
        <v>1</v>
      </c>
    </row>
    <row r="474" spans="1:2" x14ac:dyDescent="0.2">
      <c r="A474">
        <v>293</v>
      </c>
      <c r="B474">
        <v>1</v>
      </c>
    </row>
    <row r="475" spans="1:2" x14ac:dyDescent="0.2">
      <c r="A475">
        <v>298</v>
      </c>
      <c r="B475">
        <v>1</v>
      </c>
    </row>
    <row r="476" spans="1:2" x14ac:dyDescent="0.2">
      <c r="A476">
        <v>299</v>
      </c>
      <c r="B476">
        <v>1</v>
      </c>
    </row>
    <row r="477" spans="1:2" x14ac:dyDescent="0.2">
      <c r="A477">
        <v>302</v>
      </c>
      <c r="B477">
        <v>1</v>
      </c>
    </row>
    <row r="478" spans="1:2" x14ac:dyDescent="0.2">
      <c r="A478">
        <v>308</v>
      </c>
      <c r="B478">
        <v>1</v>
      </c>
    </row>
    <row r="479" spans="1:2" x14ac:dyDescent="0.2">
      <c r="A479">
        <v>314</v>
      </c>
      <c r="B479">
        <v>1</v>
      </c>
    </row>
    <row r="480" spans="1:2" x14ac:dyDescent="0.2">
      <c r="A480">
        <v>325</v>
      </c>
      <c r="B480">
        <v>1</v>
      </c>
    </row>
    <row r="481" spans="1:2" x14ac:dyDescent="0.2">
      <c r="A481">
        <v>326</v>
      </c>
      <c r="B481">
        <v>1</v>
      </c>
    </row>
    <row r="482" spans="1:2" x14ac:dyDescent="0.2">
      <c r="A482">
        <v>328</v>
      </c>
      <c r="B482">
        <v>1</v>
      </c>
    </row>
    <row r="483" spans="1:2" x14ac:dyDescent="0.2">
      <c r="A483">
        <v>342</v>
      </c>
      <c r="B483">
        <v>1</v>
      </c>
    </row>
    <row r="484" spans="1:2" x14ac:dyDescent="0.2">
      <c r="A484">
        <v>368</v>
      </c>
      <c r="B484">
        <v>1</v>
      </c>
    </row>
    <row r="485" spans="1:2" x14ac:dyDescent="0.2">
      <c r="A485">
        <v>389</v>
      </c>
      <c r="B485">
        <v>1</v>
      </c>
    </row>
    <row r="486" spans="1:2" x14ac:dyDescent="0.2">
      <c r="A486">
        <v>395</v>
      </c>
      <c r="B486">
        <v>1</v>
      </c>
    </row>
    <row r="487" spans="1:2" x14ac:dyDescent="0.2">
      <c r="A487">
        <v>398</v>
      </c>
      <c r="B487">
        <v>1</v>
      </c>
    </row>
    <row r="488" spans="1:2" x14ac:dyDescent="0.2">
      <c r="A488">
        <v>399</v>
      </c>
      <c r="B488">
        <v>1</v>
      </c>
    </row>
    <row r="489" spans="1:2" x14ac:dyDescent="0.2">
      <c r="A489">
        <v>408</v>
      </c>
      <c r="B489">
        <v>1</v>
      </c>
    </row>
    <row r="490" spans="1:2" x14ac:dyDescent="0.2">
      <c r="A490">
        <v>420</v>
      </c>
      <c r="B490">
        <v>1</v>
      </c>
    </row>
    <row r="491" spans="1:2" x14ac:dyDescent="0.2">
      <c r="A491">
        <v>437</v>
      </c>
      <c r="B491">
        <v>1</v>
      </c>
    </row>
    <row r="492" spans="1:2" x14ac:dyDescent="0.2">
      <c r="A492">
        <v>439</v>
      </c>
      <c r="B492">
        <v>1</v>
      </c>
    </row>
    <row r="493" spans="1:2" x14ac:dyDescent="0.2">
      <c r="A493">
        <v>454</v>
      </c>
      <c r="B493">
        <v>1</v>
      </c>
    </row>
    <row r="494" spans="1:2" x14ac:dyDescent="0.2">
      <c r="A494">
        <v>460</v>
      </c>
      <c r="B494">
        <v>1</v>
      </c>
    </row>
    <row r="495" spans="1:2" x14ac:dyDescent="0.2">
      <c r="A495">
        <v>471</v>
      </c>
      <c r="B495">
        <v>1</v>
      </c>
    </row>
    <row r="496" spans="1:2" x14ac:dyDescent="0.2">
      <c r="A496">
        <v>478</v>
      </c>
      <c r="B496">
        <v>1</v>
      </c>
    </row>
    <row r="497" spans="1:2" x14ac:dyDescent="0.2">
      <c r="A497">
        <v>486</v>
      </c>
      <c r="B497">
        <v>1</v>
      </c>
    </row>
    <row r="498" spans="1:2" x14ac:dyDescent="0.2">
      <c r="A498">
        <v>487</v>
      </c>
      <c r="B498">
        <v>1</v>
      </c>
    </row>
    <row r="499" spans="1:2" x14ac:dyDescent="0.2">
      <c r="A499">
        <v>492</v>
      </c>
      <c r="B499">
        <v>1</v>
      </c>
    </row>
    <row r="500" spans="1:2" x14ac:dyDescent="0.2">
      <c r="A500">
        <v>495</v>
      </c>
      <c r="B500">
        <v>1</v>
      </c>
    </row>
    <row r="501" spans="1:2" x14ac:dyDescent="0.2">
      <c r="A501">
        <v>498</v>
      </c>
      <c r="B501">
        <v>1</v>
      </c>
    </row>
  </sheetData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2A24A-ABF7-384B-A260-9AFA443BB715}">
  <sheetPr codeName="Sheet3"/>
  <dimension ref="A4:C7"/>
  <sheetViews>
    <sheetView workbookViewId="0">
      <selection activeCell="A21" sqref="A21"/>
    </sheetView>
  </sheetViews>
  <sheetFormatPr baseColWidth="10" defaultRowHeight="16" x14ac:dyDescent="0.2"/>
  <cols>
    <col min="1" max="1" width="26.1640625" customWidth="1"/>
    <col min="2" max="2" width="65.33203125" customWidth="1"/>
    <col min="3" max="3" width="72.1640625" customWidth="1"/>
  </cols>
  <sheetData>
    <row r="4" spans="1:3" x14ac:dyDescent="0.2">
      <c r="A4" t="s">
        <v>14</v>
      </c>
      <c r="B4" t="s">
        <v>15</v>
      </c>
      <c r="C4" t="s">
        <v>16</v>
      </c>
    </row>
    <row r="5" spans="1:3" x14ac:dyDescent="0.2">
      <c r="A5" s="6" t="s">
        <v>12</v>
      </c>
      <c r="B5" s="6" t="s">
        <v>13</v>
      </c>
      <c r="C5" s="6" t="s">
        <v>30</v>
      </c>
    </row>
    <row r="6" spans="1:3" x14ac:dyDescent="0.2">
      <c r="A6" t="s">
        <v>23</v>
      </c>
      <c r="B6">
        <v>500</v>
      </c>
      <c r="C6" t="s">
        <v>24</v>
      </c>
    </row>
    <row r="7" spans="1:3" x14ac:dyDescent="0.2">
      <c r="A7" t="s">
        <v>25</v>
      </c>
      <c r="B7">
        <v>10000000</v>
      </c>
      <c r="C7" t="s">
        <v>26</v>
      </c>
    </row>
  </sheetData>
  <dataValidations count="1">
    <dataValidation type="decimal" operator="greaterThan" allowBlank="1" showInputMessage="1" showErrorMessage="1" sqref="B7" xr:uid="{D63AF2E0-E563-FD4E-ABFA-E3D07213A7AA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830F-114F-0F40-B156-4A7F1EF74B0D}">
  <sheetPr codeName="Sheet2"/>
  <dimension ref="A1:I1005"/>
  <sheetViews>
    <sheetView workbookViewId="0">
      <selection activeCell="B4" sqref="B4"/>
    </sheetView>
  </sheetViews>
  <sheetFormatPr baseColWidth="10" defaultRowHeight="16" x14ac:dyDescent="0.2"/>
  <cols>
    <col min="1" max="1" width="10.5" customWidth="1"/>
    <col min="2" max="2" width="16.83203125" bestFit="1" customWidth="1"/>
    <col min="3" max="3" width="12.6640625" customWidth="1"/>
    <col min="4" max="4" width="25.6640625" customWidth="1"/>
    <col min="5" max="5" width="22.5" customWidth="1"/>
    <col min="6" max="6" width="19.5" customWidth="1"/>
    <col min="7" max="7" width="17.83203125" customWidth="1"/>
    <col min="8" max="8" width="10.5" customWidth="1"/>
    <col min="9" max="9" width="12.6640625" customWidth="1"/>
    <col min="10" max="10" width="22.5" customWidth="1"/>
    <col min="11" max="12" width="19.5" bestFit="1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29</v>
      </c>
      <c r="E1" t="s">
        <v>27</v>
      </c>
      <c r="F1" t="s">
        <v>28</v>
      </c>
    </row>
    <row r="2" spans="1:6" x14ac:dyDescent="0.2">
      <c r="A2">
        <v>1</v>
      </c>
      <c r="B2" t="s">
        <v>136</v>
      </c>
      <c r="C2" s="1">
        <v>45413</v>
      </c>
      <c r="D2" t="s">
        <v>136</v>
      </c>
      <c r="E2">
        <v>2625.9325917811502</v>
      </c>
      <c r="F2">
        <v>2625.9325917811502</v>
      </c>
    </row>
    <row r="3" spans="1:6" x14ac:dyDescent="0.2">
      <c r="A3">
        <v>2</v>
      </c>
      <c r="B3" t="s">
        <v>362</v>
      </c>
      <c r="C3" s="1">
        <v>45539</v>
      </c>
      <c r="D3" t="s">
        <v>362</v>
      </c>
      <c r="E3">
        <v>2887.7943747948898</v>
      </c>
      <c r="F3">
        <v>2887.7943747948898</v>
      </c>
    </row>
    <row r="4" spans="1:6" x14ac:dyDescent="0.2">
      <c r="A4">
        <v>2</v>
      </c>
      <c r="B4" t="s">
        <v>363</v>
      </c>
      <c r="C4" s="1">
        <v>45580</v>
      </c>
      <c r="D4" t="s">
        <v>363</v>
      </c>
      <c r="E4">
        <v>10630.579032738</v>
      </c>
      <c r="F4">
        <v>10630.579032738</v>
      </c>
    </row>
    <row r="5" spans="1:6" x14ac:dyDescent="0.2">
      <c r="A5">
        <v>2</v>
      </c>
      <c r="B5" t="s">
        <v>137</v>
      </c>
      <c r="C5" s="1">
        <v>45339</v>
      </c>
      <c r="D5" t="s">
        <v>137</v>
      </c>
      <c r="E5">
        <v>980214.11692234699</v>
      </c>
      <c r="F5">
        <v>980214.11692234699</v>
      </c>
    </row>
    <row r="6" spans="1:6" x14ac:dyDescent="0.2">
      <c r="A6">
        <v>3</v>
      </c>
      <c r="B6" t="s">
        <v>364</v>
      </c>
      <c r="C6" s="1">
        <v>45592</v>
      </c>
      <c r="D6" t="s">
        <v>364</v>
      </c>
      <c r="E6">
        <v>3663.6466563631502</v>
      </c>
      <c r="F6">
        <v>3663.6466563631502</v>
      </c>
    </row>
    <row r="7" spans="1:6" x14ac:dyDescent="0.2">
      <c r="A7">
        <v>3</v>
      </c>
      <c r="B7" t="s">
        <v>365</v>
      </c>
      <c r="C7" s="1">
        <v>45301</v>
      </c>
      <c r="D7" t="s">
        <v>365</v>
      </c>
      <c r="E7">
        <v>472.53185518867201</v>
      </c>
      <c r="F7">
        <v>472.53185518867201</v>
      </c>
    </row>
    <row r="8" spans="1:6" x14ac:dyDescent="0.2">
      <c r="A8">
        <v>4</v>
      </c>
      <c r="B8" t="s">
        <v>366</v>
      </c>
      <c r="C8" s="1">
        <v>45428</v>
      </c>
      <c r="D8" t="s">
        <v>366</v>
      </c>
      <c r="E8">
        <v>119412.137120688</v>
      </c>
      <c r="F8">
        <v>119412.137120688</v>
      </c>
    </row>
    <row r="9" spans="1:6" x14ac:dyDescent="0.2">
      <c r="A9">
        <v>4</v>
      </c>
      <c r="B9" t="s">
        <v>367</v>
      </c>
      <c r="C9" s="1">
        <v>45600</v>
      </c>
      <c r="D9" t="s">
        <v>367</v>
      </c>
      <c r="E9">
        <v>2869.7991928779702</v>
      </c>
      <c r="F9">
        <v>2869.7991928779702</v>
      </c>
    </row>
    <row r="10" spans="1:6" x14ac:dyDescent="0.2">
      <c r="A10">
        <v>4</v>
      </c>
      <c r="B10" t="s">
        <v>368</v>
      </c>
      <c r="C10" s="1">
        <v>45399</v>
      </c>
      <c r="D10" t="s">
        <v>368</v>
      </c>
      <c r="E10">
        <v>38.622260015601199</v>
      </c>
      <c r="F10">
        <v>38.622260015601199</v>
      </c>
    </row>
    <row r="11" spans="1:6" x14ac:dyDescent="0.2">
      <c r="A11">
        <v>4</v>
      </c>
      <c r="B11" t="s">
        <v>369</v>
      </c>
      <c r="C11" s="1">
        <v>45299</v>
      </c>
      <c r="D11" t="s">
        <v>369</v>
      </c>
      <c r="E11">
        <v>32690.024828362999</v>
      </c>
      <c r="F11">
        <v>32690.024828362999</v>
      </c>
    </row>
    <row r="12" spans="1:6" x14ac:dyDescent="0.2">
      <c r="A12">
        <v>5</v>
      </c>
      <c r="B12" t="s">
        <v>370</v>
      </c>
      <c r="C12" s="1">
        <v>45558</v>
      </c>
      <c r="D12" t="s">
        <v>370</v>
      </c>
      <c r="E12">
        <v>5434.63210348552</v>
      </c>
      <c r="F12">
        <v>5434.63210348552</v>
      </c>
    </row>
    <row r="13" spans="1:6" x14ac:dyDescent="0.2">
      <c r="A13">
        <v>5</v>
      </c>
      <c r="B13" t="s">
        <v>371</v>
      </c>
      <c r="C13" s="1">
        <v>45553</v>
      </c>
      <c r="D13" t="s">
        <v>371</v>
      </c>
      <c r="E13">
        <v>41.696525889306798</v>
      </c>
      <c r="F13">
        <v>41.696525889306798</v>
      </c>
    </row>
    <row r="14" spans="1:6" x14ac:dyDescent="0.2">
      <c r="A14">
        <v>5</v>
      </c>
      <c r="B14" t="s">
        <v>372</v>
      </c>
      <c r="C14" s="1">
        <v>45515</v>
      </c>
      <c r="D14" t="s">
        <v>372</v>
      </c>
      <c r="E14">
        <v>2524.1519092993499</v>
      </c>
      <c r="F14">
        <v>2524.1519092993499</v>
      </c>
    </row>
    <row r="15" spans="1:6" x14ac:dyDescent="0.2">
      <c r="A15">
        <v>5</v>
      </c>
      <c r="B15" t="s">
        <v>373</v>
      </c>
      <c r="C15" s="1">
        <v>45495</v>
      </c>
      <c r="D15" t="s">
        <v>373</v>
      </c>
      <c r="E15">
        <v>10589.5364924565</v>
      </c>
      <c r="F15">
        <v>10589.5364924565</v>
      </c>
    </row>
    <row r="16" spans="1:6" x14ac:dyDescent="0.2">
      <c r="A16">
        <v>7</v>
      </c>
      <c r="B16" t="s">
        <v>138</v>
      </c>
      <c r="C16" s="1">
        <v>45446</v>
      </c>
      <c r="D16" t="s">
        <v>138</v>
      </c>
      <c r="E16">
        <v>1799739.63958046</v>
      </c>
      <c r="F16">
        <v>1799739.63958046</v>
      </c>
    </row>
    <row r="17" spans="1:6" x14ac:dyDescent="0.2">
      <c r="A17">
        <v>7</v>
      </c>
      <c r="B17" t="s">
        <v>139</v>
      </c>
      <c r="C17" s="1">
        <v>45410</v>
      </c>
      <c r="D17" t="s">
        <v>139</v>
      </c>
      <c r="E17">
        <v>192146.959661103</v>
      </c>
      <c r="F17">
        <v>192146.959661103</v>
      </c>
    </row>
    <row r="18" spans="1:6" x14ac:dyDescent="0.2">
      <c r="A18">
        <v>8</v>
      </c>
      <c r="B18" t="s">
        <v>374</v>
      </c>
      <c r="C18" s="1">
        <v>45346</v>
      </c>
      <c r="D18" t="s">
        <v>374</v>
      </c>
      <c r="E18">
        <v>13689.824525460001</v>
      </c>
      <c r="F18">
        <v>13689.824525460001</v>
      </c>
    </row>
    <row r="19" spans="1:6" x14ac:dyDescent="0.2">
      <c r="A19">
        <v>8</v>
      </c>
      <c r="B19" t="s">
        <v>375</v>
      </c>
      <c r="C19" s="1">
        <v>45531</v>
      </c>
      <c r="D19" t="s">
        <v>375</v>
      </c>
      <c r="E19">
        <v>10134.0217423719</v>
      </c>
      <c r="F19">
        <v>10134.0217423719</v>
      </c>
    </row>
    <row r="20" spans="1:6" x14ac:dyDescent="0.2">
      <c r="A20">
        <v>8</v>
      </c>
      <c r="B20" t="s">
        <v>376</v>
      </c>
      <c r="C20" s="1">
        <v>45411</v>
      </c>
      <c r="D20" t="s">
        <v>376</v>
      </c>
      <c r="E20">
        <v>29275.3251430005</v>
      </c>
      <c r="F20">
        <v>29275.3251430005</v>
      </c>
    </row>
    <row r="21" spans="1:6" x14ac:dyDescent="0.2">
      <c r="A21">
        <v>8</v>
      </c>
      <c r="B21" t="s">
        <v>377</v>
      </c>
      <c r="C21" s="1">
        <v>45641</v>
      </c>
      <c r="D21" t="s">
        <v>377</v>
      </c>
      <c r="E21">
        <v>8725.6736082844</v>
      </c>
      <c r="F21">
        <v>8725.6736082844</v>
      </c>
    </row>
    <row r="22" spans="1:6" x14ac:dyDescent="0.2">
      <c r="A22">
        <v>9</v>
      </c>
      <c r="B22" t="s">
        <v>378</v>
      </c>
      <c r="C22" s="1">
        <v>45391</v>
      </c>
      <c r="D22" t="s">
        <v>378</v>
      </c>
      <c r="E22">
        <v>3652.0543511135702</v>
      </c>
      <c r="F22">
        <v>3652.0543511135702</v>
      </c>
    </row>
    <row r="23" spans="1:6" x14ac:dyDescent="0.2">
      <c r="A23">
        <v>9</v>
      </c>
      <c r="B23" t="s">
        <v>379</v>
      </c>
      <c r="C23" s="1">
        <v>45396</v>
      </c>
      <c r="D23" t="s">
        <v>379</v>
      </c>
      <c r="E23">
        <v>11549.9170388436</v>
      </c>
      <c r="F23">
        <v>11549.9170388436</v>
      </c>
    </row>
    <row r="24" spans="1:6" x14ac:dyDescent="0.2">
      <c r="A24">
        <v>10</v>
      </c>
      <c r="B24" t="s">
        <v>140</v>
      </c>
      <c r="C24" s="1">
        <v>45569</v>
      </c>
      <c r="D24" t="s">
        <v>140</v>
      </c>
      <c r="E24">
        <v>1112965.35026139</v>
      </c>
      <c r="F24">
        <v>1112965.35026139</v>
      </c>
    </row>
    <row r="25" spans="1:6" x14ac:dyDescent="0.2">
      <c r="A25">
        <v>10</v>
      </c>
      <c r="B25" t="s">
        <v>183</v>
      </c>
      <c r="C25" s="1">
        <v>45532</v>
      </c>
      <c r="D25" t="s">
        <v>183</v>
      </c>
      <c r="E25">
        <v>4200.0380476704104</v>
      </c>
      <c r="F25">
        <v>4200.0380476704104</v>
      </c>
    </row>
    <row r="26" spans="1:6" x14ac:dyDescent="0.2">
      <c r="A26">
        <v>11</v>
      </c>
      <c r="B26" t="s">
        <v>380</v>
      </c>
      <c r="C26" s="1">
        <v>45310</v>
      </c>
      <c r="D26" t="s">
        <v>380</v>
      </c>
      <c r="E26">
        <v>116468.130217816</v>
      </c>
      <c r="F26">
        <v>116468.130217816</v>
      </c>
    </row>
    <row r="27" spans="1:6" x14ac:dyDescent="0.2">
      <c r="A27">
        <v>11</v>
      </c>
      <c r="B27" t="s">
        <v>381</v>
      </c>
      <c r="C27" s="1">
        <v>45491</v>
      </c>
      <c r="D27" t="s">
        <v>381</v>
      </c>
      <c r="E27">
        <v>2944.5360515431198</v>
      </c>
      <c r="F27">
        <v>2944.5360515431198</v>
      </c>
    </row>
    <row r="28" spans="1:6" x14ac:dyDescent="0.2">
      <c r="A28">
        <v>11</v>
      </c>
      <c r="B28" t="s">
        <v>382</v>
      </c>
      <c r="C28" s="1">
        <v>45450</v>
      </c>
      <c r="D28" t="s">
        <v>382</v>
      </c>
      <c r="E28">
        <v>367.920483005086</v>
      </c>
      <c r="F28">
        <v>367.920483005086</v>
      </c>
    </row>
    <row r="29" spans="1:6" x14ac:dyDescent="0.2">
      <c r="A29">
        <v>11</v>
      </c>
      <c r="B29" t="s">
        <v>383</v>
      </c>
      <c r="C29" s="1">
        <v>45328</v>
      </c>
      <c r="D29" t="s">
        <v>383</v>
      </c>
      <c r="E29">
        <v>29510.444092180998</v>
      </c>
      <c r="F29">
        <v>29510.444092180998</v>
      </c>
    </row>
    <row r="30" spans="1:6" x14ac:dyDescent="0.2">
      <c r="A30">
        <v>11</v>
      </c>
      <c r="B30" t="s">
        <v>384</v>
      </c>
      <c r="C30" s="1">
        <v>45394</v>
      </c>
      <c r="D30" t="s">
        <v>384</v>
      </c>
      <c r="E30">
        <v>15164.6479537058</v>
      </c>
      <c r="F30">
        <v>15164.6479537058</v>
      </c>
    </row>
    <row r="31" spans="1:6" x14ac:dyDescent="0.2">
      <c r="A31">
        <v>12</v>
      </c>
      <c r="B31" t="s">
        <v>385</v>
      </c>
      <c r="C31" s="1">
        <v>45430</v>
      </c>
      <c r="D31" t="s">
        <v>385</v>
      </c>
      <c r="E31">
        <v>344463.60324884497</v>
      </c>
      <c r="F31">
        <v>344463.60324884497</v>
      </c>
    </row>
    <row r="32" spans="1:6" x14ac:dyDescent="0.2">
      <c r="A32">
        <v>12</v>
      </c>
      <c r="B32" t="s">
        <v>386</v>
      </c>
      <c r="C32" s="1">
        <v>45590</v>
      </c>
      <c r="D32" t="s">
        <v>386</v>
      </c>
      <c r="E32">
        <v>947.92315451534705</v>
      </c>
      <c r="F32">
        <v>947.92315451534705</v>
      </c>
    </row>
    <row r="33" spans="1:6" x14ac:dyDescent="0.2">
      <c r="A33">
        <v>13</v>
      </c>
      <c r="B33" t="s">
        <v>387</v>
      </c>
      <c r="C33" s="1">
        <v>45348</v>
      </c>
      <c r="D33" t="s">
        <v>387</v>
      </c>
      <c r="E33">
        <v>344.62613472786899</v>
      </c>
      <c r="F33">
        <v>344.62613472786899</v>
      </c>
    </row>
    <row r="34" spans="1:6" x14ac:dyDescent="0.2">
      <c r="A34">
        <v>13</v>
      </c>
      <c r="B34" t="s">
        <v>388</v>
      </c>
      <c r="C34" s="1">
        <v>45329</v>
      </c>
      <c r="D34" t="s">
        <v>388</v>
      </c>
      <c r="E34">
        <v>2183.1441786140499</v>
      </c>
      <c r="F34">
        <v>2183.1441786140499</v>
      </c>
    </row>
    <row r="35" spans="1:6" x14ac:dyDescent="0.2">
      <c r="A35">
        <v>13</v>
      </c>
      <c r="B35" t="s">
        <v>389</v>
      </c>
      <c r="C35" s="1">
        <v>45375</v>
      </c>
      <c r="D35" t="s">
        <v>389</v>
      </c>
      <c r="E35">
        <v>21884.579139125701</v>
      </c>
      <c r="F35">
        <v>21884.579139125701</v>
      </c>
    </row>
    <row r="36" spans="1:6" x14ac:dyDescent="0.2">
      <c r="A36">
        <v>14</v>
      </c>
      <c r="B36" t="s">
        <v>184</v>
      </c>
      <c r="C36" s="1">
        <v>45421</v>
      </c>
      <c r="D36" t="s">
        <v>184</v>
      </c>
      <c r="E36">
        <v>64192.569161983803</v>
      </c>
      <c r="F36">
        <v>64192.569161983803</v>
      </c>
    </row>
    <row r="37" spans="1:6" x14ac:dyDescent="0.2">
      <c r="A37">
        <v>14</v>
      </c>
      <c r="B37" t="s">
        <v>141</v>
      </c>
      <c r="C37" s="1">
        <v>45411</v>
      </c>
      <c r="D37" t="s">
        <v>141</v>
      </c>
      <c r="E37">
        <v>48.745035364583799</v>
      </c>
      <c r="F37">
        <v>48.745035364583799</v>
      </c>
    </row>
    <row r="38" spans="1:6" x14ac:dyDescent="0.2">
      <c r="A38">
        <v>16</v>
      </c>
      <c r="B38" t="s">
        <v>390</v>
      </c>
      <c r="C38" s="1">
        <v>45606</v>
      </c>
      <c r="D38" t="s">
        <v>390</v>
      </c>
      <c r="E38">
        <v>45.595489750898899</v>
      </c>
      <c r="F38">
        <v>45.595489750898899</v>
      </c>
    </row>
    <row r="39" spans="1:6" x14ac:dyDescent="0.2">
      <c r="A39">
        <v>16</v>
      </c>
      <c r="B39" t="s">
        <v>391</v>
      </c>
      <c r="C39" s="1">
        <v>45493</v>
      </c>
      <c r="D39" t="s">
        <v>391</v>
      </c>
      <c r="E39">
        <v>1333.3900339332199</v>
      </c>
      <c r="F39">
        <v>1333.3900339332199</v>
      </c>
    </row>
    <row r="40" spans="1:6" x14ac:dyDescent="0.2">
      <c r="A40">
        <v>16</v>
      </c>
      <c r="B40" t="s">
        <v>392</v>
      </c>
      <c r="C40" s="1">
        <v>45456</v>
      </c>
      <c r="D40" t="s">
        <v>392</v>
      </c>
      <c r="E40">
        <v>2818.2196372610601</v>
      </c>
      <c r="F40">
        <v>2818.2196372610601</v>
      </c>
    </row>
    <row r="41" spans="1:6" x14ac:dyDescent="0.2">
      <c r="A41">
        <v>16</v>
      </c>
      <c r="B41" t="s">
        <v>393</v>
      </c>
      <c r="C41" s="1">
        <v>45372</v>
      </c>
      <c r="D41" t="s">
        <v>393</v>
      </c>
      <c r="E41">
        <v>66874.413112415394</v>
      </c>
      <c r="F41">
        <v>66874.413112415394</v>
      </c>
    </row>
    <row r="42" spans="1:6" x14ac:dyDescent="0.2">
      <c r="A42">
        <v>17</v>
      </c>
      <c r="B42" t="s">
        <v>394</v>
      </c>
      <c r="C42" s="1">
        <v>45535</v>
      </c>
      <c r="D42" t="s">
        <v>394</v>
      </c>
      <c r="E42">
        <v>1268451.12089367</v>
      </c>
      <c r="F42">
        <v>1268451.12089367</v>
      </c>
    </row>
    <row r="43" spans="1:6" x14ac:dyDescent="0.2">
      <c r="A43">
        <v>19</v>
      </c>
      <c r="B43" t="s">
        <v>142</v>
      </c>
      <c r="C43" s="1">
        <v>45447</v>
      </c>
      <c r="D43" t="s">
        <v>142</v>
      </c>
      <c r="E43">
        <v>16519.401497818599</v>
      </c>
      <c r="F43">
        <v>16519.401497818599</v>
      </c>
    </row>
    <row r="44" spans="1:6" x14ac:dyDescent="0.2">
      <c r="A44">
        <v>20</v>
      </c>
      <c r="B44" t="s">
        <v>143</v>
      </c>
      <c r="C44" s="1">
        <v>45439</v>
      </c>
      <c r="D44" t="s">
        <v>143</v>
      </c>
      <c r="E44">
        <v>146.01029578467299</v>
      </c>
      <c r="F44">
        <v>146.01029578467299</v>
      </c>
    </row>
    <row r="45" spans="1:6" x14ac:dyDescent="0.2">
      <c r="A45">
        <v>20</v>
      </c>
      <c r="B45" t="s">
        <v>395</v>
      </c>
      <c r="C45" s="1">
        <v>45481</v>
      </c>
      <c r="D45" t="s">
        <v>395</v>
      </c>
      <c r="E45">
        <v>58833.1584033857</v>
      </c>
      <c r="F45">
        <v>58833.1584033857</v>
      </c>
    </row>
    <row r="46" spans="1:6" x14ac:dyDescent="0.2">
      <c r="A46">
        <v>20</v>
      </c>
      <c r="B46" t="s">
        <v>396</v>
      </c>
      <c r="C46" s="1">
        <v>45403</v>
      </c>
      <c r="D46" t="s">
        <v>396</v>
      </c>
      <c r="E46">
        <v>1687.9378758288899</v>
      </c>
      <c r="F46">
        <v>1687.9378758288899</v>
      </c>
    </row>
    <row r="47" spans="1:6" x14ac:dyDescent="0.2">
      <c r="A47">
        <v>20</v>
      </c>
      <c r="B47" t="s">
        <v>397</v>
      </c>
      <c r="C47" s="1">
        <v>45482</v>
      </c>
      <c r="D47" t="s">
        <v>397</v>
      </c>
      <c r="E47">
        <v>63021.837074955198</v>
      </c>
      <c r="F47">
        <v>63021.837074955198</v>
      </c>
    </row>
    <row r="48" spans="1:6" x14ac:dyDescent="0.2">
      <c r="A48">
        <v>20</v>
      </c>
      <c r="B48" t="s">
        <v>398</v>
      </c>
      <c r="C48" s="1">
        <v>45410</v>
      </c>
      <c r="D48" t="s">
        <v>398</v>
      </c>
      <c r="E48">
        <v>6751.59556558436</v>
      </c>
      <c r="F48">
        <v>6751.59556558436</v>
      </c>
    </row>
    <row r="49" spans="1:6" x14ac:dyDescent="0.2">
      <c r="A49">
        <v>21</v>
      </c>
      <c r="B49" t="s">
        <v>144</v>
      </c>
      <c r="C49" s="1">
        <v>45399</v>
      </c>
      <c r="D49" t="s">
        <v>144</v>
      </c>
      <c r="E49">
        <v>108499.761395258</v>
      </c>
      <c r="F49">
        <v>108499.761395258</v>
      </c>
    </row>
    <row r="50" spans="1:6" x14ac:dyDescent="0.2">
      <c r="A50">
        <v>21</v>
      </c>
      <c r="B50" t="s">
        <v>399</v>
      </c>
      <c r="C50" s="1">
        <v>45583</v>
      </c>
      <c r="D50" t="s">
        <v>399</v>
      </c>
      <c r="E50">
        <v>43640.941906939501</v>
      </c>
      <c r="F50">
        <v>43640.941906939501</v>
      </c>
    </row>
    <row r="51" spans="1:6" x14ac:dyDescent="0.2">
      <c r="A51">
        <v>21</v>
      </c>
      <c r="B51" t="s">
        <v>400</v>
      </c>
      <c r="C51" s="1">
        <v>45314</v>
      </c>
      <c r="D51" t="s">
        <v>400</v>
      </c>
      <c r="E51">
        <v>107.822765970579</v>
      </c>
      <c r="F51">
        <v>107.822765970579</v>
      </c>
    </row>
    <row r="52" spans="1:6" x14ac:dyDescent="0.2">
      <c r="A52">
        <v>21</v>
      </c>
      <c r="B52" t="s">
        <v>401</v>
      </c>
      <c r="C52" s="1">
        <v>45406</v>
      </c>
      <c r="D52" t="s">
        <v>401</v>
      </c>
      <c r="E52">
        <v>396.03459155974599</v>
      </c>
      <c r="F52">
        <v>396.03459155974599</v>
      </c>
    </row>
    <row r="53" spans="1:6" x14ac:dyDescent="0.2">
      <c r="A53">
        <v>22</v>
      </c>
      <c r="B53" t="s">
        <v>402</v>
      </c>
      <c r="C53" s="1">
        <v>45542</v>
      </c>
      <c r="D53" t="s">
        <v>402</v>
      </c>
      <c r="E53">
        <v>4436.6592597092704</v>
      </c>
      <c r="F53">
        <v>4436.6592597092704</v>
      </c>
    </row>
    <row r="54" spans="1:6" x14ac:dyDescent="0.2">
      <c r="A54">
        <v>22</v>
      </c>
      <c r="B54" t="s">
        <v>403</v>
      </c>
      <c r="C54" s="1">
        <v>45494</v>
      </c>
      <c r="D54" t="s">
        <v>403</v>
      </c>
      <c r="E54">
        <v>108807.790315312</v>
      </c>
      <c r="F54">
        <v>108807.790315312</v>
      </c>
    </row>
    <row r="55" spans="1:6" x14ac:dyDescent="0.2">
      <c r="A55">
        <v>22</v>
      </c>
      <c r="B55" t="s">
        <v>404</v>
      </c>
      <c r="C55" s="1">
        <v>45537</v>
      </c>
      <c r="D55" t="s">
        <v>404</v>
      </c>
      <c r="E55">
        <v>5969.0927869500101</v>
      </c>
      <c r="F55">
        <v>5969.0927869500101</v>
      </c>
    </row>
    <row r="56" spans="1:6" x14ac:dyDescent="0.2">
      <c r="A56">
        <v>23</v>
      </c>
      <c r="B56" t="s">
        <v>405</v>
      </c>
      <c r="C56" s="1">
        <v>45469</v>
      </c>
      <c r="D56" t="s">
        <v>405</v>
      </c>
      <c r="E56">
        <v>1218540.6188157201</v>
      </c>
      <c r="F56">
        <v>1218540.6188157201</v>
      </c>
    </row>
    <row r="57" spans="1:6" x14ac:dyDescent="0.2">
      <c r="A57">
        <v>23</v>
      </c>
      <c r="B57" t="s">
        <v>406</v>
      </c>
      <c r="C57" s="1">
        <v>45542</v>
      </c>
      <c r="D57" t="s">
        <v>406</v>
      </c>
      <c r="E57">
        <v>9585.9158362989692</v>
      </c>
      <c r="F57">
        <v>9585.9158362989692</v>
      </c>
    </row>
    <row r="58" spans="1:6" x14ac:dyDescent="0.2">
      <c r="A58">
        <v>24</v>
      </c>
      <c r="B58" t="s">
        <v>185</v>
      </c>
      <c r="C58" s="1">
        <v>45490</v>
      </c>
      <c r="D58" t="s">
        <v>185</v>
      </c>
      <c r="E58">
        <v>42.110112871768102</v>
      </c>
      <c r="F58">
        <v>42.110112871768102</v>
      </c>
    </row>
    <row r="59" spans="1:6" x14ac:dyDescent="0.2">
      <c r="A59">
        <v>24</v>
      </c>
      <c r="B59" t="s">
        <v>145</v>
      </c>
      <c r="C59" s="1">
        <v>45386</v>
      </c>
      <c r="D59" t="s">
        <v>145</v>
      </c>
      <c r="E59">
        <v>10915.977081175301</v>
      </c>
      <c r="F59">
        <v>10915.977081175301</v>
      </c>
    </row>
    <row r="60" spans="1:6" x14ac:dyDescent="0.2">
      <c r="A60">
        <v>24</v>
      </c>
      <c r="B60" t="s">
        <v>407</v>
      </c>
      <c r="C60" s="1">
        <v>45633</v>
      </c>
      <c r="D60" t="s">
        <v>407</v>
      </c>
      <c r="E60">
        <v>1457.4590566143199</v>
      </c>
      <c r="F60">
        <v>1457.4590566143199</v>
      </c>
    </row>
    <row r="61" spans="1:6" x14ac:dyDescent="0.2">
      <c r="A61">
        <v>24</v>
      </c>
      <c r="B61" t="s">
        <v>186</v>
      </c>
      <c r="C61" s="1">
        <v>45512</v>
      </c>
      <c r="D61" t="s">
        <v>186</v>
      </c>
      <c r="E61">
        <v>436.143471192378</v>
      </c>
      <c r="F61">
        <v>436.143471192378</v>
      </c>
    </row>
    <row r="62" spans="1:6" x14ac:dyDescent="0.2">
      <c r="A62">
        <v>24</v>
      </c>
      <c r="B62" t="s">
        <v>179</v>
      </c>
      <c r="C62" s="1">
        <v>45475</v>
      </c>
      <c r="D62" t="s">
        <v>179</v>
      </c>
      <c r="E62">
        <v>4723.3865317841201</v>
      </c>
      <c r="F62">
        <v>4723.3865317841201</v>
      </c>
    </row>
    <row r="63" spans="1:6" x14ac:dyDescent="0.2">
      <c r="A63">
        <v>24</v>
      </c>
      <c r="B63" t="s">
        <v>187</v>
      </c>
      <c r="C63" s="1">
        <v>45452</v>
      </c>
      <c r="D63" t="s">
        <v>187</v>
      </c>
      <c r="E63">
        <v>170217.02478466899</v>
      </c>
      <c r="F63">
        <v>170217.02478466899</v>
      </c>
    </row>
    <row r="64" spans="1:6" x14ac:dyDescent="0.2">
      <c r="A64">
        <v>25</v>
      </c>
      <c r="B64" t="s">
        <v>408</v>
      </c>
      <c r="C64" s="1">
        <v>45593</v>
      </c>
      <c r="D64" t="s">
        <v>408</v>
      </c>
      <c r="E64">
        <v>3356.3514085429001</v>
      </c>
      <c r="F64">
        <v>3356.3514085429001</v>
      </c>
    </row>
    <row r="65" spans="1:6" x14ac:dyDescent="0.2">
      <c r="A65">
        <v>25</v>
      </c>
      <c r="B65" t="s">
        <v>409</v>
      </c>
      <c r="C65" s="1">
        <v>45315</v>
      </c>
      <c r="D65" t="s">
        <v>409</v>
      </c>
      <c r="E65">
        <v>2.6139210073623</v>
      </c>
      <c r="F65">
        <v>2.6139210073623</v>
      </c>
    </row>
    <row r="66" spans="1:6" x14ac:dyDescent="0.2">
      <c r="A66">
        <v>26</v>
      </c>
      <c r="B66" t="s">
        <v>410</v>
      </c>
      <c r="C66" s="1">
        <v>45478</v>
      </c>
      <c r="D66" t="s">
        <v>410</v>
      </c>
      <c r="E66">
        <v>244671.49832956199</v>
      </c>
      <c r="F66">
        <v>244671.49832956199</v>
      </c>
    </row>
    <row r="67" spans="1:6" x14ac:dyDescent="0.2">
      <c r="A67">
        <v>26</v>
      </c>
      <c r="B67" t="s">
        <v>411</v>
      </c>
      <c r="C67" s="1">
        <v>45462</v>
      </c>
      <c r="D67" t="s">
        <v>411</v>
      </c>
      <c r="E67">
        <v>65018.385279648697</v>
      </c>
      <c r="F67">
        <v>65018.385279648697</v>
      </c>
    </row>
    <row r="68" spans="1:6" x14ac:dyDescent="0.2">
      <c r="A68">
        <v>26</v>
      </c>
      <c r="B68" t="s">
        <v>412</v>
      </c>
      <c r="C68" s="1">
        <v>45314</v>
      </c>
      <c r="D68" t="s">
        <v>412</v>
      </c>
      <c r="E68">
        <v>19143.404104850899</v>
      </c>
      <c r="F68">
        <v>19143.404104850899</v>
      </c>
    </row>
    <row r="69" spans="1:6" x14ac:dyDescent="0.2">
      <c r="A69">
        <v>27</v>
      </c>
      <c r="B69" t="s">
        <v>413</v>
      </c>
      <c r="C69" s="1">
        <v>45370</v>
      </c>
      <c r="D69" t="s">
        <v>413</v>
      </c>
      <c r="E69">
        <v>1923.0731333275601</v>
      </c>
      <c r="F69">
        <v>1923.0731333275601</v>
      </c>
    </row>
    <row r="70" spans="1:6" x14ac:dyDescent="0.2">
      <c r="A70">
        <v>27</v>
      </c>
      <c r="B70" t="s">
        <v>414</v>
      </c>
      <c r="C70" s="1">
        <v>45455</v>
      </c>
      <c r="D70" t="s">
        <v>414</v>
      </c>
      <c r="E70">
        <v>7781961.7189893797</v>
      </c>
      <c r="F70">
        <v>7781961.7189893797</v>
      </c>
    </row>
    <row r="71" spans="1:6" x14ac:dyDescent="0.2">
      <c r="A71">
        <v>28</v>
      </c>
      <c r="B71" t="s">
        <v>415</v>
      </c>
      <c r="C71" s="1">
        <v>45509</v>
      </c>
      <c r="D71" t="s">
        <v>415</v>
      </c>
      <c r="E71">
        <v>16975.194555025198</v>
      </c>
      <c r="F71">
        <v>16975.194555025198</v>
      </c>
    </row>
    <row r="72" spans="1:6" x14ac:dyDescent="0.2">
      <c r="A72">
        <v>28</v>
      </c>
      <c r="B72" t="s">
        <v>416</v>
      </c>
      <c r="C72" s="1">
        <v>45575</v>
      </c>
      <c r="D72" t="s">
        <v>416</v>
      </c>
      <c r="E72">
        <v>9998.54345511867</v>
      </c>
      <c r="F72">
        <v>9998.54345511867</v>
      </c>
    </row>
    <row r="73" spans="1:6" x14ac:dyDescent="0.2">
      <c r="A73">
        <v>29</v>
      </c>
      <c r="B73" t="s">
        <v>146</v>
      </c>
      <c r="C73" s="1">
        <v>45378</v>
      </c>
      <c r="D73" t="s">
        <v>146</v>
      </c>
      <c r="E73">
        <v>1065.20763579554</v>
      </c>
      <c r="F73">
        <v>1065.20763579554</v>
      </c>
    </row>
    <row r="74" spans="1:6" x14ac:dyDescent="0.2">
      <c r="A74">
        <v>30</v>
      </c>
      <c r="B74" t="s">
        <v>417</v>
      </c>
      <c r="C74" s="1">
        <v>45429</v>
      </c>
      <c r="D74" t="s">
        <v>417</v>
      </c>
      <c r="E74">
        <v>12499.289905691299</v>
      </c>
      <c r="F74">
        <v>12499.289905691299</v>
      </c>
    </row>
    <row r="75" spans="1:6" x14ac:dyDescent="0.2">
      <c r="A75">
        <v>31</v>
      </c>
      <c r="B75" t="s">
        <v>418</v>
      </c>
      <c r="C75" s="1">
        <v>45509</v>
      </c>
      <c r="D75" t="s">
        <v>418</v>
      </c>
      <c r="E75">
        <v>312931.794658189</v>
      </c>
      <c r="F75">
        <v>312931.794658189</v>
      </c>
    </row>
    <row r="76" spans="1:6" x14ac:dyDescent="0.2">
      <c r="A76">
        <v>31</v>
      </c>
      <c r="B76" t="s">
        <v>419</v>
      </c>
      <c r="C76" s="1">
        <v>45619</v>
      </c>
      <c r="D76" t="s">
        <v>419</v>
      </c>
      <c r="E76">
        <v>675.21497484047302</v>
      </c>
      <c r="F76">
        <v>675.21497484047302</v>
      </c>
    </row>
    <row r="77" spans="1:6" x14ac:dyDescent="0.2">
      <c r="A77">
        <v>31</v>
      </c>
      <c r="B77" t="s">
        <v>420</v>
      </c>
      <c r="C77" s="1">
        <v>45418</v>
      </c>
      <c r="D77" t="s">
        <v>420</v>
      </c>
      <c r="E77">
        <v>939.75841700157605</v>
      </c>
      <c r="F77">
        <v>939.75841700157605</v>
      </c>
    </row>
    <row r="78" spans="1:6" x14ac:dyDescent="0.2">
      <c r="A78">
        <v>31</v>
      </c>
      <c r="B78" t="s">
        <v>421</v>
      </c>
      <c r="C78" s="1">
        <v>45332</v>
      </c>
      <c r="D78" t="s">
        <v>421</v>
      </c>
      <c r="E78">
        <v>7090.6872617378203</v>
      </c>
      <c r="F78">
        <v>7090.6872617378203</v>
      </c>
    </row>
    <row r="79" spans="1:6" x14ac:dyDescent="0.2">
      <c r="A79">
        <v>31</v>
      </c>
      <c r="B79" t="s">
        <v>422</v>
      </c>
      <c r="C79" s="1">
        <v>45555</v>
      </c>
      <c r="D79" t="s">
        <v>422</v>
      </c>
      <c r="E79">
        <v>335.108903813143</v>
      </c>
      <c r="F79">
        <v>335.108903813143</v>
      </c>
    </row>
    <row r="80" spans="1:6" x14ac:dyDescent="0.2">
      <c r="A80">
        <v>32</v>
      </c>
      <c r="B80" t="s">
        <v>423</v>
      </c>
      <c r="C80" s="1">
        <v>45320</v>
      </c>
      <c r="D80" t="s">
        <v>423</v>
      </c>
      <c r="E80">
        <v>109771.01766424401</v>
      </c>
      <c r="F80">
        <v>109771.01766424401</v>
      </c>
    </row>
    <row r="81" spans="1:6" x14ac:dyDescent="0.2">
      <c r="A81">
        <v>32</v>
      </c>
      <c r="B81" t="s">
        <v>424</v>
      </c>
      <c r="C81" s="1">
        <v>45311</v>
      </c>
      <c r="D81" t="s">
        <v>424</v>
      </c>
      <c r="E81">
        <v>1079.0912534184799</v>
      </c>
      <c r="F81">
        <v>1079.0912534184799</v>
      </c>
    </row>
    <row r="82" spans="1:6" x14ac:dyDescent="0.2">
      <c r="A82">
        <v>32</v>
      </c>
      <c r="B82" t="s">
        <v>425</v>
      </c>
      <c r="C82" s="1">
        <v>45497</v>
      </c>
      <c r="D82" t="s">
        <v>425</v>
      </c>
      <c r="E82">
        <v>4008.9107693927699</v>
      </c>
      <c r="F82">
        <v>4008.9107693927699</v>
      </c>
    </row>
    <row r="83" spans="1:6" x14ac:dyDescent="0.2">
      <c r="A83">
        <v>32</v>
      </c>
      <c r="B83" t="s">
        <v>426</v>
      </c>
      <c r="C83" s="1">
        <v>45415</v>
      </c>
      <c r="D83" t="s">
        <v>426</v>
      </c>
      <c r="E83">
        <v>111121.448265104</v>
      </c>
      <c r="F83">
        <v>111121.448265104</v>
      </c>
    </row>
    <row r="84" spans="1:6" x14ac:dyDescent="0.2">
      <c r="A84">
        <v>33</v>
      </c>
      <c r="B84" t="s">
        <v>427</v>
      </c>
      <c r="C84" s="1">
        <v>45382</v>
      </c>
      <c r="D84" t="s">
        <v>427</v>
      </c>
      <c r="E84">
        <v>499755.28545466898</v>
      </c>
      <c r="F84">
        <v>499755.28545466898</v>
      </c>
    </row>
    <row r="85" spans="1:6" x14ac:dyDescent="0.2">
      <c r="A85">
        <v>33</v>
      </c>
      <c r="B85" t="s">
        <v>428</v>
      </c>
      <c r="C85" s="1">
        <v>45432</v>
      </c>
      <c r="D85" t="s">
        <v>428</v>
      </c>
      <c r="E85">
        <v>11163.905206978399</v>
      </c>
      <c r="F85">
        <v>11163.905206978399</v>
      </c>
    </row>
    <row r="86" spans="1:6" x14ac:dyDescent="0.2">
      <c r="A86">
        <v>33</v>
      </c>
      <c r="B86" t="s">
        <v>429</v>
      </c>
      <c r="C86" s="1">
        <v>45429</v>
      </c>
      <c r="D86" t="s">
        <v>429</v>
      </c>
      <c r="E86">
        <v>7483.7478281171498</v>
      </c>
      <c r="F86">
        <v>7483.7478281171498</v>
      </c>
    </row>
    <row r="87" spans="1:6" x14ac:dyDescent="0.2">
      <c r="A87">
        <v>34</v>
      </c>
      <c r="B87" t="s">
        <v>430</v>
      </c>
      <c r="C87" s="1">
        <v>45562</v>
      </c>
      <c r="D87" t="s">
        <v>430</v>
      </c>
      <c r="E87">
        <v>1167.9136090648601</v>
      </c>
      <c r="F87">
        <v>1167.9136090648601</v>
      </c>
    </row>
    <row r="88" spans="1:6" x14ac:dyDescent="0.2">
      <c r="A88">
        <v>34</v>
      </c>
      <c r="B88" t="s">
        <v>188</v>
      </c>
      <c r="C88" s="1">
        <v>45374</v>
      </c>
      <c r="D88" t="s">
        <v>188</v>
      </c>
      <c r="E88">
        <v>2896.8198164017999</v>
      </c>
      <c r="F88">
        <v>2896.8198164017999</v>
      </c>
    </row>
    <row r="89" spans="1:6" x14ac:dyDescent="0.2">
      <c r="A89">
        <v>34</v>
      </c>
      <c r="B89" t="s">
        <v>147</v>
      </c>
      <c r="C89" s="1">
        <v>45526</v>
      </c>
      <c r="D89" t="s">
        <v>147</v>
      </c>
      <c r="E89">
        <v>53.293385871998098</v>
      </c>
      <c r="F89">
        <v>53.293385871998098</v>
      </c>
    </row>
    <row r="90" spans="1:6" x14ac:dyDescent="0.2">
      <c r="A90">
        <v>36</v>
      </c>
      <c r="B90" t="s">
        <v>431</v>
      </c>
      <c r="C90" s="1">
        <v>45413</v>
      </c>
      <c r="D90" t="s">
        <v>431</v>
      </c>
      <c r="E90">
        <v>57.303423548298603</v>
      </c>
      <c r="F90">
        <v>57.303423548298603</v>
      </c>
    </row>
    <row r="91" spans="1:6" x14ac:dyDescent="0.2">
      <c r="A91">
        <v>36</v>
      </c>
      <c r="B91" t="s">
        <v>432</v>
      </c>
      <c r="C91" s="1">
        <v>45362</v>
      </c>
      <c r="D91" t="s">
        <v>432</v>
      </c>
      <c r="E91">
        <v>2837.6663407613701</v>
      </c>
      <c r="F91">
        <v>2837.6663407613701</v>
      </c>
    </row>
    <row r="92" spans="1:6" x14ac:dyDescent="0.2">
      <c r="A92">
        <v>37</v>
      </c>
      <c r="B92" t="s">
        <v>148</v>
      </c>
      <c r="C92" s="1">
        <v>45358</v>
      </c>
      <c r="D92" t="s">
        <v>148</v>
      </c>
      <c r="E92">
        <v>16024.5270007408</v>
      </c>
      <c r="F92">
        <v>16024.5270007408</v>
      </c>
    </row>
    <row r="93" spans="1:6" x14ac:dyDescent="0.2">
      <c r="A93">
        <v>37</v>
      </c>
      <c r="B93" t="s">
        <v>433</v>
      </c>
      <c r="C93" s="1">
        <v>45655</v>
      </c>
      <c r="D93" t="s">
        <v>433</v>
      </c>
      <c r="E93">
        <v>35478.626019956399</v>
      </c>
      <c r="F93">
        <v>35478.626019956399</v>
      </c>
    </row>
    <row r="94" spans="1:6" x14ac:dyDescent="0.2">
      <c r="A94">
        <v>37</v>
      </c>
      <c r="B94" t="s">
        <v>434</v>
      </c>
      <c r="C94" s="1">
        <v>45529</v>
      </c>
      <c r="D94" t="s">
        <v>434</v>
      </c>
      <c r="E94">
        <v>18097.064938212301</v>
      </c>
      <c r="F94">
        <v>18097.064938212301</v>
      </c>
    </row>
    <row r="95" spans="1:6" x14ac:dyDescent="0.2">
      <c r="A95">
        <v>38</v>
      </c>
      <c r="B95" t="s">
        <v>180</v>
      </c>
      <c r="C95" s="1">
        <v>45425</v>
      </c>
      <c r="D95" t="s">
        <v>180</v>
      </c>
      <c r="E95">
        <v>52808.647494183402</v>
      </c>
      <c r="F95">
        <v>52808.647494183402</v>
      </c>
    </row>
    <row r="96" spans="1:6" x14ac:dyDescent="0.2">
      <c r="A96">
        <v>39</v>
      </c>
      <c r="B96" t="s">
        <v>435</v>
      </c>
      <c r="C96" s="1">
        <v>45407</v>
      </c>
      <c r="D96" t="s">
        <v>435</v>
      </c>
      <c r="E96">
        <v>46911.553006849397</v>
      </c>
      <c r="F96">
        <v>46911.553006849397</v>
      </c>
    </row>
    <row r="97" spans="1:6" x14ac:dyDescent="0.2">
      <c r="A97">
        <v>40</v>
      </c>
      <c r="B97" t="s">
        <v>436</v>
      </c>
      <c r="C97" s="1">
        <v>45310</v>
      </c>
      <c r="D97" t="s">
        <v>436</v>
      </c>
      <c r="E97">
        <v>40384.305978755903</v>
      </c>
      <c r="F97">
        <v>40384.305978755903</v>
      </c>
    </row>
    <row r="98" spans="1:6" x14ac:dyDescent="0.2">
      <c r="A98">
        <v>41</v>
      </c>
      <c r="B98" t="s">
        <v>437</v>
      </c>
      <c r="C98" s="1">
        <v>45420</v>
      </c>
      <c r="D98" t="s">
        <v>437</v>
      </c>
      <c r="E98">
        <v>165.28511358741099</v>
      </c>
      <c r="F98">
        <v>165.28511358741099</v>
      </c>
    </row>
    <row r="99" spans="1:6" x14ac:dyDescent="0.2">
      <c r="A99">
        <v>42</v>
      </c>
      <c r="B99" t="s">
        <v>438</v>
      </c>
      <c r="C99" s="1">
        <v>45381</v>
      </c>
      <c r="D99" t="s">
        <v>438</v>
      </c>
      <c r="E99">
        <v>19134.978205757801</v>
      </c>
      <c r="F99">
        <v>19134.978205757801</v>
      </c>
    </row>
    <row r="100" spans="1:6" x14ac:dyDescent="0.2">
      <c r="A100">
        <v>42</v>
      </c>
      <c r="B100" t="s">
        <v>189</v>
      </c>
      <c r="C100" s="1">
        <v>45413</v>
      </c>
      <c r="D100" t="s">
        <v>189</v>
      </c>
      <c r="E100">
        <v>11836.5511189647</v>
      </c>
      <c r="F100">
        <v>11836.5511189647</v>
      </c>
    </row>
    <row r="101" spans="1:6" x14ac:dyDescent="0.2">
      <c r="A101">
        <v>43</v>
      </c>
      <c r="B101" t="s">
        <v>439</v>
      </c>
      <c r="C101" s="1">
        <v>45566</v>
      </c>
      <c r="D101" t="s">
        <v>439</v>
      </c>
      <c r="E101">
        <v>276.29219470427398</v>
      </c>
      <c r="F101">
        <v>276.29219470427398</v>
      </c>
    </row>
    <row r="102" spans="1:6" x14ac:dyDescent="0.2">
      <c r="A102">
        <v>43</v>
      </c>
      <c r="B102" t="s">
        <v>440</v>
      </c>
      <c r="C102" s="1">
        <v>45582</v>
      </c>
      <c r="D102" t="s">
        <v>440</v>
      </c>
      <c r="E102">
        <v>49309.570077008</v>
      </c>
      <c r="F102">
        <v>49309.570077008</v>
      </c>
    </row>
    <row r="103" spans="1:6" x14ac:dyDescent="0.2">
      <c r="A103">
        <v>44</v>
      </c>
      <c r="B103" t="s">
        <v>441</v>
      </c>
      <c r="C103" s="1">
        <v>45488</v>
      </c>
      <c r="D103" t="s">
        <v>441</v>
      </c>
      <c r="E103">
        <v>4999.0711725274896</v>
      </c>
      <c r="F103">
        <v>4999.0711725274896</v>
      </c>
    </row>
    <row r="104" spans="1:6" x14ac:dyDescent="0.2">
      <c r="A104">
        <v>45</v>
      </c>
      <c r="B104" t="s">
        <v>442</v>
      </c>
      <c r="C104" s="1">
        <v>45460</v>
      </c>
      <c r="D104" t="s">
        <v>442</v>
      </c>
      <c r="E104">
        <v>108.253972671862</v>
      </c>
      <c r="F104">
        <v>108.253972671862</v>
      </c>
    </row>
    <row r="105" spans="1:6" x14ac:dyDescent="0.2">
      <c r="A105">
        <v>46</v>
      </c>
      <c r="B105" t="s">
        <v>443</v>
      </c>
      <c r="C105" s="1">
        <v>45340</v>
      </c>
      <c r="D105" t="s">
        <v>443</v>
      </c>
      <c r="E105">
        <v>45.980836588400699</v>
      </c>
      <c r="F105">
        <v>45.980836588400699</v>
      </c>
    </row>
    <row r="106" spans="1:6" x14ac:dyDescent="0.2">
      <c r="A106">
        <v>47</v>
      </c>
      <c r="B106" t="s">
        <v>181</v>
      </c>
      <c r="C106" s="1">
        <v>45611</v>
      </c>
      <c r="D106" t="s">
        <v>181</v>
      </c>
      <c r="E106">
        <v>1298.4856843882401</v>
      </c>
      <c r="F106">
        <v>1298.4856843882401</v>
      </c>
    </row>
    <row r="107" spans="1:6" x14ac:dyDescent="0.2">
      <c r="A107">
        <v>48</v>
      </c>
      <c r="B107" t="s">
        <v>444</v>
      </c>
      <c r="C107" s="1">
        <v>45565</v>
      </c>
      <c r="D107" t="s">
        <v>444</v>
      </c>
      <c r="E107">
        <v>8585.0519440819899</v>
      </c>
      <c r="F107">
        <v>8585.0519440819899</v>
      </c>
    </row>
    <row r="108" spans="1:6" x14ac:dyDescent="0.2">
      <c r="A108">
        <v>48</v>
      </c>
      <c r="B108" t="s">
        <v>445</v>
      </c>
      <c r="C108" s="1">
        <v>45551</v>
      </c>
      <c r="D108" t="s">
        <v>445</v>
      </c>
      <c r="E108">
        <v>319.81350872179502</v>
      </c>
      <c r="F108">
        <v>319.81350872179502</v>
      </c>
    </row>
    <row r="109" spans="1:6" x14ac:dyDescent="0.2">
      <c r="A109">
        <v>49</v>
      </c>
      <c r="B109" t="s">
        <v>446</v>
      </c>
      <c r="C109" s="1">
        <v>45634</v>
      </c>
      <c r="D109" t="s">
        <v>446</v>
      </c>
      <c r="E109">
        <v>209887.14690953901</v>
      </c>
      <c r="F109">
        <v>209887.14690953901</v>
      </c>
    </row>
    <row r="110" spans="1:6" x14ac:dyDescent="0.2">
      <c r="A110">
        <v>50</v>
      </c>
      <c r="B110" t="s">
        <v>447</v>
      </c>
      <c r="C110" s="1">
        <v>45626</v>
      </c>
      <c r="D110" t="s">
        <v>447</v>
      </c>
      <c r="E110">
        <v>36857.515054609801</v>
      </c>
      <c r="F110">
        <v>36857.515054609801</v>
      </c>
    </row>
    <row r="111" spans="1:6" x14ac:dyDescent="0.2">
      <c r="A111">
        <v>50</v>
      </c>
      <c r="B111" t="s">
        <v>448</v>
      </c>
      <c r="C111" s="1">
        <v>45347</v>
      </c>
      <c r="D111" t="s">
        <v>448</v>
      </c>
      <c r="E111">
        <v>22253.903374323501</v>
      </c>
      <c r="F111">
        <v>22253.903374323501</v>
      </c>
    </row>
    <row r="112" spans="1:6" x14ac:dyDescent="0.2">
      <c r="A112">
        <v>50</v>
      </c>
      <c r="B112" t="s">
        <v>449</v>
      </c>
      <c r="C112" s="1">
        <v>45397</v>
      </c>
      <c r="D112" t="s">
        <v>449</v>
      </c>
      <c r="E112">
        <v>560631.50328797603</v>
      </c>
      <c r="F112">
        <v>560631.50328797603</v>
      </c>
    </row>
    <row r="113" spans="1:6" x14ac:dyDescent="0.2">
      <c r="A113">
        <v>50</v>
      </c>
      <c r="B113" t="s">
        <v>450</v>
      </c>
      <c r="C113" s="1">
        <v>45562</v>
      </c>
      <c r="D113" t="s">
        <v>450</v>
      </c>
      <c r="E113">
        <v>355.15296255418099</v>
      </c>
      <c r="F113">
        <v>355.15296255418099</v>
      </c>
    </row>
    <row r="114" spans="1:6" x14ac:dyDescent="0.2">
      <c r="A114">
        <v>52</v>
      </c>
      <c r="B114" t="s">
        <v>190</v>
      </c>
      <c r="C114" s="1">
        <v>45380</v>
      </c>
      <c r="D114" t="s">
        <v>190</v>
      </c>
      <c r="E114">
        <v>13305.9031782362</v>
      </c>
      <c r="F114">
        <v>13305.9031782362</v>
      </c>
    </row>
    <row r="115" spans="1:6" x14ac:dyDescent="0.2">
      <c r="A115">
        <v>52</v>
      </c>
      <c r="B115" t="s">
        <v>451</v>
      </c>
      <c r="C115" s="1">
        <v>45583</v>
      </c>
      <c r="D115" t="s">
        <v>451</v>
      </c>
      <c r="E115">
        <v>30225.949885735401</v>
      </c>
      <c r="F115">
        <v>30225.949885735401</v>
      </c>
    </row>
    <row r="116" spans="1:6" x14ac:dyDescent="0.2">
      <c r="A116">
        <v>53</v>
      </c>
      <c r="B116" t="s">
        <v>452</v>
      </c>
      <c r="C116" s="1">
        <v>45648</v>
      </c>
      <c r="D116" t="s">
        <v>452</v>
      </c>
      <c r="E116">
        <v>3263.8911620427798</v>
      </c>
      <c r="F116">
        <v>3263.8911620427798</v>
      </c>
    </row>
    <row r="117" spans="1:6" x14ac:dyDescent="0.2">
      <c r="A117">
        <v>53</v>
      </c>
      <c r="B117" t="s">
        <v>182</v>
      </c>
      <c r="C117" s="1">
        <v>45571</v>
      </c>
      <c r="D117" t="s">
        <v>182</v>
      </c>
      <c r="E117">
        <v>98959.156653587896</v>
      </c>
      <c r="F117">
        <v>98959.156653587896</v>
      </c>
    </row>
    <row r="118" spans="1:6" x14ac:dyDescent="0.2">
      <c r="A118">
        <v>53</v>
      </c>
      <c r="B118" t="s">
        <v>191</v>
      </c>
      <c r="C118" s="1">
        <v>45521</v>
      </c>
      <c r="D118" t="s">
        <v>191</v>
      </c>
      <c r="E118">
        <v>11169.543493671101</v>
      </c>
      <c r="F118">
        <v>11169.543493671101</v>
      </c>
    </row>
    <row r="119" spans="1:6" x14ac:dyDescent="0.2">
      <c r="A119">
        <v>55</v>
      </c>
      <c r="B119" t="s">
        <v>453</v>
      </c>
      <c r="C119" s="1">
        <v>45547</v>
      </c>
      <c r="D119" t="s">
        <v>453</v>
      </c>
      <c r="E119">
        <v>69253.933323589095</v>
      </c>
      <c r="F119">
        <v>69253.933323589095</v>
      </c>
    </row>
    <row r="120" spans="1:6" x14ac:dyDescent="0.2">
      <c r="A120">
        <v>55</v>
      </c>
      <c r="B120" t="s">
        <v>454</v>
      </c>
      <c r="C120" s="1">
        <v>45640</v>
      </c>
      <c r="D120" t="s">
        <v>454</v>
      </c>
      <c r="E120">
        <v>126946.97428312201</v>
      </c>
      <c r="F120">
        <v>126946.97428312201</v>
      </c>
    </row>
    <row r="121" spans="1:6" x14ac:dyDescent="0.2">
      <c r="A121">
        <v>56</v>
      </c>
      <c r="B121" t="s">
        <v>455</v>
      </c>
      <c r="C121" s="1">
        <v>45379</v>
      </c>
      <c r="D121" t="s">
        <v>455</v>
      </c>
      <c r="E121">
        <v>226574.99886564701</v>
      </c>
      <c r="F121">
        <v>226574.99886564701</v>
      </c>
    </row>
    <row r="122" spans="1:6" x14ac:dyDescent="0.2">
      <c r="A122">
        <v>58</v>
      </c>
      <c r="B122" t="s">
        <v>192</v>
      </c>
      <c r="C122" s="1">
        <v>45479</v>
      </c>
      <c r="D122" t="s">
        <v>192</v>
      </c>
      <c r="E122">
        <v>1518996.41802061</v>
      </c>
      <c r="F122">
        <v>1518996.41802061</v>
      </c>
    </row>
    <row r="123" spans="1:6" x14ac:dyDescent="0.2">
      <c r="A123">
        <v>58</v>
      </c>
      <c r="B123" t="s">
        <v>456</v>
      </c>
      <c r="C123" s="1">
        <v>45578</v>
      </c>
      <c r="D123" t="s">
        <v>456</v>
      </c>
      <c r="E123">
        <v>10264.422985359</v>
      </c>
      <c r="F123">
        <v>10264.422985359</v>
      </c>
    </row>
    <row r="124" spans="1:6" x14ac:dyDescent="0.2">
      <c r="A124">
        <v>58</v>
      </c>
      <c r="B124" t="s">
        <v>457</v>
      </c>
      <c r="C124" s="1">
        <v>45621</v>
      </c>
      <c r="D124" t="s">
        <v>457</v>
      </c>
      <c r="E124">
        <v>1984.56409498682</v>
      </c>
      <c r="F124">
        <v>1984.56409498682</v>
      </c>
    </row>
    <row r="125" spans="1:6" x14ac:dyDescent="0.2">
      <c r="A125">
        <v>59</v>
      </c>
      <c r="B125" t="s">
        <v>458</v>
      </c>
      <c r="C125" s="1">
        <v>45619</v>
      </c>
      <c r="D125" t="s">
        <v>458</v>
      </c>
      <c r="E125">
        <v>38388.426413478599</v>
      </c>
      <c r="F125">
        <v>38388.426413478599</v>
      </c>
    </row>
    <row r="126" spans="1:6" x14ac:dyDescent="0.2">
      <c r="A126">
        <v>59</v>
      </c>
      <c r="B126" t="s">
        <v>459</v>
      </c>
      <c r="C126" s="1">
        <v>45463</v>
      </c>
      <c r="D126" t="s">
        <v>459</v>
      </c>
      <c r="E126">
        <v>2509.7666610593501</v>
      </c>
      <c r="F126">
        <v>2509.7666610593501</v>
      </c>
    </row>
    <row r="127" spans="1:6" x14ac:dyDescent="0.2">
      <c r="A127">
        <v>59</v>
      </c>
      <c r="B127" t="s">
        <v>460</v>
      </c>
      <c r="C127" s="1">
        <v>45589</v>
      </c>
      <c r="D127" t="s">
        <v>460</v>
      </c>
      <c r="E127">
        <v>305.40488030379697</v>
      </c>
      <c r="F127">
        <v>305.40488030379697</v>
      </c>
    </row>
    <row r="128" spans="1:6" x14ac:dyDescent="0.2">
      <c r="A128">
        <v>59</v>
      </c>
      <c r="B128" t="s">
        <v>461</v>
      </c>
      <c r="C128" s="1">
        <v>45451</v>
      </c>
      <c r="D128" t="s">
        <v>461</v>
      </c>
      <c r="E128">
        <v>305599.75400624599</v>
      </c>
      <c r="F128">
        <v>305599.75400624599</v>
      </c>
    </row>
    <row r="129" spans="1:6" x14ac:dyDescent="0.2">
      <c r="A129">
        <v>60</v>
      </c>
      <c r="B129" t="s">
        <v>462</v>
      </c>
      <c r="C129" s="1">
        <v>45457</v>
      </c>
      <c r="D129" t="s">
        <v>462</v>
      </c>
      <c r="E129">
        <v>9852.3156483336006</v>
      </c>
      <c r="F129">
        <v>9852.3156483336006</v>
      </c>
    </row>
    <row r="130" spans="1:6" x14ac:dyDescent="0.2">
      <c r="A130">
        <v>61</v>
      </c>
      <c r="B130" t="s">
        <v>463</v>
      </c>
      <c r="C130" s="1">
        <v>45520</v>
      </c>
      <c r="D130" t="s">
        <v>463</v>
      </c>
      <c r="E130">
        <v>21.142066965779499</v>
      </c>
      <c r="F130">
        <v>21.142066965779499</v>
      </c>
    </row>
    <row r="131" spans="1:6" x14ac:dyDescent="0.2">
      <c r="A131">
        <v>61</v>
      </c>
      <c r="B131" t="s">
        <v>464</v>
      </c>
      <c r="C131" s="1">
        <v>45656</v>
      </c>
      <c r="D131" t="s">
        <v>464</v>
      </c>
      <c r="E131">
        <v>7528.7157454675998</v>
      </c>
      <c r="F131">
        <v>7528.7157454675998</v>
      </c>
    </row>
    <row r="132" spans="1:6" x14ac:dyDescent="0.2">
      <c r="A132">
        <v>63</v>
      </c>
      <c r="B132" t="s">
        <v>465</v>
      </c>
      <c r="C132" s="1">
        <v>45370</v>
      </c>
      <c r="D132" t="s">
        <v>465</v>
      </c>
      <c r="E132">
        <v>3951.8744853583098</v>
      </c>
      <c r="F132">
        <v>3951.8744853583098</v>
      </c>
    </row>
    <row r="133" spans="1:6" x14ac:dyDescent="0.2">
      <c r="A133">
        <v>64</v>
      </c>
      <c r="B133" t="s">
        <v>149</v>
      </c>
      <c r="C133" s="1">
        <v>45518</v>
      </c>
      <c r="D133" t="s">
        <v>149</v>
      </c>
      <c r="E133">
        <v>1740.0320002925901</v>
      </c>
      <c r="F133">
        <v>1740.0320002925901</v>
      </c>
    </row>
    <row r="134" spans="1:6" x14ac:dyDescent="0.2">
      <c r="A134">
        <v>65</v>
      </c>
      <c r="B134" t="s">
        <v>466</v>
      </c>
      <c r="C134" s="1">
        <v>45556</v>
      </c>
      <c r="D134" t="s">
        <v>466</v>
      </c>
      <c r="E134">
        <v>48.4626708571489</v>
      </c>
      <c r="F134">
        <v>48.4626708571489</v>
      </c>
    </row>
    <row r="135" spans="1:6" x14ac:dyDescent="0.2">
      <c r="A135">
        <v>65</v>
      </c>
      <c r="B135" t="s">
        <v>150</v>
      </c>
      <c r="C135" s="1">
        <v>45314</v>
      </c>
      <c r="D135" t="s">
        <v>150</v>
      </c>
      <c r="E135">
        <v>1699136.4283004201</v>
      </c>
      <c r="F135">
        <v>1699136.4283004201</v>
      </c>
    </row>
    <row r="136" spans="1:6" x14ac:dyDescent="0.2">
      <c r="A136">
        <v>65</v>
      </c>
      <c r="B136" t="s">
        <v>467</v>
      </c>
      <c r="C136" s="1">
        <v>45572</v>
      </c>
      <c r="D136" t="s">
        <v>467</v>
      </c>
      <c r="E136">
        <v>78.824061399169494</v>
      </c>
      <c r="F136">
        <v>78.824061399169494</v>
      </c>
    </row>
    <row r="137" spans="1:6" x14ac:dyDescent="0.2">
      <c r="A137">
        <v>66</v>
      </c>
      <c r="B137" t="s">
        <v>468</v>
      </c>
      <c r="C137" s="1">
        <v>45384</v>
      </c>
      <c r="D137" t="s">
        <v>468</v>
      </c>
      <c r="E137">
        <v>20788.8692557223</v>
      </c>
      <c r="F137">
        <v>20788.8692557223</v>
      </c>
    </row>
    <row r="138" spans="1:6" x14ac:dyDescent="0.2">
      <c r="A138">
        <v>66</v>
      </c>
      <c r="B138" t="s">
        <v>469</v>
      </c>
      <c r="C138" s="1">
        <v>45568</v>
      </c>
      <c r="D138" t="s">
        <v>469</v>
      </c>
      <c r="E138">
        <v>435671.62639947498</v>
      </c>
      <c r="F138">
        <v>435671.62639947498</v>
      </c>
    </row>
    <row r="139" spans="1:6" x14ac:dyDescent="0.2">
      <c r="A139">
        <v>67</v>
      </c>
      <c r="B139" t="s">
        <v>193</v>
      </c>
      <c r="C139" s="1">
        <v>45462</v>
      </c>
      <c r="D139" t="s">
        <v>193</v>
      </c>
      <c r="E139">
        <v>6886.1056010396496</v>
      </c>
      <c r="F139">
        <v>6886.1056010396496</v>
      </c>
    </row>
    <row r="140" spans="1:6" x14ac:dyDescent="0.2">
      <c r="A140">
        <v>67</v>
      </c>
      <c r="B140" t="s">
        <v>470</v>
      </c>
      <c r="C140" s="1">
        <v>45475</v>
      </c>
      <c r="D140" t="s">
        <v>470</v>
      </c>
      <c r="E140">
        <v>51.7281984008441</v>
      </c>
      <c r="F140">
        <v>51.7281984008441</v>
      </c>
    </row>
    <row r="141" spans="1:6" x14ac:dyDescent="0.2">
      <c r="A141">
        <v>67</v>
      </c>
      <c r="B141" t="s">
        <v>471</v>
      </c>
      <c r="C141" s="1">
        <v>45295</v>
      </c>
      <c r="D141" t="s">
        <v>471</v>
      </c>
      <c r="E141">
        <v>1282.0181546536601</v>
      </c>
      <c r="F141">
        <v>1282.0181546536601</v>
      </c>
    </row>
    <row r="142" spans="1:6" x14ac:dyDescent="0.2">
      <c r="A142">
        <v>68</v>
      </c>
      <c r="B142" t="s">
        <v>472</v>
      </c>
      <c r="C142" s="1">
        <v>45622</v>
      </c>
      <c r="D142" t="s">
        <v>472</v>
      </c>
      <c r="E142">
        <v>4389.6026015297102</v>
      </c>
      <c r="F142">
        <v>4389.6026015297102</v>
      </c>
    </row>
    <row r="143" spans="1:6" x14ac:dyDescent="0.2">
      <c r="A143">
        <v>68</v>
      </c>
      <c r="B143" t="s">
        <v>194</v>
      </c>
      <c r="C143" s="1">
        <v>45607</v>
      </c>
      <c r="D143" t="s">
        <v>194</v>
      </c>
      <c r="E143">
        <v>43261.077567036002</v>
      </c>
      <c r="F143">
        <v>43261.077567036002</v>
      </c>
    </row>
    <row r="144" spans="1:6" x14ac:dyDescent="0.2">
      <c r="A144">
        <v>68</v>
      </c>
      <c r="B144" t="s">
        <v>473</v>
      </c>
      <c r="C144" s="1">
        <v>45541</v>
      </c>
      <c r="D144" t="s">
        <v>473</v>
      </c>
      <c r="E144">
        <v>21431.815921453101</v>
      </c>
      <c r="F144">
        <v>21431.815921453101</v>
      </c>
    </row>
    <row r="145" spans="1:6" x14ac:dyDescent="0.2">
      <c r="A145">
        <v>69</v>
      </c>
      <c r="B145" t="s">
        <v>195</v>
      </c>
      <c r="C145" s="1">
        <v>45390</v>
      </c>
      <c r="D145" t="s">
        <v>195</v>
      </c>
      <c r="E145">
        <v>4891.1744309843398</v>
      </c>
      <c r="F145">
        <v>4891.1744309843398</v>
      </c>
    </row>
    <row r="146" spans="1:6" x14ac:dyDescent="0.2">
      <c r="A146">
        <v>69</v>
      </c>
      <c r="B146" t="s">
        <v>474</v>
      </c>
      <c r="C146" s="1">
        <v>45389</v>
      </c>
      <c r="D146" t="s">
        <v>474</v>
      </c>
      <c r="E146">
        <v>830.08870574633204</v>
      </c>
      <c r="F146">
        <v>830.08870574633204</v>
      </c>
    </row>
    <row r="147" spans="1:6" x14ac:dyDescent="0.2">
      <c r="A147">
        <v>69</v>
      </c>
      <c r="B147" t="s">
        <v>196</v>
      </c>
      <c r="C147" s="1">
        <v>45349</v>
      </c>
      <c r="D147" t="s">
        <v>196</v>
      </c>
      <c r="E147">
        <v>3794.3647645412302</v>
      </c>
      <c r="F147">
        <v>3794.3647645412302</v>
      </c>
    </row>
    <row r="148" spans="1:6" x14ac:dyDescent="0.2">
      <c r="A148">
        <v>70</v>
      </c>
      <c r="B148" t="s">
        <v>475</v>
      </c>
      <c r="C148" s="1">
        <v>45549</v>
      </c>
      <c r="D148" t="s">
        <v>475</v>
      </c>
      <c r="E148">
        <v>42466.599110899297</v>
      </c>
      <c r="F148">
        <v>42466.599110899297</v>
      </c>
    </row>
    <row r="149" spans="1:6" x14ac:dyDescent="0.2">
      <c r="A149">
        <v>70</v>
      </c>
      <c r="B149" t="s">
        <v>476</v>
      </c>
      <c r="C149" s="1">
        <v>45414</v>
      </c>
      <c r="D149" t="s">
        <v>476</v>
      </c>
      <c r="E149">
        <v>1331.8463106454301</v>
      </c>
      <c r="F149">
        <v>1331.8463106454301</v>
      </c>
    </row>
    <row r="150" spans="1:6" x14ac:dyDescent="0.2">
      <c r="A150">
        <v>71</v>
      </c>
      <c r="B150" t="s">
        <v>477</v>
      </c>
      <c r="C150" s="1">
        <v>45368</v>
      </c>
      <c r="D150" t="s">
        <v>477</v>
      </c>
      <c r="E150">
        <v>176372.79163472599</v>
      </c>
      <c r="F150">
        <v>176372.79163472599</v>
      </c>
    </row>
    <row r="151" spans="1:6" x14ac:dyDescent="0.2">
      <c r="A151">
        <v>71</v>
      </c>
      <c r="B151" t="s">
        <v>478</v>
      </c>
      <c r="C151" s="1">
        <v>45619</v>
      </c>
      <c r="D151" t="s">
        <v>478</v>
      </c>
      <c r="E151">
        <v>77125.088432445802</v>
      </c>
      <c r="F151">
        <v>77125.088432445802</v>
      </c>
    </row>
    <row r="152" spans="1:6" x14ac:dyDescent="0.2">
      <c r="A152">
        <v>71</v>
      </c>
      <c r="B152" t="s">
        <v>479</v>
      </c>
      <c r="C152" s="1">
        <v>45649</v>
      </c>
      <c r="D152" t="s">
        <v>479</v>
      </c>
      <c r="E152">
        <v>87.575422018841905</v>
      </c>
      <c r="F152">
        <v>87.575422018841905</v>
      </c>
    </row>
    <row r="153" spans="1:6" x14ac:dyDescent="0.2">
      <c r="A153">
        <v>72</v>
      </c>
      <c r="B153" t="s">
        <v>480</v>
      </c>
      <c r="C153" s="1">
        <v>45346</v>
      </c>
      <c r="D153" t="s">
        <v>480</v>
      </c>
      <c r="E153">
        <v>8540.9267513838695</v>
      </c>
      <c r="F153">
        <v>8540.9267513838695</v>
      </c>
    </row>
    <row r="154" spans="1:6" x14ac:dyDescent="0.2">
      <c r="A154">
        <v>72</v>
      </c>
      <c r="B154" t="s">
        <v>481</v>
      </c>
      <c r="C154" s="1">
        <v>45310</v>
      </c>
      <c r="D154" t="s">
        <v>481</v>
      </c>
      <c r="E154">
        <v>77120.415158147604</v>
      </c>
      <c r="F154">
        <v>77120.415158147604</v>
      </c>
    </row>
    <row r="155" spans="1:6" x14ac:dyDescent="0.2">
      <c r="A155">
        <v>73</v>
      </c>
      <c r="B155" t="s">
        <v>482</v>
      </c>
      <c r="C155" s="1">
        <v>45446</v>
      </c>
      <c r="D155" t="s">
        <v>482</v>
      </c>
      <c r="E155">
        <v>93702.340603450706</v>
      </c>
      <c r="F155">
        <v>93702.340603450706</v>
      </c>
    </row>
    <row r="156" spans="1:6" x14ac:dyDescent="0.2">
      <c r="A156">
        <v>73</v>
      </c>
      <c r="B156" t="s">
        <v>483</v>
      </c>
      <c r="C156" s="1">
        <v>45500</v>
      </c>
      <c r="D156" t="s">
        <v>483</v>
      </c>
      <c r="E156">
        <v>3638.0031294154601</v>
      </c>
      <c r="F156">
        <v>3638.0031294154601</v>
      </c>
    </row>
    <row r="157" spans="1:6" x14ac:dyDescent="0.2">
      <c r="A157">
        <v>73</v>
      </c>
      <c r="B157" t="s">
        <v>484</v>
      </c>
      <c r="C157" s="1">
        <v>45324</v>
      </c>
      <c r="D157" t="s">
        <v>484</v>
      </c>
      <c r="E157">
        <v>1968.1277921425999</v>
      </c>
      <c r="F157">
        <v>1968.1277921425999</v>
      </c>
    </row>
    <row r="158" spans="1:6" x14ac:dyDescent="0.2">
      <c r="A158">
        <v>75</v>
      </c>
      <c r="B158" t="s">
        <v>151</v>
      </c>
      <c r="C158" s="1">
        <v>45589</v>
      </c>
      <c r="D158" t="s">
        <v>151</v>
      </c>
      <c r="E158">
        <v>893.90744813307595</v>
      </c>
      <c r="F158">
        <v>893.90744813307595</v>
      </c>
    </row>
    <row r="159" spans="1:6" x14ac:dyDescent="0.2">
      <c r="A159">
        <v>75</v>
      </c>
      <c r="B159" t="s">
        <v>197</v>
      </c>
      <c r="C159" s="1">
        <v>45365</v>
      </c>
      <c r="D159" t="s">
        <v>197</v>
      </c>
      <c r="E159">
        <v>5456.6570584639803</v>
      </c>
      <c r="F159">
        <v>5456.6570584639803</v>
      </c>
    </row>
    <row r="160" spans="1:6" x14ac:dyDescent="0.2">
      <c r="A160">
        <v>76</v>
      </c>
      <c r="B160" t="s">
        <v>485</v>
      </c>
      <c r="C160" s="1">
        <v>45620</v>
      </c>
      <c r="D160" t="s">
        <v>485</v>
      </c>
      <c r="E160">
        <v>358.15252454858501</v>
      </c>
      <c r="F160">
        <v>358.15252454858501</v>
      </c>
    </row>
    <row r="161" spans="1:6" x14ac:dyDescent="0.2">
      <c r="A161">
        <v>77</v>
      </c>
      <c r="B161" t="s">
        <v>152</v>
      </c>
      <c r="C161" s="1">
        <v>45346</v>
      </c>
      <c r="D161" t="s">
        <v>152</v>
      </c>
      <c r="E161">
        <v>5463.2819415602798</v>
      </c>
      <c r="F161">
        <v>5463.2819415602798</v>
      </c>
    </row>
    <row r="162" spans="1:6" x14ac:dyDescent="0.2">
      <c r="A162">
        <v>78</v>
      </c>
      <c r="B162" t="s">
        <v>486</v>
      </c>
      <c r="C162" s="1">
        <v>45335</v>
      </c>
      <c r="D162" t="s">
        <v>486</v>
      </c>
      <c r="E162">
        <v>5855.6350107328799</v>
      </c>
      <c r="F162">
        <v>5855.6350107328799</v>
      </c>
    </row>
    <row r="163" spans="1:6" x14ac:dyDescent="0.2">
      <c r="A163">
        <v>78</v>
      </c>
      <c r="B163" t="s">
        <v>487</v>
      </c>
      <c r="C163" s="1">
        <v>45639</v>
      </c>
      <c r="D163" t="s">
        <v>487</v>
      </c>
      <c r="E163">
        <v>996.98726565455195</v>
      </c>
      <c r="F163">
        <v>996.98726565455195</v>
      </c>
    </row>
    <row r="164" spans="1:6" x14ac:dyDescent="0.2">
      <c r="A164">
        <v>79</v>
      </c>
      <c r="B164" t="s">
        <v>488</v>
      </c>
      <c r="C164" s="1">
        <v>45375</v>
      </c>
      <c r="D164" t="s">
        <v>488</v>
      </c>
      <c r="E164">
        <v>229565.95115927499</v>
      </c>
      <c r="F164">
        <v>229565.95115927499</v>
      </c>
    </row>
    <row r="165" spans="1:6" x14ac:dyDescent="0.2">
      <c r="A165">
        <v>81</v>
      </c>
      <c r="B165" t="s">
        <v>153</v>
      </c>
      <c r="C165" s="1">
        <v>45488</v>
      </c>
      <c r="D165" t="s">
        <v>153</v>
      </c>
      <c r="E165">
        <v>10903.5957119166</v>
      </c>
      <c r="F165">
        <v>10903.5957119166</v>
      </c>
    </row>
    <row r="166" spans="1:6" x14ac:dyDescent="0.2">
      <c r="A166">
        <v>82</v>
      </c>
      <c r="B166" t="s">
        <v>489</v>
      </c>
      <c r="C166" s="1">
        <v>45355</v>
      </c>
      <c r="D166" t="s">
        <v>489</v>
      </c>
      <c r="E166">
        <v>27745.398607267602</v>
      </c>
      <c r="F166">
        <v>27745.398607267602</v>
      </c>
    </row>
    <row r="167" spans="1:6" x14ac:dyDescent="0.2">
      <c r="A167">
        <v>82</v>
      </c>
      <c r="B167" t="s">
        <v>490</v>
      </c>
      <c r="C167" s="1">
        <v>45368</v>
      </c>
      <c r="D167" t="s">
        <v>490</v>
      </c>
      <c r="E167">
        <v>1517.21130794745</v>
      </c>
      <c r="F167">
        <v>1517.21130794745</v>
      </c>
    </row>
    <row r="168" spans="1:6" x14ac:dyDescent="0.2">
      <c r="A168">
        <v>83</v>
      </c>
      <c r="B168" t="s">
        <v>198</v>
      </c>
      <c r="C168" s="1">
        <v>45557</v>
      </c>
      <c r="D168" t="s">
        <v>198</v>
      </c>
      <c r="E168">
        <v>1774.01279158445</v>
      </c>
      <c r="F168">
        <v>1774.01279158445</v>
      </c>
    </row>
    <row r="169" spans="1:6" x14ac:dyDescent="0.2">
      <c r="A169">
        <v>83</v>
      </c>
      <c r="B169" t="s">
        <v>199</v>
      </c>
      <c r="C169" s="1">
        <v>45492</v>
      </c>
      <c r="D169" t="s">
        <v>199</v>
      </c>
      <c r="E169">
        <v>114.240227031833</v>
      </c>
      <c r="F169">
        <v>114.240227031833</v>
      </c>
    </row>
    <row r="170" spans="1:6" x14ac:dyDescent="0.2">
      <c r="A170">
        <v>84</v>
      </c>
      <c r="B170" t="s">
        <v>154</v>
      </c>
      <c r="C170" s="1">
        <v>45549</v>
      </c>
      <c r="D170" t="s">
        <v>154</v>
      </c>
      <c r="E170">
        <v>2778866.4568899702</v>
      </c>
      <c r="F170">
        <v>2778866.4568899702</v>
      </c>
    </row>
    <row r="171" spans="1:6" x14ac:dyDescent="0.2">
      <c r="A171">
        <v>84</v>
      </c>
      <c r="B171" t="s">
        <v>491</v>
      </c>
      <c r="C171" s="1">
        <v>45545</v>
      </c>
      <c r="D171" t="s">
        <v>491</v>
      </c>
      <c r="E171">
        <v>89567.070862573193</v>
      </c>
      <c r="F171">
        <v>89567.070862573193</v>
      </c>
    </row>
    <row r="172" spans="1:6" x14ac:dyDescent="0.2">
      <c r="A172">
        <v>84</v>
      </c>
      <c r="B172" t="s">
        <v>200</v>
      </c>
      <c r="C172" s="1">
        <v>45403</v>
      </c>
      <c r="D172" t="s">
        <v>200</v>
      </c>
      <c r="E172">
        <v>267201.99043209199</v>
      </c>
      <c r="F172">
        <v>267201.99043209199</v>
      </c>
    </row>
    <row r="173" spans="1:6" x14ac:dyDescent="0.2">
      <c r="A173">
        <v>86</v>
      </c>
      <c r="B173" t="s">
        <v>492</v>
      </c>
      <c r="C173" s="1">
        <v>45434</v>
      </c>
      <c r="D173" t="s">
        <v>492</v>
      </c>
      <c r="E173">
        <v>473.60923561592398</v>
      </c>
      <c r="F173">
        <v>473.60923561592398</v>
      </c>
    </row>
    <row r="174" spans="1:6" x14ac:dyDescent="0.2">
      <c r="A174">
        <v>86</v>
      </c>
      <c r="B174" t="s">
        <v>493</v>
      </c>
      <c r="C174" s="1">
        <v>45525</v>
      </c>
      <c r="D174" t="s">
        <v>493</v>
      </c>
      <c r="E174">
        <v>4208.1221566003896</v>
      </c>
      <c r="F174">
        <v>4208.1221566003896</v>
      </c>
    </row>
    <row r="175" spans="1:6" x14ac:dyDescent="0.2">
      <c r="A175">
        <v>87</v>
      </c>
      <c r="B175" t="s">
        <v>494</v>
      </c>
      <c r="C175" s="1">
        <v>45426</v>
      </c>
      <c r="D175" t="s">
        <v>494</v>
      </c>
      <c r="E175">
        <v>108278.020112827</v>
      </c>
      <c r="F175">
        <v>108278.020112827</v>
      </c>
    </row>
    <row r="176" spans="1:6" x14ac:dyDescent="0.2">
      <c r="A176">
        <v>87</v>
      </c>
      <c r="B176" t="s">
        <v>495</v>
      </c>
      <c r="C176" s="1">
        <v>45612</v>
      </c>
      <c r="D176" t="s">
        <v>495</v>
      </c>
      <c r="E176">
        <v>222.323365363237</v>
      </c>
      <c r="F176">
        <v>222.323365363237</v>
      </c>
    </row>
    <row r="177" spans="1:6" x14ac:dyDescent="0.2">
      <c r="A177">
        <v>87</v>
      </c>
      <c r="B177" t="s">
        <v>496</v>
      </c>
      <c r="C177" s="1">
        <v>45300</v>
      </c>
      <c r="D177" t="s">
        <v>496</v>
      </c>
      <c r="E177">
        <v>55186.630050714099</v>
      </c>
      <c r="F177">
        <v>55186.630050714099</v>
      </c>
    </row>
    <row r="178" spans="1:6" x14ac:dyDescent="0.2">
      <c r="A178">
        <v>87</v>
      </c>
      <c r="B178" t="s">
        <v>497</v>
      </c>
      <c r="C178" s="1">
        <v>45646</v>
      </c>
      <c r="D178" t="s">
        <v>497</v>
      </c>
      <c r="E178">
        <v>11883720.033714101</v>
      </c>
      <c r="F178">
        <v>10000000</v>
      </c>
    </row>
    <row r="179" spans="1:6" x14ac:dyDescent="0.2">
      <c r="A179">
        <v>87</v>
      </c>
      <c r="B179" t="s">
        <v>498</v>
      </c>
      <c r="C179" s="1">
        <v>45572</v>
      </c>
      <c r="D179" t="s">
        <v>498</v>
      </c>
      <c r="E179">
        <v>1522.8723798967401</v>
      </c>
      <c r="F179">
        <v>1522.8723798967401</v>
      </c>
    </row>
    <row r="180" spans="1:6" x14ac:dyDescent="0.2">
      <c r="A180">
        <v>87</v>
      </c>
      <c r="B180" t="s">
        <v>499</v>
      </c>
      <c r="C180" s="1">
        <v>45421</v>
      </c>
      <c r="D180" t="s">
        <v>499</v>
      </c>
      <c r="E180">
        <v>102202.633469616</v>
      </c>
      <c r="F180">
        <v>102202.633469616</v>
      </c>
    </row>
    <row r="181" spans="1:6" x14ac:dyDescent="0.2">
      <c r="A181">
        <v>88</v>
      </c>
      <c r="B181" t="s">
        <v>500</v>
      </c>
      <c r="C181" s="1">
        <v>45639</v>
      </c>
      <c r="D181" t="s">
        <v>500</v>
      </c>
      <c r="E181">
        <v>135849.43813612399</v>
      </c>
      <c r="F181">
        <v>135849.43813612399</v>
      </c>
    </row>
    <row r="182" spans="1:6" x14ac:dyDescent="0.2">
      <c r="A182">
        <v>88</v>
      </c>
      <c r="B182" t="s">
        <v>501</v>
      </c>
      <c r="C182" s="1">
        <v>45358</v>
      </c>
      <c r="D182" t="s">
        <v>501</v>
      </c>
      <c r="E182">
        <v>3539.1664182693498</v>
      </c>
      <c r="F182">
        <v>3539.1664182693498</v>
      </c>
    </row>
    <row r="183" spans="1:6" x14ac:dyDescent="0.2">
      <c r="A183">
        <v>88</v>
      </c>
      <c r="B183" t="s">
        <v>502</v>
      </c>
      <c r="C183" s="1">
        <v>45657</v>
      </c>
      <c r="D183" t="s">
        <v>502</v>
      </c>
      <c r="E183">
        <v>1014.82057883808</v>
      </c>
      <c r="F183">
        <v>1014.82057883808</v>
      </c>
    </row>
    <row r="184" spans="1:6" x14ac:dyDescent="0.2">
      <c r="A184">
        <v>88</v>
      </c>
      <c r="B184" t="s">
        <v>503</v>
      </c>
      <c r="C184" s="1">
        <v>45511</v>
      </c>
      <c r="D184" t="s">
        <v>503</v>
      </c>
      <c r="E184">
        <v>813387.79023402301</v>
      </c>
      <c r="F184">
        <v>813387.79023402301</v>
      </c>
    </row>
    <row r="185" spans="1:6" x14ac:dyDescent="0.2">
      <c r="A185">
        <v>89</v>
      </c>
      <c r="B185" t="s">
        <v>504</v>
      </c>
      <c r="C185" s="1">
        <v>45459</v>
      </c>
      <c r="D185" t="s">
        <v>504</v>
      </c>
      <c r="E185">
        <v>695295.90370895097</v>
      </c>
      <c r="F185">
        <v>695295.90370895097</v>
      </c>
    </row>
    <row r="186" spans="1:6" x14ac:dyDescent="0.2">
      <c r="A186">
        <v>89</v>
      </c>
      <c r="B186" t="s">
        <v>505</v>
      </c>
      <c r="C186" s="1">
        <v>45452</v>
      </c>
      <c r="D186" t="s">
        <v>505</v>
      </c>
      <c r="E186">
        <v>230.760469520941</v>
      </c>
      <c r="F186">
        <v>230.760469520941</v>
      </c>
    </row>
    <row r="187" spans="1:6" x14ac:dyDescent="0.2">
      <c r="A187">
        <v>89</v>
      </c>
      <c r="B187" t="s">
        <v>201</v>
      </c>
      <c r="C187" s="1">
        <v>45320</v>
      </c>
      <c r="D187" t="s">
        <v>201</v>
      </c>
      <c r="E187">
        <v>10973.487927433</v>
      </c>
      <c r="F187">
        <v>10973.487927433</v>
      </c>
    </row>
    <row r="188" spans="1:6" x14ac:dyDescent="0.2">
      <c r="A188">
        <v>89</v>
      </c>
      <c r="B188" t="s">
        <v>202</v>
      </c>
      <c r="C188" s="1">
        <v>45412</v>
      </c>
      <c r="D188" t="s">
        <v>202</v>
      </c>
      <c r="E188">
        <v>40093.434049720803</v>
      </c>
      <c r="F188">
        <v>40093.434049720803</v>
      </c>
    </row>
    <row r="189" spans="1:6" x14ac:dyDescent="0.2">
      <c r="A189">
        <v>90</v>
      </c>
      <c r="B189" t="s">
        <v>506</v>
      </c>
      <c r="C189" s="1">
        <v>45444</v>
      </c>
      <c r="D189" t="s">
        <v>506</v>
      </c>
      <c r="E189">
        <v>144899.03310295101</v>
      </c>
      <c r="F189">
        <v>144899.03310295101</v>
      </c>
    </row>
    <row r="190" spans="1:6" x14ac:dyDescent="0.2">
      <c r="A190">
        <v>92</v>
      </c>
      <c r="B190" t="s">
        <v>155</v>
      </c>
      <c r="C190" s="1">
        <v>45515</v>
      </c>
      <c r="D190" t="s">
        <v>155</v>
      </c>
      <c r="E190">
        <v>1260894.9180292301</v>
      </c>
      <c r="F190">
        <v>1260894.9180292301</v>
      </c>
    </row>
    <row r="191" spans="1:6" x14ac:dyDescent="0.2">
      <c r="A191">
        <v>92</v>
      </c>
      <c r="B191" t="s">
        <v>156</v>
      </c>
      <c r="C191" s="1">
        <v>45299</v>
      </c>
      <c r="D191" t="s">
        <v>156</v>
      </c>
      <c r="E191">
        <v>3958.2638186160698</v>
      </c>
      <c r="F191">
        <v>3958.2638186160698</v>
      </c>
    </row>
    <row r="192" spans="1:6" x14ac:dyDescent="0.2">
      <c r="A192">
        <v>93</v>
      </c>
      <c r="B192" t="s">
        <v>203</v>
      </c>
      <c r="C192" s="1">
        <v>45643</v>
      </c>
      <c r="D192" t="s">
        <v>203</v>
      </c>
      <c r="E192">
        <v>312.40628009404202</v>
      </c>
      <c r="F192">
        <v>312.40628009404202</v>
      </c>
    </row>
    <row r="193" spans="1:6" x14ac:dyDescent="0.2">
      <c r="A193">
        <v>94</v>
      </c>
      <c r="B193" t="s">
        <v>507</v>
      </c>
      <c r="C193" s="1">
        <v>45508</v>
      </c>
      <c r="D193" t="s">
        <v>507</v>
      </c>
      <c r="E193">
        <v>61069.118390519798</v>
      </c>
      <c r="F193">
        <v>61069.118390519798</v>
      </c>
    </row>
    <row r="194" spans="1:6" x14ac:dyDescent="0.2">
      <c r="A194">
        <v>94</v>
      </c>
      <c r="B194" t="s">
        <v>508</v>
      </c>
      <c r="C194" s="1">
        <v>45475</v>
      </c>
      <c r="D194" t="s">
        <v>508</v>
      </c>
      <c r="E194">
        <v>10061.7889637671</v>
      </c>
      <c r="F194">
        <v>10061.7889637671</v>
      </c>
    </row>
    <row r="195" spans="1:6" x14ac:dyDescent="0.2">
      <c r="A195">
        <v>95</v>
      </c>
      <c r="B195" t="s">
        <v>204</v>
      </c>
      <c r="C195" s="1">
        <v>45347</v>
      </c>
      <c r="D195" t="s">
        <v>204</v>
      </c>
      <c r="E195">
        <v>8763.0620853990895</v>
      </c>
      <c r="F195">
        <v>8763.0620853990895</v>
      </c>
    </row>
    <row r="196" spans="1:6" x14ac:dyDescent="0.2">
      <c r="A196">
        <v>96</v>
      </c>
      <c r="B196" t="s">
        <v>509</v>
      </c>
      <c r="C196" s="1">
        <v>45390</v>
      </c>
      <c r="D196" t="s">
        <v>509</v>
      </c>
      <c r="E196">
        <v>701.49289169043197</v>
      </c>
      <c r="F196">
        <v>701.49289169043197</v>
      </c>
    </row>
    <row r="197" spans="1:6" x14ac:dyDescent="0.2">
      <c r="A197">
        <v>97</v>
      </c>
      <c r="B197" t="s">
        <v>510</v>
      </c>
      <c r="C197" s="1">
        <v>45513</v>
      </c>
      <c r="D197" t="s">
        <v>510</v>
      </c>
      <c r="E197">
        <v>102.213494366341</v>
      </c>
      <c r="F197">
        <v>102.213494366341</v>
      </c>
    </row>
    <row r="198" spans="1:6" x14ac:dyDescent="0.2">
      <c r="A198">
        <v>97</v>
      </c>
      <c r="B198" t="s">
        <v>205</v>
      </c>
      <c r="C198" s="1">
        <v>45299</v>
      </c>
      <c r="D198" t="s">
        <v>205</v>
      </c>
      <c r="E198">
        <v>1499.84315676706</v>
      </c>
      <c r="F198">
        <v>1499.84315676706</v>
      </c>
    </row>
    <row r="199" spans="1:6" x14ac:dyDescent="0.2">
      <c r="A199">
        <v>97</v>
      </c>
      <c r="B199" t="s">
        <v>157</v>
      </c>
      <c r="C199" s="1">
        <v>45439</v>
      </c>
      <c r="D199" t="s">
        <v>157</v>
      </c>
      <c r="E199">
        <v>2554607.4932327298</v>
      </c>
      <c r="F199">
        <v>2554607.4932327298</v>
      </c>
    </row>
    <row r="200" spans="1:6" x14ac:dyDescent="0.2">
      <c r="A200">
        <v>99</v>
      </c>
      <c r="B200" t="s">
        <v>511</v>
      </c>
      <c r="C200" s="1">
        <v>45308</v>
      </c>
      <c r="D200" t="s">
        <v>511</v>
      </c>
      <c r="E200">
        <v>772.36144461308197</v>
      </c>
      <c r="F200">
        <v>772.36144461308197</v>
      </c>
    </row>
    <row r="201" spans="1:6" x14ac:dyDescent="0.2">
      <c r="A201">
        <v>99</v>
      </c>
      <c r="B201" t="s">
        <v>512</v>
      </c>
      <c r="C201" s="1">
        <v>45428</v>
      </c>
      <c r="D201" t="s">
        <v>512</v>
      </c>
      <c r="E201">
        <v>46582.2206893084</v>
      </c>
      <c r="F201">
        <v>46582.2206893084</v>
      </c>
    </row>
    <row r="202" spans="1:6" x14ac:dyDescent="0.2">
      <c r="A202">
        <v>100</v>
      </c>
      <c r="B202" t="s">
        <v>206</v>
      </c>
      <c r="C202" s="1">
        <v>45476</v>
      </c>
      <c r="D202" t="s">
        <v>206</v>
      </c>
      <c r="E202">
        <v>1.7694627388187001</v>
      </c>
      <c r="F202">
        <v>1.7694627388187001</v>
      </c>
    </row>
    <row r="203" spans="1:6" x14ac:dyDescent="0.2">
      <c r="A203">
        <v>100</v>
      </c>
      <c r="B203" t="s">
        <v>207</v>
      </c>
      <c r="C203" s="1">
        <v>45435</v>
      </c>
      <c r="D203" t="s">
        <v>207</v>
      </c>
      <c r="E203">
        <v>32692.598063814901</v>
      </c>
      <c r="F203">
        <v>32692.598063814901</v>
      </c>
    </row>
    <row r="204" spans="1:6" x14ac:dyDescent="0.2">
      <c r="A204">
        <v>101</v>
      </c>
      <c r="B204" t="s">
        <v>208</v>
      </c>
      <c r="C204" s="1">
        <v>45317</v>
      </c>
      <c r="D204" t="s">
        <v>208</v>
      </c>
      <c r="E204">
        <v>3437.3762084044401</v>
      </c>
      <c r="F204">
        <v>3437.3762084044401</v>
      </c>
    </row>
    <row r="205" spans="1:6" x14ac:dyDescent="0.2">
      <c r="A205">
        <v>101</v>
      </c>
      <c r="B205" t="s">
        <v>513</v>
      </c>
      <c r="C205" s="1">
        <v>45560</v>
      </c>
      <c r="D205" t="s">
        <v>513</v>
      </c>
      <c r="E205">
        <v>36767.837600747996</v>
      </c>
      <c r="F205">
        <v>36767.837600747996</v>
      </c>
    </row>
    <row r="206" spans="1:6" x14ac:dyDescent="0.2">
      <c r="A206">
        <v>102</v>
      </c>
      <c r="B206" t="s">
        <v>209</v>
      </c>
      <c r="C206" s="1">
        <v>45319</v>
      </c>
      <c r="D206" t="s">
        <v>209</v>
      </c>
      <c r="E206">
        <v>71599.323257860597</v>
      </c>
      <c r="F206">
        <v>71599.323257860597</v>
      </c>
    </row>
    <row r="207" spans="1:6" x14ac:dyDescent="0.2">
      <c r="A207">
        <v>103</v>
      </c>
      <c r="B207" t="s">
        <v>514</v>
      </c>
      <c r="C207" s="1">
        <v>45601</v>
      </c>
      <c r="D207" t="s">
        <v>514</v>
      </c>
      <c r="E207">
        <v>2147323.1644978798</v>
      </c>
      <c r="F207">
        <v>2147323.1644978798</v>
      </c>
    </row>
    <row r="208" spans="1:6" x14ac:dyDescent="0.2">
      <c r="A208">
        <v>103</v>
      </c>
      <c r="B208" t="s">
        <v>515</v>
      </c>
      <c r="C208" s="1">
        <v>45444</v>
      </c>
      <c r="D208" t="s">
        <v>515</v>
      </c>
      <c r="E208">
        <v>203218.448585037</v>
      </c>
      <c r="F208">
        <v>203218.448585037</v>
      </c>
    </row>
    <row r="209" spans="1:6" x14ac:dyDescent="0.2">
      <c r="A209">
        <v>104</v>
      </c>
      <c r="B209" t="s">
        <v>516</v>
      </c>
      <c r="C209" s="1">
        <v>45368</v>
      </c>
      <c r="D209" t="s">
        <v>516</v>
      </c>
      <c r="E209">
        <v>7581982.4692465896</v>
      </c>
      <c r="F209">
        <v>7581982.4692465896</v>
      </c>
    </row>
    <row r="210" spans="1:6" x14ac:dyDescent="0.2">
      <c r="A210">
        <v>104</v>
      </c>
      <c r="B210" t="s">
        <v>517</v>
      </c>
      <c r="C210" s="1">
        <v>45639</v>
      </c>
      <c r="D210" t="s">
        <v>517</v>
      </c>
      <c r="E210">
        <v>398.48495577907403</v>
      </c>
      <c r="F210">
        <v>398.48495577907403</v>
      </c>
    </row>
    <row r="211" spans="1:6" x14ac:dyDescent="0.2">
      <c r="A211">
        <v>104</v>
      </c>
      <c r="B211" t="s">
        <v>518</v>
      </c>
      <c r="C211" s="1">
        <v>45463</v>
      </c>
      <c r="D211" t="s">
        <v>518</v>
      </c>
      <c r="E211">
        <v>11134.956989152301</v>
      </c>
      <c r="F211">
        <v>11134.956989152301</v>
      </c>
    </row>
    <row r="212" spans="1:6" x14ac:dyDescent="0.2">
      <c r="A212">
        <v>104</v>
      </c>
      <c r="B212" t="s">
        <v>519</v>
      </c>
      <c r="C212" s="1">
        <v>45363</v>
      </c>
      <c r="D212" t="s">
        <v>519</v>
      </c>
      <c r="E212">
        <v>77934234.976338595</v>
      </c>
      <c r="F212">
        <v>10000000</v>
      </c>
    </row>
    <row r="213" spans="1:6" x14ac:dyDescent="0.2">
      <c r="A213">
        <v>104</v>
      </c>
      <c r="B213" t="s">
        <v>520</v>
      </c>
      <c r="C213" s="1">
        <v>45417</v>
      </c>
      <c r="D213" t="s">
        <v>520</v>
      </c>
      <c r="E213">
        <v>8597.5104103864305</v>
      </c>
      <c r="F213">
        <v>8597.5104103864305</v>
      </c>
    </row>
    <row r="214" spans="1:6" x14ac:dyDescent="0.2">
      <c r="A214">
        <v>105</v>
      </c>
      <c r="B214" t="s">
        <v>521</v>
      </c>
      <c r="C214" s="1">
        <v>45378</v>
      </c>
      <c r="D214" t="s">
        <v>521</v>
      </c>
      <c r="E214">
        <v>9565.3247974706392</v>
      </c>
      <c r="F214">
        <v>9565.3247974706392</v>
      </c>
    </row>
    <row r="215" spans="1:6" x14ac:dyDescent="0.2">
      <c r="A215">
        <v>105</v>
      </c>
      <c r="B215" t="s">
        <v>522</v>
      </c>
      <c r="C215" s="1">
        <v>45385</v>
      </c>
      <c r="D215" t="s">
        <v>522</v>
      </c>
      <c r="E215">
        <v>301398.72738497402</v>
      </c>
      <c r="F215">
        <v>301398.72738497402</v>
      </c>
    </row>
    <row r="216" spans="1:6" x14ac:dyDescent="0.2">
      <c r="A216">
        <v>106</v>
      </c>
      <c r="B216" t="s">
        <v>523</v>
      </c>
      <c r="C216" s="1">
        <v>45557</v>
      </c>
      <c r="D216" t="s">
        <v>523</v>
      </c>
      <c r="E216">
        <v>849.27315074381102</v>
      </c>
      <c r="F216">
        <v>849.27315074381102</v>
      </c>
    </row>
    <row r="217" spans="1:6" x14ac:dyDescent="0.2">
      <c r="A217">
        <v>106</v>
      </c>
      <c r="B217" t="s">
        <v>524</v>
      </c>
      <c r="C217" s="1">
        <v>45377</v>
      </c>
      <c r="D217" t="s">
        <v>524</v>
      </c>
      <c r="E217">
        <v>10227.820013091799</v>
      </c>
      <c r="F217">
        <v>10227.820013091799</v>
      </c>
    </row>
    <row r="218" spans="1:6" x14ac:dyDescent="0.2">
      <c r="A218">
        <v>106</v>
      </c>
      <c r="B218" t="s">
        <v>210</v>
      </c>
      <c r="C218" s="1">
        <v>45333</v>
      </c>
      <c r="D218" t="s">
        <v>210</v>
      </c>
      <c r="E218">
        <v>1379.7872044293699</v>
      </c>
      <c r="F218">
        <v>1379.7872044293699</v>
      </c>
    </row>
    <row r="219" spans="1:6" x14ac:dyDescent="0.2">
      <c r="A219">
        <v>106</v>
      </c>
      <c r="B219" t="s">
        <v>211</v>
      </c>
      <c r="C219" s="1">
        <v>45391</v>
      </c>
      <c r="D219" t="s">
        <v>211</v>
      </c>
      <c r="E219">
        <v>15877.445417394199</v>
      </c>
      <c r="F219">
        <v>15877.445417394199</v>
      </c>
    </row>
    <row r="220" spans="1:6" x14ac:dyDescent="0.2">
      <c r="A220">
        <v>107</v>
      </c>
      <c r="B220" t="s">
        <v>525</v>
      </c>
      <c r="C220" s="1">
        <v>45492</v>
      </c>
      <c r="D220" t="s">
        <v>525</v>
      </c>
      <c r="E220">
        <v>1848.96554336229</v>
      </c>
      <c r="F220">
        <v>1848.96554336229</v>
      </c>
    </row>
    <row r="221" spans="1:6" x14ac:dyDescent="0.2">
      <c r="A221">
        <v>107</v>
      </c>
      <c r="B221" t="s">
        <v>35</v>
      </c>
      <c r="C221" s="1">
        <v>45502</v>
      </c>
      <c r="D221" t="s">
        <v>35</v>
      </c>
      <c r="E221">
        <v>2021.3445144628599</v>
      </c>
      <c r="F221">
        <v>2021.3445144628599</v>
      </c>
    </row>
    <row r="222" spans="1:6" x14ac:dyDescent="0.2">
      <c r="A222">
        <v>107</v>
      </c>
      <c r="B222" t="s">
        <v>36</v>
      </c>
      <c r="C222" s="1">
        <v>45326</v>
      </c>
      <c r="D222" t="s">
        <v>36</v>
      </c>
      <c r="E222">
        <v>5161.2382071376696</v>
      </c>
      <c r="F222">
        <v>5161.2382071376696</v>
      </c>
    </row>
    <row r="223" spans="1:6" x14ac:dyDescent="0.2">
      <c r="A223">
        <v>107</v>
      </c>
      <c r="B223" t="s">
        <v>37</v>
      </c>
      <c r="C223" s="1">
        <v>45482</v>
      </c>
      <c r="D223" t="s">
        <v>37</v>
      </c>
      <c r="E223">
        <v>1401.2062364855401</v>
      </c>
      <c r="F223">
        <v>1401.2062364855401</v>
      </c>
    </row>
    <row r="224" spans="1:6" x14ac:dyDescent="0.2">
      <c r="A224">
        <v>108</v>
      </c>
      <c r="B224" t="s">
        <v>526</v>
      </c>
      <c r="C224" s="1">
        <v>45582</v>
      </c>
      <c r="D224" t="s">
        <v>526</v>
      </c>
      <c r="E224">
        <v>13517.8220483567</v>
      </c>
      <c r="F224">
        <v>13517.8220483567</v>
      </c>
    </row>
    <row r="225" spans="1:6" x14ac:dyDescent="0.2">
      <c r="A225">
        <v>108</v>
      </c>
      <c r="B225" t="s">
        <v>212</v>
      </c>
      <c r="C225" s="1">
        <v>45448</v>
      </c>
      <c r="D225" t="s">
        <v>212</v>
      </c>
      <c r="E225">
        <v>333.45445217928102</v>
      </c>
      <c r="F225">
        <v>333.45445217928102</v>
      </c>
    </row>
    <row r="226" spans="1:6" x14ac:dyDescent="0.2">
      <c r="A226">
        <v>109</v>
      </c>
      <c r="B226" t="s">
        <v>158</v>
      </c>
      <c r="C226" s="1">
        <v>45325</v>
      </c>
      <c r="D226" t="s">
        <v>158</v>
      </c>
      <c r="E226">
        <v>4240332.7524467297</v>
      </c>
      <c r="F226">
        <v>4240332.7524467297</v>
      </c>
    </row>
    <row r="227" spans="1:6" x14ac:dyDescent="0.2">
      <c r="A227">
        <v>109</v>
      </c>
      <c r="B227" t="s">
        <v>527</v>
      </c>
      <c r="C227" s="1">
        <v>45492</v>
      </c>
      <c r="D227" t="s">
        <v>527</v>
      </c>
      <c r="E227">
        <v>1058.3756051602099</v>
      </c>
      <c r="F227">
        <v>1058.3756051602099</v>
      </c>
    </row>
    <row r="228" spans="1:6" x14ac:dyDescent="0.2">
      <c r="A228">
        <v>110</v>
      </c>
      <c r="B228" t="s">
        <v>213</v>
      </c>
      <c r="C228" s="1">
        <v>45420</v>
      </c>
      <c r="D228" t="s">
        <v>213</v>
      </c>
      <c r="E228">
        <v>20551.532023812299</v>
      </c>
      <c r="F228">
        <v>20551.532023812299</v>
      </c>
    </row>
    <row r="229" spans="1:6" x14ac:dyDescent="0.2">
      <c r="A229">
        <v>111</v>
      </c>
      <c r="B229" t="s">
        <v>528</v>
      </c>
      <c r="C229" s="1">
        <v>45394</v>
      </c>
      <c r="D229" t="s">
        <v>528</v>
      </c>
      <c r="E229">
        <v>2600153.3534762501</v>
      </c>
      <c r="F229">
        <v>2600153.3534762501</v>
      </c>
    </row>
    <row r="230" spans="1:6" x14ac:dyDescent="0.2">
      <c r="A230">
        <v>111</v>
      </c>
      <c r="B230" t="s">
        <v>529</v>
      </c>
      <c r="C230" s="1">
        <v>45371</v>
      </c>
      <c r="D230" t="s">
        <v>529</v>
      </c>
      <c r="E230">
        <v>48792.423013642801</v>
      </c>
      <c r="F230">
        <v>48792.423013642801</v>
      </c>
    </row>
    <row r="231" spans="1:6" x14ac:dyDescent="0.2">
      <c r="A231">
        <v>111</v>
      </c>
      <c r="B231" t="s">
        <v>159</v>
      </c>
      <c r="C231" s="1">
        <v>45637</v>
      </c>
      <c r="D231" t="s">
        <v>159</v>
      </c>
      <c r="E231">
        <v>13359.5820392522</v>
      </c>
      <c r="F231">
        <v>13359.5820392522</v>
      </c>
    </row>
    <row r="232" spans="1:6" x14ac:dyDescent="0.2">
      <c r="A232">
        <v>111</v>
      </c>
      <c r="B232" t="s">
        <v>214</v>
      </c>
      <c r="C232" s="1">
        <v>45293</v>
      </c>
      <c r="D232" t="s">
        <v>214</v>
      </c>
      <c r="E232">
        <v>12229.379755849201</v>
      </c>
      <c r="F232">
        <v>12229.379755849201</v>
      </c>
    </row>
    <row r="233" spans="1:6" x14ac:dyDescent="0.2">
      <c r="A233">
        <v>112</v>
      </c>
      <c r="B233" t="s">
        <v>530</v>
      </c>
      <c r="C233" s="1">
        <v>45449</v>
      </c>
      <c r="D233" t="s">
        <v>530</v>
      </c>
      <c r="E233">
        <v>1359.39637802281</v>
      </c>
      <c r="F233">
        <v>1359.39637802281</v>
      </c>
    </row>
    <row r="234" spans="1:6" x14ac:dyDescent="0.2">
      <c r="A234">
        <v>114</v>
      </c>
      <c r="B234" t="s">
        <v>531</v>
      </c>
      <c r="C234" s="1">
        <v>45486</v>
      </c>
      <c r="D234" t="s">
        <v>531</v>
      </c>
      <c r="E234">
        <v>2471.5633117096399</v>
      </c>
      <c r="F234">
        <v>2471.5633117096399</v>
      </c>
    </row>
    <row r="235" spans="1:6" x14ac:dyDescent="0.2">
      <c r="A235">
        <v>114</v>
      </c>
      <c r="B235" t="s">
        <v>532</v>
      </c>
      <c r="C235" s="1">
        <v>45478</v>
      </c>
      <c r="D235" t="s">
        <v>532</v>
      </c>
      <c r="E235">
        <v>120338.29248799301</v>
      </c>
      <c r="F235">
        <v>120338.29248799301</v>
      </c>
    </row>
    <row r="236" spans="1:6" x14ac:dyDescent="0.2">
      <c r="A236">
        <v>114</v>
      </c>
      <c r="B236" t="s">
        <v>38</v>
      </c>
      <c r="C236" s="1">
        <v>45406</v>
      </c>
      <c r="D236" t="s">
        <v>38</v>
      </c>
      <c r="E236">
        <v>670.19279048830504</v>
      </c>
      <c r="F236">
        <v>670.19279048830504</v>
      </c>
    </row>
    <row r="237" spans="1:6" x14ac:dyDescent="0.2">
      <c r="A237">
        <v>114</v>
      </c>
      <c r="B237" t="s">
        <v>39</v>
      </c>
      <c r="C237" s="1">
        <v>45529</v>
      </c>
      <c r="D237" t="s">
        <v>39</v>
      </c>
      <c r="E237">
        <v>3006.0009899576999</v>
      </c>
      <c r="F237">
        <v>3006.0009899576999</v>
      </c>
    </row>
    <row r="238" spans="1:6" x14ac:dyDescent="0.2">
      <c r="A238">
        <v>114</v>
      </c>
      <c r="B238" t="s">
        <v>533</v>
      </c>
      <c r="C238" s="1">
        <v>45339</v>
      </c>
      <c r="D238" t="s">
        <v>533</v>
      </c>
      <c r="E238">
        <v>74790.307087772104</v>
      </c>
      <c r="F238">
        <v>74790.307087772104</v>
      </c>
    </row>
    <row r="239" spans="1:6" x14ac:dyDescent="0.2">
      <c r="A239">
        <v>115</v>
      </c>
      <c r="B239" t="s">
        <v>40</v>
      </c>
      <c r="C239" s="1">
        <v>45335</v>
      </c>
      <c r="D239" t="s">
        <v>40</v>
      </c>
      <c r="E239">
        <v>50329.015324999702</v>
      </c>
      <c r="F239">
        <v>50329.015324999702</v>
      </c>
    </row>
    <row r="240" spans="1:6" x14ac:dyDescent="0.2">
      <c r="A240">
        <v>115</v>
      </c>
      <c r="B240" t="s">
        <v>534</v>
      </c>
      <c r="C240" s="1">
        <v>45452</v>
      </c>
      <c r="D240" t="s">
        <v>534</v>
      </c>
      <c r="E240">
        <v>104.32667266140101</v>
      </c>
      <c r="F240">
        <v>104.32667266140101</v>
      </c>
    </row>
    <row r="241" spans="1:6" x14ac:dyDescent="0.2">
      <c r="A241">
        <v>115</v>
      </c>
      <c r="B241" t="s">
        <v>160</v>
      </c>
      <c r="C241" s="1">
        <v>45455</v>
      </c>
      <c r="D241" t="s">
        <v>160</v>
      </c>
      <c r="E241">
        <v>34264.900481074801</v>
      </c>
      <c r="F241">
        <v>34264.900481074801</v>
      </c>
    </row>
    <row r="242" spans="1:6" x14ac:dyDescent="0.2">
      <c r="A242">
        <v>116</v>
      </c>
      <c r="B242" t="s">
        <v>215</v>
      </c>
      <c r="C242" s="1">
        <v>45626</v>
      </c>
      <c r="D242" t="s">
        <v>215</v>
      </c>
      <c r="E242">
        <v>40759.576463869198</v>
      </c>
      <c r="F242">
        <v>40759.576463869198</v>
      </c>
    </row>
    <row r="243" spans="1:6" x14ac:dyDescent="0.2">
      <c r="A243">
        <v>117</v>
      </c>
      <c r="B243" t="s">
        <v>535</v>
      </c>
      <c r="C243" s="1">
        <v>45437</v>
      </c>
      <c r="D243" t="s">
        <v>535</v>
      </c>
      <c r="E243">
        <v>11639.479314587001</v>
      </c>
      <c r="F243">
        <v>11639.479314587001</v>
      </c>
    </row>
    <row r="244" spans="1:6" x14ac:dyDescent="0.2">
      <c r="A244">
        <v>117</v>
      </c>
      <c r="B244" t="s">
        <v>536</v>
      </c>
      <c r="C244" s="1">
        <v>45655</v>
      </c>
      <c r="D244" t="s">
        <v>536</v>
      </c>
      <c r="E244">
        <v>108114.41056568301</v>
      </c>
      <c r="F244">
        <v>108114.41056568301</v>
      </c>
    </row>
    <row r="245" spans="1:6" x14ac:dyDescent="0.2">
      <c r="A245">
        <v>118</v>
      </c>
      <c r="B245" t="s">
        <v>537</v>
      </c>
      <c r="C245" s="1">
        <v>45342</v>
      </c>
      <c r="D245" t="s">
        <v>537</v>
      </c>
      <c r="E245">
        <v>2954216.5488196998</v>
      </c>
      <c r="F245">
        <v>2954216.5488196998</v>
      </c>
    </row>
    <row r="246" spans="1:6" x14ac:dyDescent="0.2">
      <c r="A246">
        <v>118</v>
      </c>
      <c r="B246" t="s">
        <v>538</v>
      </c>
      <c r="C246" s="1">
        <v>45563</v>
      </c>
      <c r="D246" t="s">
        <v>538</v>
      </c>
      <c r="E246">
        <v>7441.4041194470401</v>
      </c>
      <c r="F246">
        <v>7441.4041194470401</v>
      </c>
    </row>
    <row r="247" spans="1:6" x14ac:dyDescent="0.2">
      <c r="A247">
        <v>118</v>
      </c>
      <c r="B247" t="s">
        <v>539</v>
      </c>
      <c r="C247" s="1">
        <v>45302</v>
      </c>
      <c r="D247" t="s">
        <v>539</v>
      </c>
      <c r="E247">
        <v>9.5147833293102</v>
      </c>
      <c r="F247">
        <v>9.5147833293102</v>
      </c>
    </row>
    <row r="248" spans="1:6" x14ac:dyDescent="0.2">
      <c r="A248">
        <v>118</v>
      </c>
      <c r="B248" t="s">
        <v>540</v>
      </c>
      <c r="C248" s="1">
        <v>45521</v>
      </c>
      <c r="D248" t="s">
        <v>540</v>
      </c>
      <c r="E248">
        <v>8906.8686258372509</v>
      </c>
      <c r="F248">
        <v>8906.8686258372509</v>
      </c>
    </row>
    <row r="249" spans="1:6" x14ac:dyDescent="0.2">
      <c r="A249">
        <v>118</v>
      </c>
      <c r="B249" t="s">
        <v>541</v>
      </c>
      <c r="C249" s="1">
        <v>45643</v>
      </c>
      <c r="D249" t="s">
        <v>541</v>
      </c>
      <c r="E249">
        <v>15013.1779642203</v>
      </c>
      <c r="F249">
        <v>15013.1779642203</v>
      </c>
    </row>
    <row r="250" spans="1:6" x14ac:dyDescent="0.2">
      <c r="A250">
        <v>119</v>
      </c>
      <c r="B250" t="s">
        <v>216</v>
      </c>
      <c r="C250" s="1">
        <v>45436</v>
      </c>
      <c r="D250" t="s">
        <v>216</v>
      </c>
      <c r="E250">
        <v>5839.3318342019802</v>
      </c>
      <c r="F250">
        <v>5839.3318342019802</v>
      </c>
    </row>
    <row r="251" spans="1:6" x14ac:dyDescent="0.2">
      <c r="A251">
        <v>119</v>
      </c>
      <c r="B251" t="s">
        <v>542</v>
      </c>
      <c r="C251" s="1">
        <v>45424</v>
      </c>
      <c r="D251" t="s">
        <v>542</v>
      </c>
      <c r="E251">
        <v>1061.59036643386</v>
      </c>
      <c r="F251">
        <v>1061.59036643386</v>
      </c>
    </row>
    <row r="252" spans="1:6" x14ac:dyDescent="0.2">
      <c r="A252">
        <v>120</v>
      </c>
      <c r="B252" t="s">
        <v>543</v>
      </c>
      <c r="C252" s="1">
        <v>45534</v>
      </c>
      <c r="D252" t="s">
        <v>543</v>
      </c>
      <c r="E252">
        <v>25783.576709889599</v>
      </c>
      <c r="F252">
        <v>25783.576709889599</v>
      </c>
    </row>
    <row r="253" spans="1:6" x14ac:dyDescent="0.2">
      <c r="A253">
        <v>121</v>
      </c>
      <c r="B253" t="s">
        <v>161</v>
      </c>
      <c r="C253" s="1">
        <v>45380</v>
      </c>
      <c r="D253" t="s">
        <v>161</v>
      </c>
      <c r="E253">
        <v>22.5306634934852</v>
      </c>
      <c r="F253">
        <v>22.5306634934852</v>
      </c>
    </row>
    <row r="254" spans="1:6" x14ac:dyDescent="0.2">
      <c r="A254">
        <v>121</v>
      </c>
      <c r="B254" t="s">
        <v>544</v>
      </c>
      <c r="C254" s="1">
        <v>45434</v>
      </c>
      <c r="D254" t="s">
        <v>544</v>
      </c>
      <c r="E254">
        <v>281.54740527714199</v>
      </c>
      <c r="F254">
        <v>281.54740527714199</v>
      </c>
    </row>
    <row r="255" spans="1:6" x14ac:dyDescent="0.2">
      <c r="A255">
        <v>122</v>
      </c>
      <c r="B255" t="s">
        <v>41</v>
      </c>
      <c r="C255" s="1">
        <v>45321</v>
      </c>
      <c r="D255" t="s">
        <v>41</v>
      </c>
      <c r="E255">
        <v>1012.40747917012</v>
      </c>
      <c r="F255">
        <v>1012.40747917012</v>
      </c>
    </row>
    <row r="256" spans="1:6" x14ac:dyDescent="0.2">
      <c r="A256">
        <v>123</v>
      </c>
      <c r="B256" t="s">
        <v>545</v>
      </c>
      <c r="C256" s="1">
        <v>45421</v>
      </c>
      <c r="D256" t="s">
        <v>545</v>
      </c>
      <c r="E256">
        <v>403.73509201375902</v>
      </c>
      <c r="F256">
        <v>403.73509201375902</v>
      </c>
    </row>
    <row r="257" spans="1:6" x14ac:dyDescent="0.2">
      <c r="A257">
        <v>124</v>
      </c>
      <c r="B257" t="s">
        <v>42</v>
      </c>
      <c r="C257" s="1">
        <v>45314</v>
      </c>
      <c r="D257" t="s">
        <v>42</v>
      </c>
      <c r="E257">
        <v>407.27272737671399</v>
      </c>
      <c r="F257">
        <v>407.27272737671399</v>
      </c>
    </row>
    <row r="258" spans="1:6" x14ac:dyDescent="0.2">
      <c r="A258">
        <v>125</v>
      </c>
      <c r="B258" t="s">
        <v>546</v>
      </c>
      <c r="C258" s="1">
        <v>45568</v>
      </c>
      <c r="D258" t="s">
        <v>546</v>
      </c>
      <c r="E258">
        <v>514.46887535278904</v>
      </c>
      <c r="F258">
        <v>514.46887535278904</v>
      </c>
    </row>
    <row r="259" spans="1:6" x14ac:dyDescent="0.2">
      <c r="A259">
        <v>126</v>
      </c>
      <c r="B259" t="s">
        <v>547</v>
      </c>
      <c r="C259" s="1">
        <v>45323</v>
      </c>
      <c r="D259" t="s">
        <v>547</v>
      </c>
      <c r="E259">
        <v>3955.6997620693801</v>
      </c>
      <c r="F259">
        <v>3955.6997620693801</v>
      </c>
    </row>
    <row r="260" spans="1:6" x14ac:dyDescent="0.2">
      <c r="A260">
        <v>126</v>
      </c>
      <c r="B260" t="s">
        <v>548</v>
      </c>
      <c r="C260" s="1">
        <v>45339</v>
      </c>
      <c r="D260" t="s">
        <v>548</v>
      </c>
      <c r="E260">
        <v>34573.8398547119</v>
      </c>
      <c r="F260">
        <v>34573.8398547119</v>
      </c>
    </row>
    <row r="261" spans="1:6" x14ac:dyDescent="0.2">
      <c r="A261">
        <v>126</v>
      </c>
      <c r="B261" t="s">
        <v>549</v>
      </c>
      <c r="C261" s="1">
        <v>45562</v>
      </c>
      <c r="D261" t="s">
        <v>549</v>
      </c>
      <c r="E261">
        <v>3090.3062453081402</v>
      </c>
      <c r="F261">
        <v>3090.3062453081402</v>
      </c>
    </row>
    <row r="262" spans="1:6" x14ac:dyDescent="0.2">
      <c r="A262">
        <v>126</v>
      </c>
      <c r="B262" t="s">
        <v>550</v>
      </c>
      <c r="C262" s="1">
        <v>45445</v>
      </c>
      <c r="D262" t="s">
        <v>550</v>
      </c>
      <c r="E262">
        <v>15.871613408458501</v>
      </c>
      <c r="F262">
        <v>15.871613408458501</v>
      </c>
    </row>
    <row r="263" spans="1:6" x14ac:dyDescent="0.2">
      <c r="A263">
        <v>126</v>
      </c>
      <c r="B263" t="s">
        <v>551</v>
      </c>
      <c r="C263" s="1">
        <v>45326</v>
      </c>
      <c r="D263" t="s">
        <v>551</v>
      </c>
      <c r="E263">
        <v>6159.1691756570199</v>
      </c>
      <c r="F263">
        <v>6159.1691756570199</v>
      </c>
    </row>
    <row r="264" spans="1:6" x14ac:dyDescent="0.2">
      <c r="A264">
        <v>126</v>
      </c>
      <c r="B264" t="s">
        <v>552</v>
      </c>
      <c r="C264" s="1">
        <v>45346</v>
      </c>
      <c r="D264" t="s">
        <v>552</v>
      </c>
      <c r="E264">
        <v>285375.29910813598</v>
      </c>
      <c r="F264">
        <v>285375.29910813598</v>
      </c>
    </row>
    <row r="265" spans="1:6" x14ac:dyDescent="0.2">
      <c r="A265">
        <v>127</v>
      </c>
      <c r="B265" t="s">
        <v>553</v>
      </c>
      <c r="C265" s="1">
        <v>45443</v>
      </c>
      <c r="D265" t="s">
        <v>553</v>
      </c>
      <c r="E265">
        <v>32467.500106918898</v>
      </c>
      <c r="F265">
        <v>32467.500106918898</v>
      </c>
    </row>
    <row r="266" spans="1:6" x14ac:dyDescent="0.2">
      <c r="A266">
        <v>129</v>
      </c>
      <c r="B266" t="s">
        <v>554</v>
      </c>
      <c r="C266" s="1">
        <v>45624</v>
      </c>
      <c r="D266" t="s">
        <v>554</v>
      </c>
      <c r="E266">
        <v>6048.9879115467102</v>
      </c>
      <c r="F266">
        <v>6048.9879115467102</v>
      </c>
    </row>
    <row r="267" spans="1:6" x14ac:dyDescent="0.2">
      <c r="A267">
        <v>130</v>
      </c>
      <c r="B267" t="s">
        <v>555</v>
      </c>
      <c r="C267" s="1">
        <v>45418</v>
      </c>
      <c r="D267" t="s">
        <v>555</v>
      </c>
      <c r="E267">
        <v>63.935939076472998</v>
      </c>
      <c r="F267">
        <v>63.935939076472998</v>
      </c>
    </row>
    <row r="268" spans="1:6" x14ac:dyDescent="0.2">
      <c r="A268">
        <v>130</v>
      </c>
      <c r="B268" t="s">
        <v>556</v>
      </c>
      <c r="C268" s="1">
        <v>45316</v>
      </c>
      <c r="D268" t="s">
        <v>556</v>
      </c>
      <c r="E268">
        <v>911.72888113986801</v>
      </c>
      <c r="F268">
        <v>911.72888113986801</v>
      </c>
    </row>
    <row r="269" spans="1:6" x14ac:dyDescent="0.2">
      <c r="A269">
        <v>130</v>
      </c>
      <c r="B269" t="s">
        <v>162</v>
      </c>
      <c r="C269" s="1">
        <v>45320</v>
      </c>
      <c r="D269" t="s">
        <v>162</v>
      </c>
      <c r="E269">
        <v>79.732141386445306</v>
      </c>
      <c r="F269">
        <v>79.732141386445306</v>
      </c>
    </row>
    <row r="270" spans="1:6" x14ac:dyDescent="0.2">
      <c r="A270">
        <v>131</v>
      </c>
      <c r="B270" t="s">
        <v>557</v>
      </c>
      <c r="C270" s="1">
        <v>45300</v>
      </c>
      <c r="D270" t="s">
        <v>557</v>
      </c>
      <c r="E270">
        <v>1065736.8919112301</v>
      </c>
      <c r="F270">
        <v>1065736.8919112301</v>
      </c>
    </row>
    <row r="271" spans="1:6" x14ac:dyDescent="0.2">
      <c r="A271">
        <v>131</v>
      </c>
      <c r="B271" t="s">
        <v>558</v>
      </c>
      <c r="C271" s="1">
        <v>45584</v>
      </c>
      <c r="D271" t="s">
        <v>558</v>
      </c>
      <c r="E271">
        <v>1060215.4395741599</v>
      </c>
      <c r="F271">
        <v>1060215.4395741599</v>
      </c>
    </row>
    <row r="272" spans="1:6" x14ac:dyDescent="0.2">
      <c r="A272">
        <v>132</v>
      </c>
      <c r="B272" t="s">
        <v>559</v>
      </c>
      <c r="C272" s="1">
        <v>45449</v>
      </c>
      <c r="D272" t="s">
        <v>559</v>
      </c>
      <c r="E272">
        <v>415.10011892345801</v>
      </c>
      <c r="F272">
        <v>415.10011892345801</v>
      </c>
    </row>
    <row r="273" spans="1:9" x14ac:dyDescent="0.2">
      <c r="A273">
        <v>132</v>
      </c>
      <c r="B273" t="s">
        <v>560</v>
      </c>
      <c r="C273" s="1">
        <v>45400</v>
      </c>
      <c r="D273" t="s">
        <v>560</v>
      </c>
      <c r="E273">
        <v>51026.722017304703</v>
      </c>
      <c r="F273">
        <v>51026.722017304703</v>
      </c>
    </row>
    <row r="274" spans="1:9" x14ac:dyDescent="0.2">
      <c r="A274">
        <v>132</v>
      </c>
      <c r="B274" t="s">
        <v>43</v>
      </c>
      <c r="C274" s="1">
        <v>45481</v>
      </c>
      <c r="D274" t="s">
        <v>43</v>
      </c>
      <c r="E274">
        <v>1869.67763475076</v>
      </c>
      <c r="F274">
        <v>1869.67763475076</v>
      </c>
    </row>
    <row r="275" spans="1:9" x14ac:dyDescent="0.2">
      <c r="A275">
        <v>132</v>
      </c>
      <c r="B275" t="s">
        <v>561</v>
      </c>
      <c r="C275" s="1">
        <v>45407</v>
      </c>
      <c r="D275" t="s">
        <v>561</v>
      </c>
      <c r="E275">
        <v>2280.7010573164698</v>
      </c>
      <c r="F275">
        <v>2280.7010573164698</v>
      </c>
      <c r="I275" s="5"/>
    </row>
    <row r="276" spans="1:9" x14ac:dyDescent="0.2">
      <c r="A276">
        <v>133</v>
      </c>
      <c r="B276" t="s">
        <v>44</v>
      </c>
      <c r="C276" s="1">
        <v>45458</v>
      </c>
      <c r="D276" t="s">
        <v>44</v>
      </c>
      <c r="E276">
        <v>171.42477515820801</v>
      </c>
      <c r="F276">
        <v>171.42477515820801</v>
      </c>
    </row>
    <row r="277" spans="1:9" x14ac:dyDescent="0.2">
      <c r="A277">
        <v>133</v>
      </c>
      <c r="B277" t="s">
        <v>217</v>
      </c>
      <c r="C277" s="1">
        <v>45520</v>
      </c>
      <c r="D277" t="s">
        <v>217</v>
      </c>
      <c r="E277">
        <v>5073448.0809551701</v>
      </c>
      <c r="F277">
        <v>5073448.0809551701</v>
      </c>
    </row>
    <row r="278" spans="1:9" x14ac:dyDescent="0.2">
      <c r="A278">
        <v>134</v>
      </c>
      <c r="B278" t="s">
        <v>562</v>
      </c>
      <c r="C278" s="1">
        <v>45317</v>
      </c>
      <c r="D278" t="s">
        <v>562</v>
      </c>
      <c r="E278">
        <v>99032.633218521994</v>
      </c>
      <c r="F278">
        <v>99032.633218521994</v>
      </c>
    </row>
    <row r="279" spans="1:9" x14ac:dyDescent="0.2">
      <c r="A279">
        <v>134</v>
      </c>
      <c r="B279" t="s">
        <v>563</v>
      </c>
      <c r="C279" s="1">
        <v>45337</v>
      </c>
      <c r="D279" t="s">
        <v>563</v>
      </c>
      <c r="E279">
        <v>3421.9902337141598</v>
      </c>
      <c r="F279">
        <v>3421.9902337141598</v>
      </c>
    </row>
    <row r="280" spans="1:9" x14ac:dyDescent="0.2">
      <c r="A280">
        <v>134</v>
      </c>
      <c r="B280" t="s">
        <v>564</v>
      </c>
      <c r="C280" s="1">
        <v>45314</v>
      </c>
      <c r="D280" t="s">
        <v>564</v>
      </c>
      <c r="E280">
        <v>24827.924894561402</v>
      </c>
      <c r="F280">
        <v>24827.924894561402</v>
      </c>
    </row>
    <row r="281" spans="1:9" x14ac:dyDescent="0.2">
      <c r="A281">
        <v>135</v>
      </c>
      <c r="B281" t="s">
        <v>45</v>
      </c>
      <c r="C281" s="1">
        <v>45547</v>
      </c>
      <c r="D281" t="s">
        <v>45</v>
      </c>
      <c r="E281">
        <v>19141.341572331599</v>
      </c>
      <c r="F281">
        <v>19141.341572331599</v>
      </c>
    </row>
    <row r="282" spans="1:9" x14ac:dyDescent="0.2">
      <c r="A282">
        <v>135</v>
      </c>
      <c r="B282" t="s">
        <v>46</v>
      </c>
      <c r="C282" s="1">
        <v>45330</v>
      </c>
      <c r="D282" t="s">
        <v>46</v>
      </c>
      <c r="E282">
        <v>8003.7045315418</v>
      </c>
      <c r="F282">
        <v>8003.7045315418</v>
      </c>
    </row>
    <row r="283" spans="1:9" x14ac:dyDescent="0.2">
      <c r="A283">
        <v>136</v>
      </c>
      <c r="B283" t="s">
        <v>47</v>
      </c>
      <c r="C283" s="1">
        <v>45387</v>
      </c>
      <c r="D283" t="s">
        <v>47</v>
      </c>
      <c r="E283">
        <v>5249.8840055063001</v>
      </c>
      <c r="F283">
        <v>5249.8840055063001</v>
      </c>
    </row>
    <row r="284" spans="1:9" x14ac:dyDescent="0.2">
      <c r="A284">
        <v>136</v>
      </c>
      <c r="B284" t="s">
        <v>565</v>
      </c>
      <c r="C284" s="1">
        <v>45465</v>
      </c>
      <c r="D284" t="s">
        <v>565</v>
      </c>
      <c r="E284">
        <v>1291.7668303132</v>
      </c>
      <c r="F284">
        <v>1291.7668303132</v>
      </c>
    </row>
    <row r="285" spans="1:9" x14ac:dyDescent="0.2">
      <c r="A285">
        <v>137</v>
      </c>
      <c r="B285" t="s">
        <v>218</v>
      </c>
      <c r="C285" s="1">
        <v>45400</v>
      </c>
      <c r="D285" t="s">
        <v>218</v>
      </c>
      <c r="E285">
        <v>226.30695396252801</v>
      </c>
      <c r="F285">
        <v>226.30695396252801</v>
      </c>
    </row>
    <row r="286" spans="1:9" x14ac:dyDescent="0.2">
      <c r="A286">
        <v>137</v>
      </c>
      <c r="B286" t="s">
        <v>219</v>
      </c>
      <c r="C286" s="1">
        <v>45657</v>
      </c>
      <c r="D286" t="s">
        <v>219</v>
      </c>
      <c r="E286">
        <v>99200.897932141495</v>
      </c>
      <c r="F286">
        <v>99200.897932141495</v>
      </c>
    </row>
    <row r="287" spans="1:9" x14ac:dyDescent="0.2">
      <c r="A287">
        <v>137</v>
      </c>
      <c r="B287" t="s">
        <v>566</v>
      </c>
      <c r="C287" s="1">
        <v>45450</v>
      </c>
      <c r="D287" t="s">
        <v>566</v>
      </c>
      <c r="E287">
        <v>48629.437962898803</v>
      </c>
      <c r="F287">
        <v>48629.437962898803</v>
      </c>
    </row>
    <row r="288" spans="1:9" x14ac:dyDescent="0.2">
      <c r="A288">
        <v>138</v>
      </c>
      <c r="B288" t="s">
        <v>220</v>
      </c>
      <c r="C288" s="1">
        <v>45610</v>
      </c>
      <c r="D288" t="s">
        <v>220</v>
      </c>
      <c r="E288">
        <v>23.7848136724608</v>
      </c>
      <c r="F288">
        <v>23.7848136724608</v>
      </c>
    </row>
    <row r="289" spans="1:6" x14ac:dyDescent="0.2">
      <c r="A289">
        <v>138</v>
      </c>
      <c r="B289" t="s">
        <v>221</v>
      </c>
      <c r="C289" s="1">
        <v>45493</v>
      </c>
      <c r="D289" t="s">
        <v>221</v>
      </c>
      <c r="E289">
        <v>539678.33018590196</v>
      </c>
      <c r="F289">
        <v>539678.33018590196</v>
      </c>
    </row>
    <row r="290" spans="1:6" x14ac:dyDescent="0.2">
      <c r="A290">
        <v>138</v>
      </c>
      <c r="B290" t="s">
        <v>222</v>
      </c>
      <c r="C290" s="1">
        <v>45639</v>
      </c>
      <c r="D290" t="s">
        <v>222</v>
      </c>
      <c r="E290">
        <v>6848.82347781513</v>
      </c>
      <c r="F290">
        <v>6848.82347781513</v>
      </c>
    </row>
    <row r="291" spans="1:6" x14ac:dyDescent="0.2">
      <c r="A291">
        <v>139</v>
      </c>
      <c r="B291" t="s">
        <v>567</v>
      </c>
      <c r="C291" s="1">
        <v>45386</v>
      </c>
      <c r="D291" t="s">
        <v>567</v>
      </c>
      <c r="E291">
        <v>6062.8894986373198</v>
      </c>
      <c r="F291">
        <v>6062.8894986373198</v>
      </c>
    </row>
    <row r="292" spans="1:6" x14ac:dyDescent="0.2">
      <c r="A292">
        <v>139</v>
      </c>
      <c r="B292" t="s">
        <v>568</v>
      </c>
      <c r="C292" s="1">
        <v>45593</v>
      </c>
      <c r="D292" t="s">
        <v>568</v>
      </c>
      <c r="E292">
        <v>6465.3369377362596</v>
      </c>
      <c r="F292">
        <v>6465.3369377362596</v>
      </c>
    </row>
    <row r="293" spans="1:6" x14ac:dyDescent="0.2">
      <c r="A293">
        <v>139</v>
      </c>
      <c r="B293" t="s">
        <v>569</v>
      </c>
      <c r="C293" s="1">
        <v>45636</v>
      </c>
      <c r="D293" t="s">
        <v>569</v>
      </c>
      <c r="E293">
        <v>172382.514489425</v>
      </c>
      <c r="F293">
        <v>172382.514489425</v>
      </c>
    </row>
    <row r="294" spans="1:6" x14ac:dyDescent="0.2">
      <c r="A294">
        <v>139</v>
      </c>
      <c r="B294" t="s">
        <v>570</v>
      </c>
      <c r="C294" s="1">
        <v>45555</v>
      </c>
      <c r="D294" t="s">
        <v>570</v>
      </c>
      <c r="E294">
        <v>68514.848518876199</v>
      </c>
      <c r="F294">
        <v>68514.848518876199</v>
      </c>
    </row>
    <row r="295" spans="1:6" x14ac:dyDescent="0.2">
      <c r="A295">
        <v>139</v>
      </c>
      <c r="B295" t="s">
        <v>223</v>
      </c>
      <c r="C295" s="1">
        <v>45462</v>
      </c>
      <c r="D295" t="s">
        <v>223</v>
      </c>
      <c r="E295">
        <v>158068.97037667001</v>
      </c>
      <c r="F295">
        <v>158068.97037667001</v>
      </c>
    </row>
    <row r="296" spans="1:6" x14ac:dyDescent="0.2">
      <c r="A296">
        <v>140</v>
      </c>
      <c r="B296" t="s">
        <v>571</v>
      </c>
      <c r="C296" s="1">
        <v>45433</v>
      </c>
      <c r="D296" t="s">
        <v>571</v>
      </c>
      <c r="E296">
        <v>10.677093670553701</v>
      </c>
      <c r="F296">
        <v>10.677093670553701</v>
      </c>
    </row>
    <row r="297" spans="1:6" x14ac:dyDescent="0.2">
      <c r="A297">
        <v>140</v>
      </c>
      <c r="B297" t="s">
        <v>224</v>
      </c>
      <c r="C297" s="1">
        <v>45648</v>
      </c>
      <c r="D297" t="s">
        <v>224</v>
      </c>
      <c r="E297">
        <v>26039938.400726501</v>
      </c>
      <c r="F297">
        <v>10000000</v>
      </c>
    </row>
    <row r="298" spans="1:6" x14ac:dyDescent="0.2">
      <c r="A298">
        <v>141</v>
      </c>
      <c r="B298" t="s">
        <v>572</v>
      </c>
      <c r="C298" s="1">
        <v>45326</v>
      </c>
      <c r="D298" t="s">
        <v>572</v>
      </c>
      <c r="E298">
        <v>24932.581074112899</v>
      </c>
      <c r="F298">
        <v>24932.581074112899</v>
      </c>
    </row>
    <row r="299" spans="1:6" x14ac:dyDescent="0.2">
      <c r="A299">
        <v>142</v>
      </c>
      <c r="B299" t="s">
        <v>163</v>
      </c>
      <c r="C299" s="1">
        <v>45419</v>
      </c>
      <c r="D299" t="s">
        <v>163</v>
      </c>
      <c r="E299">
        <v>7072361.0232868502</v>
      </c>
      <c r="F299">
        <v>7072361.0232868502</v>
      </c>
    </row>
    <row r="300" spans="1:6" x14ac:dyDescent="0.2">
      <c r="A300">
        <v>142</v>
      </c>
      <c r="B300" t="s">
        <v>225</v>
      </c>
      <c r="C300" s="1">
        <v>45550</v>
      </c>
      <c r="D300" t="s">
        <v>225</v>
      </c>
      <c r="E300">
        <v>888.49628425331002</v>
      </c>
      <c r="F300">
        <v>888.49628425331002</v>
      </c>
    </row>
    <row r="301" spans="1:6" x14ac:dyDescent="0.2">
      <c r="A301">
        <v>144</v>
      </c>
      <c r="B301" t="s">
        <v>573</v>
      </c>
      <c r="C301" s="1">
        <v>45520</v>
      </c>
      <c r="D301" t="s">
        <v>573</v>
      </c>
      <c r="E301">
        <v>4636.1423154228696</v>
      </c>
      <c r="F301">
        <v>4636.1423154228696</v>
      </c>
    </row>
    <row r="302" spans="1:6" x14ac:dyDescent="0.2">
      <c r="A302">
        <v>145</v>
      </c>
      <c r="B302" t="s">
        <v>48</v>
      </c>
      <c r="C302" s="1">
        <v>45323</v>
      </c>
      <c r="D302" t="s">
        <v>48</v>
      </c>
      <c r="E302">
        <v>169143.54422993801</v>
      </c>
      <c r="F302">
        <v>169143.54422993801</v>
      </c>
    </row>
    <row r="303" spans="1:6" x14ac:dyDescent="0.2">
      <c r="A303">
        <v>145</v>
      </c>
      <c r="B303" t="s">
        <v>574</v>
      </c>
      <c r="C303" s="1">
        <v>45549</v>
      </c>
      <c r="D303" t="s">
        <v>574</v>
      </c>
      <c r="E303">
        <v>4427.6558039360498</v>
      </c>
      <c r="F303">
        <v>4427.6558039360498</v>
      </c>
    </row>
    <row r="304" spans="1:6" x14ac:dyDescent="0.2">
      <c r="A304">
        <v>145</v>
      </c>
      <c r="B304" t="s">
        <v>575</v>
      </c>
      <c r="C304" s="1">
        <v>45436</v>
      </c>
      <c r="D304" t="s">
        <v>575</v>
      </c>
      <c r="E304">
        <v>17.938558759137699</v>
      </c>
      <c r="F304">
        <v>17.938558759137699</v>
      </c>
    </row>
    <row r="305" spans="1:6" x14ac:dyDescent="0.2">
      <c r="A305">
        <v>146</v>
      </c>
      <c r="B305" t="s">
        <v>576</v>
      </c>
      <c r="C305" s="1">
        <v>45491</v>
      </c>
      <c r="D305" t="s">
        <v>576</v>
      </c>
      <c r="E305">
        <v>10.6677127121211</v>
      </c>
      <c r="F305">
        <v>10.6677127121211</v>
      </c>
    </row>
    <row r="306" spans="1:6" x14ac:dyDescent="0.2">
      <c r="A306">
        <v>147</v>
      </c>
      <c r="B306" t="s">
        <v>577</v>
      </c>
      <c r="C306" s="1">
        <v>45577</v>
      </c>
      <c r="D306" t="s">
        <v>577</v>
      </c>
      <c r="E306">
        <v>51518.871294381599</v>
      </c>
      <c r="F306">
        <v>51518.871294381599</v>
      </c>
    </row>
    <row r="307" spans="1:6" x14ac:dyDescent="0.2">
      <c r="A307">
        <v>149</v>
      </c>
      <c r="B307" t="s">
        <v>578</v>
      </c>
      <c r="C307" s="1">
        <v>45640</v>
      </c>
      <c r="D307" t="s">
        <v>578</v>
      </c>
      <c r="E307">
        <v>24495.046049685701</v>
      </c>
      <c r="F307">
        <v>24495.046049685701</v>
      </c>
    </row>
    <row r="308" spans="1:6" x14ac:dyDescent="0.2">
      <c r="A308">
        <v>150</v>
      </c>
      <c r="B308" t="s">
        <v>164</v>
      </c>
      <c r="C308" s="1">
        <v>45641</v>
      </c>
      <c r="D308" t="s">
        <v>164</v>
      </c>
      <c r="E308">
        <v>37355.217675210501</v>
      </c>
      <c r="F308">
        <v>37355.217675210501</v>
      </c>
    </row>
    <row r="309" spans="1:6" x14ac:dyDescent="0.2">
      <c r="A309">
        <v>150</v>
      </c>
      <c r="B309" t="s">
        <v>165</v>
      </c>
      <c r="C309" s="1">
        <v>45417</v>
      </c>
      <c r="D309" t="s">
        <v>165</v>
      </c>
      <c r="E309">
        <v>4230.3832374445201</v>
      </c>
      <c r="F309">
        <v>4230.3832374445201</v>
      </c>
    </row>
    <row r="310" spans="1:6" x14ac:dyDescent="0.2">
      <c r="A310">
        <v>150</v>
      </c>
      <c r="B310" t="s">
        <v>226</v>
      </c>
      <c r="C310" s="1">
        <v>45343</v>
      </c>
      <c r="D310" t="s">
        <v>226</v>
      </c>
      <c r="E310">
        <v>1071.3472236575201</v>
      </c>
      <c r="F310">
        <v>1071.3472236575201</v>
      </c>
    </row>
    <row r="311" spans="1:6" x14ac:dyDescent="0.2">
      <c r="A311">
        <v>151</v>
      </c>
      <c r="B311" t="s">
        <v>579</v>
      </c>
      <c r="C311" s="1">
        <v>45546</v>
      </c>
      <c r="D311" t="s">
        <v>579</v>
      </c>
      <c r="E311">
        <v>77001.360665185493</v>
      </c>
      <c r="F311">
        <v>77001.360665185493</v>
      </c>
    </row>
    <row r="312" spans="1:6" x14ac:dyDescent="0.2">
      <c r="A312">
        <v>151</v>
      </c>
      <c r="B312" t="s">
        <v>580</v>
      </c>
      <c r="C312" s="1">
        <v>45340</v>
      </c>
      <c r="D312" t="s">
        <v>580</v>
      </c>
      <c r="E312">
        <v>12073.839624316901</v>
      </c>
      <c r="F312">
        <v>12073.839624316901</v>
      </c>
    </row>
    <row r="313" spans="1:6" x14ac:dyDescent="0.2">
      <c r="A313">
        <v>151</v>
      </c>
      <c r="B313" t="s">
        <v>581</v>
      </c>
      <c r="C313" s="1">
        <v>45360</v>
      </c>
      <c r="D313" t="s">
        <v>581</v>
      </c>
      <c r="E313">
        <v>1377.00212555649</v>
      </c>
      <c r="F313">
        <v>1377.00212555649</v>
      </c>
    </row>
    <row r="314" spans="1:6" x14ac:dyDescent="0.2">
      <c r="A314">
        <v>152</v>
      </c>
      <c r="B314" t="s">
        <v>49</v>
      </c>
      <c r="C314" s="1">
        <v>45481</v>
      </c>
      <c r="D314" t="s">
        <v>49</v>
      </c>
      <c r="E314">
        <v>141.11309376644499</v>
      </c>
      <c r="F314">
        <v>141.11309376644499</v>
      </c>
    </row>
    <row r="315" spans="1:6" x14ac:dyDescent="0.2">
      <c r="A315">
        <v>152</v>
      </c>
      <c r="B315" t="s">
        <v>50</v>
      </c>
      <c r="C315" s="1">
        <v>45512</v>
      </c>
      <c r="D315" t="s">
        <v>50</v>
      </c>
      <c r="E315">
        <v>3664.4661531194602</v>
      </c>
      <c r="F315">
        <v>3664.4661531194602</v>
      </c>
    </row>
    <row r="316" spans="1:6" x14ac:dyDescent="0.2">
      <c r="A316">
        <v>153</v>
      </c>
      <c r="B316" t="s">
        <v>582</v>
      </c>
      <c r="C316" s="1">
        <v>45484</v>
      </c>
      <c r="D316" t="s">
        <v>582</v>
      </c>
      <c r="E316">
        <v>3507.93732714404</v>
      </c>
      <c r="F316">
        <v>3507.93732714404</v>
      </c>
    </row>
    <row r="317" spans="1:6" x14ac:dyDescent="0.2">
      <c r="A317">
        <v>154</v>
      </c>
      <c r="B317" t="s">
        <v>51</v>
      </c>
      <c r="C317" s="1">
        <v>45433</v>
      </c>
      <c r="D317" t="s">
        <v>51</v>
      </c>
      <c r="E317">
        <v>1868.4546520178001</v>
      </c>
      <c r="F317">
        <v>1868.4546520178001</v>
      </c>
    </row>
    <row r="318" spans="1:6" x14ac:dyDescent="0.2">
      <c r="A318">
        <v>156</v>
      </c>
      <c r="B318" t="s">
        <v>583</v>
      </c>
      <c r="C318" s="1">
        <v>45453</v>
      </c>
      <c r="D318" t="s">
        <v>583</v>
      </c>
      <c r="E318">
        <v>8168.7810929179604</v>
      </c>
      <c r="F318">
        <v>8168.7810929179604</v>
      </c>
    </row>
    <row r="319" spans="1:6" x14ac:dyDescent="0.2">
      <c r="A319">
        <v>157</v>
      </c>
      <c r="B319" t="s">
        <v>52</v>
      </c>
      <c r="C319" s="1">
        <v>45544</v>
      </c>
      <c r="D319" t="s">
        <v>52</v>
      </c>
      <c r="E319">
        <v>363723.851605754</v>
      </c>
      <c r="F319">
        <v>363723.851605754</v>
      </c>
    </row>
    <row r="320" spans="1:6" x14ac:dyDescent="0.2">
      <c r="A320">
        <v>157</v>
      </c>
      <c r="B320" t="s">
        <v>53</v>
      </c>
      <c r="C320" s="1">
        <v>45401</v>
      </c>
      <c r="D320" t="s">
        <v>53</v>
      </c>
      <c r="E320">
        <v>221903.28402316899</v>
      </c>
      <c r="F320">
        <v>221903.28402316899</v>
      </c>
    </row>
    <row r="321" spans="1:6" x14ac:dyDescent="0.2">
      <c r="A321">
        <v>158</v>
      </c>
      <c r="B321" t="s">
        <v>584</v>
      </c>
      <c r="C321" s="1">
        <v>45565</v>
      </c>
      <c r="D321" t="s">
        <v>584</v>
      </c>
      <c r="E321">
        <v>59085.544789819702</v>
      </c>
      <c r="F321">
        <v>59085.544789819702</v>
      </c>
    </row>
    <row r="322" spans="1:6" x14ac:dyDescent="0.2">
      <c r="A322">
        <v>159</v>
      </c>
      <c r="B322" t="s">
        <v>585</v>
      </c>
      <c r="C322" s="1">
        <v>45343</v>
      </c>
      <c r="D322" t="s">
        <v>585</v>
      </c>
      <c r="E322">
        <v>1139.8597707628901</v>
      </c>
      <c r="F322">
        <v>1139.8597707628901</v>
      </c>
    </row>
    <row r="323" spans="1:6" x14ac:dyDescent="0.2">
      <c r="A323">
        <v>159</v>
      </c>
      <c r="B323" t="s">
        <v>586</v>
      </c>
      <c r="C323" s="1">
        <v>45482</v>
      </c>
      <c r="D323" t="s">
        <v>586</v>
      </c>
      <c r="E323">
        <v>26454.579067355</v>
      </c>
      <c r="F323">
        <v>26454.579067355</v>
      </c>
    </row>
    <row r="324" spans="1:6" x14ac:dyDescent="0.2">
      <c r="A324">
        <v>160</v>
      </c>
      <c r="B324" t="s">
        <v>587</v>
      </c>
      <c r="C324" s="1">
        <v>45657</v>
      </c>
      <c r="D324" t="s">
        <v>587</v>
      </c>
      <c r="E324">
        <v>115872.66032429101</v>
      </c>
      <c r="F324">
        <v>115872.66032429101</v>
      </c>
    </row>
    <row r="325" spans="1:6" x14ac:dyDescent="0.2">
      <c r="A325">
        <v>161</v>
      </c>
      <c r="B325" t="s">
        <v>166</v>
      </c>
      <c r="C325" s="1">
        <v>45562</v>
      </c>
      <c r="D325" t="s">
        <v>166</v>
      </c>
      <c r="E325">
        <v>3529.8067572824002</v>
      </c>
      <c r="F325">
        <v>3529.8067572824002</v>
      </c>
    </row>
    <row r="326" spans="1:6" x14ac:dyDescent="0.2">
      <c r="A326">
        <v>161</v>
      </c>
      <c r="B326" t="s">
        <v>227</v>
      </c>
      <c r="C326" s="1">
        <v>45468</v>
      </c>
      <c r="D326" t="s">
        <v>227</v>
      </c>
      <c r="E326">
        <v>2522.4022175292798</v>
      </c>
      <c r="F326">
        <v>2522.4022175292798</v>
      </c>
    </row>
    <row r="327" spans="1:6" x14ac:dyDescent="0.2">
      <c r="A327">
        <v>162</v>
      </c>
      <c r="B327" t="s">
        <v>588</v>
      </c>
      <c r="C327" s="1">
        <v>45644</v>
      </c>
      <c r="D327" t="s">
        <v>588</v>
      </c>
      <c r="E327">
        <v>16395.296510573698</v>
      </c>
      <c r="F327">
        <v>16395.296510573698</v>
      </c>
    </row>
    <row r="328" spans="1:6" x14ac:dyDescent="0.2">
      <c r="A328">
        <v>163</v>
      </c>
      <c r="B328" t="s">
        <v>589</v>
      </c>
      <c r="C328" s="1">
        <v>45637</v>
      </c>
      <c r="D328" t="s">
        <v>589</v>
      </c>
      <c r="E328">
        <v>16209.370878195001</v>
      </c>
      <c r="F328">
        <v>16209.370878195001</v>
      </c>
    </row>
    <row r="329" spans="1:6" x14ac:dyDescent="0.2">
      <c r="A329">
        <v>163</v>
      </c>
      <c r="B329" t="s">
        <v>590</v>
      </c>
      <c r="C329" s="1">
        <v>45309</v>
      </c>
      <c r="D329" t="s">
        <v>590</v>
      </c>
      <c r="E329">
        <v>56530.753225630302</v>
      </c>
      <c r="F329">
        <v>56530.753225630302</v>
      </c>
    </row>
    <row r="330" spans="1:6" x14ac:dyDescent="0.2">
      <c r="A330">
        <v>164</v>
      </c>
      <c r="B330" t="s">
        <v>54</v>
      </c>
      <c r="C330" s="1">
        <v>45326</v>
      </c>
      <c r="D330" t="s">
        <v>54</v>
      </c>
      <c r="E330">
        <v>105409.34940551499</v>
      </c>
      <c r="F330">
        <v>105409.34940551499</v>
      </c>
    </row>
    <row r="331" spans="1:6" x14ac:dyDescent="0.2">
      <c r="A331">
        <v>165</v>
      </c>
      <c r="B331" t="s">
        <v>591</v>
      </c>
      <c r="C331" s="1">
        <v>45345</v>
      </c>
      <c r="D331" t="s">
        <v>591</v>
      </c>
      <c r="E331">
        <v>268.39014225364798</v>
      </c>
      <c r="F331">
        <v>268.39014225364798</v>
      </c>
    </row>
    <row r="332" spans="1:6" x14ac:dyDescent="0.2">
      <c r="A332">
        <v>166</v>
      </c>
      <c r="B332" t="s">
        <v>167</v>
      </c>
      <c r="C332" s="1">
        <v>45311</v>
      </c>
      <c r="D332" t="s">
        <v>167</v>
      </c>
      <c r="E332">
        <v>12485.3843525546</v>
      </c>
      <c r="F332">
        <v>12485.3843525546</v>
      </c>
    </row>
    <row r="333" spans="1:6" x14ac:dyDescent="0.2">
      <c r="A333">
        <v>166</v>
      </c>
      <c r="B333" t="s">
        <v>228</v>
      </c>
      <c r="C333" s="1">
        <v>45466</v>
      </c>
      <c r="D333" t="s">
        <v>228</v>
      </c>
      <c r="E333">
        <v>6458.3216573685804</v>
      </c>
      <c r="F333">
        <v>6458.3216573685804</v>
      </c>
    </row>
    <row r="334" spans="1:6" x14ac:dyDescent="0.2">
      <c r="A334">
        <v>167</v>
      </c>
      <c r="B334" t="s">
        <v>168</v>
      </c>
      <c r="C334" s="1">
        <v>45558</v>
      </c>
      <c r="D334" t="s">
        <v>168</v>
      </c>
      <c r="E334">
        <v>18563.389181053</v>
      </c>
      <c r="F334">
        <v>18563.389181053</v>
      </c>
    </row>
    <row r="335" spans="1:6" x14ac:dyDescent="0.2">
      <c r="A335">
        <v>167</v>
      </c>
      <c r="B335" t="s">
        <v>592</v>
      </c>
      <c r="C335" s="1">
        <v>45311</v>
      </c>
      <c r="D335" t="s">
        <v>592</v>
      </c>
      <c r="E335">
        <v>5039.78103104398</v>
      </c>
      <c r="F335">
        <v>5039.78103104398</v>
      </c>
    </row>
    <row r="336" spans="1:6" x14ac:dyDescent="0.2">
      <c r="A336">
        <v>167</v>
      </c>
      <c r="B336" t="s">
        <v>169</v>
      </c>
      <c r="C336" s="1">
        <v>45527</v>
      </c>
      <c r="D336" t="s">
        <v>169</v>
      </c>
      <c r="E336">
        <v>4.3764880750073001</v>
      </c>
      <c r="F336">
        <v>4.3764880750073001</v>
      </c>
    </row>
    <row r="337" spans="1:6" x14ac:dyDescent="0.2">
      <c r="A337">
        <v>168</v>
      </c>
      <c r="B337" t="s">
        <v>593</v>
      </c>
      <c r="C337" s="1">
        <v>45470</v>
      </c>
      <c r="D337" t="s">
        <v>593</v>
      </c>
      <c r="E337">
        <v>562.13109140828703</v>
      </c>
      <c r="F337">
        <v>562.13109140828703</v>
      </c>
    </row>
    <row r="338" spans="1:6" x14ac:dyDescent="0.2">
      <c r="A338">
        <v>169</v>
      </c>
      <c r="B338" t="s">
        <v>55</v>
      </c>
      <c r="C338" s="1">
        <v>45614</v>
      </c>
      <c r="D338" t="s">
        <v>55</v>
      </c>
      <c r="E338">
        <v>95274.772826922097</v>
      </c>
      <c r="F338">
        <v>95274.772826922097</v>
      </c>
    </row>
    <row r="339" spans="1:6" x14ac:dyDescent="0.2">
      <c r="A339">
        <v>169</v>
      </c>
      <c r="B339" t="s">
        <v>594</v>
      </c>
      <c r="C339" s="1">
        <v>45383</v>
      </c>
      <c r="D339" t="s">
        <v>594</v>
      </c>
      <c r="E339">
        <v>4525.7689347936002</v>
      </c>
      <c r="F339">
        <v>4525.7689347936002</v>
      </c>
    </row>
    <row r="340" spans="1:6" x14ac:dyDescent="0.2">
      <c r="A340">
        <v>170</v>
      </c>
      <c r="B340" t="s">
        <v>595</v>
      </c>
      <c r="C340" s="1">
        <v>45558</v>
      </c>
      <c r="D340" t="s">
        <v>595</v>
      </c>
      <c r="E340">
        <v>510.53126080513101</v>
      </c>
      <c r="F340">
        <v>510.53126080513101</v>
      </c>
    </row>
    <row r="341" spans="1:6" x14ac:dyDescent="0.2">
      <c r="A341">
        <v>171</v>
      </c>
      <c r="B341" t="s">
        <v>596</v>
      </c>
      <c r="C341" s="1">
        <v>45446</v>
      </c>
      <c r="D341" t="s">
        <v>596</v>
      </c>
      <c r="E341">
        <v>98179.093442463796</v>
      </c>
      <c r="F341">
        <v>98179.093442463796</v>
      </c>
    </row>
    <row r="342" spans="1:6" x14ac:dyDescent="0.2">
      <c r="A342">
        <v>171</v>
      </c>
      <c r="B342" t="s">
        <v>170</v>
      </c>
      <c r="C342" s="1">
        <v>45549</v>
      </c>
      <c r="D342" t="s">
        <v>170</v>
      </c>
      <c r="E342">
        <v>140296.00010968599</v>
      </c>
      <c r="F342">
        <v>140296.00010968599</v>
      </c>
    </row>
    <row r="343" spans="1:6" x14ac:dyDescent="0.2">
      <c r="A343">
        <v>172</v>
      </c>
      <c r="B343" t="s">
        <v>229</v>
      </c>
      <c r="C343" s="1">
        <v>45522</v>
      </c>
      <c r="D343" t="s">
        <v>229</v>
      </c>
      <c r="E343">
        <v>254063.55121746901</v>
      </c>
      <c r="F343">
        <v>254063.55121746901</v>
      </c>
    </row>
    <row r="344" spans="1:6" x14ac:dyDescent="0.2">
      <c r="A344">
        <v>173</v>
      </c>
      <c r="B344" t="s">
        <v>56</v>
      </c>
      <c r="C344" s="1">
        <v>45487</v>
      </c>
      <c r="D344" t="s">
        <v>56</v>
      </c>
      <c r="E344">
        <v>47494.340346611098</v>
      </c>
      <c r="F344">
        <v>47494.340346611098</v>
      </c>
    </row>
    <row r="345" spans="1:6" x14ac:dyDescent="0.2">
      <c r="A345">
        <v>173</v>
      </c>
      <c r="B345" t="s">
        <v>57</v>
      </c>
      <c r="C345" s="1">
        <v>45460</v>
      </c>
      <c r="D345" t="s">
        <v>57</v>
      </c>
      <c r="E345">
        <v>3310.65621985916</v>
      </c>
      <c r="F345">
        <v>3310.65621985916</v>
      </c>
    </row>
    <row r="346" spans="1:6" x14ac:dyDescent="0.2">
      <c r="A346">
        <v>173</v>
      </c>
      <c r="B346" t="s">
        <v>58</v>
      </c>
      <c r="C346" s="1">
        <v>45403</v>
      </c>
      <c r="D346" t="s">
        <v>58</v>
      </c>
      <c r="E346">
        <v>9521.8439509994605</v>
      </c>
      <c r="F346">
        <v>9521.8439509994605</v>
      </c>
    </row>
    <row r="347" spans="1:6" x14ac:dyDescent="0.2">
      <c r="A347">
        <v>173</v>
      </c>
      <c r="B347" t="s">
        <v>59</v>
      </c>
      <c r="C347" s="1">
        <v>45386</v>
      </c>
      <c r="D347" t="s">
        <v>59</v>
      </c>
      <c r="E347">
        <v>297724.78215990099</v>
      </c>
      <c r="F347">
        <v>297724.78215990099</v>
      </c>
    </row>
    <row r="348" spans="1:6" x14ac:dyDescent="0.2">
      <c r="A348">
        <v>174</v>
      </c>
      <c r="B348" t="s">
        <v>597</v>
      </c>
      <c r="C348" s="1">
        <v>45447</v>
      </c>
      <c r="D348" t="s">
        <v>597</v>
      </c>
      <c r="E348">
        <v>86541.518322281801</v>
      </c>
      <c r="F348">
        <v>86541.518322281801</v>
      </c>
    </row>
    <row r="349" spans="1:6" x14ac:dyDescent="0.2">
      <c r="A349">
        <v>174</v>
      </c>
      <c r="B349" t="s">
        <v>598</v>
      </c>
      <c r="C349" s="1">
        <v>45562</v>
      </c>
      <c r="D349" t="s">
        <v>598</v>
      </c>
      <c r="E349">
        <v>766409.42634655302</v>
      </c>
      <c r="F349">
        <v>766409.42634655302</v>
      </c>
    </row>
    <row r="350" spans="1:6" x14ac:dyDescent="0.2">
      <c r="A350">
        <v>174</v>
      </c>
      <c r="B350" t="s">
        <v>599</v>
      </c>
      <c r="C350" s="1">
        <v>45351</v>
      </c>
      <c r="D350" t="s">
        <v>599</v>
      </c>
      <c r="E350">
        <v>4558.1657449500499</v>
      </c>
      <c r="F350">
        <v>4558.1657449500499</v>
      </c>
    </row>
    <row r="351" spans="1:6" x14ac:dyDescent="0.2">
      <c r="A351">
        <v>175</v>
      </c>
      <c r="B351" t="s">
        <v>60</v>
      </c>
      <c r="C351" s="1">
        <v>45332</v>
      </c>
      <c r="D351" t="s">
        <v>60</v>
      </c>
      <c r="E351">
        <v>58638.568677851603</v>
      </c>
      <c r="F351">
        <v>58638.568677851603</v>
      </c>
    </row>
    <row r="352" spans="1:6" x14ac:dyDescent="0.2">
      <c r="A352">
        <v>175</v>
      </c>
      <c r="B352" t="s">
        <v>61</v>
      </c>
      <c r="C352" s="1">
        <v>45316</v>
      </c>
      <c r="D352" t="s">
        <v>61</v>
      </c>
      <c r="E352">
        <v>27139.782868500399</v>
      </c>
      <c r="F352">
        <v>27139.782868500399</v>
      </c>
    </row>
    <row r="353" spans="1:6" x14ac:dyDescent="0.2">
      <c r="A353">
        <v>176</v>
      </c>
      <c r="B353" t="s">
        <v>600</v>
      </c>
      <c r="C353" s="1">
        <v>45343</v>
      </c>
      <c r="D353" t="s">
        <v>600</v>
      </c>
      <c r="E353">
        <v>1472.8026609508299</v>
      </c>
      <c r="F353">
        <v>1472.8026609508299</v>
      </c>
    </row>
    <row r="354" spans="1:6" x14ac:dyDescent="0.2">
      <c r="A354">
        <v>176</v>
      </c>
      <c r="B354" t="s">
        <v>601</v>
      </c>
      <c r="C354" s="1">
        <v>45490</v>
      </c>
      <c r="D354" t="s">
        <v>601</v>
      </c>
      <c r="E354">
        <v>10871.397056453699</v>
      </c>
      <c r="F354">
        <v>10871.397056453699</v>
      </c>
    </row>
    <row r="355" spans="1:6" x14ac:dyDescent="0.2">
      <c r="A355">
        <v>177</v>
      </c>
      <c r="B355" t="s">
        <v>602</v>
      </c>
      <c r="C355" s="1">
        <v>45492</v>
      </c>
      <c r="D355" t="s">
        <v>602</v>
      </c>
      <c r="E355">
        <v>35.758257199140701</v>
      </c>
      <c r="F355">
        <v>35.758257199140701</v>
      </c>
    </row>
    <row r="356" spans="1:6" x14ac:dyDescent="0.2">
      <c r="A356">
        <v>178</v>
      </c>
      <c r="B356" t="s">
        <v>603</v>
      </c>
      <c r="C356" s="1">
        <v>45430</v>
      </c>
      <c r="D356" t="s">
        <v>603</v>
      </c>
      <c r="E356">
        <v>56918.494443606702</v>
      </c>
      <c r="F356">
        <v>56918.494443606702</v>
      </c>
    </row>
    <row r="357" spans="1:6" x14ac:dyDescent="0.2">
      <c r="A357">
        <v>178</v>
      </c>
      <c r="B357" t="s">
        <v>604</v>
      </c>
      <c r="C357" s="1">
        <v>45324</v>
      </c>
      <c r="D357" t="s">
        <v>604</v>
      </c>
      <c r="E357">
        <v>7494.6453835235498</v>
      </c>
      <c r="F357">
        <v>7494.6453835235498</v>
      </c>
    </row>
    <row r="358" spans="1:6" x14ac:dyDescent="0.2">
      <c r="A358">
        <v>179</v>
      </c>
      <c r="B358" t="s">
        <v>605</v>
      </c>
      <c r="C358" s="1">
        <v>45393</v>
      </c>
      <c r="D358" t="s">
        <v>605</v>
      </c>
      <c r="E358">
        <v>165943.55933423401</v>
      </c>
      <c r="F358">
        <v>165943.55933423401</v>
      </c>
    </row>
    <row r="359" spans="1:6" x14ac:dyDescent="0.2">
      <c r="A359">
        <v>179</v>
      </c>
      <c r="B359" t="s">
        <v>606</v>
      </c>
      <c r="C359" s="1">
        <v>45636</v>
      </c>
      <c r="D359" t="s">
        <v>606</v>
      </c>
      <c r="E359">
        <v>26310.1881652177</v>
      </c>
      <c r="F359">
        <v>26310.1881652177</v>
      </c>
    </row>
    <row r="360" spans="1:6" x14ac:dyDescent="0.2">
      <c r="A360">
        <v>179</v>
      </c>
      <c r="B360" t="s">
        <v>607</v>
      </c>
      <c r="C360" s="1">
        <v>45362</v>
      </c>
      <c r="D360" t="s">
        <v>607</v>
      </c>
      <c r="E360">
        <v>567.60187563675595</v>
      </c>
      <c r="F360">
        <v>567.60187563675595</v>
      </c>
    </row>
    <row r="361" spans="1:6" x14ac:dyDescent="0.2">
      <c r="A361">
        <v>179</v>
      </c>
      <c r="B361" t="s">
        <v>608</v>
      </c>
      <c r="C361" s="1">
        <v>45650</v>
      </c>
      <c r="D361" t="s">
        <v>608</v>
      </c>
      <c r="E361">
        <v>132.255699933351</v>
      </c>
      <c r="F361">
        <v>132.255699933351</v>
      </c>
    </row>
    <row r="362" spans="1:6" x14ac:dyDescent="0.2">
      <c r="A362">
        <v>180</v>
      </c>
      <c r="B362" t="s">
        <v>609</v>
      </c>
      <c r="C362" s="1">
        <v>45518</v>
      </c>
      <c r="D362" t="s">
        <v>609</v>
      </c>
      <c r="E362">
        <v>19542.192496835101</v>
      </c>
      <c r="F362">
        <v>19542.192496835101</v>
      </c>
    </row>
    <row r="363" spans="1:6" x14ac:dyDescent="0.2">
      <c r="A363">
        <v>180</v>
      </c>
      <c r="B363" t="s">
        <v>610</v>
      </c>
      <c r="C363" s="1">
        <v>45312</v>
      </c>
      <c r="D363" t="s">
        <v>610</v>
      </c>
      <c r="E363">
        <v>83.668147901553795</v>
      </c>
      <c r="F363">
        <v>83.668147901553795</v>
      </c>
    </row>
    <row r="364" spans="1:6" x14ac:dyDescent="0.2">
      <c r="A364">
        <v>181</v>
      </c>
      <c r="B364" t="s">
        <v>611</v>
      </c>
      <c r="C364" s="1">
        <v>45420</v>
      </c>
      <c r="D364" t="s">
        <v>611</v>
      </c>
      <c r="E364">
        <v>12583.2954125836</v>
      </c>
      <c r="F364">
        <v>12583.2954125836</v>
      </c>
    </row>
    <row r="365" spans="1:6" x14ac:dyDescent="0.2">
      <c r="A365">
        <v>181</v>
      </c>
      <c r="B365" t="s">
        <v>230</v>
      </c>
      <c r="C365" s="1">
        <v>45381</v>
      </c>
      <c r="D365" t="s">
        <v>230</v>
      </c>
      <c r="E365">
        <v>1056913.7081276099</v>
      </c>
      <c r="F365">
        <v>1056913.7081276099</v>
      </c>
    </row>
    <row r="366" spans="1:6" x14ac:dyDescent="0.2">
      <c r="A366">
        <v>181</v>
      </c>
      <c r="B366" t="s">
        <v>231</v>
      </c>
      <c r="C366" s="1">
        <v>45568</v>
      </c>
      <c r="D366" t="s">
        <v>231</v>
      </c>
      <c r="E366">
        <v>124695.37354696001</v>
      </c>
      <c r="F366">
        <v>124695.37354696001</v>
      </c>
    </row>
    <row r="367" spans="1:6" x14ac:dyDescent="0.2">
      <c r="A367">
        <v>182</v>
      </c>
      <c r="B367" t="s">
        <v>612</v>
      </c>
      <c r="C367" s="1">
        <v>45649</v>
      </c>
      <c r="D367" t="s">
        <v>612</v>
      </c>
      <c r="E367">
        <v>82120.817241741897</v>
      </c>
      <c r="F367">
        <v>82120.817241741897</v>
      </c>
    </row>
    <row r="368" spans="1:6" x14ac:dyDescent="0.2">
      <c r="A368">
        <v>183</v>
      </c>
      <c r="B368" t="s">
        <v>613</v>
      </c>
      <c r="C368" s="1">
        <v>45432</v>
      </c>
      <c r="D368" t="s">
        <v>613</v>
      </c>
      <c r="E368">
        <v>629.19817487021703</v>
      </c>
      <c r="F368">
        <v>629.19817487021703</v>
      </c>
    </row>
    <row r="369" spans="1:6" x14ac:dyDescent="0.2">
      <c r="A369">
        <v>183</v>
      </c>
      <c r="B369" t="s">
        <v>614</v>
      </c>
      <c r="C369" s="1">
        <v>45597</v>
      </c>
      <c r="D369" t="s">
        <v>614</v>
      </c>
      <c r="E369">
        <v>5422.51744659826</v>
      </c>
      <c r="F369">
        <v>5422.51744659826</v>
      </c>
    </row>
    <row r="370" spans="1:6" x14ac:dyDescent="0.2">
      <c r="A370">
        <v>183</v>
      </c>
      <c r="B370" t="s">
        <v>615</v>
      </c>
      <c r="C370" s="1">
        <v>45324</v>
      </c>
      <c r="D370" t="s">
        <v>615</v>
      </c>
      <c r="E370">
        <v>798591.05783281405</v>
      </c>
      <c r="F370">
        <v>798591.05783281405</v>
      </c>
    </row>
    <row r="371" spans="1:6" x14ac:dyDescent="0.2">
      <c r="A371">
        <v>184</v>
      </c>
      <c r="B371" t="s">
        <v>616</v>
      </c>
      <c r="C371" s="1">
        <v>45450</v>
      </c>
      <c r="D371" t="s">
        <v>616</v>
      </c>
      <c r="E371">
        <v>265.70803151872002</v>
      </c>
      <c r="F371">
        <v>265.70803151872002</v>
      </c>
    </row>
    <row r="372" spans="1:6" x14ac:dyDescent="0.2">
      <c r="A372">
        <v>185</v>
      </c>
      <c r="B372" t="s">
        <v>171</v>
      </c>
      <c r="C372" s="1">
        <v>45351</v>
      </c>
      <c r="D372" t="s">
        <v>171</v>
      </c>
      <c r="E372">
        <v>3.8411729479293801</v>
      </c>
      <c r="F372">
        <v>3.8411729479293801</v>
      </c>
    </row>
    <row r="373" spans="1:6" x14ac:dyDescent="0.2">
      <c r="A373">
        <v>185</v>
      </c>
      <c r="B373" t="s">
        <v>617</v>
      </c>
      <c r="C373" s="1">
        <v>45382</v>
      </c>
      <c r="D373" t="s">
        <v>617</v>
      </c>
      <c r="E373">
        <v>4.2050235947525501</v>
      </c>
      <c r="F373">
        <v>4.2050235947525501</v>
      </c>
    </row>
    <row r="374" spans="1:6" x14ac:dyDescent="0.2">
      <c r="A374">
        <v>186</v>
      </c>
      <c r="B374" t="s">
        <v>618</v>
      </c>
      <c r="C374" s="1">
        <v>45493</v>
      </c>
      <c r="D374" t="s">
        <v>618</v>
      </c>
      <c r="E374">
        <v>2963.1979474468799</v>
      </c>
      <c r="F374">
        <v>2963.1979474468799</v>
      </c>
    </row>
    <row r="375" spans="1:6" x14ac:dyDescent="0.2">
      <c r="A375">
        <v>186</v>
      </c>
      <c r="B375" t="s">
        <v>619</v>
      </c>
      <c r="C375" s="1">
        <v>45462</v>
      </c>
      <c r="D375" t="s">
        <v>619</v>
      </c>
      <c r="E375">
        <v>131818.329046258</v>
      </c>
      <c r="F375">
        <v>131818.329046258</v>
      </c>
    </row>
    <row r="376" spans="1:6" x14ac:dyDescent="0.2">
      <c r="A376">
        <v>187</v>
      </c>
      <c r="B376" t="s">
        <v>232</v>
      </c>
      <c r="C376" s="1">
        <v>45530</v>
      </c>
      <c r="D376" t="s">
        <v>232</v>
      </c>
      <c r="E376">
        <v>5455.47660377181</v>
      </c>
      <c r="F376">
        <v>5455.47660377181</v>
      </c>
    </row>
    <row r="377" spans="1:6" x14ac:dyDescent="0.2">
      <c r="A377">
        <v>188</v>
      </c>
      <c r="B377" t="s">
        <v>620</v>
      </c>
      <c r="C377" s="1">
        <v>45423</v>
      </c>
      <c r="D377" t="s">
        <v>620</v>
      </c>
      <c r="E377">
        <v>15.183820843839699</v>
      </c>
      <c r="F377">
        <v>15.183820843839699</v>
      </c>
    </row>
    <row r="378" spans="1:6" x14ac:dyDescent="0.2">
      <c r="A378">
        <v>188</v>
      </c>
      <c r="B378" t="s">
        <v>621</v>
      </c>
      <c r="C378" s="1">
        <v>45470</v>
      </c>
      <c r="D378" t="s">
        <v>621</v>
      </c>
      <c r="E378">
        <v>7853.1917101089703</v>
      </c>
      <c r="F378">
        <v>7853.1917101089703</v>
      </c>
    </row>
    <row r="379" spans="1:6" x14ac:dyDescent="0.2">
      <c r="A379">
        <v>189</v>
      </c>
      <c r="B379" t="s">
        <v>622</v>
      </c>
      <c r="C379" s="1">
        <v>45614</v>
      </c>
      <c r="D379" t="s">
        <v>622</v>
      </c>
      <c r="E379">
        <v>441895.148992442</v>
      </c>
      <c r="F379">
        <v>441895.148992442</v>
      </c>
    </row>
    <row r="380" spans="1:6" x14ac:dyDescent="0.2">
      <c r="A380">
        <v>189</v>
      </c>
      <c r="B380" t="s">
        <v>623</v>
      </c>
      <c r="C380" s="1">
        <v>45636</v>
      </c>
      <c r="D380" t="s">
        <v>623</v>
      </c>
      <c r="E380">
        <v>23580.247310545299</v>
      </c>
      <c r="F380">
        <v>23580.247310545299</v>
      </c>
    </row>
    <row r="381" spans="1:6" x14ac:dyDescent="0.2">
      <c r="A381">
        <v>189</v>
      </c>
      <c r="B381" t="s">
        <v>624</v>
      </c>
      <c r="C381" s="1">
        <v>45504</v>
      </c>
      <c r="D381" t="s">
        <v>624</v>
      </c>
      <c r="E381">
        <v>17479.488000924001</v>
      </c>
      <c r="F381">
        <v>17479.488000924001</v>
      </c>
    </row>
    <row r="382" spans="1:6" x14ac:dyDescent="0.2">
      <c r="A382">
        <v>189</v>
      </c>
      <c r="B382" t="s">
        <v>625</v>
      </c>
      <c r="C382" s="1">
        <v>45600</v>
      </c>
      <c r="D382" t="s">
        <v>625</v>
      </c>
      <c r="E382">
        <v>5898.6000972409802</v>
      </c>
      <c r="F382">
        <v>5898.6000972409802</v>
      </c>
    </row>
    <row r="383" spans="1:6" x14ac:dyDescent="0.2">
      <c r="A383">
        <v>190</v>
      </c>
      <c r="B383" t="s">
        <v>233</v>
      </c>
      <c r="C383" s="1">
        <v>45436</v>
      </c>
      <c r="D383" t="s">
        <v>233</v>
      </c>
      <c r="E383">
        <v>1313.43364630731</v>
      </c>
      <c r="F383">
        <v>1313.43364630731</v>
      </c>
    </row>
    <row r="384" spans="1:6" x14ac:dyDescent="0.2">
      <c r="A384">
        <v>190</v>
      </c>
      <c r="B384" t="s">
        <v>172</v>
      </c>
      <c r="C384" s="1">
        <v>45547</v>
      </c>
      <c r="D384" t="s">
        <v>172</v>
      </c>
      <c r="E384">
        <v>19229.710319133999</v>
      </c>
      <c r="F384">
        <v>19229.710319133999</v>
      </c>
    </row>
    <row r="385" spans="1:6" x14ac:dyDescent="0.2">
      <c r="A385">
        <v>190</v>
      </c>
      <c r="B385" t="s">
        <v>234</v>
      </c>
      <c r="C385" s="1">
        <v>45389</v>
      </c>
      <c r="D385" t="s">
        <v>234</v>
      </c>
      <c r="E385">
        <v>96.813752260140205</v>
      </c>
      <c r="F385">
        <v>96.813752260140205</v>
      </c>
    </row>
    <row r="386" spans="1:6" x14ac:dyDescent="0.2">
      <c r="A386">
        <v>190</v>
      </c>
      <c r="B386" t="s">
        <v>173</v>
      </c>
      <c r="C386" s="1">
        <v>45308</v>
      </c>
      <c r="D386" t="s">
        <v>173</v>
      </c>
      <c r="E386">
        <v>2953.32186858977</v>
      </c>
      <c r="F386">
        <v>2953.32186858977</v>
      </c>
    </row>
    <row r="387" spans="1:6" x14ac:dyDescent="0.2">
      <c r="A387">
        <v>191</v>
      </c>
      <c r="B387" t="s">
        <v>626</v>
      </c>
      <c r="C387" s="1">
        <v>45561</v>
      </c>
      <c r="D387" t="s">
        <v>626</v>
      </c>
      <c r="E387">
        <v>2814.78286417954</v>
      </c>
      <c r="F387">
        <v>2814.78286417954</v>
      </c>
    </row>
    <row r="388" spans="1:6" x14ac:dyDescent="0.2">
      <c r="A388">
        <v>192</v>
      </c>
      <c r="B388" t="s">
        <v>627</v>
      </c>
      <c r="C388" s="1">
        <v>45453</v>
      </c>
      <c r="D388" t="s">
        <v>627</v>
      </c>
      <c r="E388">
        <v>1475504.0238475299</v>
      </c>
      <c r="F388">
        <v>1475504.0238475299</v>
      </c>
    </row>
    <row r="389" spans="1:6" x14ac:dyDescent="0.2">
      <c r="A389">
        <v>193</v>
      </c>
      <c r="B389" t="s">
        <v>628</v>
      </c>
      <c r="C389" s="1">
        <v>45409</v>
      </c>
      <c r="D389" t="s">
        <v>628</v>
      </c>
      <c r="E389">
        <v>386.70320320494602</v>
      </c>
      <c r="F389">
        <v>386.70320320494602</v>
      </c>
    </row>
    <row r="390" spans="1:6" x14ac:dyDescent="0.2">
      <c r="A390">
        <v>193</v>
      </c>
      <c r="B390" t="s">
        <v>62</v>
      </c>
      <c r="C390" s="1">
        <v>45558</v>
      </c>
      <c r="D390" t="s">
        <v>62</v>
      </c>
      <c r="E390">
        <v>754.50232788785797</v>
      </c>
      <c r="F390">
        <v>754.50232788785797</v>
      </c>
    </row>
    <row r="391" spans="1:6" x14ac:dyDescent="0.2">
      <c r="A391">
        <v>193</v>
      </c>
      <c r="B391" t="s">
        <v>629</v>
      </c>
      <c r="C391" s="1">
        <v>45619</v>
      </c>
      <c r="D391" t="s">
        <v>629</v>
      </c>
      <c r="E391">
        <v>19906.091197809801</v>
      </c>
      <c r="F391">
        <v>19906.091197809801</v>
      </c>
    </row>
    <row r="392" spans="1:6" x14ac:dyDescent="0.2">
      <c r="A392">
        <v>193</v>
      </c>
      <c r="B392" t="s">
        <v>630</v>
      </c>
      <c r="C392" s="1">
        <v>45372</v>
      </c>
      <c r="D392" t="s">
        <v>630</v>
      </c>
      <c r="E392">
        <v>1106990.6066620999</v>
      </c>
      <c r="F392">
        <v>1106990.6066620999</v>
      </c>
    </row>
    <row r="393" spans="1:6" x14ac:dyDescent="0.2">
      <c r="A393">
        <v>193</v>
      </c>
      <c r="B393" t="s">
        <v>235</v>
      </c>
      <c r="C393" s="1">
        <v>45551</v>
      </c>
      <c r="D393" t="s">
        <v>235</v>
      </c>
      <c r="E393">
        <v>209787.63287867501</v>
      </c>
      <c r="F393">
        <v>209787.63287867501</v>
      </c>
    </row>
    <row r="394" spans="1:6" x14ac:dyDescent="0.2">
      <c r="A394">
        <v>193</v>
      </c>
      <c r="B394" t="s">
        <v>236</v>
      </c>
      <c r="C394" s="1">
        <v>45367</v>
      </c>
      <c r="D394" t="s">
        <v>236</v>
      </c>
      <c r="E394">
        <v>1244.26164798525</v>
      </c>
      <c r="F394">
        <v>1244.26164798525</v>
      </c>
    </row>
    <row r="395" spans="1:6" x14ac:dyDescent="0.2">
      <c r="A395">
        <v>194</v>
      </c>
      <c r="B395" t="s">
        <v>631</v>
      </c>
      <c r="C395" s="1">
        <v>45446</v>
      </c>
      <c r="D395" t="s">
        <v>631</v>
      </c>
      <c r="E395">
        <v>3.2818632861577801</v>
      </c>
      <c r="F395">
        <v>3.2818632861577801</v>
      </c>
    </row>
    <row r="396" spans="1:6" x14ac:dyDescent="0.2">
      <c r="A396">
        <v>194</v>
      </c>
      <c r="B396" t="s">
        <v>632</v>
      </c>
      <c r="C396" s="1">
        <v>45366</v>
      </c>
      <c r="D396" t="s">
        <v>632</v>
      </c>
      <c r="E396">
        <v>3983.9804921494201</v>
      </c>
      <c r="F396">
        <v>3983.9804921494201</v>
      </c>
    </row>
    <row r="397" spans="1:6" x14ac:dyDescent="0.2">
      <c r="A397">
        <v>195</v>
      </c>
      <c r="B397" t="s">
        <v>633</v>
      </c>
      <c r="C397" s="1">
        <v>45616</v>
      </c>
      <c r="D397" t="s">
        <v>633</v>
      </c>
      <c r="E397">
        <v>281822.84445791203</v>
      </c>
      <c r="F397">
        <v>281822.84445791203</v>
      </c>
    </row>
    <row r="398" spans="1:6" x14ac:dyDescent="0.2">
      <c r="A398">
        <v>195</v>
      </c>
      <c r="B398" t="s">
        <v>634</v>
      </c>
      <c r="C398" s="1">
        <v>45532</v>
      </c>
      <c r="D398" t="s">
        <v>634</v>
      </c>
      <c r="E398">
        <v>281125.56895949302</v>
      </c>
      <c r="F398">
        <v>281125.56895949302</v>
      </c>
    </row>
    <row r="399" spans="1:6" x14ac:dyDescent="0.2">
      <c r="A399">
        <v>195</v>
      </c>
      <c r="B399" t="s">
        <v>635</v>
      </c>
      <c r="C399" s="1">
        <v>45507</v>
      </c>
      <c r="D399" t="s">
        <v>635</v>
      </c>
      <c r="E399">
        <v>74210.935772697907</v>
      </c>
      <c r="F399">
        <v>74210.935772697907</v>
      </c>
    </row>
    <row r="400" spans="1:6" x14ac:dyDescent="0.2">
      <c r="A400">
        <v>195</v>
      </c>
      <c r="B400" t="s">
        <v>237</v>
      </c>
      <c r="C400" s="1">
        <v>45545</v>
      </c>
      <c r="D400" t="s">
        <v>237</v>
      </c>
      <c r="E400">
        <v>8148.43010859075</v>
      </c>
      <c r="F400">
        <v>8148.43010859075</v>
      </c>
    </row>
    <row r="401" spans="1:6" x14ac:dyDescent="0.2">
      <c r="A401">
        <v>196</v>
      </c>
      <c r="B401" t="s">
        <v>174</v>
      </c>
      <c r="C401" s="1">
        <v>45625</v>
      </c>
      <c r="D401" t="s">
        <v>174</v>
      </c>
      <c r="E401">
        <v>1904.9517446802799</v>
      </c>
      <c r="F401">
        <v>1904.9517446802799</v>
      </c>
    </row>
    <row r="402" spans="1:6" x14ac:dyDescent="0.2">
      <c r="A402">
        <v>196</v>
      </c>
      <c r="B402" t="s">
        <v>175</v>
      </c>
      <c r="C402" s="1">
        <v>45418</v>
      </c>
      <c r="D402" t="s">
        <v>175</v>
      </c>
      <c r="E402">
        <v>81321.3263105839</v>
      </c>
      <c r="F402">
        <v>81321.3263105839</v>
      </c>
    </row>
    <row r="403" spans="1:6" x14ac:dyDescent="0.2">
      <c r="A403">
        <v>197</v>
      </c>
      <c r="B403" t="s">
        <v>636</v>
      </c>
      <c r="C403" s="1">
        <v>45321</v>
      </c>
      <c r="D403" t="s">
        <v>636</v>
      </c>
      <c r="E403">
        <v>79190.411119419907</v>
      </c>
      <c r="F403">
        <v>79190.411119419907</v>
      </c>
    </row>
    <row r="404" spans="1:6" x14ac:dyDescent="0.2">
      <c r="A404">
        <v>197</v>
      </c>
      <c r="B404" t="s">
        <v>637</v>
      </c>
      <c r="C404" s="1">
        <v>45609</v>
      </c>
      <c r="D404" t="s">
        <v>637</v>
      </c>
      <c r="E404">
        <v>12.3446527242944</v>
      </c>
      <c r="F404">
        <v>12.3446527242944</v>
      </c>
    </row>
    <row r="405" spans="1:6" x14ac:dyDescent="0.2">
      <c r="A405">
        <v>198</v>
      </c>
      <c r="B405" t="s">
        <v>238</v>
      </c>
      <c r="C405" s="1">
        <v>45359</v>
      </c>
      <c r="D405" t="s">
        <v>238</v>
      </c>
      <c r="E405">
        <v>1617.7158170335999</v>
      </c>
      <c r="F405">
        <v>1617.7158170335999</v>
      </c>
    </row>
    <row r="406" spans="1:6" x14ac:dyDescent="0.2">
      <c r="A406">
        <v>198</v>
      </c>
      <c r="B406" t="s">
        <v>239</v>
      </c>
      <c r="C406" s="1">
        <v>45387</v>
      </c>
      <c r="D406" t="s">
        <v>239</v>
      </c>
      <c r="E406">
        <v>189546.584871289</v>
      </c>
      <c r="F406">
        <v>189546.584871289</v>
      </c>
    </row>
    <row r="407" spans="1:6" x14ac:dyDescent="0.2">
      <c r="A407">
        <v>199</v>
      </c>
      <c r="B407" t="s">
        <v>638</v>
      </c>
      <c r="C407" s="1">
        <v>45471</v>
      </c>
      <c r="D407" t="s">
        <v>638</v>
      </c>
      <c r="E407">
        <v>14132584.2883582</v>
      </c>
      <c r="F407">
        <v>10000000</v>
      </c>
    </row>
    <row r="408" spans="1:6" x14ac:dyDescent="0.2">
      <c r="A408">
        <v>200</v>
      </c>
      <c r="B408" t="s">
        <v>639</v>
      </c>
      <c r="C408" s="1">
        <v>45366</v>
      </c>
      <c r="D408" t="s">
        <v>639</v>
      </c>
      <c r="E408">
        <v>829263.05759635405</v>
      </c>
      <c r="F408">
        <v>829263.05759635405</v>
      </c>
    </row>
    <row r="409" spans="1:6" x14ac:dyDescent="0.2">
      <c r="A409">
        <v>200</v>
      </c>
      <c r="B409" t="s">
        <v>640</v>
      </c>
      <c r="C409" s="1">
        <v>45587</v>
      </c>
      <c r="D409" t="s">
        <v>640</v>
      </c>
      <c r="E409">
        <v>36392.635687381102</v>
      </c>
      <c r="F409">
        <v>36392.635687381102</v>
      </c>
    </row>
    <row r="410" spans="1:6" x14ac:dyDescent="0.2">
      <c r="A410">
        <v>201</v>
      </c>
      <c r="B410" t="s">
        <v>240</v>
      </c>
      <c r="C410" s="1">
        <v>45515</v>
      </c>
      <c r="D410" t="s">
        <v>240</v>
      </c>
      <c r="E410">
        <v>4171.4606969680299</v>
      </c>
      <c r="F410">
        <v>4171.4606969680299</v>
      </c>
    </row>
    <row r="411" spans="1:6" x14ac:dyDescent="0.2">
      <c r="A411">
        <v>202</v>
      </c>
      <c r="B411" t="s">
        <v>641</v>
      </c>
      <c r="C411" s="1">
        <v>45547</v>
      </c>
      <c r="D411" t="s">
        <v>641</v>
      </c>
      <c r="E411">
        <v>31026.268582683399</v>
      </c>
      <c r="F411">
        <v>31026.268582683399</v>
      </c>
    </row>
    <row r="412" spans="1:6" x14ac:dyDescent="0.2">
      <c r="A412">
        <v>202</v>
      </c>
      <c r="B412" t="s">
        <v>642</v>
      </c>
      <c r="C412" s="1">
        <v>45381</v>
      </c>
      <c r="D412" t="s">
        <v>642</v>
      </c>
      <c r="E412">
        <v>122104.654004375</v>
      </c>
      <c r="F412">
        <v>122104.654004375</v>
      </c>
    </row>
    <row r="413" spans="1:6" x14ac:dyDescent="0.2">
      <c r="A413">
        <v>202</v>
      </c>
      <c r="B413" t="s">
        <v>643</v>
      </c>
      <c r="C413" s="1">
        <v>45423</v>
      </c>
      <c r="D413" t="s">
        <v>643</v>
      </c>
      <c r="E413">
        <v>2985.8159206208602</v>
      </c>
      <c r="F413">
        <v>2985.8159206208602</v>
      </c>
    </row>
    <row r="414" spans="1:6" x14ac:dyDescent="0.2">
      <c r="A414">
        <v>202</v>
      </c>
      <c r="B414" t="s">
        <v>644</v>
      </c>
      <c r="C414" s="1">
        <v>45295</v>
      </c>
      <c r="D414" t="s">
        <v>644</v>
      </c>
      <c r="E414">
        <v>774750.52319111605</v>
      </c>
      <c r="F414">
        <v>774750.52319111605</v>
      </c>
    </row>
    <row r="415" spans="1:6" x14ac:dyDescent="0.2">
      <c r="A415">
        <v>202</v>
      </c>
      <c r="B415" t="s">
        <v>645</v>
      </c>
      <c r="C415" s="1">
        <v>45509</v>
      </c>
      <c r="D415" t="s">
        <v>645</v>
      </c>
      <c r="E415">
        <v>306.264299082322</v>
      </c>
      <c r="F415">
        <v>306.264299082322</v>
      </c>
    </row>
    <row r="416" spans="1:6" x14ac:dyDescent="0.2">
      <c r="A416">
        <v>203</v>
      </c>
      <c r="B416" t="s">
        <v>646</v>
      </c>
      <c r="C416" s="1">
        <v>45504</v>
      </c>
      <c r="D416" t="s">
        <v>646</v>
      </c>
      <c r="E416">
        <v>51.534456200139203</v>
      </c>
      <c r="F416">
        <v>51.534456200139203</v>
      </c>
    </row>
    <row r="417" spans="1:6" x14ac:dyDescent="0.2">
      <c r="A417">
        <v>203</v>
      </c>
      <c r="B417" t="s">
        <v>647</v>
      </c>
      <c r="C417" s="1">
        <v>45327</v>
      </c>
      <c r="D417" t="s">
        <v>647</v>
      </c>
      <c r="E417">
        <v>643.06751221335298</v>
      </c>
      <c r="F417">
        <v>643.06751221335298</v>
      </c>
    </row>
    <row r="418" spans="1:6" x14ac:dyDescent="0.2">
      <c r="A418">
        <v>204</v>
      </c>
      <c r="B418" t="s">
        <v>648</v>
      </c>
      <c r="C418" s="1">
        <v>45360</v>
      </c>
      <c r="D418" t="s">
        <v>648</v>
      </c>
      <c r="E418">
        <v>11058.050709749299</v>
      </c>
      <c r="F418">
        <v>11058.050709749299</v>
      </c>
    </row>
    <row r="419" spans="1:6" x14ac:dyDescent="0.2">
      <c r="A419">
        <v>204</v>
      </c>
      <c r="B419" t="s">
        <v>649</v>
      </c>
      <c r="C419" s="1">
        <v>45512</v>
      </c>
      <c r="D419" t="s">
        <v>649</v>
      </c>
      <c r="E419">
        <v>1110.0697974305599</v>
      </c>
      <c r="F419">
        <v>1110.0697974305599</v>
      </c>
    </row>
    <row r="420" spans="1:6" x14ac:dyDescent="0.2">
      <c r="A420">
        <v>205</v>
      </c>
      <c r="B420" t="s">
        <v>176</v>
      </c>
      <c r="C420" s="1">
        <v>45489</v>
      </c>
      <c r="D420" t="s">
        <v>176</v>
      </c>
      <c r="E420">
        <v>3580.2839673753401</v>
      </c>
      <c r="F420">
        <v>3580.2839673753401</v>
      </c>
    </row>
    <row r="421" spans="1:6" x14ac:dyDescent="0.2">
      <c r="A421">
        <v>206</v>
      </c>
      <c r="B421" t="s">
        <v>650</v>
      </c>
      <c r="C421" s="1">
        <v>45373</v>
      </c>
      <c r="D421" t="s">
        <v>650</v>
      </c>
      <c r="E421">
        <v>10608.4635598967</v>
      </c>
      <c r="F421">
        <v>10608.4635598967</v>
      </c>
    </row>
    <row r="422" spans="1:6" x14ac:dyDescent="0.2">
      <c r="A422">
        <v>206</v>
      </c>
      <c r="B422" t="s">
        <v>651</v>
      </c>
      <c r="C422" s="1">
        <v>45624</v>
      </c>
      <c r="D422" t="s">
        <v>651</v>
      </c>
      <c r="E422">
        <v>1335.8662565121599</v>
      </c>
      <c r="F422">
        <v>1335.8662565121599</v>
      </c>
    </row>
    <row r="423" spans="1:6" x14ac:dyDescent="0.2">
      <c r="A423">
        <v>206</v>
      </c>
      <c r="B423" t="s">
        <v>652</v>
      </c>
      <c r="C423" s="1">
        <v>45655</v>
      </c>
      <c r="D423" t="s">
        <v>652</v>
      </c>
      <c r="E423">
        <v>244108.61200112899</v>
      </c>
      <c r="F423">
        <v>244108.61200112899</v>
      </c>
    </row>
    <row r="424" spans="1:6" x14ac:dyDescent="0.2">
      <c r="A424">
        <v>206</v>
      </c>
      <c r="B424" t="s">
        <v>653</v>
      </c>
      <c r="C424" s="1">
        <v>45466</v>
      </c>
      <c r="D424" t="s">
        <v>653</v>
      </c>
      <c r="E424">
        <v>11875.261574927499</v>
      </c>
      <c r="F424">
        <v>11875.261574927499</v>
      </c>
    </row>
    <row r="425" spans="1:6" x14ac:dyDescent="0.2">
      <c r="A425">
        <v>207</v>
      </c>
      <c r="B425" t="s">
        <v>63</v>
      </c>
      <c r="C425" s="1">
        <v>45600</v>
      </c>
      <c r="D425" t="s">
        <v>63</v>
      </c>
      <c r="E425">
        <v>15711.2747872329</v>
      </c>
      <c r="F425">
        <v>15711.2747872329</v>
      </c>
    </row>
    <row r="426" spans="1:6" x14ac:dyDescent="0.2">
      <c r="A426">
        <v>208</v>
      </c>
      <c r="B426" t="s">
        <v>654</v>
      </c>
      <c r="C426" s="1">
        <v>45434</v>
      </c>
      <c r="D426" t="s">
        <v>654</v>
      </c>
      <c r="E426">
        <v>125.22482303918</v>
      </c>
      <c r="F426">
        <v>125.22482303918</v>
      </c>
    </row>
    <row r="427" spans="1:6" x14ac:dyDescent="0.2">
      <c r="A427">
        <v>209</v>
      </c>
      <c r="B427" t="s">
        <v>655</v>
      </c>
      <c r="C427" s="1">
        <v>45427</v>
      </c>
      <c r="D427" t="s">
        <v>655</v>
      </c>
      <c r="E427">
        <v>342.95047472668898</v>
      </c>
      <c r="F427">
        <v>342.95047472668898</v>
      </c>
    </row>
    <row r="428" spans="1:6" x14ac:dyDescent="0.2">
      <c r="A428">
        <v>210</v>
      </c>
      <c r="B428" t="s">
        <v>656</v>
      </c>
      <c r="C428" s="1">
        <v>45505</v>
      </c>
      <c r="D428" t="s">
        <v>656</v>
      </c>
      <c r="E428">
        <v>8031308.9769264599</v>
      </c>
      <c r="F428">
        <v>8031308.9769264599</v>
      </c>
    </row>
    <row r="429" spans="1:6" x14ac:dyDescent="0.2">
      <c r="A429">
        <v>211</v>
      </c>
      <c r="B429" t="s">
        <v>64</v>
      </c>
      <c r="C429" s="1">
        <v>45578</v>
      </c>
      <c r="D429" t="s">
        <v>64</v>
      </c>
      <c r="E429">
        <v>9322.6349022218601</v>
      </c>
      <c r="F429">
        <v>9322.6349022218601</v>
      </c>
    </row>
    <row r="430" spans="1:6" x14ac:dyDescent="0.2">
      <c r="A430">
        <v>211</v>
      </c>
      <c r="B430" t="s">
        <v>241</v>
      </c>
      <c r="C430" s="1">
        <v>45358</v>
      </c>
      <c r="D430" t="s">
        <v>241</v>
      </c>
      <c r="E430">
        <v>10826.558364162</v>
      </c>
      <c r="F430">
        <v>10826.558364162</v>
      </c>
    </row>
    <row r="431" spans="1:6" x14ac:dyDescent="0.2">
      <c r="A431">
        <v>212</v>
      </c>
      <c r="B431" t="s">
        <v>657</v>
      </c>
      <c r="C431" s="1">
        <v>45600</v>
      </c>
      <c r="D431" t="s">
        <v>657</v>
      </c>
      <c r="E431">
        <v>39.1412885197538</v>
      </c>
      <c r="F431">
        <v>39.1412885197538</v>
      </c>
    </row>
    <row r="432" spans="1:6" x14ac:dyDescent="0.2">
      <c r="A432">
        <v>213</v>
      </c>
      <c r="B432" t="s">
        <v>242</v>
      </c>
      <c r="C432" s="1">
        <v>45605</v>
      </c>
      <c r="D432" t="s">
        <v>242</v>
      </c>
      <c r="E432">
        <v>6421.3464340607497</v>
      </c>
      <c r="F432">
        <v>6421.3464340607497</v>
      </c>
    </row>
    <row r="433" spans="1:6" x14ac:dyDescent="0.2">
      <c r="A433">
        <v>214</v>
      </c>
      <c r="B433" t="s">
        <v>658</v>
      </c>
      <c r="C433" s="1">
        <v>45585</v>
      </c>
      <c r="D433" t="s">
        <v>658</v>
      </c>
      <c r="E433">
        <v>9549.1705392344193</v>
      </c>
      <c r="F433">
        <v>9549.1705392344193</v>
      </c>
    </row>
    <row r="434" spans="1:6" x14ac:dyDescent="0.2">
      <c r="A434">
        <v>214</v>
      </c>
      <c r="B434" t="s">
        <v>659</v>
      </c>
      <c r="C434" s="1">
        <v>45321</v>
      </c>
      <c r="D434" t="s">
        <v>659</v>
      </c>
      <c r="E434">
        <v>14.387717341668299</v>
      </c>
      <c r="F434">
        <v>14.387717341668299</v>
      </c>
    </row>
    <row r="435" spans="1:6" x14ac:dyDescent="0.2">
      <c r="A435">
        <v>216</v>
      </c>
      <c r="B435" t="s">
        <v>660</v>
      </c>
      <c r="C435" s="1">
        <v>45361</v>
      </c>
      <c r="D435" t="s">
        <v>660</v>
      </c>
      <c r="E435">
        <v>297.54030154345702</v>
      </c>
      <c r="F435">
        <v>297.54030154345702</v>
      </c>
    </row>
    <row r="436" spans="1:6" x14ac:dyDescent="0.2">
      <c r="A436">
        <v>216</v>
      </c>
      <c r="B436" t="s">
        <v>661</v>
      </c>
      <c r="C436" s="1">
        <v>45445</v>
      </c>
      <c r="D436" t="s">
        <v>661</v>
      </c>
      <c r="E436">
        <v>156087.91156540401</v>
      </c>
      <c r="F436">
        <v>156087.91156540401</v>
      </c>
    </row>
    <row r="437" spans="1:6" x14ac:dyDescent="0.2">
      <c r="A437">
        <v>216</v>
      </c>
      <c r="B437" t="s">
        <v>662</v>
      </c>
      <c r="C437" s="1">
        <v>45330</v>
      </c>
      <c r="D437" t="s">
        <v>662</v>
      </c>
      <c r="E437">
        <v>300.224335057274</v>
      </c>
      <c r="F437">
        <v>300.224335057274</v>
      </c>
    </row>
    <row r="438" spans="1:6" x14ac:dyDescent="0.2">
      <c r="A438">
        <v>217</v>
      </c>
      <c r="B438" t="s">
        <v>243</v>
      </c>
      <c r="C438" s="1">
        <v>45417</v>
      </c>
      <c r="D438" t="s">
        <v>243</v>
      </c>
      <c r="E438">
        <v>6668.9989939731804</v>
      </c>
      <c r="F438">
        <v>6668.9989939731804</v>
      </c>
    </row>
    <row r="439" spans="1:6" x14ac:dyDescent="0.2">
      <c r="A439">
        <v>218</v>
      </c>
      <c r="B439" t="s">
        <v>663</v>
      </c>
      <c r="C439" s="1">
        <v>45644</v>
      </c>
      <c r="D439" t="s">
        <v>663</v>
      </c>
      <c r="E439">
        <v>12572.3034676851</v>
      </c>
      <c r="F439">
        <v>12572.3034676851</v>
      </c>
    </row>
    <row r="440" spans="1:6" x14ac:dyDescent="0.2">
      <c r="A440">
        <v>218</v>
      </c>
      <c r="B440" t="s">
        <v>664</v>
      </c>
      <c r="C440" s="1">
        <v>45406</v>
      </c>
      <c r="D440" t="s">
        <v>664</v>
      </c>
      <c r="E440">
        <v>8163519.5074308198</v>
      </c>
      <c r="F440">
        <v>8163519.5074308198</v>
      </c>
    </row>
    <row r="441" spans="1:6" x14ac:dyDescent="0.2">
      <c r="A441">
        <v>219</v>
      </c>
      <c r="B441" t="s">
        <v>665</v>
      </c>
      <c r="C441" s="1">
        <v>45426</v>
      </c>
      <c r="D441" t="s">
        <v>665</v>
      </c>
      <c r="E441">
        <v>3240.8505192224802</v>
      </c>
      <c r="F441">
        <v>3240.8505192224802</v>
      </c>
    </row>
    <row r="442" spans="1:6" x14ac:dyDescent="0.2">
      <c r="A442">
        <v>219</v>
      </c>
      <c r="B442" t="s">
        <v>666</v>
      </c>
      <c r="C442" s="1">
        <v>45486</v>
      </c>
      <c r="D442" t="s">
        <v>666</v>
      </c>
      <c r="E442">
        <v>1719.38448941149</v>
      </c>
      <c r="F442">
        <v>1719.38448941149</v>
      </c>
    </row>
    <row r="443" spans="1:6" x14ac:dyDescent="0.2">
      <c r="A443">
        <v>219</v>
      </c>
      <c r="B443" t="s">
        <v>65</v>
      </c>
      <c r="C443" s="1">
        <v>45507</v>
      </c>
      <c r="D443" t="s">
        <v>65</v>
      </c>
      <c r="E443">
        <v>757051.28703215602</v>
      </c>
      <c r="F443">
        <v>757051.28703215602</v>
      </c>
    </row>
    <row r="444" spans="1:6" x14ac:dyDescent="0.2">
      <c r="A444">
        <v>220</v>
      </c>
      <c r="B444" t="s">
        <v>667</v>
      </c>
      <c r="C444" s="1">
        <v>45340</v>
      </c>
      <c r="D444" t="s">
        <v>667</v>
      </c>
      <c r="E444">
        <v>85939.672194452694</v>
      </c>
      <c r="F444">
        <v>85939.672194452694</v>
      </c>
    </row>
    <row r="445" spans="1:6" x14ac:dyDescent="0.2">
      <c r="A445">
        <v>220</v>
      </c>
      <c r="B445" t="s">
        <v>668</v>
      </c>
      <c r="C445" s="1">
        <v>45427</v>
      </c>
      <c r="D445" t="s">
        <v>668</v>
      </c>
      <c r="E445">
        <v>338.399920280662</v>
      </c>
      <c r="F445">
        <v>338.399920280662</v>
      </c>
    </row>
    <row r="446" spans="1:6" x14ac:dyDescent="0.2">
      <c r="A446">
        <v>220</v>
      </c>
      <c r="B446" t="s">
        <v>66</v>
      </c>
      <c r="C446" s="1">
        <v>45516</v>
      </c>
      <c r="D446" t="s">
        <v>66</v>
      </c>
      <c r="E446">
        <v>1161853.8654166299</v>
      </c>
      <c r="F446">
        <v>1161853.8654166299</v>
      </c>
    </row>
    <row r="447" spans="1:6" x14ac:dyDescent="0.2">
      <c r="A447">
        <v>220</v>
      </c>
      <c r="B447" t="s">
        <v>244</v>
      </c>
      <c r="C447" s="1">
        <v>45633</v>
      </c>
      <c r="D447" t="s">
        <v>244</v>
      </c>
      <c r="E447">
        <v>61530.437276078803</v>
      </c>
      <c r="F447">
        <v>61530.437276078803</v>
      </c>
    </row>
    <row r="448" spans="1:6" x14ac:dyDescent="0.2">
      <c r="A448">
        <v>221</v>
      </c>
      <c r="B448" t="s">
        <v>177</v>
      </c>
      <c r="C448" s="1">
        <v>45368</v>
      </c>
      <c r="D448" t="s">
        <v>177</v>
      </c>
      <c r="E448">
        <v>4273.0304864971304</v>
      </c>
      <c r="F448">
        <v>4273.0304864971304</v>
      </c>
    </row>
    <row r="449" spans="1:6" x14ac:dyDescent="0.2">
      <c r="A449">
        <v>222</v>
      </c>
      <c r="B449" t="s">
        <v>669</v>
      </c>
      <c r="C449" s="1">
        <v>45516</v>
      </c>
      <c r="D449" t="s">
        <v>669</v>
      </c>
      <c r="E449">
        <v>6186.1884018786004</v>
      </c>
      <c r="F449">
        <v>6186.1884018786004</v>
      </c>
    </row>
    <row r="450" spans="1:6" x14ac:dyDescent="0.2">
      <c r="A450">
        <v>222</v>
      </c>
      <c r="B450" t="s">
        <v>670</v>
      </c>
      <c r="C450" s="1">
        <v>45546</v>
      </c>
      <c r="D450" t="s">
        <v>670</v>
      </c>
      <c r="E450">
        <v>201098.09651189801</v>
      </c>
      <c r="F450">
        <v>201098.09651189801</v>
      </c>
    </row>
    <row r="451" spans="1:6" x14ac:dyDescent="0.2">
      <c r="A451">
        <v>222</v>
      </c>
      <c r="B451" t="s">
        <v>671</v>
      </c>
      <c r="C451" s="1">
        <v>45340</v>
      </c>
      <c r="D451" t="s">
        <v>671</v>
      </c>
      <c r="E451">
        <v>140.709691576658</v>
      </c>
      <c r="F451">
        <v>140.709691576658</v>
      </c>
    </row>
    <row r="452" spans="1:6" x14ac:dyDescent="0.2">
      <c r="A452">
        <v>222</v>
      </c>
      <c r="B452" t="s">
        <v>672</v>
      </c>
      <c r="C452" s="1">
        <v>45333</v>
      </c>
      <c r="D452" t="s">
        <v>672</v>
      </c>
      <c r="E452">
        <v>1689.43580403439</v>
      </c>
      <c r="F452">
        <v>1689.43580403439</v>
      </c>
    </row>
    <row r="453" spans="1:6" x14ac:dyDescent="0.2">
      <c r="A453">
        <v>222</v>
      </c>
      <c r="B453" t="s">
        <v>673</v>
      </c>
      <c r="C453" s="1">
        <v>45430</v>
      </c>
      <c r="D453" t="s">
        <v>673</v>
      </c>
      <c r="E453">
        <v>3836.9304607101999</v>
      </c>
      <c r="F453">
        <v>3836.9304607101999</v>
      </c>
    </row>
    <row r="454" spans="1:6" x14ac:dyDescent="0.2">
      <c r="A454">
        <v>223</v>
      </c>
      <c r="B454" t="s">
        <v>674</v>
      </c>
      <c r="C454" s="1">
        <v>45533</v>
      </c>
      <c r="D454" t="s">
        <v>674</v>
      </c>
      <c r="E454">
        <v>68.277641242690507</v>
      </c>
      <c r="F454">
        <v>68.277641242690507</v>
      </c>
    </row>
    <row r="455" spans="1:6" x14ac:dyDescent="0.2">
      <c r="A455">
        <v>223</v>
      </c>
      <c r="B455" t="s">
        <v>675</v>
      </c>
      <c r="C455" s="1">
        <v>45514</v>
      </c>
      <c r="D455" t="s">
        <v>675</v>
      </c>
      <c r="E455">
        <v>813.99986321693598</v>
      </c>
      <c r="F455">
        <v>813.99986321693598</v>
      </c>
    </row>
    <row r="456" spans="1:6" x14ac:dyDescent="0.2">
      <c r="A456">
        <v>223</v>
      </c>
      <c r="B456" t="s">
        <v>676</v>
      </c>
      <c r="C456" s="1">
        <v>45305</v>
      </c>
      <c r="D456" t="s">
        <v>676</v>
      </c>
      <c r="E456">
        <v>1258.1819650867501</v>
      </c>
      <c r="F456">
        <v>1258.1819650867501</v>
      </c>
    </row>
    <row r="457" spans="1:6" x14ac:dyDescent="0.2">
      <c r="A457">
        <v>224</v>
      </c>
      <c r="B457" t="s">
        <v>67</v>
      </c>
      <c r="C457" s="1">
        <v>45429</v>
      </c>
      <c r="D457" t="s">
        <v>67</v>
      </c>
      <c r="E457">
        <v>2119.8954981253901</v>
      </c>
      <c r="F457">
        <v>2119.8954981253901</v>
      </c>
    </row>
    <row r="458" spans="1:6" x14ac:dyDescent="0.2">
      <c r="A458">
        <v>224</v>
      </c>
      <c r="B458" t="s">
        <v>178</v>
      </c>
      <c r="C458" s="1">
        <v>45340</v>
      </c>
      <c r="D458" t="s">
        <v>178</v>
      </c>
      <c r="E458">
        <v>35754026.168974198</v>
      </c>
      <c r="F458">
        <v>10000000</v>
      </c>
    </row>
    <row r="459" spans="1:6" x14ac:dyDescent="0.2">
      <c r="A459">
        <v>224</v>
      </c>
      <c r="B459" t="s">
        <v>245</v>
      </c>
      <c r="C459" s="1">
        <v>45343</v>
      </c>
      <c r="D459" t="s">
        <v>245</v>
      </c>
      <c r="E459">
        <v>39692708.815358102</v>
      </c>
      <c r="F459">
        <v>10000000</v>
      </c>
    </row>
    <row r="460" spans="1:6" x14ac:dyDescent="0.2">
      <c r="A460">
        <v>226</v>
      </c>
      <c r="B460" t="s">
        <v>677</v>
      </c>
      <c r="C460" s="1">
        <v>45463</v>
      </c>
      <c r="D460" t="s">
        <v>677</v>
      </c>
      <c r="E460">
        <v>14539.4760039066</v>
      </c>
      <c r="F460">
        <v>14539.4760039066</v>
      </c>
    </row>
    <row r="461" spans="1:6" x14ac:dyDescent="0.2">
      <c r="A461">
        <v>227</v>
      </c>
      <c r="B461" t="s">
        <v>678</v>
      </c>
      <c r="C461" s="1">
        <v>45418</v>
      </c>
      <c r="D461" t="s">
        <v>678</v>
      </c>
      <c r="E461">
        <v>14202.218157461401</v>
      </c>
      <c r="F461">
        <v>14202.218157461401</v>
      </c>
    </row>
    <row r="462" spans="1:6" x14ac:dyDescent="0.2">
      <c r="A462">
        <v>227</v>
      </c>
      <c r="B462" t="s">
        <v>679</v>
      </c>
      <c r="C462" s="1">
        <v>45431</v>
      </c>
      <c r="D462" t="s">
        <v>679</v>
      </c>
      <c r="E462">
        <v>16036.588723541199</v>
      </c>
      <c r="F462">
        <v>16036.588723541199</v>
      </c>
    </row>
    <row r="463" spans="1:6" x14ac:dyDescent="0.2">
      <c r="A463">
        <v>228</v>
      </c>
      <c r="B463" t="s">
        <v>680</v>
      </c>
      <c r="C463" s="1">
        <v>45629</v>
      </c>
      <c r="D463" t="s">
        <v>680</v>
      </c>
      <c r="E463">
        <v>19087.114268442801</v>
      </c>
      <c r="F463">
        <v>19087.114268442801</v>
      </c>
    </row>
    <row r="464" spans="1:6" x14ac:dyDescent="0.2">
      <c r="A464">
        <v>228</v>
      </c>
      <c r="B464" t="s">
        <v>681</v>
      </c>
      <c r="C464" s="1">
        <v>45482</v>
      </c>
      <c r="D464" t="s">
        <v>681</v>
      </c>
      <c r="E464">
        <v>1540691.7924903601</v>
      </c>
      <c r="F464">
        <v>1540691.7924903601</v>
      </c>
    </row>
    <row r="465" spans="1:6" x14ac:dyDescent="0.2">
      <c r="A465">
        <v>229</v>
      </c>
      <c r="B465" t="s">
        <v>682</v>
      </c>
      <c r="C465" s="1">
        <v>45472</v>
      </c>
      <c r="D465" t="s">
        <v>682</v>
      </c>
      <c r="E465">
        <v>4970.2224065815799</v>
      </c>
      <c r="F465">
        <v>4970.2224065815799</v>
      </c>
    </row>
    <row r="466" spans="1:6" x14ac:dyDescent="0.2">
      <c r="A466">
        <v>229</v>
      </c>
      <c r="B466" t="s">
        <v>683</v>
      </c>
      <c r="C466" s="1">
        <v>45448</v>
      </c>
      <c r="D466" t="s">
        <v>683</v>
      </c>
      <c r="E466">
        <v>538054.97557789204</v>
      </c>
      <c r="F466">
        <v>538054.97557789204</v>
      </c>
    </row>
    <row r="467" spans="1:6" x14ac:dyDescent="0.2">
      <c r="A467">
        <v>229</v>
      </c>
      <c r="B467" t="s">
        <v>684</v>
      </c>
      <c r="C467" s="1">
        <v>45584</v>
      </c>
      <c r="D467" t="s">
        <v>684</v>
      </c>
      <c r="E467">
        <v>119993.004238087</v>
      </c>
      <c r="F467">
        <v>119993.004238087</v>
      </c>
    </row>
    <row r="468" spans="1:6" x14ac:dyDescent="0.2">
      <c r="A468">
        <v>230</v>
      </c>
      <c r="B468" t="s">
        <v>246</v>
      </c>
      <c r="C468" s="1">
        <v>45337</v>
      </c>
      <c r="D468" t="s">
        <v>246</v>
      </c>
      <c r="E468">
        <v>163.50481469580299</v>
      </c>
      <c r="F468">
        <v>163.50481469580299</v>
      </c>
    </row>
    <row r="469" spans="1:6" x14ac:dyDescent="0.2">
      <c r="A469">
        <v>230</v>
      </c>
      <c r="B469" t="s">
        <v>685</v>
      </c>
      <c r="C469" s="1">
        <v>45342</v>
      </c>
      <c r="D469" t="s">
        <v>685</v>
      </c>
      <c r="E469">
        <v>424.223919743441</v>
      </c>
      <c r="F469">
        <v>424.223919743441</v>
      </c>
    </row>
    <row r="470" spans="1:6" x14ac:dyDescent="0.2">
      <c r="A470">
        <v>230</v>
      </c>
      <c r="B470" t="s">
        <v>686</v>
      </c>
      <c r="C470" s="1">
        <v>45323</v>
      </c>
      <c r="D470" t="s">
        <v>686</v>
      </c>
      <c r="E470">
        <v>267.49077426124398</v>
      </c>
      <c r="F470">
        <v>267.49077426124398</v>
      </c>
    </row>
    <row r="471" spans="1:6" x14ac:dyDescent="0.2">
      <c r="A471">
        <v>230</v>
      </c>
      <c r="B471" t="s">
        <v>687</v>
      </c>
      <c r="C471" s="1">
        <v>45453</v>
      </c>
      <c r="D471" t="s">
        <v>687</v>
      </c>
      <c r="E471">
        <v>85626.568093184906</v>
      </c>
      <c r="F471">
        <v>85626.568093184906</v>
      </c>
    </row>
    <row r="472" spans="1:6" x14ac:dyDescent="0.2">
      <c r="A472">
        <v>231</v>
      </c>
      <c r="B472" t="s">
        <v>688</v>
      </c>
      <c r="C472" s="1">
        <v>45474</v>
      </c>
      <c r="D472" t="s">
        <v>688</v>
      </c>
      <c r="E472">
        <v>2050.7191094292102</v>
      </c>
      <c r="F472">
        <v>2050.7191094292102</v>
      </c>
    </row>
    <row r="473" spans="1:6" x14ac:dyDescent="0.2">
      <c r="A473">
        <v>231</v>
      </c>
      <c r="B473" t="s">
        <v>689</v>
      </c>
      <c r="C473" s="1">
        <v>45532</v>
      </c>
      <c r="D473" t="s">
        <v>689</v>
      </c>
      <c r="E473">
        <v>134163.039407993</v>
      </c>
      <c r="F473">
        <v>134163.039407993</v>
      </c>
    </row>
    <row r="474" spans="1:6" x14ac:dyDescent="0.2">
      <c r="A474">
        <v>232</v>
      </c>
      <c r="B474" t="s">
        <v>690</v>
      </c>
      <c r="C474" s="1">
        <v>45546</v>
      </c>
      <c r="D474" t="s">
        <v>690</v>
      </c>
      <c r="E474">
        <v>3797.7833347333899</v>
      </c>
      <c r="F474">
        <v>3797.7833347333899</v>
      </c>
    </row>
    <row r="475" spans="1:6" x14ac:dyDescent="0.2">
      <c r="A475">
        <v>232</v>
      </c>
      <c r="B475" t="s">
        <v>691</v>
      </c>
      <c r="C475" s="1">
        <v>45609</v>
      </c>
      <c r="D475" t="s">
        <v>691</v>
      </c>
      <c r="E475">
        <v>72612.3683104995</v>
      </c>
      <c r="F475">
        <v>72612.3683104995</v>
      </c>
    </row>
    <row r="476" spans="1:6" x14ac:dyDescent="0.2">
      <c r="A476">
        <v>233</v>
      </c>
      <c r="B476" t="s">
        <v>692</v>
      </c>
      <c r="C476" s="1">
        <v>45529</v>
      </c>
      <c r="D476" t="s">
        <v>692</v>
      </c>
      <c r="E476">
        <v>56.581870978551997</v>
      </c>
      <c r="F476">
        <v>56.581870978551997</v>
      </c>
    </row>
    <row r="477" spans="1:6" x14ac:dyDescent="0.2">
      <c r="A477">
        <v>233</v>
      </c>
      <c r="B477" t="s">
        <v>693</v>
      </c>
      <c r="C477" s="1">
        <v>45390</v>
      </c>
      <c r="D477" t="s">
        <v>693</v>
      </c>
      <c r="E477">
        <v>38024.7477270854</v>
      </c>
      <c r="F477">
        <v>38024.7477270854</v>
      </c>
    </row>
    <row r="478" spans="1:6" x14ac:dyDescent="0.2">
      <c r="A478">
        <v>235</v>
      </c>
      <c r="B478" t="s">
        <v>694</v>
      </c>
      <c r="C478" s="1">
        <v>45476</v>
      </c>
      <c r="D478" t="s">
        <v>694</v>
      </c>
      <c r="E478">
        <v>3705.2398352578598</v>
      </c>
      <c r="F478">
        <v>3705.2398352578598</v>
      </c>
    </row>
    <row r="479" spans="1:6" x14ac:dyDescent="0.2">
      <c r="A479">
        <v>236</v>
      </c>
      <c r="B479" t="s">
        <v>695</v>
      </c>
      <c r="C479" s="1">
        <v>45342</v>
      </c>
      <c r="D479" t="s">
        <v>695</v>
      </c>
      <c r="E479">
        <v>379.47860861011299</v>
      </c>
      <c r="F479">
        <v>379.47860861011299</v>
      </c>
    </row>
    <row r="480" spans="1:6" x14ac:dyDescent="0.2">
      <c r="A480">
        <v>237</v>
      </c>
      <c r="B480" t="s">
        <v>696</v>
      </c>
      <c r="C480" s="1">
        <v>45308</v>
      </c>
      <c r="D480" t="s">
        <v>696</v>
      </c>
      <c r="E480">
        <v>24.865637654037702</v>
      </c>
      <c r="F480">
        <v>24.865637654037702</v>
      </c>
    </row>
    <row r="481" spans="1:6" x14ac:dyDescent="0.2">
      <c r="A481">
        <v>238</v>
      </c>
      <c r="B481" t="s">
        <v>247</v>
      </c>
      <c r="C481" s="1">
        <v>45478</v>
      </c>
      <c r="D481" t="s">
        <v>247</v>
      </c>
      <c r="E481">
        <v>1552335.9970929499</v>
      </c>
      <c r="F481">
        <v>1552335.9970929499</v>
      </c>
    </row>
    <row r="482" spans="1:6" x14ac:dyDescent="0.2">
      <c r="A482">
        <v>238</v>
      </c>
      <c r="B482" t="s">
        <v>697</v>
      </c>
      <c r="C482" s="1">
        <v>45477</v>
      </c>
      <c r="D482" t="s">
        <v>697</v>
      </c>
      <c r="E482">
        <v>9578.6728104612903</v>
      </c>
      <c r="F482">
        <v>9578.6728104612903</v>
      </c>
    </row>
    <row r="483" spans="1:6" x14ac:dyDescent="0.2">
      <c r="A483">
        <v>238</v>
      </c>
      <c r="B483" t="s">
        <v>698</v>
      </c>
      <c r="C483" s="1">
        <v>45377</v>
      </c>
      <c r="D483" t="s">
        <v>698</v>
      </c>
      <c r="E483">
        <v>21901.342048570699</v>
      </c>
      <c r="F483">
        <v>21901.342048570699</v>
      </c>
    </row>
    <row r="484" spans="1:6" x14ac:dyDescent="0.2">
      <c r="A484">
        <v>239</v>
      </c>
      <c r="B484" t="s">
        <v>248</v>
      </c>
      <c r="C484" s="1">
        <v>45323</v>
      </c>
      <c r="D484" t="s">
        <v>248</v>
      </c>
      <c r="E484">
        <v>45929.033051600898</v>
      </c>
      <c r="F484">
        <v>45929.033051600898</v>
      </c>
    </row>
    <row r="485" spans="1:6" x14ac:dyDescent="0.2">
      <c r="A485">
        <v>240</v>
      </c>
      <c r="B485" t="s">
        <v>699</v>
      </c>
      <c r="C485" s="1">
        <v>45362</v>
      </c>
      <c r="D485" t="s">
        <v>699</v>
      </c>
      <c r="E485">
        <v>261380.217874669</v>
      </c>
      <c r="F485">
        <v>261380.217874669</v>
      </c>
    </row>
    <row r="486" spans="1:6" x14ac:dyDescent="0.2">
      <c r="A486">
        <v>240</v>
      </c>
      <c r="B486" t="s">
        <v>249</v>
      </c>
      <c r="C486" s="1">
        <v>45638</v>
      </c>
      <c r="D486" t="s">
        <v>249</v>
      </c>
      <c r="E486">
        <v>46822.342916396803</v>
      </c>
      <c r="F486">
        <v>46822.342916396803</v>
      </c>
    </row>
    <row r="487" spans="1:6" x14ac:dyDescent="0.2">
      <c r="A487">
        <v>240</v>
      </c>
      <c r="B487" t="s">
        <v>250</v>
      </c>
      <c r="C487" s="1">
        <v>45362</v>
      </c>
      <c r="D487" t="s">
        <v>250</v>
      </c>
      <c r="E487">
        <v>721.00172653746097</v>
      </c>
      <c r="F487">
        <v>721.00172653746097</v>
      </c>
    </row>
    <row r="488" spans="1:6" x14ac:dyDescent="0.2">
      <c r="A488">
        <v>241</v>
      </c>
      <c r="B488" t="s">
        <v>700</v>
      </c>
      <c r="C488" s="1">
        <v>45574</v>
      </c>
      <c r="D488" t="s">
        <v>700</v>
      </c>
      <c r="E488">
        <v>43182.601332016602</v>
      </c>
      <c r="F488">
        <v>43182.601332016602</v>
      </c>
    </row>
    <row r="489" spans="1:6" x14ac:dyDescent="0.2">
      <c r="A489">
        <v>241</v>
      </c>
      <c r="B489" t="s">
        <v>701</v>
      </c>
      <c r="C489" s="1">
        <v>45333</v>
      </c>
      <c r="D489" t="s">
        <v>701</v>
      </c>
      <c r="E489">
        <v>690935.70190433797</v>
      </c>
      <c r="F489">
        <v>690935.70190433797</v>
      </c>
    </row>
    <row r="490" spans="1:6" x14ac:dyDescent="0.2">
      <c r="A490">
        <v>242</v>
      </c>
      <c r="B490" t="s">
        <v>702</v>
      </c>
      <c r="C490" s="1">
        <v>45397</v>
      </c>
      <c r="D490" t="s">
        <v>702</v>
      </c>
      <c r="E490">
        <v>22.152624241363799</v>
      </c>
      <c r="F490">
        <v>22.152624241363799</v>
      </c>
    </row>
    <row r="491" spans="1:6" x14ac:dyDescent="0.2">
      <c r="A491">
        <v>242</v>
      </c>
      <c r="B491" t="s">
        <v>703</v>
      </c>
      <c r="C491" s="1">
        <v>45323</v>
      </c>
      <c r="D491" t="s">
        <v>703</v>
      </c>
      <c r="E491">
        <v>9701.9491154264106</v>
      </c>
      <c r="F491">
        <v>9701.9491154264106</v>
      </c>
    </row>
    <row r="492" spans="1:6" x14ac:dyDescent="0.2">
      <c r="A492">
        <v>243</v>
      </c>
      <c r="B492" t="s">
        <v>704</v>
      </c>
      <c r="C492" s="1">
        <v>45376</v>
      </c>
      <c r="D492" t="s">
        <v>704</v>
      </c>
      <c r="E492">
        <v>3209.93708759427</v>
      </c>
      <c r="F492">
        <v>3209.93708759427</v>
      </c>
    </row>
    <row r="493" spans="1:6" x14ac:dyDescent="0.2">
      <c r="A493">
        <v>244</v>
      </c>
      <c r="B493" t="s">
        <v>68</v>
      </c>
      <c r="C493" s="1">
        <v>45387</v>
      </c>
      <c r="D493" t="s">
        <v>68</v>
      </c>
      <c r="E493">
        <v>31995.830417368299</v>
      </c>
      <c r="F493">
        <v>31995.830417368299</v>
      </c>
    </row>
    <row r="494" spans="1:6" x14ac:dyDescent="0.2">
      <c r="A494">
        <v>244</v>
      </c>
      <c r="B494" t="s">
        <v>69</v>
      </c>
      <c r="C494" s="1">
        <v>45331</v>
      </c>
      <c r="D494" t="s">
        <v>69</v>
      </c>
      <c r="E494">
        <v>6546.0677107091296</v>
      </c>
      <c r="F494">
        <v>6546.0677107091296</v>
      </c>
    </row>
    <row r="495" spans="1:6" x14ac:dyDescent="0.2">
      <c r="A495">
        <v>245</v>
      </c>
      <c r="B495" t="s">
        <v>705</v>
      </c>
      <c r="C495" s="1">
        <v>45490</v>
      </c>
      <c r="D495" t="s">
        <v>705</v>
      </c>
      <c r="E495">
        <v>525.28695273051699</v>
      </c>
      <c r="F495">
        <v>525.28695273051699</v>
      </c>
    </row>
    <row r="496" spans="1:6" x14ac:dyDescent="0.2">
      <c r="A496">
        <v>246</v>
      </c>
      <c r="B496" t="s">
        <v>706</v>
      </c>
      <c r="C496" s="1">
        <v>45570</v>
      </c>
      <c r="D496" t="s">
        <v>706</v>
      </c>
      <c r="E496">
        <v>373.670074561295</v>
      </c>
      <c r="F496">
        <v>373.670074561295</v>
      </c>
    </row>
    <row r="497" spans="1:6" x14ac:dyDescent="0.2">
      <c r="A497">
        <v>246</v>
      </c>
      <c r="B497" t="s">
        <v>251</v>
      </c>
      <c r="C497" s="1">
        <v>45366</v>
      </c>
      <c r="D497" t="s">
        <v>251</v>
      </c>
      <c r="E497">
        <v>1412.04597282944</v>
      </c>
      <c r="F497">
        <v>1412.04597282944</v>
      </c>
    </row>
    <row r="498" spans="1:6" x14ac:dyDescent="0.2">
      <c r="A498">
        <v>246</v>
      </c>
      <c r="B498" t="s">
        <v>252</v>
      </c>
      <c r="C498" s="1">
        <v>45608</v>
      </c>
      <c r="D498" t="s">
        <v>252</v>
      </c>
      <c r="E498">
        <v>22666.994954952799</v>
      </c>
      <c r="F498">
        <v>22666.994954952799</v>
      </c>
    </row>
    <row r="499" spans="1:6" x14ac:dyDescent="0.2">
      <c r="A499">
        <v>247</v>
      </c>
      <c r="B499" t="s">
        <v>707</v>
      </c>
      <c r="C499" s="1">
        <v>45609</v>
      </c>
      <c r="D499" t="s">
        <v>707</v>
      </c>
      <c r="E499">
        <v>2971.9864407356599</v>
      </c>
      <c r="F499">
        <v>2971.9864407356599</v>
      </c>
    </row>
    <row r="500" spans="1:6" x14ac:dyDescent="0.2">
      <c r="A500">
        <v>248</v>
      </c>
      <c r="B500" t="s">
        <v>708</v>
      </c>
      <c r="C500" s="1">
        <v>45496</v>
      </c>
      <c r="D500" t="s">
        <v>708</v>
      </c>
      <c r="E500">
        <v>131116.84747028799</v>
      </c>
      <c r="F500">
        <v>131116.84747028799</v>
      </c>
    </row>
    <row r="501" spans="1:6" x14ac:dyDescent="0.2">
      <c r="A501">
        <v>248</v>
      </c>
      <c r="B501" t="s">
        <v>709</v>
      </c>
      <c r="C501" s="1">
        <v>45591</v>
      </c>
      <c r="D501" t="s">
        <v>709</v>
      </c>
      <c r="E501">
        <v>3858.2829044455698</v>
      </c>
      <c r="F501">
        <v>3858.2829044455698</v>
      </c>
    </row>
    <row r="502" spans="1:6" x14ac:dyDescent="0.2">
      <c r="A502">
        <v>248</v>
      </c>
      <c r="B502" t="s">
        <v>710</v>
      </c>
      <c r="C502" s="1">
        <v>45524</v>
      </c>
      <c r="D502" t="s">
        <v>710</v>
      </c>
      <c r="E502">
        <v>254.804450918074</v>
      </c>
      <c r="F502">
        <v>254.804450918074</v>
      </c>
    </row>
    <row r="503" spans="1:6" x14ac:dyDescent="0.2">
      <c r="A503">
        <v>248</v>
      </c>
      <c r="B503" t="s">
        <v>711</v>
      </c>
      <c r="C503" s="1">
        <v>45598</v>
      </c>
      <c r="D503" t="s">
        <v>711</v>
      </c>
      <c r="E503">
        <v>40403.256149416899</v>
      </c>
      <c r="F503">
        <v>40403.256149416899</v>
      </c>
    </row>
    <row r="504" spans="1:6" x14ac:dyDescent="0.2">
      <c r="A504">
        <v>248</v>
      </c>
      <c r="B504" t="s">
        <v>712</v>
      </c>
      <c r="C504" s="1">
        <v>45322</v>
      </c>
      <c r="D504" t="s">
        <v>712</v>
      </c>
      <c r="E504">
        <v>26567129.7814354</v>
      </c>
      <c r="F504">
        <v>10000000</v>
      </c>
    </row>
    <row r="505" spans="1:6" x14ac:dyDescent="0.2">
      <c r="A505">
        <v>249</v>
      </c>
      <c r="B505" t="s">
        <v>713</v>
      </c>
      <c r="C505" s="1">
        <v>45602</v>
      </c>
      <c r="D505" t="s">
        <v>713</v>
      </c>
      <c r="E505">
        <v>58.934566075353501</v>
      </c>
      <c r="F505">
        <v>58.934566075353501</v>
      </c>
    </row>
    <row r="506" spans="1:6" x14ac:dyDescent="0.2">
      <c r="A506">
        <v>249</v>
      </c>
      <c r="B506" t="s">
        <v>714</v>
      </c>
      <c r="C506" s="1">
        <v>45405</v>
      </c>
      <c r="D506" t="s">
        <v>714</v>
      </c>
      <c r="E506">
        <v>164927.363927231</v>
      </c>
      <c r="F506">
        <v>164927.363927231</v>
      </c>
    </row>
    <row r="507" spans="1:6" x14ac:dyDescent="0.2">
      <c r="A507">
        <v>249</v>
      </c>
      <c r="B507" t="s">
        <v>715</v>
      </c>
      <c r="C507" s="1">
        <v>45569</v>
      </c>
      <c r="D507" t="s">
        <v>715</v>
      </c>
      <c r="E507">
        <v>92856.591248819299</v>
      </c>
      <c r="F507">
        <v>92856.591248819299</v>
      </c>
    </row>
    <row r="508" spans="1:6" x14ac:dyDescent="0.2">
      <c r="A508">
        <v>249</v>
      </c>
      <c r="B508" t="s">
        <v>716</v>
      </c>
      <c r="C508" s="1">
        <v>45536</v>
      </c>
      <c r="D508" t="s">
        <v>716</v>
      </c>
      <c r="E508">
        <v>28139.507274785301</v>
      </c>
      <c r="F508">
        <v>28139.507274785301</v>
      </c>
    </row>
    <row r="509" spans="1:6" x14ac:dyDescent="0.2">
      <c r="A509">
        <v>249</v>
      </c>
      <c r="B509" t="s">
        <v>717</v>
      </c>
      <c r="C509" s="1">
        <v>45303</v>
      </c>
      <c r="D509" t="s">
        <v>717</v>
      </c>
      <c r="E509">
        <v>6263.0515079207998</v>
      </c>
      <c r="F509">
        <v>6263.0515079207998</v>
      </c>
    </row>
    <row r="510" spans="1:6" x14ac:dyDescent="0.2">
      <c r="A510">
        <v>250</v>
      </c>
      <c r="B510" t="s">
        <v>253</v>
      </c>
      <c r="C510" s="1">
        <v>45608</v>
      </c>
      <c r="D510" t="s">
        <v>253</v>
      </c>
      <c r="E510">
        <v>30254.226271828898</v>
      </c>
      <c r="F510">
        <v>30254.226271828898</v>
      </c>
    </row>
    <row r="511" spans="1:6" x14ac:dyDescent="0.2">
      <c r="A511">
        <v>250</v>
      </c>
      <c r="B511" t="s">
        <v>254</v>
      </c>
      <c r="C511" s="1">
        <v>45511</v>
      </c>
      <c r="D511" t="s">
        <v>254</v>
      </c>
      <c r="E511">
        <v>183848.89175813599</v>
      </c>
      <c r="F511">
        <v>183848.89175813599</v>
      </c>
    </row>
    <row r="512" spans="1:6" x14ac:dyDescent="0.2">
      <c r="A512">
        <v>250</v>
      </c>
      <c r="B512" t="s">
        <v>718</v>
      </c>
      <c r="C512" s="1">
        <v>45468</v>
      </c>
      <c r="D512" t="s">
        <v>718</v>
      </c>
      <c r="E512">
        <v>34623.854636683704</v>
      </c>
      <c r="F512">
        <v>34623.854636683704</v>
      </c>
    </row>
    <row r="513" spans="1:6" x14ac:dyDescent="0.2">
      <c r="A513">
        <v>251</v>
      </c>
      <c r="B513" t="s">
        <v>719</v>
      </c>
      <c r="C513" s="1">
        <v>45456</v>
      </c>
      <c r="D513" t="s">
        <v>719</v>
      </c>
      <c r="E513">
        <v>487.98901609247798</v>
      </c>
      <c r="F513">
        <v>487.98901609247798</v>
      </c>
    </row>
    <row r="514" spans="1:6" x14ac:dyDescent="0.2">
      <c r="A514">
        <v>252</v>
      </c>
      <c r="B514" t="s">
        <v>255</v>
      </c>
      <c r="C514" s="1">
        <v>45394</v>
      </c>
      <c r="D514" t="s">
        <v>255</v>
      </c>
      <c r="E514">
        <v>41634.371559649699</v>
      </c>
      <c r="F514">
        <v>41634.371559649699</v>
      </c>
    </row>
    <row r="515" spans="1:6" x14ac:dyDescent="0.2">
      <c r="A515">
        <v>253</v>
      </c>
      <c r="B515" t="s">
        <v>720</v>
      </c>
      <c r="C515" s="1">
        <v>45435</v>
      </c>
      <c r="D515" t="s">
        <v>720</v>
      </c>
      <c r="E515">
        <v>3562.1261391534999</v>
      </c>
      <c r="F515">
        <v>3562.1261391534999</v>
      </c>
    </row>
    <row r="516" spans="1:6" x14ac:dyDescent="0.2">
      <c r="A516">
        <v>253</v>
      </c>
      <c r="B516" t="s">
        <v>721</v>
      </c>
      <c r="C516" s="1">
        <v>45399</v>
      </c>
      <c r="D516" t="s">
        <v>721</v>
      </c>
      <c r="E516">
        <v>421.31579623527</v>
      </c>
      <c r="F516">
        <v>421.31579623527</v>
      </c>
    </row>
    <row r="517" spans="1:6" x14ac:dyDescent="0.2">
      <c r="A517">
        <v>254</v>
      </c>
      <c r="B517" t="s">
        <v>256</v>
      </c>
      <c r="C517" s="1">
        <v>45393</v>
      </c>
      <c r="D517" t="s">
        <v>256</v>
      </c>
      <c r="E517">
        <v>154.471624695137</v>
      </c>
      <c r="F517">
        <v>154.471624695137</v>
      </c>
    </row>
    <row r="518" spans="1:6" x14ac:dyDescent="0.2">
      <c r="A518">
        <v>255</v>
      </c>
      <c r="B518" t="s">
        <v>70</v>
      </c>
      <c r="C518" s="1">
        <v>45585</v>
      </c>
      <c r="D518" t="s">
        <v>70</v>
      </c>
      <c r="E518">
        <v>1762.2962105233401</v>
      </c>
      <c r="F518">
        <v>1762.2962105233401</v>
      </c>
    </row>
    <row r="519" spans="1:6" x14ac:dyDescent="0.2">
      <c r="A519">
        <v>255</v>
      </c>
      <c r="B519" t="s">
        <v>71</v>
      </c>
      <c r="C519" s="1">
        <v>45301</v>
      </c>
      <c r="D519" t="s">
        <v>71</v>
      </c>
      <c r="E519">
        <v>22369.4672553827</v>
      </c>
      <c r="F519">
        <v>22369.4672553827</v>
      </c>
    </row>
    <row r="520" spans="1:6" x14ac:dyDescent="0.2">
      <c r="A520">
        <v>256</v>
      </c>
      <c r="B520" t="s">
        <v>72</v>
      </c>
      <c r="C520" s="1">
        <v>45506</v>
      </c>
      <c r="D520" t="s">
        <v>72</v>
      </c>
      <c r="E520">
        <v>19.350200792346001</v>
      </c>
      <c r="F520">
        <v>19.350200792346001</v>
      </c>
    </row>
    <row r="521" spans="1:6" x14ac:dyDescent="0.2">
      <c r="A521">
        <v>256</v>
      </c>
      <c r="B521" t="s">
        <v>257</v>
      </c>
      <c r="C521" s="1">
        <v>45601</v>
      </c>
      <c r="D521" t="s">
        <v>257</v>
      </c>
      <c r="E521">
        <v>2141.8327736371898</v>
      </c>
      <c r="F521">
        <v>2141.8327736371898</v>
      </c>
    </row>
    <row r="522" spans="1:6" x14ac:dyDescent="0.2">
      <c r="A522">
        <v>256</v>
      </c>
      <c r="B522" t="s">
        <v>722</v>
      </c>
      <c r="C522" s="1">
        <v>45632</v>
      </c>
      <c r="D522" t="s">
        <v>722</v>
      </c>
      <c r="E522">
        <v>546.41721384374898</v>
      </c>
      <c r="F522">
        <v>546.41721384374898</v>
      </c>
    </row>
    <row r="523" spans="1:6" x14ac:dyDescent="0.2">
      <c r="A523">
        <v>257</v>
      </c>
      <c r="B523" t="s">
        <v>723</v>
      </c>
      <c r="C523" s="1">
        <v>45438</v>
      </c>
      <c r="D523" t="s">
        <v>723</v>
      </c>
      <c r="E523">
        <v>914308.316839715</v>
      </c>
      <c r="F523">
        <v>914308.316839715</v>
      </c>
    </row>
    <row r="524" spans="1:6" x14ac:dyDescent="0.2">
      <c r="A524">
        <v>258</v>
      </c>
      <c r="B524" t="s">
        <v>258</v>
      </c>
      <c r="C524" s="1">
        <v>45324</v>
      </c>
      <c r="D524" t="s">
        <v>258</v>
      </c>
      <c r="E524">
        <v>26616.835667537602</v>
      </c>
      <c r="F524">
        <v>26616.835667537602</v>
      </c>
    </row>
    <row r="525" spans="1:6" x14ac:dyDescent="0.2">
      <c r="A525">
        <v>259</v>
      </c>
      <c r="B525" t="s">
        <v>724</v>
      </c>
      <c r="C525" s="1">
        <v>45490</v>
      </c>
      <c r="D525" t="s">
        <v>724</v>
      </c>
      <c r="E525">
        <v>532820.73624952906</v>
      </c>
      <c r="F525">
        <v>532820.73624952906</v>
      </c>
    </row>
    <row r="526" spans="1:6" x14ac:dyDescent="0.2">
      <c r="A526">
        <v>259</v>
      </c>
      <c r="B526" t="s">
        <v>725</v>
      </c>
      <c r="C526" s="1">
        <v>45317</v>
      </c>
      <c r="D526" t="s">
        <v>725</v>
      </c>
      <c r="E526">
        <v>4572.8398490612999</v>
      </c>
      <c r="F526">
        <v>4572.8398490612999</v>
      </c>
    </row>
    <row r="527" spans="1:6" x14ac:dyDescent="0.2">
      <c r="A527">
        <v>260</v>
      </c>
      <c r="B527" t="s">
        <v>73</v>
      </c>
      <c r="C527" s="1">
        <v>45534</v>
      </c>
      <c r="D527" t="s">
        <v>73</v>
      </c>
      <c r="E527">
        <v>114048393.67457899</v>
      </c>
      <c r="F527">
        <v>10000000</v>
      </c>
    </row>
    <row r="528" spans="1:6" x14ac:dyDescent="0.2">
      <c r="A528">
        <v>260</v>
      </c>
      <c r="B528" t="s">
        <v>259</v>
      </c>
      <c r="C528" s="1">
        <v>45644</v>
      </c>
      <c r="D528" t="s">
        <v>259</v>
      </c>
      <c r="E528">
        <v>6973.60925146109</v>
      </c>
      <c r="F528">
        <v>6973.60925146109</v>
      </c>
    </row>
    <row r="529" spans="1:6" x14ac:dyDescent="0.2">
      <c r="A529">
        <v>260</v>
      </c>
      <c r="B529" t="s">
        <v>260</v>
      </c>
      <c r="C529" s="1">
        <v>45327</v>
      </c>
      <c r="D529" t="s">
        <v>260</v>
      </c>
      <c r="E529">
        <v>2140.40868568223</v>
      </c>
      <c r="F529">
        <v>2140.40868568223</v>
      </c>
    </row>
    <row r="530" spans="1:6" x14ac:dyDescent="0.2">
      <c r="A530">
        <v>260</v>
      </c>
      <c r="B530" t="s">
        <v>261</v>
      </c>
      <c r="C530" s="1">
        <v>45475</v>
      </c>
      <c r="D530" t="s">
        <v>261</v>
      </c>
      <c r="E530">
        <v>19922.315222389399</v>
      </c>
      <c r="F530">
        <v>19922.315222389399</v>
      </c>
    </row>
    <row r="531" spans="1:6" x14ac:dyDescent="0.2">
      <c r="A531">
        <v>261</v>
      </c>
      <c r="B531" t="s">
        <v>262</v>
      </c>
      <c r="C531" s="1">
        <v>45412</v>
      </c>
      <c r="D531" t="s">
        <v>262</v>
      </c>
      <c r="E531">
        <v>6072.4073093616198</v>
      </c>
      <c r="F531">
        <v>6072.4073093616198</v>
      </c>
    </row>
    <row r="532" spans="1:6" x14ac:dyDescent="0.2">
      <c r="A532">
        <v>261</v>
      </c>
      <c r="B532" t="s">
        <v>263</v>
      </c>
      <c r="C532" s="1">
        <v>45455</v>
      </c>
      <c r="D532" t="s">
        <v>263</v>
      </c>
      <c r="E532">
        <v>33043.341833124003</v>
      </c>
      <c r="F532">
        <v>33043.341833124003</v>
      </c>
    </row>
    <row r="533" spans="1:6" x14ac:dyDescent="0.2">
      <c r="A533">
        <v>261</v>
      </c>
      <c r="B533" t="s">
        <v>264</v>
      </c>
      <c r="C533" s="1">
        <v>45593</v>
      </c>
      <c r="D533" t="s">
        <v>264</v>
      </c>
      <c r="E533">
        <v>425.33967805664201</v>
      </c>
      <c r="F533">
        <v>425.33967805664201</v>
      </c>
    </row>
    <row r="534" spans="1:6" x14ac:dyDescent="0.2">
      <c r="A534">
        <v>261</v>
      </c>
      <c r="B534" t="s">
        <v>726</v>
      </c>
      <c r="C534" s="1">
        <v>45642</v>
      </c>
      <c r="D534" t="s">
        <v>726</v>
      </c>
      <c r="E534">
        <v>376.54910871052198</v>
      </c>
      <c r="F534">
        <v>376.54910871052198</v>
      </c>
    </row>
    <row r="535" spans="1:6" x14ac:dyDescent="0.2">
      <c r="A535">
        <v>262</v>
      </c>
      <c r="B535" t="s">
        <v>727</v>
      </c>
      <c r="C535" s="1">
        <v>45365</v>
      </c>
      <c r="D535" t="s">
        <v>727</v>
      </c>
      <c r="E535">
        <v>5698.8277828353403</v>
      </c>
      <c r="F535">
        <v>5698.8277828353403</v>
      </c>
    </row>
    <row r="536" spans="1:6" x14ac:dyDescent="0.2">
      <c r="A536">
        <v>262</v>
      </c>
      <c r="B536" t="s">
        <v>728</v>
      </c>
      <c r="C536" s="1">
        <v>45601</v>
      </c>
      <c r="D536" t="s">
        <v>728</v>
      </c>
      <c r="E536">
        <v>58.572518376414799</v>
      </c>
      <c r="F536">
        <v>58.572518376414799</v>
      </c>
    </row>
    <row r="537" spans="1:6" x14ac:dyDescent="0.2">
      <c r="A537">
        <v>262</v>
      </c>
      <c r="B537" t="s">
        <v>729</v>
      </c>
      <c r="C537" s="1">
        <v>45361</v>
      </c>
      <c r="D537" t="s">
        <v>729</v>
      </c>
      <c r="E537">
        <v>357888.24597340898</v>
      </c>
      <c r="F537">
        <v>357888.24597340898</v>
      </c>
    </row>
    <row r="538" spans="1:6" x14ac:dyDescent="0.2">
      <c r="A538">
        <v>262</v>
      </c>
      <c r="B538" t="s">
        <v>730</v>
      </c>
      <c r="C538" s="1">
        <v>45493</v>
      </c>
      <c r="D538" t="s">
        <v>730</v>
      </c>
      <c r="E538">
        <v>8305.7487386489192</v>
      </c>
      <c r="F538">
        <v>8305.7487386489192</v>
      </c>
    </row>
    <row r="539" spans="1:6" x14ac:dyDescent="0.2">
      <c r="A539">
        <v>263</v>
      </c>
      <c r="B539" t="s">
        <v>731</v>
      </c>
      <c r="C539" s="1">
        <v>45460</v>
      </c>
      <c r="D539" t="s">
        <v>731</v>
      </c>
      <c r="E539">
        <v>638.62078884916002</v>
      </c>
      <c r="F539">
        <v>638.62078884916002</v>
      </c>
    </row>
    <row r="540" spans="1:6" x14ac:dyDescent="0.2">
      <c r="A540">
        <v>263</v>
      </c>
      <c r="B540" t="s">
        <v>732</v>
      </c>
      <c r="C540" s="1">
        <v>45383</v>
      </c>
      <c r="D540" t="s">
        <v>732</v>
      </c>
      <c r="E540">
        <v>293969.997336714</v>
      </c>
      <c r="F540">
        <v>293969.997336714</v>
      </c>
    </row>
    <row r="541" spans="1:6" x14ac:dyDescent="0.2">
      <c r="A541">
        <v>264</v>
      </c>
      <c r="B541" t="s">
        <v>733</v>
      </c>
      <c r="C541" s="1">
        <v>45629</v>
      </c>
      <c r="D541" t="s">
        <v>733</v>
      </c>
      <c r="E541">
        <v>20113.310436959498</v>
      </c>
      <c r="F541">
        <v>20113.310436959498</v>
      </c>
    </row>
    <row r="542" spans="1:6" x14ac:dyDescent="0.2">
      <c r="A542">
        <v>264</v>
      </c>
      <c r="B542" t="s">
        <v>734</v>
      </c>
      <c r="C542" s="1">
        <v>45635</v>
      </c>
      <c r="D542" t="s">
        <v>734</v>
      </c>
      <c r="E542">
        <v>6830.0576865955099</v>
      </c>
      <c r="F542">
        <v>6830.0576865955099</v>
      </c>
    </row>
    <row r="543" spans="1:6" x14ac:dyDescent="0.2">
      <c r="A543">
        <v>264</v>
      </c>
      <c r="B543" t="s">
        <v>735</v>
      </c>
      <c r="C543" s="1">
        <v>45619</v>
      </c>
      <c r="D543" t="s">
        <v>735</v>
      </c>
      <c r="E543">
        <v>457.80888874460902</v>
      </c>
      <c r="F543">
        <v>457.80888874460902</v>
      </c>
    </row>
    <row r="544" spans="1:6" x14ac:dyDescent="0.2">
      <c r="A544">
        <v>264</v>
      </c>
      <c r="B544" t="s">
        <v>736</v>
      </c>
      <c r="C544" s="1">
        <v>45483</v>
      </c>
      <c r="D544" t="s">
        <v>736</v>
      </c>
      <c r="E544">
        <v>47723.810690665399</v>
      </c>
      <c r="F544">
        <v>47723.810690665399</v>
      </c>
    </row>
    <row r="545" spans="1:6" x14ac:dyDescent="0.2">
      <c r="A545">
        <v>264</v>
      </c>
      <c r="B545" t="s">
        <v>737</v>
      </c>
      <c r="C545" s="1">
        <v>45607</v>
      </c>
      <c r="D545" t="s">
        <v>737</v>
      </c>
      <c r="E545">
        <v>13620.2729580956</v>
      </c>
      <c r="F545">
        <v>13620.2729580956</v>
      </c>
    </row>
    <row r="546" spans="1:6" x14ac:dyDescent="0.2">
      <c r="A546">
        <v>265</v>
      </c>
      <c r="B546" t="s">
        <v>265</v>
      </c>
      <c r="C546" s="1">
        <v>45352</v>
      </c>
      <c r="D546" t="s">
        <v>265</v>
      </c>
      <c r="E546">
        <v>18673.949185729001</v>
      </c>
      <c r="F546">
        <v>18673.949185729001</v>
      </c>
    </row>
    <row r="547" spans="1:6" x14ac:dyDescent="0.2">
      <c r="A547">
        <v>265</v>
      </c>
      <c r="B547" t="s">
        <v>266</v>
      </c>
      <c r="C547" s="1">
        <v>45609</v>
      </c>
      <c r="D547" t="s">
        <v>266</v>
      </c>
      <c r="E547">
        <v>231.186571391337</v>
      </c>
      <c r="F547">
        <v>231.186571391337</v>
      </c>
    </row>
    <row r="548" spans="1:6" x14ac:dyDescent="0.2">
      <c r="A548">
        <v>266</v>
      </c>
      <c r="B548" t="s">
        <v>267</v>
      </c>
      <c r="C548" s="1">
        <v>45358</v>
      </c>
      <c r="D548" t="s">
        <v>267</v>
      </c>
      <c r="E548">
        <v>2982.8583461028602</v>
      </c>
      <c r="F548">
        <v>2982.8583461028602</v>
      </c>
    </row>
    <row r="549" spans="1:6" x14ac:dyDescent="0.2">
      <c r="A549">
        <v>266</v>
      </c>
      <c r="B549" t="s">
        <v>738</v>
      </c>
      <c r="C549" s="1">
        <v>45361</v>
      </c>
      <c r="D549" t="s">
        <v>738</v>
      </c>
      <c r="E549">
        <v>6648.3046476399904</v>
      </c>
      <c r="F549">
        <v>6648.3046476399904</v>
      </c>
    </row>
    <row r="550" spans="1:6" x14ac:dyDescent="0.2">
      <c r="A550">
        <v>267</v>
      </c>
      <c r="B550" t="s">
        <v>739</v>
      </c>
      <c r="C550" s="1">
        <v>45302</v>
      </c>
      <c r="D550" t="s">
        <v>739</v>
      </c>
      <c r="E550">
        <v>1151.0871742336899</v>
      </c>
      <c r="F550">
        <v>1151.0871742336899</v>
      </c>
    </row>
    <row r="551" spans="1:6" x14ac:dyDescent="0.2">
      <c r="A551">
        <v>268</v>
      </c>
      <c r="B551" t="s">
        <v>74</v>
      </c>
      <c r="C551" s="1">
        <v>45516</v>
      </c>
      <c r="D551" t="s">
        <v>74</v>
      </c>
      <c r="E551">
        <v>23074.9965654878</v>
      </c>
      <c r="F551">
        <v>23074.9965654878</v>
      </c>
    </row>
    <row r="552" spans="1:6" x14ac:dyDescent="0.2">
      <c r="A552">
        <v>270</v>
      </c>
      <c r="B552" t="s">
        <v>740</v>
      </c>
      <c r="C552" s="1">
        <v>45390</v>
      </c>
      <c r="D552" t="s">
        <v>740</v>
      </c>
      <c r="E552">
        <v>103.864622334252</v>
      </c>
      <c r="F552">
        <v>103.864622334252</v>
      </c>
    </row>
    <row r="553" spans="1:6" x14ac:dyDescent="0.2">
      <c r="A553">
        <v>270</v>
      </c>
      <c r="B553" t="s">
        <v>741</v>
      </c>
      <c r="C553" s="1">
        <v>45298</v>
      </c>
      <c r="D553" t="s">
        <v>741</v>
      </c>
      <c r="E553">
        <v>1017235.01174629</v>
      </c>
      <c r="F553">
        <v>1017235.01174629</v>
      </c>
    </row>
    <row r="554" spans="1:6" x14ac:dyDescent="0.2">
      <c r="A554">
        <v>271</v>
      </c>
      <c r="B554" t="s">
        <v>75</v>
      </c>
      <c r="C554" s="1">
        <v>45650</v>
      </c>
      <c r="D554" t="s">
        <v>75</v>
      </c>
      <c r="E554">
        <v>453577.25415689597</v>
      </c>
      <c r="F554">
        <v>453577.25415689597</v>
      </c>
    </row>
    <row r="555" spans="1:6" x14ac:dyDescent="0.2">
      <c r="A555">
        <v>271</v>
      </c>
      <c r="B555" t="s">
        <v>76</v>
      </c>
      <c r="C555" s="1">
        <v>45511</v>
      </c>
      <c r="D555" t="s">
        <v>76</v>
      </c>
      <c r="E555">
        <v>458.74228705721202</v>
      </c>
      <c r="F555">
        <v>458.74228705721202</v>
      </c>
    </row>
    <row r="556" spans="1:6" x14ac:dyDescent="0.2">
      <c r="A556">
        <v>271</v>
      </c>
      <c r="B556" t="s">
        <v>742</v>
      </c>
      <c r="C556" s="1">
        <v>45364</v>
      </c>
      <c r="D556" t="s">
        <v>742</v>
      </c>
      <c r="E556">
        <v>13364.321562905399</v>
      </c>
      <c r="F556">
        <v>13364.321562905399</v>
      </c>
    </row>
    <row r="557" spans="1:6" x14ac:dyDescent="0.2">
      <c r="A557">
        <v>271</v>
      </c>
      <c r="B557" t="s">
        <v>743</v>
      </c>
      <c r="C557" s="1">
        <v>45515</v>
      </c>
      <c r="D557" t="s">
        <v>743</v>
      </c>
      <c r="E557">
        <v>6002.6608396715601</v>
      </c>
      <c r="F557">
        <v>6002.6608396715601</v>
      </c>
    </row>
    <row r="558" spans="1:6" x14ac:dyDescent="0.2">
      <c r="A558">
        <v>274</v>
      </c>
      <c r="B558" t="s">
        <v>77</v>
      </c>
      <c r="C558" s="1">
        <v>45502</v>
      </c>
      <c r="D558" t="s">
        <v>77</v>
      </c>
      <c r="E558">
        <v>7861.2977830624204</v>
      </c>
      <c r="F558">
        <v>7861.2977830624204</v>
      </c>
    </row>
    <row r="559" spans="1:6" x14ac:dyDescent="0.2">
      <c r="A559">
        <v>275</v>
      </c>
      <c r="B559" t="s">
        <v>744</v>
      </c>
      <c r="C559" s="1">
        <v>45621</v>
      </c>
      <c r="D559" t="s">
        <v>744</v>
      </c>
      <c r="E559">
        <v>786.14061143784204</v>
      </c>
      <c r="F559">
        <v>786.14061143784204</v>
      </c>
    </row>
    <row r="560" spans="1:6" x14ac:dyDescent="0.2">
      <c r="A560">
        <v>275</v>
      </c>
      <c r="B560" t="s">
        <v>268</v>
      </c>
      <c r="C560" s="1">
        <v>45307</v>
      </c>
      <c r="D560" t="s">
        <v>268</v>
      </c>
      <c r="E560">
        <v>11791.1160643206</v>
      </c>
      <c r="F560">
        <v>11791.1160643206</v>
      </c>
    </row>
    <row r="561" spans="1:6" x14ac:dyDescent="0.2">
      <c r="A561">
        <v>275</v>
      </c>
      <c r="B561" t="s">
        <v>269</v>
      </c>
      <c r="C561" s="1">
        <v>45389</v>
      </c>
      <c r="D561" t="s">
        <v>269</v>
      </c>
      <c r="E561">
        <v>973.63405825503105</v>
      </c>
      <c r="F561">
        <v>973.63405825503105</v>
      </c>
    </row>
    <row r="562" spans="1:6" x14ac:dyDescent="0.2">
      <c r="A562">
        <v>276</v>
      </c>
      <c r="B562" t="s">
        <v>745</v>
      </c>
      <c r="C562" s="1">
        <v>45644</v>
      </c>
      <c r="D562" t="s">
        <v>745</v>
      </c>
      <c r="E562">
        <v>13906.2485928233</v>
      </c>
      <c r="F562">
        <v>13906.2485928233</v>
      </c>
    </row>
    <row r="563" spans="1:6" x14ac:dyDescent="0.2">
      <c r="A563">
        <v>276</v>
      </c>
      <c r="B563" t="s">
        <v>746</v>
      </c>
      <c r="C563" s="1">
        <v>45498</v>
      </c>
      <c r="D563" t="s">
        <v>746</v>
      </c>
      <c r="E563">
        <v>4069.2551087614602</v>
      </c>
      <c r="F563">
        <v>4069.2551087614602</v>
      </c>
    </row>
    <row r="564" spans="1:6" x14ac:dyDescent="0.2">
      <c r="A564">
        <v>276</v>
      </c>
      <c r="B564" t="s">
        <v>747</v>
      </c>
      <c r="C564" s="1">
        <v>45635</v>
      </c>
      <c r="D564" t="s">
        <v>747</v>
      </c>
      <c r="E564">
        <v>6505.3283395252201</v>
      </c>
      <c r="F564">
        <v>6505.3283395252201</v>
      </c>
    </row>
    <row r="565" spans="1:6" x14ac:dyDescent="0.2">
      <c r="A565">
        <v>277</v>
      </c>
      <c r="B565" t="s">
        <v>748</v>
      </c>
      <c r="C565" s="1">
        <v>45502</v>
      </c>
      <c r="D565" t="s">
        <v>748</v>
      </c>
      <c r="E565">
        <v>11.058841430069</v>
      </c>
      <c r="F565">
        <v>11.058841430069</v>
      </c>
    </row>
    <row r="566" spans="1:6" x14ac:dyDescent="0.2">
      <c r="A566">
        <v>277</v>
      </c>
      <c r="B566" t="s">
        <v>749</v>
      </c>
      <c r="C566" s="1">
        <v>45442</v>
      </c>
      <c r="D566" t="s">
        <v>749</v>
      </c>
      <c r="E566">
        <v>3104.12336619691</v>
      </c>
      <c r="F566">
        <v>3104.12336619691</v>
      </c>
    </row>
    <row r="567" spans="1:6" x14ac:dyDescent="0.2">
      <c r="A567">
        <v>277</v>
      </c>
      <c r="B567" t="s">
        <v>270</v>
      </c>
      <c r="C567" s="1">
        <v>45438</v>
      </c>
      <c r="D567" t="s">
        <v>270</v>
      </c>
      <c r="E567">
        <v>3969349.7663292899</v>
      </c>
      <c r="F567">
        <v>3969349.7663292899</v>
      </c>
    </row>
    <row r="568" spans="1:6" x14ac:dyDescent="0.2">
      <c r="A568">
        <v>277</v>
      </c>
      <c r="B568" t="s">
        <v>271</v>
      </c>
      <c r="C568" s="1">
        <v>45618</v>
      </c>
      <c r="D568" t="s">
        <v>271</v>
      </c>
      <c r="E568">
        <v>5843089.3147717305</v>
      </c>
      <c r="F568">
        <v>5843089.3147717305</v>
      </c>
    </row>
    <row r="569" spans="1:6" x14ac:dyDescent="0.2">
      <c r="A569">
        <v>277</v>
      </c>
      <c r="B569" t="s">
        <v>750</v>
      </c>
      <c r="C569" s="1">
        <v>45495</v>
      </c>
      <c r="D569" t="s">
        <v>750</v>
      </c>
      <c r="E569">
        <v>12962.112654045401</v>
      </c>
      <c r="F569">
        <v>12962.112654045401</v>
      </c>
    </row>
    <row r="570" spans="1:6" x14ac:dyDescent="0.2">
      <c r="A570">
        <v>278</v>
      </c>
      <c r="B570" t="s">
        <v>751</v>
      </c>
      <c r="C570" s="1">
        <v>45314</v>
      </c>
      <c r="D570" t="s">
        <v>751</v>
      </c>
      <c r="E570">
        <v>720.93720046696103</v>
      </c>
      <c r="F570">
        <v>720.93720046696103</v>
      </c>
    </row>
    <row r="571" spans="1:6" x14ac:dyDescent="0.2">
      <c r="A571">
        <v>278</v>
      </c>
      <c r="B571" t="s">
        <v>752</v>
      </c>
      <c r="C571" s="1">
        <v>45430</v>
      </c>
      <c r="D571" t="s">
        <v>752</v>
      </c>
      <c r="E571">
        <v>24803.3693950015</v>
      </c>
      <c r="F571">
        <v>24803.3693950015</v>
      </c>
    </row>
    <row r="572" spans="1:6" x14ac:dyDescent="0.2">
      <c r="A572">
        <v>280</v>
      </c>
      <c r="B572" t="s">
        <v>78</v>
      </c>
      <c r="C572" s="1">
        <v>45380</v>
      </c>
      <c r="D572" t="s">
        <v>78</v>
      </c>
      <c r="E572">
        <v>104252.80486912699</v>
      </c>
      <c r="F572">
        <v>104252.80486912699</v>
      </c>
    </row>
    <row r="573" spans="1:6" x14ac:dyDescent="0.2">
      <c r="A573">
        <v>280</v>
      </c>
      <c r="B573" t="s">
        <v>79</v>
      </c>
      <c r="C573" s="1">
        <v>45564</v>
      </c>
      <c r="D573" t="s">
        <v>79</v>
      </c>
      <c r="E573">
        <v>859.37904456870604</v>
      </c>
      <c r="F573">
        <v>859.37904456870604</v>
      </c>
    </row>
    <row r="574" spans="1:6" x14ac:dyDescent="0.2">
      <c r="A574">
        <v>281</v>
      </c>
      <c r="B574" t="s">
        <v>80</v>
      </c>
      <c r="C574" s="1">
        <v>45607</v>
      </c>
      <c r="D574" t="s">
        <v>80</v>
      </c>
      <c r="E574">
        <v>217506.69253441601</v>
      </c>
      <c r="F574">
        <v>217506.69253441601</v>
      </c>
    </row>
    <row r="575" spans="1:6" x14ac:dyDescent="0.2">
      <c r="A575">
        <v>281</v>
      </c>
      <c r="B575" t="s">
        <v>753</v>
      </c>
      <c r="C575" s="1">
        <v>45507</v>
      </c>
      <c r="D575" t="s">
        <v>753</v>
      </c>
      <c r="E575">
        <v>417.66147369158199</v>
      </c>
      <c r="F575">
        <v>417.66147369158199</v>
      </c>
    </row>
    <row r="576" spans="1:6" x14ac:dyDescent="0.2">
      <c r="A576">
        <v>281</v>
      </c>
      <c r="B576" t="s">
        <v>754</v>
      </c>
      <c r="C576" s="1">
        <v>45413</v>
      </c>
      <c r="D576" t="s">
        <v>754</v>
      </c>
      <c r="E576">
        <v>225029.126279291</v>
      </c>
      <c r="F576">
        <v>225029.126279291</v>
      </c>
    </row>
    <row r="577" spans="1:6" x14ac:dyDescent="0.2">
      <c r="A577">
        <v>282</v>
      </c>
      <c r="B577" t="s">
        <v>272</v>
      </c>
      <c r="C577" s="1">
        <v>45562</v>
      </c>
      <c r="D577" t="s">
        <v>272</v>
      </c>
      <c r="E577">
        <v>141300.325352035</v>
      </c>
      <c r="F577">
        <v>141300.325352035</v>
      </c>
    </row>
    <row r="578" spans="1:6" x14ac:dyDescent="0.2">
      <c r="A578">
        <v>283</v>
      </c>
      <c r="B578" t="s">
        <v>273</v>
      </c>
      <c r="C578" s="1">
        <v>45434</v>
      </c>
      <c r="D578" t="s">
        <v>273</v>
      </c>
      <c r="E578">
        <v>7847.3705133857202</v>
      </c>
      <c r="F578">
        <v>7847.3705133857202</v>
      </c>
    </row>
    <row r="579" spans="1:6" x14ac:dyDescent="0.2">
      <c r="A579">
        <v>284</v>
      </c>
      <c r="B579" t="s">
        <v>755</v>
      </c>
      <c r="C579" s="1">
        <v>45296</v>
      </c>
      <c r="D579" t="s">
        <v>755</v>
      </c>
      <c r="E579">
        <v>5386.1675614626201</v>
      </c>
      <c r="F579">
        <v>5386.1675614626201</v>
      </c>
    </row>
    <row r="580" spans="1:6" x14ac:dyDescent="0.2">
      <c r="A580">
        <v>286</v>
      </c>
      <c r="B580" t="s">
        <v>756</v>
      </c>
      <c r="C580" s="1">
        <v>45342</v>
      </c>
      <c r="D580" t="s">
        <v>756</v>
      </c>
      <c r="E580">
        <v>11.912950102442499</v>
      </c>
      <c r="F580">
        <v>11.912950102442499</v>
      </c>
    </row>
    <row r="581" spans="1:6" x14ac:dyDescent="0.2">
      <c r="A581">
        <v>288</v>
      </c>
      <c r="B581" t="s">
        <v>757</v>
      </c>
      <c r="C581" s="1">
        <v>45379</v>
      </c>
      <c r="D581" t="s">
        <v>757</v>
      </c>
      <c r="E581">
        <v>248.18819947218799</v>
      </c>
      <c r="F581">
        <v>248.18819947218799</v>
      </c>
    </row>
    <row r="582" spans="1:6" x14ac:dyDescent="0.2">
      <c r="A582">
        <v>290</v>
      </c>
      <c r="B582" t="s">
        <v>758</v>
      </c>
      <c r="C582" s="1">
        <v>45509</v>
      </c>
      <c r="D582" t="s">
        <v>758</v>
      </c>
      <c r="E582">
        <v>99071.409915493801</v>
      </c>
      <c r="F582">
        <v>99071.409915493801</v>
      </c>
    </row>
    <row r="583" spans="1:6" x14ac:dyDescent="0.2">
      <c r="A583">
        <v>290</v>
      </c>
      <c r="B583" t="s">
        <v>759</v>
      </c>
      <c r="C583" s="1">
        <v>45634</v>
      </c>
      <c r="D583" t="s">
        <v>759</v>
      </c>
      <c r="E583">
        <v>1014.17228516204</v>
      </c>
      <c r="F583">
        <v>1014.17228516204</v>
      </c>
    </row>
    <row r="584" spans="1:6" x14ac:dyDescent="0.2">
      <c r="A584">
        <v>291</v>
      </c>
      <c r="B584" t="s">
        <v>274</v>
      </c>
      <c r="C584" s="1">
        <v>45572</v>
      </c>
      <c r="D584" t="s">
        <v>274</v>
      </c>
      <c r="E584">
        <v>1196.6648859615</v>
      </c>
      <c r="F584">
        <v>1196.6648859615</v>
      </c>
    </row>
    <row r="585" spans="1:6" x14ac:dyDescent="0.2">
      <c r="A585">
        <v>294</v>
      </c>
      <c r="B585" t="s">
        <v>760</v>
      </c>
      <c r="C585" s="1">
        <v>45555</v>
      </c>
      <c r="D585" t="s">
        <v>760</v>
      </c>
      <c r="E585">
        <v>14873.803211971301</v>
      </c>
      <c r="F585">
        <v>14873.803211971301</v>
      </c>
    </row>
    <row r="586" spans="1:6" x14ac:dyDescent="0.2">
      <c r="A586">
        <v>294</v>
      </c>
      <c r="B586" t="s">
        <v>761</v>
      </c>
      <c r="C586" s="1">
        <v>45346</v>
      </c>
      <c r="D586" t="s">
        <v>761</v>
      </c>
      <c r="E586">
        <v>2356.1539756236598</v>
      </c>
      <c r="F586">
        <v>2356.1539756236598</v>
      </c>
    </row>
    <row r="587" spans="1:6" x14ac:dyDescent="0.2">
      <c r="A587">
        <v>294</v>
      </c>
      <c r="B587" t="s">
        <v>762</v>
      </c>
      <c r="C587" s="1">
        <v>45639</v>
      </c>
      <c r="D587" t="s">
        <v>762</v>
      </c>
      <c r="E587">
        <v>77064.221224039604</v>
      </c>
      <c r="F587">
        <v>77064.221224039604</v>
      </c>
    </row>
    <row r="588" spans="1:6" x14ac:dyDescent="0.2">
      <c r="A588">
        <v>294</v>
      </c>
      <c r="B588" t="s">
        <v>763</v>
      </c>
      <c r="C588" s="1">
        <v>45400</v>
      </c>
      <c r="D588" t="s">
        <v>763</v>
      </c>
      <c r="E588">
        <v>7048472.69680636</v>
      </c>
      <c r="F588">
        <v>7048472.69680636</v>
      </c>
    </row>
    <row r="589" spans="1:6" x14ac:dyDescent="0.2">
      <c r="A589">
        <v>295</v>
      </c>
      <c r="B589" t="s">
        <v>764</v>
      </c>
      <c r="C589" s="1">
        <v>45649</v>
      </c>
      <c r="D589" t="s">
        <v>764</v>
      </c>
      <c r="E589">
        <v>18182.007776496499</v>
      </c>
      <c r="F589">
        <v>18182.007776496499</v>
      </c>
    </row>
    <row r="590" spans="1:6" x14ac:dyDescent="0.2">
      <c r="A590">
        <v>295</v>
      </c>
      <c r="B590" t="s">
        <v>765</v>
      </c>
      <c r="C590" s="1">
        <v>45630</v>
      </c>
      <c r="D590" t="s">
        <v>765</v>
      </c>
      <c r="E590">
        <v>643.08578643446401</v>
      </c>
      <c r="F590">
        <v>643.08578643446401</v>
      </c>
    </row>
    <row r="591" spans="1:6" x14ac:dyDescent="0.2">
      <c r="A591">
        <v>295</v>
      </c>
      <c r="B591" t="s">
        <v>766</v>
      </c>
      <c r="C591" s="1">
        <v>45322</v>
      </c>
      <c r="D591" t="s">
        <v>766</v>
      </c>
      <c r="E591">
        <v>2342.1696273611401</v>
      </c>
      <c r="F591">
        <v>2342.1696273611401</v>
      </c>
    </row>
    <row r="592" spans="1:6" x14ac:dyDescent="0.2">
      <c r="A592">
        <v>296</v>
      </c>
      <c r="B592" t="s">
        <v>767</v>
      </c>
      <c r="C592" s="1">
        <v>45444</v>
      </c>
      <c r="D592" t="s">
        <v>767</v>
      </c>
      <c r="E592">
        <v>24.450918649796101</v>
      </c>
      <c r="F592">
        <v>24.450918649796101</v>
      </c>
    </row>
    <row r="593" spans="1:6" x14ac:dyDescent="0.2">
      <c r="A593">
        <v>296</v>
      </c>
      <c r="B593" t="s">
        <v>768</v>
      </c>
      <c r="C593" s="1">
        <v>45619</v>
      </c>
      <c r="D593" t="s">
        <v>768</v>
      </c>
      <c r="E593">
        <v>3192.2128945716599</v>
      </c>
      <c r="F593">
        <v>3192.2128945716599</v>
      </c>
    </row>
    <row r="594" spans="1:6" x14ac:dyDescent="0.2">
      <c r="A594">
        <v>296</v>
      </c>
      <c r="B594" t="s">
        <v>769</v>
      </c>
      <c r="C594" s="1">
        <v>45639</v>
      </c>
      <c r="D594" t="s">
        <v>769</v>
      </c>
      <c r="E594">
        <v>2283.16745026743</v>
      </c>
      <c r="F594">
        <v>2283.16745026743</v>
      </c>
    </row>
    <row r="595" spans="1:6" x14ac:dyDescent="0.2">
      <c r="A595">
        <v>297</v>
      </c>
      <c r="B595" t="s">
        <v>770</v>
      </c>
      <c r="C595" s="1">
        <v>45443</v>
      </c>
      <c r="D595" t="s">
        <v>770</v>
      </c>
      <c r="E595">
        <v>90973.779364292001</v>
      </c>
      <c r="F595">
        <v>90973.779364292001</v>
      </c>
    </row>
    <row r="596" spans="1:6" x14ac:dyDescent="0.2">
      <c r="A596">
        <v>297</v>
      </c>
      <c r="B596" t="s">
        <v>771</v>
      </c>
      <c r="C596" s="1">
        <v>45395</v>
      </c>
      <c r="D596" t="s">
        <v>771</v>
      </c>
      <c r="E596">
        <v>581269.23569578701</v>
      </c>
      <c r="F596">
        <v>581269.23569578701</v>
      </c>
    </row>
    <row r="597" spans="1:6" x14ac:dyDescent="0.2">
      <c r="A597">
        <v>297</v>
      </c>
      <c r="B597" t="s">
        <v>772</v>
      </c>
      <c r="C597" s="1">
        <v>45639</v>
      </c>
      <c r="D597" t="s">
        <v>772</v>
      </c>
      <c r="E597">
        <v>770.90718636857298</v>
      </c>
      <c r="F597">
        <v>770.90718636857298</v>
      </c>
    </row>
    <row r="598" spans="1:6" x14ac:dyDescent="0.2">
      <c r="A598">
        <v>297</v>
      </c>
      <c r="B598" t="s">
        <v>773</v>
      </c>
      <c r="C598" s="1">
        <v>45331</v>
      </c>
      <c r="D598" t="s">
        <v>773</v>
      </c>
      <c r="E598">
        <v>1144.5729769162101</v>
      </c>
      <c r="F598">
        <v>1144.5729769162101</v>
      </c>
    </row>
    <row r="599" spans="1:6" x14ac:dyDescent="0.2">
      <c r="A599">
        <v>297</v>
      </c>
      <c r="B599" t="s">
        <v>774</v>
      </c>
      <c r="C599" s="1">
        <v>45657</v>
      </c>
      <c r="D599" t="s">
        <v>774</v>
      </c>
      <c r="E599">
        <v>57087.193553283803</v>
      </c>
      <c r="F599">
        <v>57087.193553283803</v>
      </c>
    </row>
    <row r="600" spans="1:6" x14ac:dyDescent="0.2">
      <c r="A600">
        <v>300</v>
      </c>
      <c r="B600" t="s">
        <v>775</v>
      </c>
      <c r="C600" s="1">
        <v>45531</v>
      </c>
      <c r="D600" t="s">
        <v>775</v>
      </c>
      <c r="E600">
        <v>25880.611036972699</v>
      </c>
      <c r="F600">
        <v>25880.611036972699</v>
      </c>
    </row>
    <row r="601" spans="1:6" x14ac:dyDescent="0.2">
      <c r="A601">
        <v>300</v>
      </c>
      <c r="B601" t="s">
        <v>776</v>
      </c>
      <c r="C601" s="1">
        <v>45485</v>
      </c>
      <c r="D601" t="s">
        <v>776</v>
      </c>
      <c r="E601">
        <v>190061.657284966</v>
      </c>
      <c r="F601">
        <v>190061.657284966</v>
      </c>
    </row>
    <row r="602" spans="1:6" x14ac:dyDescent="0.2">
      <c r="A602">
        <v>300</v>
      </c>
      <c r="B602" t="s">
        <v>275</v>
      </c>
      <c r="C602" s="1">
        <v>45412</v>
      </c>
      <c r="D602" t="s">
        <v>275</v>
      </c>
      <c r="E602">
        <v>52507.7673422031</v>
      </c>
      <c r="F602">
        <v>52507.7673422031</v>
      </c>
    </row>
    <row r="603" spans="1:6" x14ac:dyDescent="0.2">
      <c r="A603">
        <v>301</v>
      </c>
      <c r="B603" t="s">
        <v>777</v>
      </c>
      <c r="C603" s="1">
        <v>45500</v>
      </c>
      <c r="D603" t="s">
        <v>777</v>
      </c>
      <c r="E603">
        <v>87163.648773385998</v>
      </c>
      <c r="F603">
        <v>87163.648773385998</v>
      </c>
    </row>
    <row r="604" spans="1:6" x14ac:dyDescent="0.2">
      <c r="A604">
        <v>301</v>
      </c>
      <c r="B604" t="s">
        <v>778</v>
      </c>
      <c r="C604" s="1">
        <v>45574</v>
      </c>
      <c r="D604" t="s">
        <v>778</v>
      </c>
      <c r="E604">
        <v>9959.3188575982094</v>
      </c>
      <c r="F604">
        <v>9959.3188575982094</v>
      </c>
    </row>
    <row r="605" spans="1:6" x14ac:dyDescent="0.2">
      <c r="A605">
        <v>301</v>
      </c>
      <c r="B605" t="s">
        <v>81</v>
      </c>
      <c r="C605" s="1">
        <v>45431</v>
      </c>
      <c r="D605" t="s">
        <v>81</v>
      </c>
      <c r="E605">
        <v>1284.4689796814</v>
      </c>
      <c r="F605">
        <v>1284.4689796814</v>
      </c>
    </row>
    <row r="606" spans="1:6" x14ac:dyDescent="0.2">
      <c r="A606">
        <v>303</v>
      </c>
      <c r="B606" t="s">
        <v>779</v>
      </c>
      <c r="C606" s="1">
        <v>45352</v>
      </c>
      <c r="D606" t="s">
        <v>779</v>
      </c>
      <c r="E606">
        <v>5658.5955683150296</v>
      </c>
      <c r="F606">
        <v>5658.5955683150296</v>
      </c>
    </row>
    <row r="607" spans="1:6" x14ac:dyDescent="0.2">
      <c r="A607">
        <v>303</v>
      </c>
      <c r="B607" t="s">
        <v>276</v>
      </c>
      <c r="C607" s="1">
        <v>45408</v>
      </c>
      <c r="D607" t="s">
        <v>276</v>
      </c>
      <c r="E607">
        <v>10117.436849846499</v>
      </c>
      <c r="F607">
        <v>10117.436849846499</v>
      </c>
    </row>
    <row r="608" spans="1:6" x14ac:dyDescent="0.2">
      <c r="A608">
        <v>303</v>
      </c>
      <c r="B608" t="s">
        <v>277</v>
      </c>
      <c r="C608" s="1">
        <v>45443</v>
      </c>
      <c r="D608" t="s">
        <v>277</v>
      </c>
      <c r="E608">
        <v>74894.230076720094</v>
      </c>
      <c r="F608">
        <v>74894.230076720094</v>
      </c>
    </row>
    <row r="609" spans="1:6" x14ac:dyDescent="0.2">
      <c r="A609">
        <v>304</v>
      </c>
      <c r="B609" t="s">
        <v>780</v>
      </c>
      <c r="C609" s="1">
        <v>45321</v>
      </c>
      <c r="D609" t="s">
        <v>780</v>
      </c>
      <c r="E609">
        <v>113.84800972769401</v>
      </c>
      <c r="F609">
        <v>113.84800972769401</v>
      </c>
    </row>
    <row r="610" spans="1:6" x14ac:dyDescent="0.2">
      <c r="A610">
        <v>304</v>
      </c>
      <c r="B610" t="s">
        <v>781</v>
      </c>
      <c r="C610" s="1">
        <v>45435</v>
      </c>
      <c r="D610" t="s">
        <v>781</v>
      </c>
      <c r="E610">
        <v>1117439.0760861</v>
      </c>
      <c r="F610">
        <v>1117439.0760861</v>
      </c>
    </row>
    <row r="611" spans="1:6" x14ac:dyDescent="0.2">
      <c r="A611">
        <v>304</v>
      </c>
      <c r="B611" t="s">
        <v>782</v>
      </c>
      <c r="C611" s="1">
        <v>45604</v>
      </c>
      <c r="D611" t="s">
        <v>782</v>
      </c>
      <c r="E611">
        <v>11762.9573425129</v>
      </c>
      <c r="F611">
        <v>11762.9573425129</v>
      </c>
    </row>
    <row r="612" spans="1:6" x14ac:dyDescent="0.2">
      <c r="A612">
        <v>305</v>
      </c>
      <c r="B612" t="s">
        <v>278</v>
      </c>
      <c r="C612" s="1">
        <v>45638</v>
      </c>
      <c r="D612" t="s">
        <v>278</v>
      </c>
      <c r="E612">
        <v>84051.068073321701</v>
      </c>
      <c r="F612">
        <v>84051.068073321701</v>
      </c>
    </row>
    <row r="613" spans="1:6" x14ac:dyDescent="0.2">
      <c r="A613">
        <v>305</v>
      </c>
      <c r="B613" t="s">
        <v>279</v>
      </c>
      <c r="C613" s="1">
        <v>45501</v>
      </c>
      <c r="D613" t="s">
        <v>279</v>
      </c>
      <c r="E613">
        <v>389003.04742687399</v>
      </c>
      <c r="F613">
        <v>389003.04742687399</v>
      </c>
    </row>
    <row r="614" spans="1:6" x14ac:dyDescent="0.2">
      <c r="A614">
        <v>306</v>
      </c>
      <c r="B614" t="s">
        <v>783</v>
      </c>
      <c r="C614" s="1">
        <v>45544</v>
      </c>
      <c r="D614" t="s">
        <v>783</v>
      </c>
      <c r="E614">
        <v>67111.696393492501</v>
      </c>
      <c r="F614">
        <v>67111.696393492501</v>
      </c>
    </row>
    <row r="615" spans="1:6" x14ac:dyDescent="0.2">
      <c r="A615">
        <v>306</v>
      </c>
      <c r="B615" t="s">
        <v>784</v>
      </c>
      <c r="C615" s="1">
        <v>45518</v>
      </c>
      <c r="D615" t="s">
        <v>784</v>
      </c>
      <c r="E615">
        <v>436374.36964826297</v>
      </c>
      <c r="F615">
        <v>436374.36964826297</v>
      </c>
    </row>
    <row r="616" spans="1:6" x14ac:dyDescent="0.2">
      <c r="A616">
        <v>307</v>
      </c>
      <c r="B616" t="s">
        <v>785</v>
      </c>
      <c r="C616" s="1">
        <v>45545</v>
      </c>
      <c r="D616" t="s">
        <v>785</v>
      </c>
      <c r="E616">
        <v>614.76582991985799</v>
      </c>
      <c r="F616">
        <v>614.76582991985799</v>
      </c>
    </row>
    <row r="617" spans="1:6" x14ac:dyDescent="0.2">
      <c r="A617">
        <v>309</v>
      </c>
      <c r="B617" t="s">
        <v>280</v>
      </c>
      <c r="C617" s="1">
        <v>45609</v>
      </c>
      <c r="D617" t="s">
        <v>280</v>
      </c>
      <c r="E617">
        <v>4184.9971019741997</v>
      </c>
      <c r="F617">
        <v>4184.9971019741997</v>
      </c>
    </row>
    <row r="618" spans="1:6" x14ac:dyDescent="0.2">
      <c r="A618">
        <v>309</v>
      </c>
      <c r="B618" t="s">
        <v>281</v>
      </c>
      <c r="C618" s="1">
        <v>45501</v>
      </c>
      <c r="D618" t="s">
        <v>281</v>
      </c>
      <c r="E618">
        <v>13049.0331434775</v>
      </c>
      <c r="F618">
        <v>13049.0331434775</v>
      </c>
    </row>
    <row r="619" spans="1:6" x14ac:dyDescent="0.2">
      <c r="A619">
        <v>310</v>
      </c>
      <c r="B619" t="s">
        <v>282</v>
      </c>
      <c r="C619" s="1">
        <v>45569</v>
      </c>
      <c r="D619" t="s">
        <v>282</v>
      </c>
      <c r="E619">
        <v>905.13756178418498</v>
      </c>
      <c r="F619">
        <v>905.13756178418498</v>
      </c>
    </row>
    <row r="620" spans="1:6" x14ac:dyDescent="0.2">
      <c r="A620">
        <v>310</v>
      </c>
      <c r="B620" t="s">
        <v>283</v>
      </c>
      <c r="C620" s="1">
        <v>45543</v>
      </c>
      <c r="D620" t="s">
        <v>283</v>
      </c>
      <c r="E620">
        <v>227498.63561798001</v>
      </c>
      <c r="F620">
        <v>227498.63561798001</v>
      </c>
    </row>
    <row r="621" spans="1:6" x14ac:dyDescent="0.2">
      <c r="A621">
        <v>311</v>
      </c>
      <c r="B621" t="s">
        <v>786</v>
      </c>
      <c r="C621" s="1">
        <v>45583</v>
      </c>
      <c r="D621" t="s">
        <v>786</v>
      </c>
      <c r="E621">
        <v>147721.76467820801</v>
      </c>
      <c r="F621">
        <v>147721.76467820801</v>
      </c>
    </row>
    <row r="622" spans="1:6" x14ac:dyDescent="0.2">
      <c r="A622">
        <v>312</v>
      </c>
      <c r="B622" t="s">
        <v>787</v>
      </c>
      <c r="C622" s="1">
        <v>45604</v>
      </c>
      <c r="D622" t="s">
        <v>787</v>
      </c>
      <c r="E622">
        <v>135.031071114073</v>
      </c>
      <c r="F622">
        <v>135.031071114073</v>
      </c>
    </row>
    <row r="623" spans="1:6" x14ac:dyDescent="0.2">
      <c r="A623">
        <v>312</v>
      </c>
      <c r="B623" t="s">
        <v>788</v>
      </c>
      <c r="C623" s="1">
        <v>45377</v>
      </c>
      <c r="D623" t="s">
        <v>788</v>
      </c>
      <c r="E623">
        <v>6519.4107178881904</v>
      </c>
      <c r="F623">
        <v>6519.4107178881904</v>
      </c>
    </row>
    <row r="624" spans="1:6" x14ac:dyDescent="0.2">
      <c r="A624">
        <v>313</v>
      </c>
      <c r="B624" t="s">
        <v>789</v>
      </c>
      <c r="C624" s="1">
        <v>45363</v>
      </c>
      <c r="D624" t="s">
        <v>789</v>
      </c>
      <c r="E624">
        <v>220.829743978452</v>
      </c>
      <c r="F624">
        <v>220.829743978452</v>
      </c>
    </row>
    <row r="625" spans="1:6" x14ac:dyDescent="0.2">
      <c r="A625">
        <v>313</v>
      </c>
      <c r="B625" t="s">
        <v>790</v>
      </c>
      <c r="C625" s="1">
        <v>45550</v>
      </c>
      <c r="D625" t="s">
        <v>790</v>
      </c>
      <c r="E625">
        <v>20.6019446509357</v>
      </c>
      <c r="F625">
        <v>20.6019446509357</v>
      </c>
    </row>
    <row r="626" spans="1:6" x14ac:dyDescent="0.2">
      <c r="A626">
        <v>313</v>
      </c>
      <c r="B626" t="s">
        <v>791</v>
      </c>
      <c r="C626" s="1">
        <v>45355</v>
      </c>
      <c r="D626" t="s">
        <v>791</v>
      </c>
      <c r="E626">
        <v>2798.6497291517298</v>
      </c>
      <c r="F626">
        <v>2798.6497291517298</v>
      </c>
    </row>
    <row r="627" spans="1:6" x14ac:dyDescent="0.2">
      <c r="A627">
        <v>315</v>
      </c>
      <c r="B627" t="s">
        <v>284</v>
      </c>
      <c r="C627" s="1">
        <v>45450</v>
      </c>
      <c r="D627" t="s">
        <v>284</v>
      </c>
      <c r="E627">
        <v>330.92836209785702</v>
      </c>
      <c r="F627">
        <v>330.92836209785702</v>
      </c>
    </row>
    <row r="628" spans="1:6" x14ac:dyDescent="0.2">
      <c r="A628">
        <v>316</v>
      </c>
      <c r="B628" t="s">
        <v>792</v>
      </c>
      <c r="C628" s="1">
        <v>45445</v>
      </c>
      <c r="D628" t="s">
        <v>792</v>
      </c>
      <c r="E628">
        <v>714654.52413894003</v>
      </c>
      <c r="F628">
        <v>714654.52413894003</v>
      </c>
    </row>
    <row r="629" spans="1:6" x14ac:dyDescent="0.2">
      <c r="A629">
        <v>316</v>
      </c>
      <c r="B629" t="s">
        <v>793</v>
      </c>
      <c r="C629" s="1">
        <v>45448</v>
      </c>
      <c r="D629" t="s">
        <v>793</v>
      </c>
      <c r="E629">
        <v>10394.8573048206</v>
      </c>
      <c r="F629">
        <v>10394.8573048206</v>
      </c>
    </row>
    <row r="630" spans="1:6" x14ac:dyDescent="0.2">
      <c r="A630">
        <v>316</v>
      </c>
      <c r="B630" t="s">
        <v>794</v>
      </c>
      <c r="C630" s="1">
        <v>45586</v>
      </c>
      <c r="D630" t="s">
        <v>794</v>
      </c>
      <c r="E630">
        <v>11459.7515786566</v>
      </c>
      <c r="F630">
        <v>11459.7515786566</v>
      </c>
    </row>
    <row r="631" spans="1:6" x14ac:dyDescent="0.2">
      <c r="A631">
        <v>317</v>
      </c>
      <c r="B631" t="s">
        <v>285</v>
      </c>
      <c r="C631" s="1">
        <v>45499</v>
      </c>
      <c r="D631" t="s">
        <v>285</v>
      </c>
      <c r="E631">
        <v>164309.68400705099</v>
      </c>
      <c r="F631">
        <v>164309.68400705099</v>
      </c>
    </row>
    <row r="632" spans="1:6" x14ac:dyDescent="0.2">
      <c r="A632">
        <v>317</v>
      </c>
      <c r="B632" t="s">
        <v>795</v>
      </c>
      <c r="C632" s="1">
        <v>45499</v>
      </c>
      <c r="D632" t="s">
        <v>795</v>
      </c>
      <c r="E632">
        <v>79931.271596639403</v>
      </c>
      <c r="F632">
        <v>79931.271596639403</v>
      </c>
    </row>
    <row r="633" spans="1:6" x14ac:dyDescent="0.2">
      <c r="A633">
        <v>317</v>
      </c>
      <c r="B633" t="s">
        <v>796</v>
      </c>
      <c r="C633" s="1">
        <v>45326</v>
      </c>
      <c r="D633" t="s">
        <v>796</v>
      </c>
      <c r="E633">
        <v>1636.4455205909901</v>
      </c>
      <c r="F633">
        <v>1636.4455205909901</v>
      </c>
    </row>
    <row r="634" spans="1:6" x14ac:dyDescent="0.2">
      <c r="A634">
        <v>318</v>
      </c>
      <c r="B634" t="s">
        <v>797</v>
      </c>
      <c r="C634" s="1">
        <v>45321</v>
      </c>
      <c r="D634" t="s">
        <v>797</v>
      </c>
      <c r="E634">
        <v>400.14326253611301</v>
      </c>
      <c r="F634">
        <v>400.14326253611301</v>
      </c>
    </row>
    <row r="635" spans="1:6" x14ac:dyDescent="0.2">
      <c r="A635">
        <v>319</v>
      </c>
      <c r="B635" t="s">
        <v>798</v>
      </c>
      <c r="C635" s="1">
        <v>45329</v>
      </c>
      <c r="D635" t="s">
        <v>798</v>
      </c>
      <c r="E635">
        <v>8870.1477622350194</v>
      </c>
      <c r="F635">
        <v>8870.1477622350194</v>
      </c>
    </row>
    <row r="636" spans="1:6" x14ac:dyDescent="0.2">
      <c r="A636">
        <v>320</v>
      </c>
      <c r="B636" t="s">
        <v>799</v>
      </c>
      <c r="C636" s="1">
        <v>45557</v>
      </c>
      <c r="D636" t="s">
        <v>799</v>
      </c>
      <c r="E636">
        <v>208.63157668702399</v>
      </c>
      <c r="F636">
        <v>208.63157668702399</v>
      </c>
    </row>
    <row r="637" spans="1:6" x14ac:dyDescent="0.2">
      <c r="A637">
        <v>320</v>
      </c>
      <c r="B637" t="s">
        <v>800</v>
      </c>
      <c r="C637" s="1">
        <v>45584</v>
      </c>
      <c r="D637" t="s">
        <v>800</v>
      </c>
      <c r="E637">
        <v>11178.025311879201</v>
      </c>
      <c r="F637">
        <v>11178.025311879201</v>
      </c>
    </row>
    <row r="638" spans="1:6" x14ac:dyDescent="0.2">
      <c r="A638">
        <v>320</v>
      </c>
      <c r="B638" t="s">
        <v>801</v>
      </c>
      <c r="C638" s="1">
        <v>45463</v>
      </c>
      <c r="D638" t="s">
        <v>801</v>
      </c>
      <c r="E638">
        <v>477.14810008180501</v>
      </c>
      <c r="F638">
        <v>477.14810008180501</v>
      </c>
    </row>
    <row r="639" spans="1:6" x14ac:dyDescent="0.2">
      <c r="A639">
        <v>321</v>
      </c>
      <c r="B639" t="s">
        <v>286</v>
      </c>
      <c r="C639" s="1">
        <v>45652</v>
      </c>
      <c r="D639" t="s">
        <v>286</v>
      </c>
      <c r="E639">
        <v>38503.404134146498</v>
      </c>
      <c r="F639">
        <v>38503.404134146498</v>
      </c>
    </row>
    <row r="640" spans="1:6" x14ac:dyDescent="0.2">
      <c r="A640">
        <v>321</v>
      </c>
      <c r="B640" t="s">
        <v>287</v>
      </c>
      <c r="C640" s="1">
        <v>45560</v>
      </c>
      <c r="D640" t="s">
        <v>287</v>
      </c>
      <c r="E640">
        <v>8727.42998397058</v>
      </c>
      <c r="F640">
        <v>8727.42998397058</v>
      </c>
    </row>
    <row r="641" spans="1:6" x14ac:dyDescent="0.2">
      <c r="A641">
        <v>321</v>
      </c>
      <c r="B641" t="s">
        <v>802</v>
      </c>
      <c r="C641" s="1">
        <v>45634</v>
      </c>
      <c r="D641" t="s">
        <v>802</v>
      </c>
      <c r="E641">
        <v>440.56213360349898</v>
      </c>
      <c r="F641">
        <v>440.56213360349898</v>
      </c>
    </row>
    <row r="642" spans="1:6" x14ac:dyDescent="0.2">
      <c r="A642">
        <v>322</v>
      </c>
      <c r="B642" t="s">
        <v>288</v>
      </c>
      <c r="C642" s="1">
        <v>45297</v>
      </c>
      <c r="D642" t="s">
        <v>288</v>
      </c>
      <c r="E642">
        <v>168.260355731022</v>
      </c>
      <c r="F642">
        <v>168.260355731022</v>
      </c>
    </row>
    <row r="643" spans="1:6" x14ac:dyDescent="0.2">
      <c r="A643">
        <v>323</v>
      </c>
      <c r="B643" t="s">
        <v>289</v>
      </c>
      <c r="C643" s="1">
        <v>45648</v>
      </c>
      <c r="D643" t="s">
        <v>289</v>
      </c>
      <c r="E643">
        <v>6040.6797346645599</v>
      </c>
      <c r="F643">
        <v>6040.6797346645599</v>
      </c>
    </row>
    <row r="644" spans="1:6" x14ac:dyDescent="0.2">
      <c r="A644">
        <v>324</v>
      </c>
      <c r="B644" t="s">
        <v>803</v>
      </c>
      <c r="C644" s="1">
        <v>45646</v>
      </c>
      <c r="D644" t="s">
        <v>803</v>
      </c>
      <c r="E644">
        <v>2437855.4922584598</v>
      </c>
      <c r="F644">
        <v>2437855.4922584598</v>
      </c>
    </row>
    <row r="645" spans="1:6" x14ac:dyDescent="0.2">
      <c r="A645">
        <v>324</v>
      </c>
      <c r="B645" t="s">
        <v>82</v>
      </c>
      <c r="C645" s="1">
        <v>45656</v>
      </c>
      <c r="D645" t="s">
        <v>82</v>
      </c>
      <c r="E645">
        <v>211791416.48820299</v>
      </c>
      <c r="F645">
        <v>10000000</v>
      </c>
    </row>
    <row r="646" spans="1:6" x14ac:dyDescent="0.2">
      <c r="A646">
        <v>324</v>
      </c>
      <c r="B646" t="s">
        <v>83</v>
      </c>
      <c r="C646" s="1">
        <v>45522</v>
      </c>
      <c r="D646" t="s">
        <v>83</v>
      </c>
      <c r="E646">
        <v>15099.8671094614</v>
      </c>
      <c r="F646">
        <v>15099.8671094614</v>
      </c>
    </row>
    <row r="647" spans="1:6" x14ac:dyDescent="0.2">
      <c r="A647">
        <v>327</v>
      </c>
      <c r="B647" t="s">
        <v>290</v>
      </c>
      <c r="C647" s="1">
        <v>45396</v>
      </c>
      <c r="D647" t="s">
        <v>290</v>
      </c>
      <c r="E647">
        <v>986.91774679887396</v>
      </c>
      <c r="F647">
        <v>986.91774679887396</v>
      </c>
    </row>
    <row r="648" spans="1:6" x14ac:dyDescent="0.2">
      <c r="A648">
        <v>327</v>
      </c>
      <c r="B648" t="s">
        <v>804</v>
      </c>
      <c r="C648" s="1">
        <v>45423</v>
      </c>
      <c r="D648" t="s">
        <v>804</v>
      </c>
      <c r="E648">
        <v>2825.4171921954498</v>
      </c>
      <c r="F648">
        <v>2825.4171921954498</v>
      </c>
    </row>
    <row r="649" spans="1:6" x14ac:dyDescent="0.2">
      <c r="A649">
        <v>327</v>
      </c>
      <c r="B649" t="s">
        <v>805</v>
      </c>
      <c r="C649" s="1">
        <v>45407</v>
      </c>
      <c r="D649" t="s">
        <v>805</v>
      </c>
      <c r="E649">
        <v>45.542087120013697</v>
      </c>
      <c r="F649">
        <v>45.542087120013697</v>
      </c>
    </row>
    <row r="650" spans="1:6" x14ac:dyDescent="0.2">
      <c r="A650">
        <v>327</v>
      </c>
      <c r="B650" t="s">
        <v>806</v>
      </c>
      <c r="C650" s="1">
        <v>45562</v>
      </c>
      <c r="D650" t="s">
        <v>806</v>
      </c>
      <c r="E650">
        <v>889.149424715436</v>
      </c>
      <c r="F650">
        <v>889.149424715436</v>
      </c>
    </row>
    <row r="651" spans="1:6" x14ac:dyDescent="0.2">
      <c r="A651">
        <v>327</v>
      </c>
      <c r="B651" t="s">
        <v>807</v>
      </c>
      <c r="C651" s="1">
        <v>45628</v>
      </c>
      <c r="D651" t="s">
        <v>807</v>
      </c>
      <c r="E651">
        <v>52429.744304324697</v>
      </c>
      <c r="F651">
        <v>52429.744304324697</v>
      </c>
    </row>
    <row r="652" spans="1:6" x14ac:dyDescent="0.2">
      <c r="A652">
        <v>327</v>
      </c>
      <c r="B652" t="s">
        <v>808</v>
      </c>
      <c r="C652" s="1">
        <v>45510</v>
      </c>
      <c r="D652" t="s">
        <v>808</v>
      </c>
      <c r="E652">
        <v>3387.51547105078</v>
      </c>
      <c r="F652">
        <v>3387.51547105078</v>
      </c>
    </row>
    <row r="653" spans="1:6" x14ac:dyDescent="0.2">
      <c r="A653">
        <v>327</v>
      </c>
      <c r="B653" t="s">
        <v>809</v>
      </c>
      <c r="C653" s="1">
        <v>45453</v>
      </c>
      <c r="D653" t="s">
        <v>809</v>
      </c>
      <c r="E653">
        <v>4261.4527295240596</v>
      </c>
      <c r="F653">
        <v>4261.4527295240596</v>
      </c>
    </row>
    <row r="654" spans="1:6" x14ac:dyDescent="0.2">
      <c r="A654">
        <v>327</v>
      </c>
      <c r="B654" t="s">
        <v>810</v>
      </c>
      <c r="C654" s="1">
        <v>45446</v>
      </c>
      <c r="D654" t="s">
        <v>810</v>
      </c>
      <c r="E654">
        <v>5780.9386547235499</v>
      </c>
      <c r="F654">
        <v>5780.9386547235499</v>
      </c>
    </row>
    <row r="655" spans="1:6" x14ac:dyDescent="0.2">
      <c r="A655">
        <v>329</v>
      </c>
      <c r="B655" t="s">
        <v>811</v>
      </c>
      <c r="C655" s="1">
        <v>45304</v>
      </c>
      <c r="D655" t="s">
        <v>811</v>
      </c>
      <c r="E655">
        <v>5328.4139222919603</v>
      </c>
      <c r="F655">
        <v>5328.4139222919603</v>
      </c>
    </row>
    <row r="656" spans="1:6" x14ac:dyDescent="0.2">
      <c r="A656">
        <v>330</v>
      </c>
      <c r="B656" t="s">
        <v>812</v>
      </c>
      <c r="C656" s="1">
        <v>45592</v>
      </c>
      <c r="D656" t="s">
        <v>812</v>
      </c>
      <c r="E656">
        <v>646868.194116108</v>
      </c>
      <c r="F656">
        <v>646868.194116108</v>
      </c>
    </row>
    <row r="657" spans="1:6" x14ac:dyDescent="0.2">
      <c r="A657">
        <v>330</v>
      </c>
      <c r="B657" t="s">
        <v>813</v>
      </c>
      <c r="C657" s="1">
        <v>45429</v>
      </c>
      <c r="D657" t="s">
        <v>813</v>
      </c>
      <c r="E657">
        <v>1413.49444371239</v>
      </c>
      <c r="F657">
        <v>1413.49444371239</v>
      </c>
    </row>
    <row r="658" spans="1:6" x14ac:dyDescent="0.2">
      <c r="A658">
        <v>330</v>
      </c>
      <c r="B658" t="s">
        <v>814</v>
      </c>
      <c r="C658" s="1">
        <v>45552</v>
      </c>
      <c r="D658" t="s">
        <v>814</v>
      </c>
      <c r="E658">
        <v>773.33104185112597</v>
      </c>
      <c r="F658">
        <v>773.33104185112597</v>
      </c>
    </row>
    <row r="659" spans="1:6" x14ac:dyDescent="0.2">
      <c r="A659">
        <v>330</v>
      </c>
      <c r="B659" t="s">
        <v>84</v>
      </c>
      <c r="C659" s="1">
        <v>45553</v>
      </c>
      <c r="D659" t="s">
        <v>84</v>
      </c>
      <c r="E659">
        <v>84.862985036458696</v>
      </c>
      <c r="F659">
        <v>84.862985036458696</v>
      </c>
    </row>
    <row r="660" spans="1:6" x14ac:dyDescent="0.2">
      <c r="A660">
        <v>331</v>
      </c>
      <c r="B660" t="s">
        <v>815</v>
      </c>
      <c r="C660" s="1">
        <v>45654</v>
      </c>
      <c r="D660" t="s">
        <v>815</v>
      </c>
      <c r="E660">
        <v>20173.519450343701</v>
      </c>
      <c r="F660">
        <v>20173.519450343701</v>
      </c>
    </row>
    <row r="661" spans="1:6" x14ac:dyDescent="0.2">
      <c r="A661">
        <v>331</v>
      </c>
      <c r="B661" t="s">
        <v>816</v>
      </c>
      <c r="C661" s="1">
        <v>45642</v>
      </c>
      <c r="D661" t="s">
        <v>816</v>
      </c>
      <c r="E661">
        <v>5222.4271102094299</v>
      </c>
      <c r="F661">
        <v>5222.4271102094299</v>
      </c>
    </row>
    <row r="662" spans="1:6" x14ac:dyDescent="0.2">
      <c r="A662">
        <v>332</v>
      </c>
      <c r="B662" t="s">
        <v>817</v>
      </c>
      <c r="C662" s="1">
        <v>45590</v>
      </c>
      <c r="D662" t="s">
        <v>817</v>
      </c>
      <c r="E662">
        <v>756.10226850579795</v>
      </c>
      <c r="F662">
        <v>756.10226850579795</v>
      </c>
    </row>
    <row r="663" spans="1:6" x14ac:dyDescent="0.2">
      <c r="A663">
        <v>333</v>
      </c>
      <c r="B663" t="s">
        <v>818</v>
      </c>
      <c r="C663" s="1">
        <v>45609</v>
      </c>
      <c r="D663" t="s">
        <v>818</v>
      </c>
      <c r="E663">
        <v>121689.531680935</v>
      </c>
      <c r="F663">
        <v>121689.531680935</v>
      </c>
    </row>
    <row r="664" spans="1:6" x14ac:dyDescent="0.2">
      <c r="A664">
        <v>333</v>
      </c>
      <c r="B664" t="s">
        <v>819</v>
      </c>
      <c r="C664" s="1">
        <v>45365</v>
      </c>
      <c r="D664" t="s">
        <v>819</v>
      </c>
      <c r="E664">
        <v>3324134.2522382801</v>
      </c>
      <c r="F664">
        <v>3324134.2522382801</v>
      </c>
    </row>
    <row r="665" spans="1:6" x14ac:dyDescent="0.2">
      <c r="A665">
        <v>333</v>
      </c>
      <c r="B665" t="s">
        <v>820</v>
      </c>
      <c r="C665" s="1">
        <v>45447</v>
      </c>
      <c r="D665" t="s">
        <v>820</v>
      </c>
      <c r="E665">
        <v>8016.5150563780899</v>
      </c>
      <c r="F665">
        <v>8016.5150563780899</v>
      </c>
    </row>
    <row r="666" spans="1:6" x14ac:dyDescent="0.2">
      <c r="A666">
        <v>334</v>
      </c>
      <c r="B666" t="s">
        <v>821</v>
      </c>
      <c r="C666" s="1">
        <v>45377</v>
      </c>
      <c r="D666" t="s">
        <v>821</v>
      </c>
      <c r="E666">
        <v>1646.82763883609</v>
      </c>
      <c r="F666">
        <v>1646.82763883609</v>
      </c>
    </row>
    <row r="667" spans="1:6" x14ac:dyDescent="0.2">
      <c r="A667">
        <v>334</v>
      </c>
      <c r="B667" t="s">
        <v>85</v>
      </c>
      <c r="C667" s="1">
        <v>45642</v>
      </c>
      <c r="D667" t="s">
        <v>85</v>
      </c>
      <c r="E667">
        <v>13404.227525410401</v>
      </c>
      <c r="F667">
        <v>13404.227525410401</v>
      </c>
    </row>
    <row r="668" spans="1:6" x14ac:dyDescent="0.2">
      <c r="A668">
        <v>334</v>
      </c>
      <c r="B668" t="s">
        <v>86</v>
      </c>
      <c r="C668" s="1">
        <v>45495</v>
      </c>
      <c r="D668" t="s">
        <v>86</v>
      </c>
      <c r="E668">
        <v>188.32803906264701</v>
      </c>
      <c r="F668">
        <v>188.32803906264701</v>
      </c>
    </row>
    <row r="669" spans="1:6" x14ac:dyDescent="0.2">
      <c r="A669">
        <v>335</v>
      </c>
      <c r="B669" t="s">
        <v>822</v>
      </c>
      <c r="C669" s="1">
        <v>45447</v>
      </c>
      <c r="D669" t="s">
        <v>822</v>
      </c>
      <c r="E669">
        <v>243.64813958304799</v>
      </c>
      <c r="F669">
        <v>243.64813958304799</v>
      </c>
    </row>
    <row r="670" spans="1:6" x14ac:dyDescent="0.2">
      <c r="A670">
        <v>336</v>
      </c>
      <c r="B670" t="s">
        <v>823</v>
      </c>
      <c r="C670" s="1">
        <v>45351</v>
      </c>
      <c r="D670" t="s">
        <v>823</v>
      </c>
      <c r="E670">
        <v>80032.978752192503</v>
      </c>
      <c r="F670">
        <v>80032.978752192503</v>
      </c>
    </row>
    <row r="671" spans="1:6" x14ac:dyDescent="0.2">
      <c r="A671">
        <v>336</v>
      </c>
      <c r="B671" t="s">
        <v>824</v>
      </c>
      <c r="C671" s="1">
        <v>45532</v>
      </c>
      <c r="D671" t="s">
        <v>824</v>
      </c>
      <c r="E671">
        <v>4646.4837312116697</v>
      </c>
      <c r="F671">
        <v>4646.4837312116697</v>
      </c>
    </row>
    <row r="672" spans="1:6" x14ac:dyDescent="0.2">
      <c r="A672">
        <v>337</v>
      </c>
      <c r="B672" t="s">
        <v>825</v>
      </c>
      <c r="C672" s="1">
        <v>45303</v>
      </c>
      <c r="D672" t="s">
        <v>825</v>
      </c>
      <c r="E672">
        <v>176014.81281571201</v>
      </c>
      <c r="F672">
        <v>176014.81281571201</v>
      </c>
    </row>
    <row r="673" spans="1:6" x14ac:dyDescent="0.2">
      <c r="A673">
        <v>337</v>
      </c>
      <c r="B673" t="s">
        <v>826</v>
      </c>
      <c r="C673" s="1">
        <v>45424</v>
      </c>
      <c r="D673" t="s">
        <v>826</v>
      </c>
      <c r="E673">
        <v>536.67156120305901</v>
      </c>
      <c r="F673">
        <v>536.67156120305901</v>
      </c>
    </row>
    <row r="674" spans="1:6" x14ac:dyDescent="0.2">
      <c r="A674">
        <v>337</v>
      </c>
      <c r="B674" t="s">
        <v>827</v>
      </c>
      <c r="C674" s="1">
        <v>45635</v>
      </c>
      <c r="D674" t="s">
        <v>827</v>
      </c>
      <c r="E674">
        <v>11.8622440264497</v>
      </c>
      <c r="F674">
        <v>11.8622440264497</v>
      </c>
    </row>
    <row r="675" spans="1:6" x14ac:dyDescent="0.2">
      <c r="A675">
        <v>338</v>
      </c>
      <c r="B675" t="s">
        <v>291</v>
      </c>
      <c r="C675" s="1">
        <v>45387</v>
      </c>
      <c r="D675" t="s">
        <v>291</v>
      </c>
      <c r="E675">
        <v>53471.013245607603</v>
      </c>
      <c r="F675">
        <v>53471.013245607603</v>
      </c>
    </row>
    <row r="676" spans="1:6" x14ac:dyDescent="0.2">
      <c r="A676">
        <v>338</v>
      </c>
      <c r="B676" t="s">
        <v>292</v>
      </c>
      <c r="C676" s="1">
        <v>45484</v>
      </c>
      <c r="D676" t="s">
        <v>292</v>
      </c>
      <c r="E676">
        <v>183.72064161999899</v>
      </c>
      <c r="F676">
        <v>183.72064161999899</v>
      </c>
    </row>
    <row r="677" spans="1:6" x14ac:dyDescent="0.2">
      <c r="A677">
        <v>339</v>
      </c>
      <c r="B677" t="s">
        <v>293</v>
      </c>
      <c r="C677" s="1">
        <v>45320</v>
      </c>
      <c r="D677" t="s">
        <v>293</v>
      </c>
      <c r="E677">
        <v>233.131222015482</v>
      </c>
      <c r="F677">
        <v>233.131222015482</v>
      </c>
    </row>
    <row r="678" spans="1:6" x14ac:dyDescent="0.2">
      <c r="A678">
        <v>339</v>
      </c>
      <c r="B678" t="s">
        <v>294</v>
      </c>
      <c r="C678" s="1">
        <v>45296</v>
      </c>
      <c r="D678" t="s">
        <v>294</v>
      </c>
      <c r="E678">
        <v>52155.800067841003</v>
      </c>
      <c r="F678">
        <v>52155.800067841003</v>
      </c>
    </row>
    <row r="679" spans="1:6" x14ac:dyDescent="0.2">
      <c r="A679">
        <v>340</v>
      </c>
      <c r="B679" t="s">
        <v>828</v>
      </c>
      <c r="C679" s="1">
        <v>45542</v>
      </c>
      <c r="D679" t="s">
        <v>828</v>
      </c>
      <c r="E679">
        <v>30558.382598463599</v>
      </c>
      <c r="F679">
        <v>30558.382598463599</v>
      </c>
    </row>
    <row r="680" spans="1:6" x14ac:dyDescent="0.2">
      <c r="A680">
        <v>340</v>
      </c>
      <c r="B680" t="s">
        <v>829</v>
      </c>
      <c r="C680" s="1">
        <v>45295</v>
      </c>
      <c r="D680" t="s">
        <v>829</v>
      </c>
      <c r="E680">
        <v>43119.7858473776</v>
      </c>
      <c r="F680">
        <v>43119.7858473776</v>
      </c>
    </row>
    <row r="681" spans="1:6" x14ac:dyDescent="0.2">
      <c r="A681">
        <v>340</v>
      </c>
      <c r="B681" t="s">
        <v>830</v>
      </c>
      <c r="C681" s="1">
        <v>45483</v>
      </c>
      <c r="D681" t="s">
        <v>830</v>
      </c>
      <c r="E681">
        <v>55164.200263188301</v>
      </c>
      <c r="F681">
        <v>55164.200263188301</v>
      </c>
    </row>
    <row r="682" spans="1:6" x14ac:dyDescent="0.2">
      <c r="A682">
        <v>340</v>
      </c>
      <c r="B682" t="s">
        <v>831</v>
      </c>
      <c r="C682" s="1">
        <v>45313</v>
      </c>
      <c r="D682" t="s">
        <v>831</v>
      </c>
      <c r="E682">
        <v>22.0655005999784</v>
      </c>
      <c r="F682">
        <v>22.0655005999784</v>
      </c>
    </row>
    <row r="683" spans="1:6" x14ac:dyDescent="0.2">
      <c r="A683">
        <v>340</v>
      </c>
      <c r="B683" t="s">
        <v>832</v>
      </c>
      <c r="C683" s="1">
        <v>45626</v>
      </c>
      <c r="D683" t="s">
        <v>832</v>
      </c>
      <c r="E683">
        <v>5185.1337501314001</v>
      </c>
      <c r="F683">
        <v>5185.1337501314001</v>
      </c>
    </row>
    <row r="684" spans="1:6" x14ac:dyDescent="0.2">
      <c r="A684">
        <v>341</v>
      </c>
      <c r="B684" t="s">
        <v>833</v>
      </c>
      <c r="C684" s="1">
        <v>45504</v>
      </c>
      <c r="D684" t="s">
        <v>833</v>
      </c>
      <c r="E684">
        <v>1810.2123368432101</v>
      </c>
      <c r="F684">
        <v>1810.2123368432101</v>
      </c>
    </row>
    <row r="685" spans="1:6" x14ac:dyDescent="0.2">
      <c r="A685">
        <v>341</v>
      </c>
      <c r="B685" t="s">
        <v>834</v>
      </c>
      <c r="C685" s="1">
        <v>45365</v>
      </c>
      <c r="D685" t="s">
        <v>834</v>
      </c>
      <c r="E685">
        <v>323.45856676967099</v>
      </c>
      <c r="F685">
        <v>323.45856676967099</v>
      </c>
    </row>
    <row r="686" spans="1:6" x14ac:dyDescent="0.2">
      <c r="A686">
        <v>343</v>
      </c>
      <c r="B686" t="s">
        <v>835</v>
      </c>
      <c r="C686" s="1">
        <v>45612</v>
      </c>
      <c r="D686" t="s">
        <v>835</v>
      </c>
      <c r="E686">
        <v>6.99345561321622</v>
      </c>
      <c r="F686">
        <v>6.99345561321622</v>
      </c>
    </row>
    <row r="687" spans="1:6" x14ac:dyDescent="0.2">
      <c r="A687">
        <v>343</v>
      </c>
      <c r="B687" t="s">
        <v>836</v>
      </c>
      <c r="C687" s="1">
        <v>45454</v>
      </c>
      <c r="D687" t="s">
        <v>836</v>
      </c>
      <c r="E687">
        <v>434526.66179866501</v>
      </c>
      <c r="F687">
        <v>434526.66179866501</v>
      </c>
    </row>
    <row r="688" spans="1:6" x14ac:dyDescent="0.2">
      <c r="A688">
        <v>344</v>
      </c>
      <c r="B688" t="s">
        <v>837</v>
      </c>
      <c r="C688" s="1">
        <v>45465</v>
      </c>
      <c r="D688" t="s">
        <v>837</v>
      </c>
      <c r="E688">
        <v>6247.1518065508999</v>
      </c>
      <c r="F688">
        <v>6247.1518065508999</v>
      </c>
    </row>
    <row r="689" spans="1:6" x14ac:dyDescent="0.2">
      <c r="A689">
        <v>345</v>
      </c>
      <c r="B689" t="s">
        <v>87</v>
      </c>
      <c r="C689" s="1">
        <v>45456</v>
      </c>
      <c r="D689" t="s">
        <v>87</v>
      </c>
      <c r="E689">
        <v>13410.8980432391</v>
      </c>
      <c r="F689">
        <v>13410.8980432391</v>
      </c>
    </row>
    <row r="690" spans="1:6" x14ac:dyDescent="0.2">
      <c r="A690">
        <v>345</v>
      </c>
      <c r="B690" t="s">
        <v>838</v>
      </c>
      <c r="C690" s="1">
        <v>45483</v>
      </c>
      <c r="D690" t="s">
        <v>838</v>
      </c>
      <c r="E690">
        <v>1482.7770613140899</v>
      </c>
      <c r="F690">
        <v>1482.7770613140899</v>
      </c>
    </row>
    <row r="691" spans="1:6" x14ac:dyDescent="0.2">
      <c r="A691">
        <v>346</v>
      </c>
      <c r="B691" t="s">
        <v>839</v>
      </c>
      <c r="C691" s="1">
        <v>45606</v>
      </c>
      <c r="D691" t="s">
        <v>839</v>
      </c>
      <c r="E691">
        <v>104.758142314384</v>
      </c>
      <c r="F691">
        <v>104.758142314384</v>
      </c>
    </row>
    <row r="692" spans="1:6" x14ac:dyDescent="0.2">
      <c r="A692">
        <v>347</v>
      </c>
      <c r="B692" t="s">
        <v>840</v>
      </c>
      <c r="C692" s="1">
        <v>45642</v>
      </c>
      <c r="D692" t="s">
        <v>840</v>
      </c>
      <c r="E692">
        <v>2219.4544442981201</v>
      </c>
      <c r="F692">
        <v>2219.4544442981201</v>
      </c>
    </row>
    <row r="693" spans="1:6" x14ac:dyDescent="0.2">
      <c r="A693">
        <v>347</v>
      </c>
      <c r="B693" t="s">
        <v>841</v>
      </c>
      <c r="C693" s="1">
        <v>45544</v>
      </c>
      <c r="D693" t="s">
        <v>841</v>
      </c>
      <c r="E693">
        <v>16040.0631720565</v>
      </c>
      <c r="F693">
        <v>16040.0631720565</v>
      </c>
    </row>
    <row r="694" spans="1:6" x14ac:dyDescent="0.2">
      <c r="A694">
        <v>347</v>
      </c>
      <c r="B694" t="s">
        <v>842</v>
      </c>
      <c r="C694" s="1">
        <v>45299</v>
      </c>
      <c r="D694" t="s">
        <v>842</v>
      </c>
      <c r="E694">
        <v>394288.19765199098</v>
      </c>
      <c r="F694">
        <v>394288.19765199098</v>
      </c>
    </row>
    <row r="695" spans="1:6" x14ac:dyDescent="0.2">
      <c r="A695">
        <v>347</v>
      </c>
      <c r="B695" t="s">
        <v>843</v>
      </c>
      <c r="C695" s="1">
        <v>45456</v>
      </c>
      <c r="D695" t="s">
        <v>843</v>
      </c>
      <c r="E695">
        <v>45936.019249370896</v>
      </c>
      <c r="F695">
        <v>45936.019249370896</v>
      </c>
    </row>
    <row r="696" spans="1:6" x14ac:dyDescent="0.2">
      <c r="A696">
        <v>347</v>
      </c>
      <c r="B696" t="s">
        <v>844</v>
      </c>
      <c r="C696" s="1">
        <v>45559</v>
      </c>
      <c r="D696" t="s">
        <v>844</v>
      </c>
      <c r="E696">
        <v>486026.45930769801</v>
      </c>
      <c r="F696">
        <v>486026.45930769801</v>
      </c>
    </row>
    <row r="697" spans="1:6" x14ac:dyDescent="0.2">
      <c r="A697">
        <v>348</v>
      </c>
      <c r="B697" t="s">
        <v>295</v>
      </c>
      <c r="C697" s="1">
        <v>45552</v>
      </c>
      <c r="D697" t="s">
        <v>295</v>
      </c>
      <c r="E697">
        <v>45971.0842623684</v>
      </c>
      <c r="F697">
        <v>45971.0842623684</v>
      </c>
    </row>
    <row r="698" spans="1:6" x14ac:dyDescent="0.2">
      <c r="A698">
        <v>349</v>
      </c>
      <c r="B698" t="s">
        <v>845</v>
      </c>
      <c r="C698" s="1">
        <v>45597</v>
      </c>
      <c r="D698" t="s">
        <v>845</v>
      </c>
      <c r="E698">
        <v>2924.8185069574502</v>
      </c>
      <c r="F698">
        <v>2924.8185069574502</v>
      </c>
    </row>
    <row r="699" spans="1:6" x14ac:dyDescent="0.2">
      <c r="A699">
        <v>350</v>
      </c>
      <c r="B699" t="s">
        <v>296</v>
      </c>
      <c r="C699" s="1">
        <v>45399</v>
      </c>
      <c r="D699" t="s">
        <v>296</v>
      </c>
      <c r="E699">
        <v>20377.165781549302</v>
      </c>
      <c r="F699">
        <v>20377.165781549302</v>
      </c>
    </row>
    <row r="700" spans="1:6" x14ac:dyDescent="0.2">
      <c r="A700">
        <v>350</v>
      </c>
      <c r="B700" t="s">
        <v>297</v>
      </c>
      <c r="C700" s="1">
        <v>45328</v>
      </c>
      <c r="D700" t="s">
        <v>297</v>
      </c>
      <c r="E700">
        <v>17879.642262088</v>
      </c>
      <c r="F700">
        <v>17879.642262088</v>
      </c>
    </row>
    <row r="701" spans="1:6" x14ac:dyDescent="0.2">
      <c r="A701">
        <v>351</v>
      </c>
      <c r="B701" t="s">
        <v>846</v>
      </c>
      <c r="C701" s="1">
        <v>45607</v>
      </c>
      <c r="D701" t="s">
        <v>846</v>
      </c>
      <c r="E701">
        <v>2993.3829231847999</v>
      </c>
      <c r="F701">
        <v>2993.3829231847999</v>
      </c>
    </row>
    <row r="702" spans="1:6" x14ac:dyDescent="0.2">
      <c r="A702">
        <v>352</v>
      </c>
      <c r="B702" t="s">
        <v>847</v>
      </c>
      <c r="C702" s="1">
        <v>45472</v>
      </c>
      <c r="D702" t="s">
        <v>847</v>
      </c>
      <c r="E702">
        <v>56652.382451022</v>
      </c>
      <c r="F702">
        <v>56652.382451022</v>
      </c>
    </row>
    <row r="703" spans="1:6" x14ac:dyDescent="0.2">
      <c r="A703">
        <v>352</v>
      </c>
      <c r="B703" t="s">
        <v>848</v>
      </c>
      <c r="C703" s="1">
        <v>45564</v>
      </c>
      <c r="D703" t="s">
        <v>848</v>
      </c>
      <c r="E703">
        <v>5163.5100914791001</v>
      </c>
      <c r="F703">
        <v>5163.5100914791001</v>
      </c>
    </row>
    <row r="704" spans="1:6" x14ac:dyDescent="0.2">
      <c r="A704">
        <v>352</v>
      </c>
      <c r="B704" t="s">
        <v>849</v>
      </c>
      <c r="C704" s="1">
        <v>45652</v>
      </c>
      <c r="D704" t="s">
        <v>849</v>
      </c>
      <c r="E704">
        <v>183713.18771197501</v>
      </c>
      <c r="F704">
        <v>183713.18771197501</v>
      </c>
    </row>
    <row r="705" spans="1:6" x14ac:dyDescent="0.2">
      <c r="A705">
        <v>352</v>
      </c>
      <c r="B705" t="s">
        <v>298</v>
      </c>
      <c r="C705" s="1">
        <v>45653</v>
      </c>
      <c r="D705" t="s">
        <v>298</v>
      </c>
      <c r="E705">
        <v>19490.375426562699</v>
      </c>
      <c r="F705">
        <v>19490.375426562699</v>
      </c>
    </row>
    <row r="706" spans="1:6" x14ac:dyDescent="0.2">
      <c r="A706">
        <v>352</v>
      </c>
      <c r="B706" t="s">
        <v>299</v>
      </c>
      <c r="C706" s="1">
        <v>45648</v>
      </c>
      <c r="D706" t="s">
        <v>299</v>
      </c>
      <c r="E706">
        <v>60249.779905073003</v>
      </c>
      <c r="F706">
        <v>60249.779905073003</v>
      </c>
    </row>
    <row r="707" spans="1:6" x14ac:dyDescent="0.2">
      <c r="A707">
        <v>353</v>
      </c>
      <c r="B707" t="s">
        <v>850</v>
      </c>
      <c r="C707" s="1">
        <v>45529</v>
      </c>
      <c r="D707" t="s">
        <v>850</v>
      </c>
      <c r="E707">
        <v>103107.592220761</v>
      </c>
      <c r="F707">
        <v>103107.592220761</v>
      </c>
    </row>
    <row r="708" spans="1:6" x14ac:dyDescent="0.2">
      <c r="A708">
        <v>353</v>
      </c>
      <c r="B708" t="s">
        <v>851</v>
      </c>
      <c r="C708" s="1">
        <v>45446</v>
      </c>
      <c r="D708" t="s">
        <v>851</v>
      </c>
      <c r="E708">
        <v>6000.8140998953004</v>
      </c>
      <c r="F708">
        <v>6000.8140998953004</v>
      </c>
    </row>
    <row r="709" spans="1:6" x14ac:dyDescent="0.2">
      <c r="A709">
        <v>354</v>
      </c>
      <c r="B709" t="s">
        <v>852</v>
      </c>
      <c r="C709" s="1">
        <v>45514</v>
      </c>
      <c r="D709" t="s">
        <v>852</v>
      </c>
      <c r="E709">
        <v>702.16070302213302</v>
      </c>
      <c r="F709">
        <v>702.16070302213302</v>
      </c>
    </row>
    <row r="710" spans="1:6" x14ac:dyDescent="0.2">
      <c r="A710">
        <v>355</v>
      </c>
      <c r="B710" t="s">
        <v>88</v>
      </c>
      <c r="C710" s="1">
        <v>45522</v>
      </c>
      <c r="D710" t="s">
        <v>88</v>
      </c>
      <c r="E710">
        <v>34033.426172902997</v>
      </c>
      <c r="F710">
        <v>34033.426172902997</v>
      </c>
    </row>
    <row r="711" spans="1:6" x14ac:dyDescent="0.2">
      <c r="A711">
        <v>355</v>
      </c>
      <c r="B711" t="s">
        <v>89</v>
      </c>
      <c r="C711" s="1">
        <v>45514</v>
      </c>
      <c r="D711" t="s">
        <v>89</v>
      </c>
      <c r="E711">
        <v>26388.909838081599</v>
      </c>
      <c r="F711">
        <v>26388.909838081599</v>
      </c>
    </row>
    <row r="712" spans="1:6" x14ac:dyDescent="0.2">
      <c r="A712">
        <v>356</v>
      </c>
      <c r="B712" t="s">
        <v>853</v>
      </c>
      <c r="C712" s="1">
        <v>45362</v>
      </c>
      <c r="D712" t="s">
        <v>853</v>
      </c>
      <c r="E712">
        <v>24468.258511592201</v>
      </c>
      <c r="F712">
        <v>24468.258511592201</v>
      </c>
    </row>
    <row r="713" spans="1:6" x14ac:dyDescent="0.2">
      <c r="A713">
        <v>356</v>
      </c>
      <c r="B713" t="s">
        <v>854</v>
      </c>
      <c r="C713" s="1">
        <v>45606</v>
      </c>
      <c r="D713" t="s">
        <v>854</v>
      </c>
      <c r="E713">
        <v>12.1186641747124</v>
      </c>
      <c r="F713">
        <v>12.1186641747124</v>
      </c>
    </row>
    <row r="714" spans="1:6" x14ac:dyDescent="0.2">
      <c r="A714">
        <v>356</v>
      </c>
      <c r="B714" t="s">
        <v>855</v>
      </c>
      <c r="C714" s="1">
        <v>45611</v>
      </c>
      <c r="D714" t="s">
        <v>855</v>
      </c>
      <c r="E714">
        <v>58654.121867220601</v>
      </c>
      <c r="F714">
        <v>58654.121867220601</v>
      </c>
    </row>
    <row r="715" spans="1:6" x14ac:dyDescent="0.2">
      <c r="A715">
        <v>356</v>
      </c>
      <c r="B715" t="s">
        <v>856</v>
      </c>
      <c r="C715" s="1">
        <v>45336</v>
      </c>
      <c r="D715" t="s">
        <v>856</v>
      </c>
      <c r="E715">
        <v>2076.1257171710699</v>
      </c>
      <c r="F715">
        <v>2076.1257171710699</v>
      </c>
    </row>
    <row r="716" spans="1:6" x14ac:dyDescent="0.2">
      <c r="A716">
        <v>356</v>
      </c>
      <c r="B716" t="s">
        <v>857</v>
      </c>
      <c r="C716" s="1">
        <v>45604</v>
      </c>
      <c r="D716" t="s">
        <v>857</v>
      </c>
      <c r="E716">
        <v>1007.46194792165</v>
      </c>
      <c r="F716">
        <v>1007.46194792165</v>
      </c>
    </row>
    <row r="717" spans="1:6" x14ac:dyDescent="0.2">
      <c r="A717">
        <v>356</v>
      </c>
      <c r="B717" t="s">
        <v>300</v>
      </c>
      <c r="C717" s="1">
        <v>45337</v>
      </c>
      <c r="D717" t="s">
        <v>300</v>
      </c>
      <c r="E717">
        <v>7938.3529086139297</v>
      </c>
      <c r="F717">
        <v>7938.3529086139297</v>
      </c>
    </row>
    <row r="718" spans="1:6" x14ac:dyDescent="0.2">
      <c r="A718">
        <v>357</v>
      </c>
      <c r="B718" t="s">
        <v>301</v>
      </c>
      <c r="C718" s="1">
        <v>45407</v>
      </c>
      <c r="D718" t="s">
        <v>301</v>
      </c>
      <c r="E718">
        <v>188089.49954789199</v>
      </c>
      <c r="F718">
        <v>188089.49954789199</v>
      </c>
    </row>
    <row r="719" spans="1:6" x14ac:dyDescent="0.2">
      <c r="A719">
        <v>357</v>
      </c>
      <c r="B719" t="s">
        <v>858</v>
      </c>
      <c r="C719" s="1">
        <v>45462</v>
      </c>
      <c r="D719" t="s">
        <v>858</v>
      </c>
      <c r="E719">
        <v>1196400.41369847</v>
      </c>
      <c r="F719">
        <v>1196400.41369847</v>
      </c>
    </row>
    <row r="720" spans="1:6" x14ac:dyDescent="0.2">
      <c r="A720">
        <v>358</v>
      </c>
      <c r="B720" t="s">
        <v>90</v>
      </c>
      <c r="C720" s="1">
        <v>45644</v>
      </c>
      <c r="D720" t="s">
        <v>90</v>
      </c>
      <c r="E720">
        <v>2087995.5793896299</v>
      </c>
      <c r="F720">
        <v>2087995.5793896299</v>
      </c>
    </row>
    <row r="721" spans="1:6" x14ac:dyDescent="0.2">
      <c r="A721">
        <v>358</v>
      </c>
      <c r="B721" t="s">
        <v>91</v>
      </c>
      <c r="C721" s="1">
        <v>45568</v>
      </c>
      <c r="D721" t="s">
        <v>91</v>
      </c>
      <c r="E721">
        <v>45298.324534291001</v>
      </c>
      <c r="F721">
        <v>45298.324534291001</v>
      </c>
    </row>
    <row r="722" spans="1:6" x14ac:dyDescent="0.2">
      <c r="A722">
        <v>359</v>
      </c>
      <c r="B722" t="s">
        <v>302</v>
      </c>
      <c r="C722" s="1">
        <v>45527</v>
      </c>
      <c r="D722" t="s">
        <v>302</v>
      </c>
      <c r="E722">
        <v>443809.52694570803</v>
      </c>
      <c r="F722">
        <v>443809.52694570803</v>
      </c>
    </row>
    <row r="723" spans="1:6" x14ac:dyDescent="0.2">
      <c r="A723">
        <v>360</v>
      </c>
      <c r="B723" t="s">
        <v>303</v>
      </c>
      <c r="C723" s="1">
        <v>45608</v>
      </c>
      <c r="D723" t="s">
        <v>303</v>
      </c>
      <c r="E723">
        <v>51732.147431810503</v>
      </c>
      <c r="F723">
        <v>51732.147431810503</v>
      </c>
    </row>
    <row r="724" spans="1:6" x14ac:dyDescent="0.2">
      <c r="A724">
        <v>360</v>
      </c>
      <c r="B724" t="s">
        <v>304</v>
      </c>
      <c r="C724" s="1">
        <v>45536</v>
      </c>
      <c r="D724" t="s">
        <v>304</v>
      </c>
      <c r="E724">
        <v>4970.6807155306096</v>
      </c>
      <c r="F724">
        <v>4970.6807155306096</v>
      </c>
    </row>
    <row r="725" spans="1:6" x14ac:dyDescent="0.2">
      <c r="A725">
        <v>360</v>
      </c>
      <c r="B725" t="s">
        <v>305</v>
      </c>
      <c r="C725" s="1">
        <v>45628</v>
      </c>
      <c r="D725" t="s">
        <v>305</v>
      </c>
      <c r="E725">
        <v>1763.45071623476</v>
      </c>
      <c r="F725">
        <v>1763.45071623476</v>
      </c>
    </row>
    <row r="726" spans="1:6" x14ac:dyDescent="0.2">
      <c r="A726">
        <v>361</v>
      </c>
      <c r="B726" t="s">
        <v>859</v>
      </c>
      <c r="C726" s="1">
        <v>45423</v>
      </c>
      <c r="D726" t="s">
        <v>859</v>
      </c>
      <c r="E726">
        <v>17070.852681183798</v>
      </c>
      <c r="F726">
        <v>17070.852681183798</v>
      </c>
    </row>
    <row r="727" spans="1:6" x14ac:dyDescent="0.2">
      <c r="A727">
        <v>362</v>
      </c>
      <c r="B727" t="s">
        <v>860</v>
      </c>
      <c r="C727" s="1">
        <v>45466</v>
      </c>
      <c r="D727" t="s">
        <v>860</v>
      </c>
      <c r="E727">
        <v>36344.480100710003</v>
      </c>
      <c r="F727">
        <v>36344.480100710003</v>
      </c>
    </row>
    <row r="728" spans="1:6" x14ac:dyDescent="0.2">
      <c r="A728">
        <v>363</v>
      </c>
      <c r="B728" t="s">
        <v>861</v>
      </c>
      <c r="C728" s="1">
        <v>45305</v>
      </c>
      <c r="D728" t="s">
        <v>861</v>
      </c>
      <c r="E728">
        <v>970918.88997585</v>
      </c>
      <c r="F728">
        <v>970918.88997585</v>
      </c>
    </row>
    <row r="729" spans="1:6" x14ac:dyDescent="0.2">
      <c r="A729">
        <v>363</v>
      </c>
      <c r="B729" t="s">
        <v>306</v>
      </c>
      <c r="C729" s="1">
        <v>45299</v>
      </c>
      <c r="D729" t="s">
        <v>306</v>
      </c>
      <c r="E729">
        <v>29684.009511657699</v>
      </c>
      <c r="F729">
        <v>29684.009511657699</v>
      </c>
    </row>
    <row r="730" spans="1:6" x14ac:dyDescent="0.2">
      <c r="A730">
        <v>363</v>
      </c>
      <c r="B730" t="s">
        <v>307</v>
      </c>
      <c r="C730" s="1">
        <v>45555</v>
      </c>
      <c r="D730" t="s">
        <v>307</v>
      </c>
      <c r="E730">
        <v>308.43237524467003</v>
      </c>
      <c r="F730">
        <v>308.43237524467003</v>
      </c>
    </row>
    <row r="731" spans="1:6" x14ac:dyDescent="0.2">
      <c r="A731">
        <v>363</v>
      </c>
      <c r="B731" t="s">
        <v>308</v>
      </c>
      <c r="C731" s="1">
        <v>45490</v>
      </c>
      <c r="D731" t="s">
        <v>308</v>
      </c>
      <c r="E731">
        <v>155.40636457142199</v>
      </c>
      <c r="F731">
        <v>155.40636457142199</v>
      </c>
    </row>
    <row r="732" spans="1:6" x14ac:dyDescent="0.2">
      <c r="A732">
        <v>364</v>
      </c>
      <c r="B732" t="s">
        <v>92</v>
      </c>
      <c r="C732" s="1">
        <v>45354</v>
      </c>
      <c r="D732" t="s">
        <v>92</v>
      </c>
      <c r="E732">
        <v>213615.68820519501</v>
      </c>
      <c r="F732">
        <v>213615.68820519501</v>
      </c>
    </row>
    <row r="733" spans="1:6" x14ac:dyDescent="0.2">
      <c r="A733">
        <v>365</v>
      </c>
      <c r="B733" t="s">
        <v>862</v>
      </c>
      <c r="C733" s="1">
        <v>45620</v>
      </c>
      <c r="D733" t="s">
        <v>862</v>
      </c>
      <c r="E733">
        <v>445.36950769932298</v>
      </c>
      <c r="F733">
        <v>445.36950769932298</v>
      </c>
    </row>
    <row r="734" spans="1:6" x14ac:dyDescent="0.2">
      <c r="A734">
        <v>366</v>
      </c>
      <c r="B734" t="s">
        <v>863</v>
      </c>
      <c r="C734" s="1">
        <v>45328</v>
      </c>
      <c r="D734" t="s">
        <v>863</v>
      </c>
      <c r="E734">
        <v>31453.208025385698</v>
      </c>
      <c r="F734">
        <v>31453.208025385698</v>
      </c>
    </row>
    <row r="735" spans="1:6" x14ac:dyDescent="0.2">
      <c r="A735">
        <v>366</v>
      </c>
      <c r="B735" t="s">
        <v>864</v>
      </c>
      <c r="C735" s="1">
        <v>45347</v>
      </c>
      <c r="D735" t="s">
        <v>864</v>
      </c>
      <c r="E735">
        <v>6388.67185111463</v>
      </c>
      <c r="F735">
        <v>6388.67185111463</v>
      </c>
    </row>
    <row r="736" spans="1:6" x14ac:dyDescent="0.2">
      <c r="A736">
        <v>366</v>
      </c>
      <c r="B736" t="s">
        <v>865</v>
      </c>
      <c r="C736" s="1">
        <v>45343</v>
      </c>
      <c r="D736" t="s">
        <v>865</v>
      </c>
      <c r="E736">
        <v>20266.1615502286</v>
      </c>
      <c r="F736">
        <v>20266.1615502286</v>
      </c>
    </row>
    <row r="737" spans="1:6" x14ac:dyDescent="0.2">
      <c r="A737">
        <v>367</v>
      </c>
      <c r="B737" t="s">
        <v>866</v>
      </c>
      <c r="C737" s="1">
        <v>45422</v>
      </c>
      <c r="D737" t="s">
        <v>866</v>
      </c>
      <c r="E737">
        <v>84163.613057557799</v>
      </c>
      <c r="F737">
        <v>84163.613057557799</v>
      </c>
    </row>
    <row r="738" spans="1:6" x14ac:dyDescent="0.2">
      <c r="A738">
        <v>369</v>
      </c>
      <c r="B738" t="s">
        <v>867</v>
      </c>
      <c r="C738" s="1">
        <v>45422</v>
      </c>
      <c r="D738" t="s">
        <v>867</v>
      </c>
      <c r="E738">
        <v>426431.83187594899</v>
      </c>
      <c r="F738">
        <v>426431.83187594899</v>
      </c>
    </row>
    <row r="739" spans="1:6" x14ac:dyDescent="0.2">
      <c r="A739">
        <v>369</v>
      </c>
      <c r="B739" t="s">
        <v>868</v>
      </c>
      <c r="C739" s="1">
        <v>45387</v>
      </c>
      <c r="D739" t="s">
        <v>868</v>
      </c>
      <c r="E739">
        <v>59086.803699420198</v>
      </c>
      <c r="F739">
        <v>59086.803699420198</v>
      </c>
    </row>
    <row r="740" spans="1:6" x14ac:dyDescent="0.2">
      <c r="A740">
        <v>370</v>
      </c>
      <c r="B740" t="s">
        <v>869</v>
      </c>
      <c r="C740" s="1">
        <v>45311</v>
      </c>
      <c r="D740" t="s">
        <v>869</v>
      </c>
      <c r="E740">
        <v>1195.8188019371901</v>
      </c>
      <c r="F740">
        <v>1195.8188019371901</v>
      </c>
    </row>
    <row r="741" spans="1:6" x14ac:dyDescent="0.2">
      <c r="A741">
        <v>370</v>
      </c>
      <c r="B741" t="s">
        <v>870</v>
      </c>
      <c r="C741" s="1">
        <v>45437</v>
      </c>
      <c r="D741" t="s">
        <v>870</v>
      </c>
      <c r="E741">
        <v>3396.2478225577502</v>
      </c>
      <c r="F741">
        <v>3396.2478225577502</v>
      </c>
    </row>
    <row r="742" spans="1:6" x14ac:dyDescent="0.2">
      <c r="A742">
        <v>371</v>
      </c>
      <c r="B742" t="s">
        <v>871</v>
      </c>
      <c r="C742" s="1">
        <v>45430</v>
      </c>
      <c r="D742" t="s">
        <v>871</v>
      </c>
      <c r="E742">
        <v>326.24942217182002</v>
      </c>
      <c r="F742">
        <v>326.24942217182002</v>
      </c>
    </row>
    <row r="743" spans="1:6" x14ac:dyDescent="0.2">
      <c r="A743">
        <v>371</v>
      </c>
      <c r="B743" t="s">
        <v>872</v>
      </c>
      <c r="C743" s="1">
        <v>45360</v>
      </c>
      <c r="D743" t="s">
        <v>872</v>
      </c>
      <c r="E743">
        <v>28.127230616795</v>
      </c>
      <c r="F743">
        <v>28.127230616795</v>
      </c>
    </row>
    <row r="744" spans="1:6" x14ac:dyDescent="0.2">
      <c r="A744">
        <v>372</v>
      </c>
      <c r="B744" t="s">
        <v>873</v>
      </c>
      <c r="C744" s="1">
        <v>45585</v>
      </c>
      <c r="D744" t="s">
        <v>873</v>
      </c>
      <c r="E744">
        <v>585.84681835413403</v>
      </c>
      <c r="F744">
        <v>585.84681835413403</v>
      </c>
    </row>
    <row r="745" spans="1:6" x14ac:dyDescent="0.2">
      <c r="A745">
        <v>373</v>
      </c>
      <c r="B745" t="s">
        <v>309</v>
      </c>
      <c r="C745" s="1">
        <v>45429</v>
      </c>
      <c r="D745" t="s">
        <v>309</v>
      </c>
      <c r="E745">
        <v>7666336.6663918002</v>
      </c>
      <c r="F745">
        <v>7666336.6663918002</v>
      </c>
    </row>
    <row r="746" spans="1:6" x14ac:dyDescent="0.2">
      <c r="A746">
        <v>373</v>
      </c>
      <c r="B746" t="s">
        <v>310</v>
      </c>
      <c r="C746" s="1">
        <v>45567</v>
      </c>
      <c r="D746" t="s">
        <v>310</v>
      </c>
      <c r="E746">
        <v>304.93471608702498</v>
      </c>
      <c r="F746">
        <v>304.93471608702498</v>
      </c>
    </row>
    <row r="747" spans="1:6" x14ac:dyDescent="0.2">
      <c r="A747">
        <v>373</v>
      </c>
      <c r="B747" t="s">
        <v>311</v>
      </c>
      <c r="C747" s="1">
        <v>45460</v>
      </c>
      <c r="D747" t="s">
        <v>311</v>
      </c>
      <c r="E747">
        <v>15420.2695244939</v>
      </c>
      <c r="F747">
        <v>15420.2695244939</v>
      </c>
    </row>
    <row r="748" spans="1:6" x14ac:dyDescent="0.2">
      <c r="A748">
        <v>373</v>
      </c>
      <c r="B748" t="s">
        <v>874</v>
      </c>
      <c r="C748" s="1">
        <v>45594</v>
      </c>
      <c r="D748" t="s">
        <v>874</v>
      </c>
      <c r="E748">
        <v>117914.27765672099</v>
      </c>
      <c r="F748">
        <v>117914.27765672099</v>
      </c>
    </row>
    <row r="749" spans="1:6" x14ac:dyDescent="0.2">
      <c r="A749">
        <v>374</v>
      </c>
      <c r="B749" t="s">
        <v>312</v>
      </c>
      <c r="C749" s="1">
        <v>45575</v>
      </c>
      <c r="D749" t="s">
        <v>312</v>
      </c>
      <c r="E749">
        <v>4967.2072039039504</v>
      </c>
      <c r="F749">
        <v>4967.2072039039504</v>
      </c>
    </row>
    <row r="750" spans="1:6" x14ac:dyDescent="0.2">
      <c r="A750">
        <v>374</v>
      </c>
      <c r="B750" t="s">
        <v>875</v>
      </c>
      <c r="C750" s="1">
        <v>45373</v>
      </c>
      <c r="D750" t="s">
        <v>875</v>
      </c>
      <c r="E750">
        <v>690.24037648406704</v>
      </c>
      <c r="F750">
        <v>690.24037648406704</v>
      </c>
    </row>
    <row r="751" spans="1:6" x14ac:dyDescent="0.2">
      <c r="A751">
        <v>375</v>
      </c>
      <c r="B751" t="s">
        <v>313</v>
      </c>
      <c r="C751" s="1">
        <v>45392</v>
      </c>
      <c r="D751" t="s">
        <v>313</v>
      </c>
      <c r="E751">
        <v>541.15512452019505</v>
      </c>
      <c r="F751">
        <v>541.15512452019505</v>
      </c>
    </row>
    <row r="752" spans="1:6" x14ac:dyDescent="0.2">
      <c r="A752">
        <v>375</v>
      </c>
      <c r="B752" t="s">
        <v>314</v>
      </c>
      <c r="C752" s="1">
        <v>45535</v>
      </c>
      <c r="D752" t="s">
        <v>314</v>
      </c>
      <c r="E752">
        <v>53167.693686772996</v>
      </c>
      <c r="F752">
        <v>53167.693686772996</v>
      </c>
    </row>
    <row r="753" spans="1:6" x14ac:dyDescent="0.2">
      <c r="A753">
        <v>376</v>
      </c>
      <c r="B753" t="s">
        <v>93</v>
      </c>
      <c r="C753" s="1">
        <v>45538</v>
      </c>
      <c r="D753" t="s">
        <v>93</v>
      </c>
      <c r="E753">
        <v>4788082.8897144003</v>
      </c>
      <c r="F753">
        <v>4788082.8897144003</v>
      </c>
    </row>
    <row r="754" spans="1:6" x14ac:dyDescent="0.2">
      <c r="A754">
        <v>376</v>
      </c>
      <c r="B754" t="s">
        <v>94</v>
      </c>
      <c r="C754" s="1">
        <v>45616</v>
      </c>
      <c r="D754" t="s">
        <v>94</v>
      </c>
      <c r="E754">
        <v>24302.710074146598</v>
      </c>
      <c r="F754">
        <v>24302.710074146598</v>
      </c>
    </row>
    <row r="755" spans="1:6" x14ac:dyDescent="0.2">
      <c r="A755">
        <v>376</v>
      </c>
      <c r="B755" t="s">
        <v>95</v>
      </c>
      <c r="C755" s="1">
        <v>45437</v>
      </c>
      <c r="D755" t="s">
        <v>95</v>
      </c>
      <c r="E755">
        <v>587.37054242566899</v>
      </c>
      <c r="F755">
        <v>587.37054242566899</v>
      </c>
    </row>
    <row r="756" spans="1:6" x14ac:dyDescent="0.2">
      <c r="A756">
        <v>376</v>
      </c>
      <c r="B756" t="s">
        <v>876</v>
      </c>
      <c r="C756" s="1">
        <v>45510</v>
      </c>
      <c r="D756" t="s">
        <v>876</v>
      </c>
      <c r="E756">
        <v>175154.65210779299</v>
      </c>
      <c r="F756">
        <v>175154.65210779299</v>
      </c>
    </row>
    <row r="757" spans="1:6" x14ac:dyDescent="0.2">
      <c r="A757">
        <v>376</v>
      </c>
      <c r="B757" t="s">
        <v>877</v>
      </c>
      <c r="C757" s="1">
        <v>45588</v>
      </c>
      <c r="D757" t="s">
        <v>877</v>
      </c>
      <c r="E757">
        <v>122305.425276255</v>
      </c>
      <c r="F757">
        <v>122305.425276255</v>
      </c>
    </row>
    <row r="758" spans="1:6" x14ac:dyDescent="0.2">
      <c r="A758">
        <v>377</v>
      </c>
      <c r="B758" t="s">
        <v>96</v>
      </c>
      <c r="C758" s="1">
        <v>45337</v>
      </c>
      <c r="D758" t="s">
        <v>96</v>
      </c>
      <c r="E758">
        <v>239769.46709475899</v>
      </c>
      <c r="F758">
        <v>239769.46709475899</v>
      </c>
    </row>
    <row r="759" spans="1:6" x14ac:dyDescent="0.2">
      <c r="A759">
        <v>377</v>
      </c>
      <c r="B759" t="s">
        <v>97</v>
      </c>
      <c r="C759" s="1">
        <v>45454</v>
      </c>
      <c r="D759" t="s">
        <v>97</v>
      </c>
      <c r="E759">
        <v>3343.17591817629</v>
      </c>
      <c r="F759">
        <v>3343.17591817629</v>
      </c>
    </row>
    <row r="760" spans="1:6" x14ac:dyDescent="0.2">
      <c r="A760">
        <v>377</v>
      </c>
      <c r="B760" t="s">
        <v>98</v>
      </c>
      <c r="C760" s="1">
        <v>45304</v>
      </c>
      <c r="D760" t="s">
        <v>98</v>
      </c>
      <c r="E760">
        <v>40486.6858691175</v>
      </c>
      <c r="F760">
        <v>40486.6858691175</v>
      </c>
    </row>
    <row r="761" spans="1:6" x14ac:dyDescent="0.2">
      <c r="A761">
        <v>378</v>
      </c>
      <c r="B761" t="s">
        <v>878</v>
      </c>
      <c r="C761" s="1">
        <v>45575</v>
      </c>
      <c r="D761" t="s">
        <v>878</v>
      </c>
      <c r="E761">
        <v>127.664177801145</v>
      </c>
      <c r="F761">
        <v>127.664177801145</v>
      </c>
    </row>
    <row r="762" spans="1:6" x14ac:dyDescent="0.2">
      <c r="A762">
        <v>379</v>
      </c>
      <c r="B762" t="s">
        <v>879</v>
      </c>
      <c r="C762" s="1">
        <v>45555</v>
      </c>
      <c r="D762" t="s">
        <v>879</v>
      </c>
      <c r="E762">
        <v>11326.0594380739</v>
      </c>
      <c r="F762">
        <v>11326.0594380739</v>
      </c>
    </row>
    <row r="763" spans="1:6" x14ac:dyDescent="0.2">
      <c r="A763">
        <v>380</v>
      </c>
      <c r="B763" t="s">
        <v>880</v>
      </c>
      <c r="C763" s="1">
        <v>45376</v>
      </c>
      <c r="D763" t="s">
        <v>880</v>
      </c>
      <c r="E763">
        <v>1376.0171837932401</v>
      </c>
      <c r="F763">
        <v>1376.0171837932401</v>
      </c>
    </row>
    <row r="764" spans="1:6" x14ac:dyDescent="0.2">
      <c r="A764">
        <v>380</v>
      </c>
      <c r="B764" t="s">
        <v>881</v>
      </c>
      <c r="C764" s="1">
        <v>45408</v>
      </c>
      <c r="D764" t="s">
        <v>881</v>
      </c>
      <c r="E764">
        <v>3140.6630099306999</v>
      </c>
      <c r="F764">
        <v>3140.6630099306999</v>
      </c>
    </row>
    <row r="765" spans="1:6" x14ac:dyDescent="0.2">
      <c r="A765">
        <v>380</v>
      </c>
      <c r="B765" t="s">
        <v>315</v>
      </c>
      <c r="C765" s="1">
        <v>45494</v>
      </c>
      <c r="D765" t="s">
        <v>315</v>
      </c>
      <c r="E765">
        <v>7907.3148705403501</v>
      </c>
      <c r="F765">
        <v>7907.3148705403501</v>
      </c>
    </row>
    <row r="766" spans="1:6" x14ac:dyDescent="0.2">
      <c r="A766">
        <v>380</v>
      </c>
      <c r="B766" t="s">
        <v>99</v>
      </c>
      <c r="C766" s="1">
        <v>45293</v>
      </c>
      <c r="D766" t="s">
        <v>99</v>
      </c>
      <c r="E766">
        <v>15100.5345396824</v>
      </c>
      <c r="F766">
        <v>15100.5345396824</v>
      </c>
    </row>
    <row r="767" spans="1:6" x14ac:dyDescent="0.2">
      <c r="A767">
        <v>380</v>
      </c>
      <c r="B767" t="s">
        <v>100</v>
      </c>
      <c r="C767" s="1">
        <v>45368</v>
      </c>
      <c r="D767" t="s">
        <v>100</v>
      </c>
      <c r="E767">
        <v>803932.72145507904</v>
      </c>
      <c r="F767">
        <v>803932.72145507904</v>
      </c>
    </row>
    <row r="768" spans="1:6" x14ac:dyDescent="0.2">
      <c r="A768">
        <v>381</v>
      </c>
      <c r="B768" t="s">
        <v>101</v>
      </c>
      <c r="C768" s="1">
        <v>45567</v>
      </c>
      <c r="D768" t="s">
        <v>101</v>
      </c>
      <c r="E768">
        <v>29086.897320106498</v>
      </c>
      <c r="F768">
        <v>29086.897320106498</v>
      </c>
    </row>
    <row r="769" spans="1:6" x14ac:dyDescent="0.2">
      <c r="A769">
        <v>381</v>
      </c>
      <c r="B769" t="s">
        <v>102</v>
      </c>
      <c r="C769" s="1">
        <v>45487</v>
      </c>
      <c r="D769" t="s">
        <v>102</v>
      </c>
      <c r="E769">
        <v>7775.5521497723103</v>
      </c>
      <c r="F769">
        <v>7775.5521497723103</v>
      </c>
    </row>
    <row r="770" spans="1:6" x14ac:dyDescent="0.2">
      <c r="A770">
        <v>382</v>
      </c>
      <c r="B770" t="s">
        <v>103</v>
      </c>
      <c r="C770" s="1">
        <v>45458</v>
      </c>
      <c r="D770" t="s">
        <v>103</v>
      </c>
      <c r="E770">
        <v>28083.134862893901</v>
      </c>
      <c r="F770">
        <v>28083.134862893901</v>
      </c>
    </row>
    <row r="771" spans="1:6" x14ac:dyDescent="0.2">
      <c r="A771">
        <v>382</v>
      </c>
      <c r="B771" t="s">
        <v>104</v>
      </c>
      <c r="C771" s="1">
        <v>45413</v>
      </c>
      <c r="D771" t="s">
        <v>104</v>
      </c>
      <c r="E771">
        <v>157498.90118009501</v>
      </c>
      <c r="F771">
        <v>157498.90118009501</v>
      </c>
    </row>
    <row r="772" spans="1:6" x14ac:dyDescent="0.2">
      <c r="A772">
        <v>382</v>
      </c>
      <c r="B772" t="s">
        <v>882</v>
      </c>
      <c r="C772" s="1">
        <v>45586</v>
      </c>
      <c r="D772" t="s">
        <v>882</v>
      </c>
      <c r="E772">
        <v>4667.7156105551003</v>
      </c>
      <c r="F772">
        <v>4667.7156105551003</v>
      </c>
    </row>
    <row r="773" spans="1:6" x14ac:dyDescent="0.2">
      <c r="A773">
        <v>383</v>
      </c>
      <c r="B773" t="s">
        <v>316</v>
      </c>
      <c r="C773" s="1">
        <v>45354</v>
      </c>
      <c r="D773" t="s">
        <v>316</v>
      </c>
      <c r="E773">
        <v>72246.047791372999</v>
      </c>
      <c r="F773">
        <v>72246.047791372999</v>
      </c>
    </row>
    <row r="774" spans="1:6" x14ac:dyDescent="0.2">
      <c r="A774">
        <v>384</v>
      </c>
      <c r="B774" t="s">
        <v>883</v>
      </c>
      <c r="C774" s="1">
        <v>45478</v>
      </c>
      <c r="D774" t="s">
        <v>883</v>
      </c>
      <c r="E774">
        <v>18722.521768576698</v>
      </c>
      <c r="F774">
        <v>18722.521768576698</v>
      </c>
    </row>
    <row r="775" spans="1:6" x14ac:dyDescent="0.2">
      <c r="A775">
        <v>384</v>
      </c>
      <c r="B775" t="s">
        <v>884</v>
      </c>
      <c r="C775" s="1">
        <v>45472</v>
      </c>
      <c r="D775" t="s">
        <v>884</v>
      </c>
      <c r="E775">
        <v>6447.7595016422101</v>
      </c>
      <c r="F775">
        <v>6447.7595016422101</v>
      </c>
    </row>
    <row r="776" spans="1:6" x14ac:dyDescent="0.2">
      <c r="A776">
        <v>384</v>
      </c>
      <c r="B776" t="s">
        <v>885</v>
      </c>
      <c r="C776" s="1">
        <v>45632</v>
      </c>
      <c r="D776" t="s">
        <v>885</v>
      </c>
      <c r="E776">
        <v>531782.25882821297</v>
      </c>
      <c r="F776">
        <v>531782.25882821297</v>
      </c>
    </row>
    <row r="777" spans="1:6" x14ac:dyDescent="0.2">
      <c r="A777">
        <v>385</v>
      </c>
      <c r="B777" t="s">
        <v>317</v>
      </c>
      <c r="C777" s="1">
        <v>45636</v>
      </c>
      <c r="D777" t="s">
        <v>317</v>
      </c>
      <c r="E777">
        <v>53699.269461296397</v>
      </c>
      <c r="F777">
        <v>53699.269461296397</v>
      </c>
    </row>
    <row r="778" spans="1:6" x14ac:dyDescent="0.2">
      <c r="A778">
        <v>385</v>
      </c>
      <c r="B778" t="s">
        <v>318</v>
      </c>
      <c r="C778" s="1">
        <v>45431</v>
      </c>
      <c r="D778" t="s">
        <v>318</v>
      </c>
      <c r="E778">
        <v>531.07920582448003</v>
      </c>
      <c r="F778">
        <v>531.07920582448003</v>
      </c>
    </row>
    <row r="779" spans="1:6" x14ac:dyDescent="0.2">
      <c r="A779">
        <v>386</v>
      </c>
      <c r="B779" t="s">
        <v>886</v>
      </c>
      <c r="C779" s="1">
        <v>45413</v>
      </c>
      <c r="D779" t="s">
        <v>886</v>
      </c>
      <c r="E779">
        <v>525.78182755415696</v>
      </c>
      <c r="F779">
        <v>525.78182755415696</v>
      </c>
    </row>
    <row r="780" spans="1:6" x14ac:dyDescent="0.2">
      <c r="A780">
        <v>386</v>
      </c>
      <c r="B780" t="s">
        <v>887</v>
      </c>
      <c r="C780" s="1">
        <v>45542</v>
      </c>
      <c r="D780" t="s">
        <v>887</v>
      </c>
      <c r="E780">
        <v>4334411.9563936898</v>
      </c>
      <c r="F780">
        <v>4334411.9563936898</v>
      </c>
    </row>
    <row r="781" spans="1:6" x14ac:dyDescent="0.2">
      <c r="A781">
        <v>386</v>
      </c>
      <c r="B781" t="s">
        <v>888</v>
      </c>
      <c r="C781" s="1">
        <v>45506</v>
      </c>
      <c r="D781" t="s">
        <v>888</v>
      </c>
      <c r="E781">
        <v>43580.333451710103</v>
      </c>
      <c r="F781">
        <v>43580.333451710103</v>
      </c>
    </row>
    <row r="782" spans="1:6" x14ac:dyDescent="0.2">
      <c r="A782">
        <v>386</v>
      </c>
      <c r="B782" t="s">
        <v>889</v>
      </c>
      <c r="C782" s="1">
        <v>45311</v>
      </c>
      <c r="D782" t="s">
        <v>889</v>
      </c>
      <c r="E782">
        <v>9833.8876803053899</v>
      </c>
      <c r="F782">
        <v>9833.8876803053899</v>
      </c>
    </row>
    <row r="783" spans="1:6" x14ac:dyDescent="0.2">
      <c r="A783">
        <v>387</v>
      </c>
      <c r="B783" t="s">
        <v>890</v>
      </c>
      <c r="C783" s="1">
        <v>45486</v>
      </c>
      <c r="D783" t="s">
        <v>890</v>
      </c>
      <c r="E783">
        <v>32259.144742146502</v>
      </c>
      <c r="F783">
        <v>32259.144742146502</v>
      </c>
    </row>
    <row r="784" spans="1:6" x14ac:dyDescent="0.2">
      <c r="A784">
        <v>388</v>
      </c>
      <c r="B784" t="s">
        <v>891</v>
      </c>
      <c r="C784" s="1">
        <v>45622</v>
      </c>
      <c r="D784" t="s">
        <v>891</v>
      </c>
      <c r="E784">
        <v>346.11819523700001</v>
      </c>
      <c r="F784">
        <v>346.11819523700001</v>
      </c>
    </row>
    <row r="785" spans="1:6" x14ac:dyDescent="0.2">
      <c r="A785">
        <v>390</v>
      </c>
      <c r="B785" t="s">
        <v>892</v>
      </c>
      <c r="C785" s="1">
        <v>45615</v>
      </c>
      <c r="D785" t="s">
        <v>892</v>
      </c>
      <c r="E785">
        <v>13542.2629357643</v>
      </c>
      <c r="F785">
        <v>13542.2629357643</v>
      </c>
    </row>
    <row r="786" spans="1:6" x14ac:dyDescent="0.2">
      <c r="A786">
        <v>391</v>
      </c>
      <c r="B786" t="s">
        <v>893</v>
      </c>
      <c r="C786" s="1">
        <v>45641</v>
      </c>
      <c r="D786" t="s">
        <v>893</v>
      </c>
      <c r="E786">
        <v>159602.23160166101</v>
      </c>
      <c r="F786">
        <v>159602.23160166101</v>
      </c>
    </row>
    <row r="787" spans="1:6" x14ac:dyDescent="0.2">
      <c r="A787">
        <v>391</v>
      </c>
      <c r="B787" t="s">
        <v>894</v>
      </c>
      <c r="C787" s="1">
        <v>45314</v>
      </c>
      <c r="D787" t="s">
        <v>894</v>
      </c>
      <c r="E787">
        <v>9095.8250109765995</v>
      </c>
      <c r="F787">
        <v>9095.8250109765995</v>
      </c>
    </row>
    <row r="788" spans="1:6" x14ac:dyDescent="0.2">
      <c r="A788">
        <v>391</v>
      </c>
      <c r="B788" t="s">
        <v>105</v>
      </c>
      <c r="C788" s="1">
        <v>45648</v>
      </c>
      <c r="D788" t="s">
        <v>105</v>
      </c>
      <c r="E788">
        <v>40475.289349173101</v>
      </c>
      <c r="F788">
        <v>40475.289349173101</v>
      </c>
    </row>
    <row r="789" spans="1:6" x14ac:dyDescent="0.2">
      <c r="A789">
        <v>391</v>
      </c>
      <c r="B789" t="s">
        <v>106</v>
      </c>
      <c r="C789" s="1">
        <v>45587</v>
      </c>
      <c r="D789" t="s">
        <v>106</v>
      </c>
      <c r="E789">
        <v>1684.3245575040701</v>
      </c>
      <c r="F789">
        <v>1684.3245575040701</v>
      </c>
    </row>
    <row r="790" spans="1:6" x14ac:dyDescent="0.2">
      <c r="A790">
        <v>391</v>
      </c>
      <c r="B790" t="s">
        <v>107</v>
      </c>
      <c r="C790" s="1">
        <v>45564</v>
      </c>
      <c r="D790" t="s">
        <v>107</v>
      </c>
      <c r="E790">
        <v>256.296760849603</v>
      </c>
      <c r="F790">
        <v>256.296760849603</v>
      </c>
    </row>
    <row r="791" spans="1:6" x14ac:dyDescent="0.2">
      <c r="A791">
        <v>392</v>
      </c>
      <c r="B791" t="s">
        <v>895</v>
      </c>
      <c r="C791" s="1">
        <v>45598</v>
      </c>
      <c r="D791" t="s">
        <v>895</v>
      </c>
      <c r="E791">
        <v>30566.307520423099</v>
      </c>
      <c r="F791">
        <v>30566.307520423099</v>
      </c>
    </row>
    <row r="792" spans="1:6" x14ac:dyDescent="0.2">
      <c r="A792">
        <v>393</v>
      </c>
      <c r="B792" t="s">
        <v>108</v>
      </c>
      <c r="C792" s="1">
        <v>45409</v>
      </c>
      <c r="D792" t="s">
        <v>108</v>
      </c>
      <c r="E792">
        <v>997.74735817196199</v>
      </c>
      <c r="F792">
        <v>997.74735817196199</v>
      </c>
    </row>
    <row r="793" spans="1:6" x14ac:dyDescent="0.2">
      <c r="A793">
        <v>393</v>
      </c>
      <c r="B793" t="s">
        <v>319</v>
      </c>
      <c r="C793" s="1">
        <v>45387</v>
      </c>
      <c r="D793" t="s">
        <v>319</v>
      </c>
      <c r="E793">
        <v>855.57577779540202</v>
      </c>
      <c r="F793">
        <v>855.57577779540202</v>
      </c>
    </row>
    <row r="794" spans="1:6" x14ac:dyDescent="0.2">
      <c r="A794">
        <v>393</v>
      </c>
      <c r="B794" t="s">
        <v>896</v>
      </c>
      <c r="C794" s="1">
        <v>45601</v>
      </c>
      <c r="D794" t="s">
        <v>896</v>
      </c>
      <c r="E794">
        <v>1262.88598091009</v>
      </c>
      <c r="F794">
        <v>1262.88598091009</v>
      </c>
    </row>
    <row r="795" spans="1:6" x14ac:dyDescent="0.2">
      <c r="A795">
        <v>394</v>
      </c>
      <c r="B795" t="s">
        <v>320</v>
      </c>
      <c r="C795" s="1">
        <v>45310</v>
      </c>
      <c r="D795" t="s">
        <v>320</v>
      </c>
      <c r="E795">
        <v>156049.016115746</v>
      </c>
      <c r="F795">
        <v>156049.016115746</v>
      </c>
    </row>
    <row r="796" spans="1:6" x14ac:dyDescent="0.2">
      <c r="A796">
        <v>394</v>
      </c>
      <c r="B796" t="s">
        <v>321</v>
      </c>
      <c r="C796" s="1">
        <v>45608</v>
      </c>
      <c r="D796" t="s">
        <v>321</v>
      </c>
      <c r="E796">
        <v>991.19253954013197</v>
      </c>
      <c r="F796">
        <v>991.19253954013197</v>
      </c>
    </row>
    <row r="797" spans="1:6" x14ac:dyDescent="0.2">
      <c r="A797">
        <v>394</v>
      </c>
      <c r="B797" t="s">
        <v>322</v>
      </c>
      <c r="C797" s="1">
        <v>45423</v>
      </c>
      <c r="D797" t="s">
        <v>322</v>
      </c>
      <c r="E797">
        <v>306.54095027452399</v>
      </c>
      <c r="F797">
        <v>306.54095027452399</v>
      </c>
    </row>
    <row r="798" spans="1:6" x14ac:dyDescent="0.2">
      <c r="A798">
        <v>396</v>
      </c>
      <c r="B798" t="s">
        <v>323</v>
      </c>
      <c r="C798" s="1">
        <v>45407</v>
      </c>
      <c r="D798" t="s">
        <v>323</v>
      </c>
      <c r="E798">
        <v>3642.52793230007</v>
      </c>
      <c r="F798">
        <v>3642.52793230007</v>
      </c>
    </row>
    <row r="799" spans="1:6" x14ac:dyDescent="0.2">
      <c r="A799">
        <v>397</v>
      </c>
      <c r="B799" t="s">
        <v>897</v>
      </c>
      <c r="C799" s="1">
        <v>45508</v>
      </c>
      <c r="D799" t="s">
        <v>897</v>
      </c>
      <c r="E799">
        <v>112.330563177535</v>
      </c>
      <c r="F799">
        <v>112.330563177535</v>
      </c>
    </row>
    <row r="800" spans="1:6" x14ac:dyDescent="0.2">
      <c r="A800">
        <v>400</v>
      </c>
      <c r="B800" t="s">
        <v>898</v>
      </c>
      <c r="C800" s="1">
        <v>45315</v>
      </c>
      <c r="D800" t="s">
        <v>898</v>
      </c>
      <c r="E800">
        <v>751.57052296707502</v>
      </c>
      <c r="F800">
        <v>751.57052296707502</v>
      </c>
    </row>
    <row r="801" spans="1:6" x14ac:dyDescent="0.2">
      <c r="A801">
        <v>400</v>
      </c>
      <c r="B801" t="s">
        <v>899</v>
      </c>
      <c r="C801" s="1">
        <v>45377</v>
      </c>
      <c r="D801" t="s">
        <v>899</v>
      </c>
      <c r="E801">
        <v>18900.254066633501</v>
      </c>
      <c r="F801">
        <v>18900.254066633501</v>
      </c>
    </row>
    <row r="802" spans="1:6" x14ac:dyDescent="0.2">
      <c r="A802">
        <v>400</v>
      </c>
      <c r="B802" t="s">
        <v>900</v>
      </c>
      <c r="C802" s="1">
        <v>45516</v>
      </c>
      <c r="D802" t="s">
        <v>900</v>
      </c>
      <c r="E802">
        <v>878.24749021416096</v>
      </c>
      <c r="F802">
        <v>878.24749021416096</v>
      </c>
    </row>
    <row r="803" spans="1:6" x14ac:dyDescent="0.2">
      <c r="A803">
        <v>400</v>
      </c>
      <c r="B803" t="s">
        <v>901</v>
      </c>
      <c r="C803" s="1">
        <v>45537</v>
      </c>
      <c r="D803" t="s">
        <v>901</v>
      </c>
      <c r="E803">
        <v>1685.7653476995899</v>
      </c>
      <c r="F803">
        <v>1685.7653476995899</v>
      </c>
    </row>
    <row r="804" spans="1:6" x14ac:dyDescent="0.2">
      <c r="A804">
        <v>400</v>
      </c>
      <c r="B804" t="s">
        <v>902</v>
      </c>
      <c r="C804" s="1">
        <v>45645</v>
      </c>
      <c r="D804" t="s">
        <v>902</v>
      </c>
      <c r="E804">
        <v>1636544.8049683501</v>
      </c>
      <c r="F804">
        <v>1636544.8049683501</v>
      </c>
    </row>
    <row r="805" spans="1:6" x14ac:dyDescent="0.2">
      <c r="A805">
        <v>400</v>
      </c>
      <c r="B805" t="s">
        <v>903</v>
      </c>
      <c r="C805" s="1">
        <v>45478</v>
      </c>
      <c r="D805" t="s">
        <v>903</v>
      </c>
      <c r="E805">
        <v>60165.107691131001</v>
      </c>
      <c r="F805">
        <v>60165.107691131001</v>
      </c>
    </row>
    <row r="806" spans="1:6" x14ac:dyDescent="0.2">
      <c r="A806">
        <v>401</v>
      </c>
      <c r="B806" t="s">
        <v>324</v>
      </c>
      <c r="C806" s="1">
        <v>45575</v>
      </c>
      <c r="D806" t="s">
        <v>324</v>
      </c>
      <c r="E806">
        <v>1848.2136095783901</v>
      </c>
      <c r="F806">
        <v>1848.2136095783901</v>
      </c>
    </row>
    <row r="807" spans="1:6" x14ac:dyDescent="0.2">
      <c r="A807">
        <v>401</v>
      </c>
      <c r="B807" t="s">
        <v>325</v>
      </c>
      <c r="C807" s="1">
        <v>45519</v>
      </c>
      <c r="D807" t="s">
        <v>325</v>
      </c>
      <c r="E807">
        <v>66913.651733203194</v>
      </c>
      <c r="F807">
        <v>66913.651733203194</v>
      </c>
    </row>
    <row r="808" spans="1:6" x14ac:dyDescent="0.2">
      <c r="A808">
        <v>401</v>
      </c>
      <c r="B808" t="s">
        <v>326</v>
      </c>
      <c r="C808" s="1">
        <v>45509</v>
      </c>
      <c r="D808" t="s">
        <v>326</v>
      </c>
      <c r="E808">
        <v>35198.696662187896</v>
      </c>
      <c r="F808">
        <v>35198.696662187896</v>
      </c>
    </row>
    <row r="809" spans="1:6" x14ac:dyDescent="0.2">
      <c r="A809">
        <v>401</v>
      </c>
      <c r="B809" t="s">
        <v>327</v>
      </c>
      <c r="C809" s="1">
        <v>45427</v>
      </c>
      <c r="D809" t="s">
        <v>327</v>
      </c>
      <c r="E809">
        <v>426324.40355977998</v>
      </c>
      <c r="F809">
        <v>426324.40355977998</v>
      </c>
    </row>
    <row r="810" spans="1:6" x14ac:dyDescent="0.2">
      <c r="A810">
        <v>401</v>
      </c>
      <c r="B810" t="s">
        <v>904</v>
      </c>
      <c r="C810" s="1">
        <v>45633</v>
      </c>
      <c r="D810" t="s">
        <v>904</v>
      </c>
      <c r="E810">
        <v>71548.638126241494</v>
      </c>
      <c r="F810">
        <v>71548.638126241494</v>
      </c>
    </row>
    <row r="811" spans="1:6" x14ac:dyDescent="0.2">
      <c r="A811">
        <v>401</v>
      </c>
      <c r="B811" t="s">
        <v>905</v>
      </c>
      <c r="C811" s="1">
        <v>45593</v>
      </c>
      <c r="D811" t="s">
        <v>905</v>
      </c>
      <c r="E811">
        <v>9605.3006346938291</v>
      </c>
      <c r="F811">
        <v>9605.3006346938291</v>
      </c>
    </row>
    <row r="812" spans="1:6" x14ac:dyDescent="0.2">
      <c r="A812">
        <v>402</v>
      </c>
      <c r="B812" t="s">
        <v>906</v>
      </c>
      <c r="C812" s="1">
        <v>45363</v>
      </c>
      <c r="D812" t="s">
        <v>906</v>
      </c>
      <c r="E812">
        <v>4550.6210233757702</v>
      </c>
      <c r="F812">
        <v>4550.6210233757702</v>
      </c>
    </row>
    <row r="813" spans="1:6" x14ac:dyDescent="0.2">
      <c r="A813">
        <v>403</v>
      </c>
      <c r="B813" t="s">
        <v>328</v>
      </c>
      <c r="C813" s="1">
        <v>45514</v>
      </c>
      <c r="D813" t="s">
        <v>328</v>
      </c>
      <c r="E813">
        <v>47.887810828683897</v>
      </c>
      <c r="F813">
        <v>47.887810828683897</v>
      </c>
    </row>
    <row r="814" spans="1:6" x14ac:dyDescent="0.2">
      <c r="A814">
        <v>403</v>
      </c>
      <c r="B814" t="s">
        <v>329</v>
      </c>
      <c r="C814" s="1">
        <v>45529</v>
      </c>
      <c r="D814" t="s">
        <v>329</v>
      </c>
      <c r="E814">
        <v>4322.7831227530396</v>
      </c>
      <c r="F814">
        <v>4322.7831227530396</v>
      </c>
    </row>
    <row r="815" spans="1:6" x14ac:dyDescent="0.2">
      <c r="A815">
        <v>403</v>
      </c>
      <c r="B815" t="s">
        <v>907</v>
      </c>
      <c r="C815" s="1">
        <v>45567</v>
      </c>
      <c r="D815" t="s">
        <v>907</v>
      </c>
      <c r="E815">
        <v>13745710.9714993</v>
      </c>
      <c r="F815">
        <v>10000000</v>
      </c>
    </row>
    <row r="816" spans="1:6" x14ac:dyDescent="0.2">
      <c r="A816">
        <v>403</v>
      </c>
      <c r="B816" t="s">
        <v>908</v>
      </c>
      <c r="C816" s="1">
        <v>45298</v>
      </c>
      <c r="D816" t="s">
        <v>908</v>
      </c>
      <c r="E816">
        <v>157803.619499194</v>
      </c>
      <c r="F816">
        <v>157803.619499194</v>
      </c>
    </row>
    <row r="817" spans="1:6" x14ac:dyDescent="0.2">
      <c r="A817">
        <v>404</v>
      </c>
      <c r="B817" t="s">
        <v>909</v>
      </c>
      <c r="C817" s="1">
        <v>45302</v>
      </c>
      <c r="D817" t="s">
        <v>909</v>
      </c>
      <c r="E817">
        <v>33731.159226911797</v>
      </c>
      <c r="F817">
        <v>33731.159226911797</v>
      </c>
    </row>
    <row r="818" spans="1:6" x14ac:dyDescent="0.2">
      <c r="A818">
        <v>404</v>
      </c>
      <c r="B818" t="s">
        <v>910</v>
      </c>
      <c r="C818" s="1">
        <v>45340</v>
      </c>
      <c r="D818" t="s">
        <v>910</v>
      </c>
      <c r="E818">
        <v>1411.5076649110399</v>
      </c>
      <c r="F818">
        <v>1411.5076649110399</v>
      </c>
    </row>
    <row r="819" spans="1:6" x14ac:dyDescent="0.2">
      <c r="A819">
        <v>405</v>
      </c>
      <c r="B819" t="s">
        <v>911</v>
      </c>
      <c r="C819" s="1">
        <v>45651</v>
      </c>
      <c r="D819" t="s">
        <v>911</v>
      </c>
      <c r="E819">
        <v>66.518493774719801</v>
      </c>
      <c r="F819">
        <v>66.518493774719801</v>
      </c>
    </row>
    <row r="820" spans="1:6" x14ac:dyDescent="0.2">
      <c r="A820">
        <v>406</v>
      </c>
      <c r="B820" t="s">
        <v>912</v>
      </c>
      <c r="C820" s="1">
        <v>45321</v>
      </c>
      <c r="D820" t="s">
        <v>912</v>
      </c>
      <c r="E820">
        <v>10286.099264627701</v>
      </c>
      <c r="F820">
        <v>10286.099264627701</v>
      </c>
    </row>
    <row r="821" spans="1:6" x14ac:dyDescent="0.2">
      <c r="A821">
        <v>406</v>
      </c>
      <c r="B821" t="s">
        <v>913</v>
      </c>
      <c r="C821" s="1">
        <v>45425</v>
      </c>
      <c r="D821" t="s">
        <v>913</v>
      </c>
      <c r="E821">
        <v>8757.4715899263902</v>
      </c>
      <c r="F821">
        <v>8757.4715899263902</v>
      </c>
    </row>
    <row r="822" spans="1:6" x14ac:dyDescent="0.2">
      <c r="A822">
        <v>407</v>
      </c>
      <c r="B822" t="s">
        <v>914</v>
      </c>
      <c r="C822" s="1">
        <v>45318</v>
      </c>
      <c r="D822" t="s">
        <v>914</v>
      </c>
      <c r="E822">
        <v>1567.3117166680399</v>
      </c>
      <c r="F822">
        <v>1567.3117166680399</v>
      </c>
    </row>
    <row r="823" spans="1:6" x14ac:dyDescent="0.2">
      <c r="A823">
        <v>407</v>
      </c>
      <c r="B823" t="s">
        <v>330</v>
      </c>
      <c r="C823" s="1">
        <v>45332</v>
      </c>
      <c r="D823" t="s">
        <v>330</v>
      </c>
      <c r="E823">
        <v>156967970.030655</v>
      </c>
      <c r="F823">
        <v>10000000</v>
      </c>
    </row>
    <row r="824" spans="1:6" x14ac:dyDescent="0.2">
      <c r="A824">
        <v>407</v>
      </c>
      <c r="B824" t="s">
        <v>331</v>
      </c>
      <c r="C824" s="1">
        <v>45607</v>
      </c>
      <c r="D824" t="s">
        <v>331</v>
      </c>
      <c r="E824">
        <v>73869.595431996306</v>
      </c>
      <c r="F824">
        <v>73869.595431996306</v>
      </c>
    </row>
    <row r="825" spans="1:6" x14ac:dyDescent="0.2">
      <c r="A825">
        <v>409</v>
      </c>
      <c r="B825" t="s">
        <v>915</v>
      </c>
      <c r="C825" s="1">
        <v>45375</v>
      </c>
      <c r="D825" t="s">
        <v>915</v>
      </c>
      <c r="E825">
        <v>7230.9602343909401</v>
      </c>
      <c r="F825">
        <v>7230.9602343909401</v>
      </c>
    </row>
    <row r="826" spans="1:6" x14ac:dyDescent="0.2">
      <c r="A826">
        <v>410</v>
      </c>
      <c r="B826" t="s">
        <v>916</v>
      </c>
      <c r="C826" s="1">
        <v>45453</v>
      </c>
      <c r="D826" t="s">
        <v>916</v>
      </c>
      <c r="E826">
        <v>3898.1182417748901</v>
      </c>
      <c r="F826">
        <v>3898.1182417748901</v>
      </c>
    </row>
    <row r="827" spans="1:6" x14ac:dyDescent="0.2">
      <c r="A827">
        <v>410</v>
      </c>
      <c r="B827" t="s">
        <v>332</v>
      </c>
      <c r="C827" s="1">
        <v>45309</v>
      </c>
      <c r="D827" t="s">
        <v>332</v>
      </c>
      <c r="E827">
        <v>293.56911132346801</v>
      </c>
      <c r="F827">
        <v>293.56911132346801</v>
      </c>
    </row>
    <row r="828" spans="1:6" x14ac:dyDescent="0.2">
      <c r="A828">
        <v>410</v>
      </c>
      <c r="B828" t="s">
        <v>333</v>
      </c>
      <c r="C828" s="1">
        <v>45377</v>
      </c>
      <c r="D828" t="s">
        <v>333</v>
      </c>
      <c r="E828">
        <v>377834.71118238498</v>
      </c>
      <c r="F828">
        <v>377834.71118238498</v>
      </c>
    </row>
    <row r="829" spans="1:6" x14ac:dyDescent="0.2">
      <c r="A829">
        <v>411</v>
      </c>
      <c r="B829" t="s">
        <v>917</v>
      </c>
      <c r="C829" s="1">
        <v>45577</v>
      </c>
      <c r="D829" t="s">
        <v>917</v>
      </c>
      <c r="E829">
        <v>28325.5300459973</v>
      </c>
      <c r="F829">
        <v>28325.5300459973</v>
      </c>
    </row>
    <row r="830" spans="1:6" x14ac:dyDescent="0.2">
      <c r="A830">
        <v>412</v>
      </c>
      <c r="B830" t="s">
        <v>109</v>
      </c>
      <c r="C830" s="1">
        <v>45321</v>
      </c>
      <c r="D830" t="s">
        <v>109</v>
      </c>
      <c r="E830">
        <v>228682.10996997799</v>
      </c>
      <c r="F830">
        <v>228682.10996997799</v>
      </c>
    </row>
    <row r="831" spans="1:6" x14ac:dyDescent="0.2">
      <c r="A831">
        <v>412</v>
      </c>
      <c r="B831" t="s">
        <v>110</v>
      </c>
      <c r="C831" s="1">
        <v>45444</v>
      </c>
      <c r="D831" t="s">
        <v>110</v>
      </c>
      <c r="E831">
        <v>4947.5151279073398</v>
      </c>
      <c r="F831">
        <v>4947.5151279073398</v>
      </c>
    </row>
    <row r="832" spans="1:6" x14ac:dyDescent="0.2">
      <c r="A832">
        <v>412</v>
      </c>
      <c r="B832" t="s">
        <v>111</v>
      </c>
      <c r="C832" s="1">
        <v>45335</v>
      </c>
      <c r="D832" t="s">
        <v>111</v>
      </c>
      <c r="E832">
        <v>2512.1085870428101</v>
      </c>
      <c r="F832">
        <v>2512.1085870428101</v>
      </c>
    </row>
    <row r="833" spans="1:6" x14ac:dyDescent="0.2">
      <c r="A833">
        <v>413</v>
      </c>
      <c r="B833" t="s">
        <v>918</v>
      </c>
      <c r="C833" s="1">
        <v>45335</v>
      </c>
      <c r="D833" t="s">
        <v>918</v>
      </c>
      <c r="E833">
        <v>121598.84545512901</v>
      </c>
      <c r="F833">
        <v>121598.84545512901</v>
      </c>
    </row>
    <row r="834" spans="1:6" x14ac:dyDescent="0.2">
      <c r="A834">
        <v>414</v>
      </c>
      <c r="B834" t="s">
        <v>919</v>
      </c>
      <c r="C834" s="1">
        <v>45598</v>
      </c>
      <c r="D834" t="s">
        <v>919</v>
      </c>
      <c r="E834">
        <v>29248.964865758098</v>
      </c>
      <c r="F834">
        <v>29248.964865758098</v>
      </c>
    </row>
    <row r="835" spans="1:6" x14ac:dyDescent="0.2">
      <c r="A835">
        <v>414</v>
      </c>
      <c r="B835" t="s">
        <v>920</v>
      </c>
      <c r="C835" s="1">
        <v>45403</v>
      </c>
      <c r="D835" t="s">
        <v>920</v>
      </c>
      <c r="E835">
        <v>203.296660586852</v>
      </c>
      <c r="F835">
        <v>203.296660586852</v>
      </c>
    </row>
    <row r="836" spans="1:6" x14ac:dyDescent="0.2">
      <c r="A836">
        <v>415</v>
      </c>
      <c r="B836" t="s">
        <v>334</v>
      </c>
      <c r="C836" s="1">
        <v>45467</v>
      </c>
      <c r="D836" t="s">
        <v>334</v>
      </c>
      <c r="E836">
        <v>4510.4608035417896</v>
      </c>
      <c r="F836">
        <v>4510.4608035417896</v>
      </c>
    </row>
    <row r="837" spans="1:6" x14ac:dyDescent="0.2">
      <c r="A837">
        <v>416</v>
      </c>
      <c r="B837" t="s">
        <v>921</v>
      </c>
      <c r="C837" s="1">
        <v>45578</v>
      </c>
      <c r="D837" t="s">
        <v>921</v>
      </c>
      <c r="E837">
        <v>1461.60195261885</v>
      </c>
      <c r="F837">
        <v>1461.60195261885</v>
      </c>
    </row>
    <row r="838" spans="1:6" x14ac:dyDescent="0.2">
      <c r="A838">
        <v>417</v>
      </c>
      <c r="B838" t="s">
        <v>922</v>
      </c>
      <c r="C838" s="1">
        <v>45377</v>
      </c>
      <c r="D838" t="s">
        <v>922</v>
      </c>
      <c r="E838">
        <v>238.15112423275201</v>
      </c>
      <c r="F838">
        <v>238.15112423275201</v>
      </c>
    </row>
    <row r="839" spans="1:6" x14ac:dyDescent="0.2">
      <c r="A839">
        <v>417</v>
      </c>
      <c r="B839" t="s">
        <v>923</v>
      </c>
      <c r="C839" s="1">
        <v>45335</v>
      </c>
      <c r="D839" t="s">
        <v>923</v>
      </c>
      <c r="E839">
        <v>141162.865025612</v>
      </c>
      <c r="F839">
        <v>141162.865025612</v>
      </c>
    </row>
    <row r="840" spans="1:6" x14ac:dyDescent="0.2">
      <c r="A840">
        <v>417</v>
      </c>
      <c r="B840" t="s">
        <v>924</v>
      </c>
      <c r="C840" s="1">
        <v>45463</v>
      </c>
      <c r="D840" t="s">
        <v>924</v>
      </c>
      <c r="E840">
        <v>3389.0209098477599</v>
      </c>
      <c r="F840">
        <v>3389.0209098477599</v>
      </c>
    </row>
    <row r="841" spans="1:6" x14ac:dyDescent="0.2">
      <c r="A841">
        <v>417</v>
      </c>
      <c r="B841" t="s">
        <v>925</v>
      </c>
      <c r="C841" s="1">
        <v>45349</v>
      </c>
      <c r="D841" t="s">
        <v>925</v>
      </c>
      <c r="E841">
        <v>12.3317293559221</v>
      </c>
      <c r="F841">
        <v>12.3317293559221</v>
      </c>
    </row>
    <row r="842" spans="1:6" x14ac:dyDescent="0.2">
      <c r="A842">
        <v>417</v>
      </c>
      <c r="B842" t="s">
        <v>926</v>
      </c>
      <c r="C842" s="1">
        <v>45361</v>
      </c>
      <c r="D842" t="s">
        <v>926</v>
      </c>
      <c r="E842">
        <v>4719.4027608278102</v>
      </c>
      <c r="F842">
        <v>4719.4027608278102</v>
      </c>
    </row>
    <row r="843" spans="1:6" x14ac:dyDescent="0.2">
      <c r="A843">
        <v>418</v>
      </c>
      <c r="B843" t="s">
        <v>335</v>
      </c>
      <c r="C843" s="1">
        <v>45398</v>
      </c>
      <c r="D843" t="s">
        <v>335</v>
      </c>
      <c r="E843">
        <v>678.82157921142505</v>
      </c>
      <c r="F843">
        <v>678.82157921142505</v>
      </c>
    </row>
    <row r="844" spans="1:6" x14ac:dyDescent="0.2">
      <c r="A844">
        <v>419</v>
      </c>
      <c r="B844" t="s">
        <v>336</v>
      </c>
      <c r="C844" s="1">
        <v>45498</v>
      </c>
      <c r="D844" t="s">
        <v>336</v>
      </c>
      <c r="E844">
        <v>116334.053464456</v>
      </c>
      <c r="F844">
        <v>116334.053464456</v>
      </c>
    </row>
    <row r="845" spans="1:6" x14ac:dyDescent="0.2">
      <c r="A845">
        <v>419</v>
      </c>
      <c r="B845" t="s">
        <v>112</v>
      </c>
      <c r="C845" s="1">
        <v>45434</v>
      </c>
      <c r="D845" t="s">
        <v>112</v>
      </c>
      <c r="E845">
        <v>24.051071188667699</v>
      </c>
      <c r="F845">
        <v>24.051071188667699</v>
      </c>
    </row>
    <row r="846" spans="1:6" x14ac:dyDescent="0.2">
      <c r="A846">
        <v>421</v>
      </c>
      <c r="B846" t="s">
        <v>927</v>
      </c>
      <c r="C846" s="1">
        <v>45449</v>
      </c>
      <c r="D846" t="s">
        <v>927</v>
      </c>
      <c r="E846">
        <v>718.51841358580202</v>
      </c>
      <c r="F846">
        <v>718.51841358580202</v>
      </c>
    </row>
    <row r="847" spans="1:6" x14ac:dyDescent="0.2">
      <c r="A847">
        <v>421</v>
      </c>
      <c r="B847" t="s">
        <v>928</v>
      </c>
      <c r="C847" s="1">
        <v>45455</v>
      </c>
      <c r="D847" t="s">
        <v>928</v>
      </c>
      <c r="E847">
        <v>10656.806573263701</v>
      </c>
      <c r="F847">
        <v>10656.806573263701</v>
      </c>
    </row>
    <row r="848" spans="1:6" x14ac:dyDescent="0.2">
      <c r="A848">
        <v>422</v>
      </c>
      <c r="B848" t="s">
        <v>929</v>
      </c>
      <c r="C848" s="1">
        <v>45574</v>
      </c>
      <c r="D848" t="s">
        <v>929</v>
      </c>
      <c r="E848">
        <v>9522.10585074353</v>
      </c>
      <c r="F848">
        <v>9522.10585074353</v>
      </c>
    </row>
    <row r="849" spans="1:6" x14ac:dyDescent="0.2">
      <c r="A849">
        <v>422</v>
      </c>
      <c r="B849" t="s">
        <v>930</v>
      </c>
      <c r="C849" s="1">
        <v>45358</v>
      </c>
      <c r="D849" t="s">
        <v>930</v>
      </c>
      <c r="E849">
        <v>205.674190000794</v>
      </c>
      <c r="F849">
        <v>205.674190000794</v>
      </c>
    </row>
    <row r="850" spans="1:6" x14ac:dyDescent="0.2">
      <c r="A850">
        <v>423</v>
      </c>
      <c r="B850" t="s">
        <v>113</v>
      </c>
      <c r="C850" s="1">
        <v>45625</v>
      </c>
      <c r="D850" t="s">
        <v>113</v>
      </c>
      <c r="E850">
        <v>29889.764541466899</v>
      </c>
      <c r="F850">
        <v>29889.764541466899</v>
      </c>
    </row>
    <row r="851" spans="1:6" x14ac:dyDescent="0.2">
      <c r="A851">
        <v>423</v>
      </c>
      <c r="B851" t="s">
        <v>337</v>
      </c>
      <c r="C851" s="1">
        <v>45331</v>
      </c>
      <c r="D851" t="s">
        <v>337</v>
      </c>
      <c r="E851">
        <v>997130.11292931496</v>
      </c>
      <c r="F851">
        <v>997130.11292931496</v>
      </c>
    </row>
    <row r="852" spans="1:6" x14ac:dyDescent="0.2">
      <c r="A852">
        <v>424</v>
      </c>
      <c r="B852" t="s">
        <v>931</v>
      </c>
      <c r="C852" s="1">
        <v>45481</v>
      </c>
      <c r="D852" t="s">
        <v>931</v>
      </c>
      <c r="E852">
        <v>4579.6515623671003</v>
      </c>
      <c r="F852">
        <v>4579.6515623671003</v>
      </c>
    </row>
    <row r="853" spans="1:6" x14ac:dyDescent="0.2">
      <c r="A853">
        <v>425</v>
      </c>
      <c r="B853" t="s">
        <v>932</v>
      </c>
      <c r="C853" s="1">
        <v>45327</v>
      </c>
      <c r="D853" t="s">
        <v>932</v>
      </c>
      <c r="E853">
        <v>1094.41331302194</v>
      </c>
      <c r="F853">
        <v>1094.41331302194</v>
      </c>
    </row>
    <row r="854" spans="1:6" x14ac:dyDescent="0.2">
      <c r="A854">
        <v>425</v>
      </c>
      <c r="B854" t="s">
        <v>933</v>
      </c>
      <c r="C854" s="1">
        <v>45336</v>
      </c>
      <c r="D854" t="s">
        <v>933</v>
      </c>
      <c r="E854">
        <v>129332.270871505</v>
      </c>
      <c r="F854">
        <v>129332.270871505</v>
      </c>
    </row>
    <row r="855" spans="1:6" x14ac:dyDescent="0.2">
      <c r="A855">
        <v>425</v>
      </c>
      <c r="B855" t="s">
        <v>934</v>
      </c>
      <c r="C855" s="1">
        <v>45547</v>
      </c>
      <c r="D855" t="s">
        <v>934</v>
      </c>
      <c r="E855">
        <v>510579.17241712898</v>
      </c>
      <c r="F855">
        <v>510579.17241712898</v>
      </c>
    </row>
    <row r="856" spans="1:6" x14ac:dyDescent="0.2">
      <c r="A856">
        <v>425</v>
      </c>
      <c r="B856" t="s">
        <v>935</v>
      </c>
      <c r="C856" s="1">
        <v>45409</v>
      </c>
      <c r="D856" t="s">
        <v>935</v>
      </c>
      <c r="E856">
        <v>112955.72972139</v>
      </c>
      <c r="F856">
        <v>112955.72972139</v>
      </c>
    </row>
    <row r="857" spans="1:6" x14ac:dyDescent="0.2">
      <c r="A857">
        <v>426</v>
      </c>
      <c r="B857" t="s">
        <v>936</v>
      </c>
      <c r="C857" s="1">
        <v>45482</v>
      </c>
      <c r="D857" t="s">
        <v>936</v>
      </c>
      <c r="E857">
        <v>13658.1241810391</v>
      </c>
      <c r="F857">
        <v>13658.1241810391</v>
      </c>
    </row>
    <row r="858" spans="1:6" x14ac:dyDescent="0.2">
      <c r="A858">
        <v>426</v>
      </c>
      <c r="B858" t="s">
        <v>937</v>
      </c>
      <c r="C858" s="1">
        <v>45307</v>
      </c>
      <c r="D858" t="s">
        <v>937</v>
      </c>
      <c r="E858">
        <v>4290.3630442656604</v>
      </c>
      <c r="F858">
        <v>4290.3630442656604</v>
      </c>
    </row>
    <row r="859" spans="1:6" x14ac:dyDescent="0.2">
      <c r="A859">
        <v>427</v>
      </c>
      <c r="B859" t="s">
        <v>938</v>
      </c>
      <c r="C859" s="1">
        <v>45481</v>
      </c>
      <c r="D859" t="s">
        <v>938</v>
      </c>
      <c r="E859">
        <v>7400.3727431427797</v>
      </c>
      <c r="F859">
        <v>7400.3727431427797</v>
      </c>
    </row>
    <row r="860" spans="1:6" x14ac:dyDescent="0.2">
      <c r="A860">
        <v>428</v>
      </c>
      <c r="B860" t="s">
        <v>338</v>
      </c>
      <c r="C860" s="1">
        <v>45570</v>
      </c>
      <c r="D860" t="s">
        <v>338</v>
      </c>
      <c r="E860">
        <v>716.03895013678505</v>
      </c>
      <c r="F860">
        <v>716.03895013678505</v>
      </c>
    </row>
    <row r="861" spans="1:6" x14ac:dyDescent="0.2">
      <c r="A861">
        <v>429</v>
      </c>
      <c r="B861" t="s">
        <v>939</v>
      </c>
      <c r="C861" s="1">
        <v>45536</v>
      </c>
      <c r="D861" t="s">
        <v>939</v>
      </c>
      <c r="E861">
        <v>698.17871124634905</v>
      </c>
      <c r="F861">
        <v>698.17871124634905</v>
      </c>
    </row>
    <row r="862" spans="1:6" x14ac:dyDescent="0.2">
      <c r="A862">
        <v>430</v>
      </c>
      <c r="B862" t="s">
        <v>940</v>
      </c>
      <c r="C862" s="1">
        <v>45542</v>
      </c>
      <c r="D862" t="s">
        <v>940</v>
      </c>
      <c r="E862">
        <v>144.189364648702</v>
      </c>
      <c r="F862">
        <v>144.189364648702</v>
      </c>
    </row>
    <row r="863" spans="1:6" x14ac:dyDescent="0.2">
      <c r="A863">
        <v>430</v>
      </c>
      <c r="B863" t="s">
        <v>941</v>
      </c>
      <c r="C863" s="1">
        <v>45523</v>
      </c>
      <c r="D863" t="s">
        <v>941</v>
      </c>
      <c r="E863">
        <v>12196.271846044099</v>
      </c>
      <c r="F863">
        <v>12196.271846044099</v>
      </c>
    </row>
    <row r="864" spans="1:6" x14ac:dyDescent="0.2">
      <c r="A864">
        <v>430</v>
      </c>
      <c r="B864" t="s">
        <v>339</v>
      </c>
      <c r="C864" s="1">
        <v>45307</v>
      </c>
      <c r="D864" t="s">
        <v>339</v>
      </c>
      <c r="E864">
        <v>114550.17881221299</v>
      </c>
      <c r="F864">
        <v>114550.17881221299</v>
      </c>
    </row>
    <row r="865" spans="1:6" x14ac:dyDescent="0.2">
      <c r="A865">
        <v>430</v>
      </c>
      <c r="B865" t="s">
        <v>340</v>
      </c>
      <c r="C865" s="1">
        <v>45557</v>
      </c>
      <c r="D865" t="s">
        <v>340</v>
      </c>
      <c r="E865">
        <v>42.355308041921198</v>
      </c>
      <c r="F865">
        <v>42.355308041921198</v>
      </c>
    </row>
    <row r="866" spans="1:6" x14ac:dyDescent="0.2">
      <c r="A866">
        <v>431</v>
      </c>
      <c r="B866" t="s">
        <v>942</v>
      </c>
      <c r="C866" s="1">
        <v>45581</v>
      </c>
      <c r="D866" t="s">
        <v>942</v>
      </c>
      <c r="E866">
        <v>36575.965096630003</v>
      </c>
      <c r="F866">
        <v>36575.965096630003</v>
      </c>
    </row>
    <row r="867" spans="1:6" x14ac:dyDescent="0.2">
      <c r="A867">
        <v>431</v>
      </c>
      <c r="B867" t="s">
        <v>943</v>
      </c>
      <c r="C867" s="1">
        <v>45408</v>
      </c>
      <c r="D867" t="s">
        <v>943</v>
      </c>
      <c r="E867">
        <v>1488.6349878947101</v>
      </c>
      <c r="F867">
        <v>1488.6349878947101</v>
      </c>
    </row>
    <row r="868" spans="1:6" x14ac:dyDescent="0.2">
      <c r="A868">
        <v>431</v>
      </c>
      <c r="B868" t="s">
        <v>114</v>
      </c>
      <c r="C868" s="1">
        <v>45367</v>
      </c>
      <c r="D868" t="s">
        <v>114</v>
      </c>
      <c r="E868">
        <v>4772.0225201389403</v>
      </c>
      <c r="F868">
        <v>4772.0225201389403</v>
      </c>
    </row>
    <row r="869" spans="1:6" x14ac:dyDescent="0.2">
      <c r="A869">
        <v>431</v>
      </c>
      <c r="B869" t="s">
        <v>944</v>
      </c>
      <c r="C869" s="1">
        <v>45624</v>
      </c>
      <c r="D869" t="s">
        <v>944</v>
      </c>
      <c r="E869">
        <v>426859.21502682503</v>
      </c>
      <c r="F869">
        <v>426859.21502682503</v>
      </c>
    </row>
    <row r="870" spans="1:6" x14ac:dyDescent="0.2">
      <c r="A870">
        <v>431</v>
      </c>
      <c r="B870" t="s">
        <v>945</v>
      </c>
      <c r="C870" s="1">
        <v>45319</v>
      </c>
      <c r="D870" t="s">
        <v>945</v>
      </c>
      <c r="E870">
        <v>18355.8614314761</v>
      </c>
      <c r="F870">
        <v>18355.8614314761</v>
      </c>
    </row>
    <row r="871" spans="1:6" x14ac:dyDescent="0.2">
      <c r="A871">
        <v>432</v>
      </c>
      <c r="B871" t="s">
        <v>946</v>
      </c>
      <c r="C871" s="1">
        <v>45298</v>
      </c>
      <c r="D871" t="s">
        <v>946</v>
      </c>
      <c r="E871">
        <v>4862.0735736014703</v>
      </c>
      <c r="F871">
        <v>4862.0735736014703</v>
      </c>
    </row>
    <row r="872" spans="1:6" x14ac:dyDescent="0.2">
      <c r="A872">
        <v>432</v>
      </c>
      <c r="B872" t="s">
        <v>947</v>
      </c>
      <c r="C872" s="1">
        <v>45525</v>
      </c>
      <c r="D872" t="s">
        <v>947</v>
      </c>
      <c r="E872">
        <v>1131.32236571113</v>
      </c>
      <c r="F872">
        <v>1131.32236571113</v>
      </c>
    </row>
    <row r="873" spans="1:6" x14ac:dyDescent="0.2">
      <c r="A873">
        <v>433</v>
      </c>
      <c r="B873" t="s">
        <v>948</v>
      </c>
      <c r="C873" s="1">
        <v>45365</v>
      </c>
      <c r="D873" t="s">
        <v>948</v>
      </c>
      <c r="E873">
        <v>215398.32784611001</v>
      </c>
      <c r="F873">
        <v>215398.32784611001</v>
      </c>
    </row>
    <row r="874" spans="1:6" x14ac:dyDescent="0.2">
      <c r="A874">
        <v>434</v>
      </c>
      <c r="B874" t="s">
        <v>949</v>
      </c>
      <c r="C874" s="1">
        <v>45332</v>
      </c>
      <c r="D874" t="s">
        <v>949</v>
      </c>
      <c r="E874">
        <v>161922.00848034001</v>
      </c>
      <c r="F874">
        <v>161922.00848034001</v>
      </c>
    </row>
    <row r="875" spans="1:6" x14ac:dyDescent="0.2">
      <c r="A875">
        <v>434</v>
      </c>
      <c r="B875" t="s">
        <v>950</v>
      </c>
      <c r="C875" s="1">
        <v>45333</v>
      </c>
      <c r="D875" t="s">
        <v>950</v>
      </c>
      <c r="E875">
        <v>373175.78319658298</v>
      </c>
      <c r="F875">
        <v>373175.78319658298</v>
      </c>
    </row>
    <row r="876" spans="1:6" x14ac:dyDescent="0.2">
      <c r="A876">
        <v>434</v>
      </c>
      <c r="B876" t="s">
        <v>951</v>
      </c>
      <c r="C876" s="1">
        <v>45586</v>
      </c>
      <c r="D876" t="s">
        <v>951</v>
      </c>
      <c r="E876">
        <v>325.303712358219</v>
      </c>
      <c r="F876">
        <v>325.303712358219</v>
      </c>
    </row>
    <row r="877" spans="1:6" x14ac:dyDescent="0.2">
      <c r="A877">
        <v>434</v>
      </c>
      <c r="B877" t="s">
        <v>952</v>
      </c>
      <c r="C877" s="1">
        <v>45570</v>
      </c>
      <c r="D877" t="s">
        <v>952</v>
      </c>
      <c r="E877">
        <v>18472695.642340802</v>
      </c>
      <c r="F877">
        <v>10000000</v>
      </c>
    </row>
    <row r="878" spans="1:6" x14ac:dyDescent="0.2">
      <c r="A878">
        <v>434</v>
      </c>
      <c r="B878" t="s">
        <v>953</v>
      </c>
      <c r="C878" s="1">
        <v>45446</v>
      </c>
      <c r="D878" t="s">
        <v>953</v>
      </c>
      <c r="E878">
        <v>270.323697538744</v>
      </c>
      <c r="F878">
        <v>270.323697538744</v>
      </c>
    </row>
    <row r="879" spans="1:6" x14ac:dyDescent="0.2">
      <c r="A879">
        <v>434</v>
      </c>
      <c r="B879" t="s">
        <v>954</v>
      </c>
      <c r="C879" s="1">
        <v>45551</v>
      </c>
      <c r="D879" t="s">
        <v>954</v>
      </c>
      <c r="E879">
        <v>77788.510993001997</v>
      </c>
      <c r="F879">
        <v>77788.510993001997</v>
      </c>
    </row>
    <row r="880" spans="1:6" x14ac:dyDescent="0.2">
      <c r="A880">
        <v>434</v>
      </c>
      <c r="B880" t="s">
        <v>955</v>
      </c>
      <c r="C880" s="1">
        <v>45581</v>
      </c>
      <c r="D880" t="s">
        <v>955</v>
      </c>
      <c r="E880">
        <v>12379.8810918902</v>
      </c>
      <c r="F880">
        <v>12379.8810918902</v>
      </c>
    </row>
    <row r="881" spans="1:6" x14ac:dyDescent="0.2">
      <c r="A881">
        <v>435</v>
      </c>
      <c r="B881" t="s">
        <v>341</v>
      </c>
      <c r="C881" s="1">
        <v>45483</v>
      </c>
      <c r="D881" t="s">
        <v>341</v>
      </c>
      <c r="E881">
        <v>50.578087329467202</v>
      </c>
      <c r="F881">
        <v>50.578087329467202</v>
      </c>
    </row>
    <row r="882" spans="1:6" x14ac:dyDescent="0.2">
      <c r="A882">
        <v>436</v>
      </c>
      <c r="B882" t="s">
        <v>342</v>
      </c>
      <c r="C882" s="1">
        <v>45514</v>
      </c>
      <c r="D882" t="s">
        <v>342</v>
      </c>
      <c r="E882">
        <v>15197.6866197624</v>
      </c>
      <c r="F882">
        <v>15197.6866197624</v>
      </c>
    </row>
    <row r="883" spans="1:6" x14ac:dyDescent="0.2">
      <c r="A883">
        <v>436</v>
      </c>
      <c r="B883" t="s">
        <v>343</v>
      </c>
      <c r="C883" s="1">
        <v>45519</v>
      </c>
      <c r="D883" t="s">
        <v>343</v>
      </c>
      <c r="E883">
        <v>2629.3389422411701</v>
      </c>
      <c r="F883">
        <v>2629.3389422411701</v>
      </c>
    </row>
    <row r="884" spans="1:6" x14ac:dyDescent="0.2">
      <c r="A884">
        <v>438</v>
      </c>
      <c r="B884" t="s">
        <v>344</v>
      </c>
      <c r="C884" s="1">
        <v>45308</v>
      </c>
      <c r="D884" t="s">
        <v>344</v>
      </c>
      <c r="E884">
        <v>15.166387797219199</v>
      </c>
      <c r="F884">
        <v>15.166387797219199</v>
      </c>
    </row>
    <row r="885" spans="1:6" x14ac:dyDescent="0.2">
      <c r="A885">
        <v>438</v>
      </c>
      <c r="B885" t="s">
        <v>956</v>
      </c>
      <c r="C885" s="1">
        <v>45483</v>
      </c>
      <c r="D885" t="s">
        <v>956</v>
      </c>
      <c r="E885">
        <v>114.927232991558</v>
      </c>
      <c r="F885">
        <v>114.927232991558</v>
      </c>
    </row>
    <row r="886" spans="1:6" x14ac:dyDescent="0.2">
      <c r="A886">
        <v>440</v>
      </c>
      <c r="B886" t="s">
        <v>957</v>
      </c>
      <c r="C886" s="1">
        <v>45529</v>
      </c>
      <c r="D886" t="s">
        <v>957</v>
      </c>
      <c r="E886">
        <v>318.60860693818302</v>
      </c>
      <c r="F886">
        <v>318.60860693818302</v>
      </c>
    </row>
    <row r="887" spans="1:6" x14ac:dyDescent="0.2">
      <c r="A887">
        <v>441</v>
      </c>
      <c r="B887" t="s">
        <v>115</v>
      </c>
      <c r="C887" s="1">
        <v>45350</v>
      </c>
      <c r="D887" t="s">
        <v>115</v>
      </c>
      <c r="E887">
        <v>429.15709326684998</v>
      </c>
      <c r="F887">
        <v>429.15709326684998</v>
      </c>
    </row>
    <row r="888" spans="1:6" x14ac:dyDescent="0.2">
      <c r="A888">
        <v>442</v>
      </c>
      <c r="B888" t="s">
        <v>958</v>
      </c>
      <c r="C888" s="1">
        <v>45509</v>
      </c>
      <c r="D888" t="s">
        <v>958</v>
      </c>
      <c r="E888">
        <v>85.972507748698604</v>
      </c>
      <c r="F888">
        <v>85.972507748698604</v>
      </c>
    </row>
    <row r="889" spans="1:6" x14ac:dyDescent="0.2">
      <c r="A889">
        <v>442</v>
      </c>
      <c r="B889" t="s">
        <v>959</v>
      </c>
      <c r="C889" s="1">
        <v>45618</v>
      </c>
      <c r="D889" t="s">
        <v>959</v>
      </c>
      <c r="E889">
        <v>29763.201539998201</v>
      </c>
      <c r="F889">
        <v>29763.201539998201</v>
      </c>
    </row>
    <row r="890" spans="1:6" x14ac:dyDescent="0.2">
      <c r="A890">
        <v>443</v>
      </c>
      <c r="B890" t="s">
        <v>960</v>
      </c>
      <c r="C890" s="1">
        <v>45339</v>
      </c>
      <c r="D890" t="s">
        <v>960</v>
      </c>
      <c r="E890">
        <v>416.29885056916299</v>
      </c>
      <c r="F890">
        <v>416.29885056916299</v>
      </c>
    </row>
    <row r="891" spans="1:6" x14ac:dyDescent="0.2">
      <c r="A891">
        <v>443</v>
      </c>
      <c r="B891" t="s">
        <v>961</v>
      </c>
      <c r="C891" s="1">
        <v>45632</v>
      </c>
      <c r="D891" t="s">
        <v>961</v>
      </c>
      <c r="E891">
        <v>6916.0618889977204</v>
      </c>
      <c r="F891">
        <v>6916.0618889977204</v>
      </c>
    </row>
    <row r="892" spans="1:6" x14ac:dyDescent="0.2">
      <c r="A892">
        <v>443</v>
      </c>
      <c r="B892" t="s">
        <v>962</v>
      </c>
      <c r="C892" s="1">
        <v>45532</v>
      </c>
      <c r="D892" t="s">
        <v>962</v>
      </c>
      <c r="E892">
        <v>95878.084271334301</v>
      </c>
      <c r="F892">
        <v>95878.084271334301</v>
      </c>
    </row>
    <row r="893" spans="1:6" x14ac:dyDescent="0.2">
      <c r="A893">
        <v>444</v>
      </c>
      <c r="B893" t="s">
        <v>345</v>
      </c>
      <c r="C893" s="1">
        <v>45506</v>
      </c>
      <c r="D893" t="s">
        <v>345</v>
      </c>
      <c r="E893">
        <v>1351571.08696221</v>
      </c>
      <c r="F893">
        <v>1351571.08696221</v>
      </c>
    </row>
    <row r="894" spans="1:6" x14ac:dyDescent="0.2">
      <c r="A894">
        <v>445</v>
      </c>
      <c r="B894" t="s">
        <v>963</v>
      </c>
      <c r="C894" s="1">
        <v>45325</v>
      </c>
      <c r="D894" t="s">
        <v>963</v>
      </c>
      <c r="E894">
        <v>1530.02802342431</v>
      </c>
      <c r="F894">
        <v>1530.02802342431</v>
      </c>
    </row>
    <row r="895" spans="1:6" x14ac:dyDescent="0.2">
      <c r="A895">
        <v>445</v>
      </c>
      <c r="B895" t="s">
        <v>964</v>
      </c>
      <c r="C895" s="1">
        <v>45388</v>
      </c>
      <c r="D895" t="s">
        <v>964</v>
      </c>
      <c r="E895">
        <v>5346.2728930989397</v>
      </c>
      <c r="F895">
        <v>5346.2728930989397</v>
      </c>
    </row>
    <row r="896" spans="1:6" x14ac:dyDescent="0.2">
      <c r="A896">
        <v>445</v>
      </c>
      <c r="B896" t="s">
        <v>965</v>
      </c>
      <c r="C896" s="1">
        <v>45620</v>
      </c>
      <c r="D896" t="s">
        <v>965</v>
      </c>
      <c r="E896">
        <v>2300229.3128287098</v>
      </c>
      <c r="F896">
        <v>2300229.3128287098</v>
      </c>
    </row>
    <row r="897" spans="1:6" x14ac:dyDescent="0.2">
      <c r="A897">
        <v>445</v>
      </c>
      <c r="B897" t="s">
        <v>966</v>
      </c>
      <c r="C897" s="1">
        <v>45582</v>
      </c>
      <c r="D897" t="s">
        <v>966</v>
      </c>
      <c r="E897">
        <v>111413.751211639</v>
      </c>
      <c r="F897">
        <v>111413.751211639</v>
      </c>
    </row>
    <row r="898" spans="1:6" x14ac:dyDescent="0.2">
      <c r="A898">
        <v>446</v>
      </c>
      <c r="B898" t="s">
        <v>967</v>
      </c>
      <c r="C898" s="1">
        <v>45588</v>
      </c>
      <c r="D898" t="s">
        <v>967</v>
      </c>
      <c r="E898">
        <v>2751.91765836177</v>
      </c>
      <c r="F898">
        <v>2751.91765836177</v>
      </c>
    </row>
    <row r="899" spans="1:6" x14ac:dyDescent="0.2">
      <c r="A899">
        <v>446</v>
      </c>
      <c r="B899" t="s">
        <v>968</v>
      </c>
      <c r="C899" s="1">
        <v>45563</v>
      </c>
      <c r="D899" t="s">
        <v>968</v>
      </c>
      <c r="E899">
        <v>436404.17632560898</v>
      </c>
      <c r="F899">
        <v>436404.17632560898</v>
      </c>
    </row>
    <row r="900" spans="1:6" x14ac:dyDescent="0.2">
      <c r="A900">
        <v>446</v>
      </c>
      <c r="B900" t="s">
        <v>969</v>
      </c>
      <c r="C900" s="1">
        <v>45399</v>
      </c>
      <c r="D900" t="s">
        <v>969</v>
      </c>
      <c r="E900">
        <v>19497.418579510901</v>
      </c>
      <c r="F900">
        <v>19497.418579510901</v>
      </c>
    </row>
    <row r="901" spans="1:6" x14ac:dyDescent="0.2">
      <c r="A901">
        <v>447</v>
      </c>
      <c r="B901" t="s">
        <v>970</v>
      </c>
      <c r="C901" s="1">
        <v>45538</v>
      </c>
      <c r="D901" t="s">
        <v>970</v>
      </c>
      <c r="E901">
        <v>13807.9700762337</v>
      </c>
      <c r="F901">
        <v>13807.9700762337</v>
      </c>
    </row>
    <row r="902" spans="1:6" x14ac:dyDescent="0.2">
      <c r="A902">
        <v>447</v>
      </c>
      <c r="B902" t="s">
        <v>971</v>
      </c>
      <c r="C902" s="1">
        <v>45551</v>
      </c>
      <c r="D902" t="s">
        <v>971</v>
      </c>
      <c r="E902">
        <v>10.206346499079</v>
      </c>
      <c r="F902">
        <v>10.206346499079</v>
      </c>
    </row>
    <row r="903" spans="1:6" x14ac:dyDescent="0.2">
      <c r="A903">
        <v>447</v>
      </c>
      <c r="B903" t="s">
        <v>972</v>
      </c>
      <c r="C903" s="1">
        <v>45491</v>
      </c>
      <c r="D903" t="s">
        <v>972</v>
      </c>
      <c r="E903">
        <v>150877.39874118401</v>
      </c>
      <c r="F903">
        <v>150877.39874118401</v>
      </c>
    </row>
    <row r="904" spans="1:6" x14ac:dyDescent="0.2">
      <c r="A904">
        <v>448</v>
      </c>
      <c r="B904" t="s">
        <v>973</v>
      </c>
      <c r="C904" s="1">
        <v>45328</v>
      </c>
      <c r="D904" t="s">
        <v>973</v>
      </c>
      <c r="E904">
        <v>14414.661299687001</v>
      </c>
      <c r="F904">
        <v>14414.661299687001</v>
      </c>
    </row>
    <row r="905" spans="1:6" x14ac:dyDescent="0.2">
      <c r="A905">
        <v>449</v>
      </c>
      <c r="B905" t="s">
        <v>346</v>
      </c>
      <c r="C905" s="1">
        <v>45393</v>
      </c>
      <c r="D905" t="s">
        <v>346</v>
      </c>
      <c r="E905">
        <v>44586.909796557498</v>
      </c>
      <c r="F905">
        <v>44586.909796557498</v>
      </c>
    </row>
    <row r="906" spans="1:6" x14ac:dyDescent="0.2">
      <c r="A906">
        <v>450</v>
      </c>
      <c r="B906" t="s">
        <v>116</v>
      </c>
      <c r="C906" s="1">
        <v>45546</v>
      </c>
      <c r="D906" t="s">
        <v>116</v>
      </c>
      <c r="E906">
        <v>14193.7301161818</v>
      </c>
      <c r="F906">
        <v>14193.7301161818</v>
      </c>
    </row>
    <row r="907" spans="1:6" x14ac:dyDescent="0.2">
      <c r="A907">
        <v>450</v>
      </c>
      <c r="B907" t="s">
        <v>117</v>
      </c>
      <c r="C907" s="1">
        <v>45411</v>
      </c>
      <c r="D907" t="s">
        <v>117</v>
      </c>
      <c r="E907">
        <v>4959.6122736118105</v>
      </c>
      <c r="F907">
        <v>4959.6122736118105</v>
      </c>
    </row>
    <row r="908" spans="1:6" x14ac:dyDescent="0.2">
      <c r="A908">
        <v>451</v>
      </c>
      <c r="B908" t="s">
        <v>118</v>
      </c>
      <c r="C908" s="1">
        <v>45426</v>
      </c>
      <c r="D908" t="s">
        <v>118</v>
      </c>
      <c r="E908">
        <v>54597.991647565897</v>
      </c>
      <c r="F908">
        <v>54597.991647565897</v>
      </c>
    </row>
    <row r="909" spans="1:6" x14ac:dyDescent="0.2">
      <c r="A909">
        <v>451</v>
      </c>
      <c r="B909" t="s">
        <v>974</v>
      </c>
      <c r="C909" s="1">
        <v>45642</v>
      </c>
      <c r="D909" t="s">
        <v>974</v>
      </c>
      <c r="E909">
        <v>160879.80770177601</v>
      </c>
      <c r="F909">
        <v>160879.80770177601</v>
      </c>
    </row>
    <row r="910" spans="1:6" x14ac:dyDescent="0.2">
      <c r="A910">
        <v>452</v>
      </c>
      <c r="B910" t="s">
        <v>119</v>
      </c>
      <c r="C910" s="1">
        <v>45559</v>
      </c>
      <c r="D910" t="s">
        <v>119</v>
      </c>
      <c r="E910">
        <v>33882.801853666599</v>
      </c>
      <c r="F910">
        <v>33882.801853666599</v>
      </c>
    </row>
    <row r="911" spans="1:6" x14ac:dyDescent="0.2">
      <c r="A911">
        <v>453</v>
      </c>
      <c r="B911" t="s">
        <v>975</v>
      </c>
      <c r="C911" s="1">
        <v>45523</v>
      </c>
      <c r="D911" t="s">
        <v>975</v>
      </c>
      <c r="E911">
        <v>189430.69904067399</v>
      </c>
      <c r="F911">
        <v>189430.69904067399</v>
      </c>
    </row>
    <row r="912" spans="1:6" x14ac:dyDescent="0.2">
      <c r="A912">
        <v>455</v>
      </c>
      <c r="B912" t="s">
        <v>347</v>
      </c>
      <c r="C912" s="1">
        <v>45621</v>
      </c>
      <c r="D912" t="s">
        <v>347</v>
      </c>
      <c r="E912">
        <v>238.81867351304899</v>
      </c>
      <c r="F912">
        <v>238.81867351304899</v>
      </c>
    </row>
    <row r="913" spans="1:6" x14ac:dyDescent="0.2">
      <c r="A913">
        <v>456</v>
      </c>
      <c r="B913" t="s">
        <v>976</v>
      </c>
      <c r="C913" s="1">
        <v>45485</v>
      </c>
      <c r="D913" t="s">
        <v>976</v>
      </c>
      <c r="E913">
        <v>10991.8005383172</v>
      </c>
      <c r="F913">
        <v>10991.8005383172</v>
      </c>
    </row>
    <row r="914" spans="1:6" x14ac:dyDescent="0.2">
      <c r="A914">
        <v>456</v>
      </c>
      <c r="B914" t="s">
        <v>977</v>
      </c>
      <c r="C914" s="1">
        <v>45452</v>
      </c>
      <c r="D914" t="s">
        <v>977</v>
      </c>
      <c r="E914">
        <v>2554246.76299755</v>
      </c>
      <c r="F914">
        <v>2554246.76299755</v>
      </c>
    </row>
    <row r="915" spans="1:6" x14ac:dyDescent="0.2">
      <c r="A915">
        <v>456</v>
      </c>
      <c r="B915" t="s">
        <v>978</v>
      </c>
      <c r="C915" s="1">
        <v>45568</v>
      </c>
      <c r="D915" t="s">
        <v>978</v>
      </c>
      <c r="E915">
        <v>82138.799595990204</v>
      </c>
      <c r="F915">
        <v>82138.799595990204</v>
      </c>
    </row>
    <row r="916" spans="1:6" x14ac:dyDescent="0.2">
      <c r="A916">
        <v>456</v>
      </c>
      <c r="B916" t="s">
        <v>979</v>
      </c>
      <c r="C916" s="1">
        <v>45438</v>
      </c>
      <c r="D916" t="s">
        <v>979</v>
      </c>
      <c r="E916">
        <v>50238.558848454697</v>
      </c>
      <c r="F916">
        <v>50238.558848454697</v>
      </c>
    </row>
    <row r="917" spans="1:6" x14ac:dyDescent="0.2">
      <c r="A917">
        <v>457</v>
      </c>
      <c r="B917" t="s">
        <v>980</v>
      </c>
      <c r="C917" s="1">
        <v>45455</v>
      </c>
      <c r="D917" t="s">
        <v>980</v>
      </c>
      <c r="E917">
        <v>166139.91301290799</v>
      </c>
      <c r="F917">
        <v>166139.91301290799</v>
      </c>
    </row>
    <row r="918" spans="1:6" x14ac:dyDescent="0.2">
      <c r="A918">
        <v>457</v>
      </c>
      <c r="B918" t="s">
        <v>981</v>
      </c>
      <c r="C918" s="1">
        <v>45365</v>
      </c>
      <c r="D918" t="s">
        <v>981</v>
      </c>
      <c r="E918">
        <v>14.682016363783299</v>
      </c>
      <c r="F918">
        <v>14.682016363783299</v>
      </c>
    </row>
    <row r="919" spans="1:6" x14ac:dyDescent="0.2">
      <c r="A919">
        <v>457</v>
      </c>
      <c r="B919" t="s">
        <v>120</v>
      </c>
      <c r="C919" s="1">
        <v>45614</v>
      </c>
      <c r="D919" t="s">
        <v>120</v>
      </c>
      <c r="E919">
        <v>6863.0773409513504</v>
      </c>
      <c r="F919">
        <v>6863.0773409513504</v>
      </c>
    </row>
    <row r="920" spans="1:6" x14ac:dyDescent="0.2">
      <c r="A920">
        <v>458</v>
      </c>
      <c r="B920" t="s">
        <v>982</v>
      </c>
      <c r="C920" s="1">
        <v>45535</v>
      </c>
      <c r="D920" t="s">
        <v>982</v>
      </c>
      <c r="E920">
        <v>495.68067824400498</v>
      </c>
      <c r="F920">
        <v>495.68067824400498</v>
      </c>
    </row>
    <row r="921" spans="1:6" x14ac:dyDescent="0.2">
      <c r="A921">
        <v>458</v>
      </c>
      <c r="B921" t="s">
        <v>983</v>
      </c>
      <c r="C921" s="1">
        <v>45304</v>
      </c>
      <c r="D921" t="s">
        <v>983</v>
      </c>
      <c r="E921">
        <v>14771.288743134701</v>
      </c>
      <c r="F921">
        <v>14771.288743134701</v>
      </c>
    </row>
    <row r="922" spans="1:6" x14ac:dyDescent="0.2">
      <c r="A922">
        <v>458</v>
      </c>
      <c r="B922" t="s">
        <v>984</v>
      </c>
      <c r="C922" s="1">
        <v>45610</v>
      </c>
      <c r="D922" t="s">
        <v>984</v>
      </c>
      <c r="E922">
        <v>224248.986858346</v>
      </c>
      <c r="F922">
        <v>224248.986858346</v>
      </c>
    </row>
    <row r="923" spans="1:6" x14ac:dyDescent="0.2">
      <c r="A923">
        <v>459</v>
      </c>
      <c r="B923" t="s">
        <v>985</v>
      </c>
      <c r="C923" s="1">
        <v>45617</v>
      </c>
      <c r="D923" t="s">
        <v>985</v>
      </c>
      <c r="E923">
        <v>159.431396070993</v>
      </c>
      <c r="F923">
        <v>159.431396070993</v>
      </c>
    </row>
    <row r="924" spans="1:6" x14ac:dyDescent="0.2">
      <c r="A924">
        <v>461</v>
      </c>
      <c r="B924" t="s">
        <v>986</v>
      </c>
      <c r="C924" s="1">
        <v>45393</v>
      </c>
      <c r="D924" t="s">
        <v>986</v>
      </c>
      <c r="E924">
        <v>51624.4619620386</v>
      </c>
      <c r="F924">
        <v>51624.4619620386</v>
      </c>
    </row>
    <row r="925" spans="1:6" x14ac:dyDescent="0.2">
      <c r="A925">
        <v>461</v>
      </c>
      <c r="B925" t="s">
        <v>987</v>
      </c>
      <c r="C925" s="1">
        <v>45479</v>
      </c>
      <c r="D925" t="s">
        <v>987</v>
      </c>
      <c r="E925">
        <v>328.976196406594</v>
      </c>
      <c r="F925">
        <v>328.976196406594</v>
      </c>
    </row>
    <row r="926" spans="1:6" x14ac:dyDescent="0.2">
      <c r="A926">
        <v>461</v>
      </c>
      <c r="B926" t="s">
        <v>988</v>
      </c>
      <c r="C926" s="1">
        <v>45462</v>
      </c>
      <c r="D926" t="s">
        <v>988</v>
      </c>
      <c r="E926">
        <v>888636.02607728203</v>
      </c>
      <c r="F926">
        <v>888636.02607728203</v>
      </c>
    </row>
    <row r="927" spans="1:6" x14ac:dyDescent="0.2">
      <c r="A927">
        <v>461</v>
      </c>
      <c r="B927" t="s">
        <v>989</v>
      </c>
      <c r="C927" s="1">
        <v>45406</v>
      </c>
      <c r="D927" t="s">
        <v>989</v>
      </c>
      <c r="E927">
        <v>363.42609708427</v>
      </c>
      <c r="F927">
        <v>363.42609708427</v>
      </c>
    </row>
    <row r="928" spans="1:6" x14ac:dyDescent="0.2">
      <c r="A928">
        <v>461</v>
      </c>
      <c r="B928" t="s">
        <v>990</v>
      </c>
      <c r="C928" s="1">
        <v>45401</v>
      </c>
      <c r="D928" t="s">
        <v>990</v>
      </c>
      <c r="E928">
        <v>13273.9152034587</v>
      </c>
      <c r="F928">
        <v>13273.9152034587</v>
      </c>
    </row>
    <row r="929" spans="1:6" x14ac:dyDescent="0.2">
      <c r="A929">
        <v>462</v>
      </c>
      <c r="B929" t="s">
        <v>991</v>
      </c>
      <c r="C929" s="1">
        <v>45469</v>
      </c>
      <c r="D929" t="s">
        <v>991</v>
      </c>
      <c r="E929">
        <v>367.42033671369597</v>
      </c>
      <c r="F929">
        <v>367.42033671369597</v>
      </c>
    </row>
    <row r="930" spans="1:6" x14ac:dyDescent="0.2">
      <c r="A930">
        <v>462</v>
      </c>
      <c r="B930" t="s">
        <v>992</v>
      </c>
      <c r="C930" s="1">
        <v>45330</v>
      </c>
      <c r="D930" t="s">
        <v>992</v>
      </c>
      <c r="E930">
        <v>169.339814931159</v>
      </c>
      <c r="F930">
        <v>169.339814931159</v>
      </c>
    </row>
    <row r="931" spans="1:6" x14ac:dyDescent="0.2">
      <c r="A931">
        <v>463</v>
      </c>
      <c r="B931" t="s">
        <v>993</v>
      </c>
      <c r="C931" s="1">
        <v>45473</v>
      </c>
      <c r="D931" t="s">
        <v>993</v>
      </c>
      <c r="E931">
        <v>142675.35487678001</v>
      </c>
      <c r="F931">
        <v>142675.35487678001</v>
      </c>
    </row>
    <row r="932" spans="1:6" x14ac:dyDescent="0.2">
      <c r="A932">
        <v>463</v>
      </c>
      <c r="B932" t="s">
        <v>994</v>
      </c>
      <c r="C932" s="1">
        <v>45312</v>
      </c>
      <c r="D932" t="s">
        <v>994</v>
      </c>
      <c r="E932">
        <v>14497.356083483301</v>
      </c>
      <c r="F932">
        <v>14497.356083483301</v>
      </c>
    </row>
    <row r="933" spans="1:6" x14ac:dyDescent="0.2">
      <c r="A933">
        <v>464</v>
      </c>
      <c r="B933" t="s">
        <v>995</v>
      </c>
      <c r="C933" s="1">
        <v>45327</v>
      </c>
      <c r="D933" t="s">
        <v>995</v>
      </c>
      <c r="E933">
        <v>20290.157130664102</v>
      </c>
      <c r="F933">
        <v>20290.157130664102</v>
      </c>
    </row>
    <row r="934" spans="1:6" x14ac:dyDescent="0.2">
      <c r="A934">
        <v>465</v>
      </c>
      <c r="B934" t="s">
        <v>996</v>
      </c>
      <c r="C934" s="1">
        <v>45420</v>
      </c>
      <c r="D934" t="s">
        <v>996</v>
      </c>
      <c r="E934">
        <v>3901.3009330888799</v>
      </c>
      <c r="F934">
        <v>3901.3009330888799</v>
      </c>
    </row>
    <row r="935" spans="1:6" x14ac:dyDescent="0.2">
      <c r="A935">
        <v>465</v>
      </c>
      <c r="B935" t="s">
        <v>997</v>
      </c>
      <c r="C935" s="1">
        <v>45445</v>
      </c>
      <c r="D935" t="s">
        <v>997</v>
      </c>
      <c r="E935">
        <v>9359.6132779438794</v>
      </c>
      <c r="F935">
        <v>9359.6132779438794</v>
      </c>
    </row>
    <row r="936" spans="1:6" x14ac:dyDescent="0.2">
      <c r="A936">
        <v>466</v>
      </c>
      <c r="B936" t="s">
        <v>998</v>
      </c>
      <c r="C936" s="1">
        <v>45370</v>
      </c>
      <c r="D936" t="s">
        <v>998</v>
      </c>
      <c r="E936">
        <v>19337.494040298901</v>
      </c>
      <c r="F936">
        <v>19337.494040298901</v>
      </c>
    </row>
    <row r="937" spans="1:6" x14ac:dyDescent="0.2">
      <c r="A937">
        <v>467</v>
      </c>
      <c r="B937" t="s">
        <v>999</v>
      </c>
      <c r="C937" s="1">
        <v>45639</v>
      </c>
      <c r="D937" t="s">
        <v>999</v>
      </c>
      <c r="E937">
        <v>22115.551311689502</v>
      </c>
      <c r="F937">
        <v>22115.551311689502</v>
      </c>
    </row>
    <row r="938" spans="1:6" x14ac:dyDescent="0.2">
      <c r="A938">
        <v>468</v>
      </c>
      <c r="B938" t="s">
        <v>1000</v>
      </c>
      <c r="C938" s="1">
        <v>45565</v>
      </c>
      <c r="D938" t="s">
        <v>1000</v>
      </c>
      <c r="E938">
        <v>634.94048604290003</v>
      </c>
      <c r="F938">
        <v>634.94048604290003</v>
      </c>
    </row>
    <row r="939" spans="1:6" x14ac:dyDescent="0.2">
      <c r="A939">
        <v>468</v>
      </c>
      <c r="B939" t="s">
        <v>1001</v>
      </c>
      <c r="C939" s="1">
        <v>45539</v>
      </c>
      <c r="D939" t="s">
        <v>1001</v>
      </c>
      <c r="E939">
        <v>7255.04850575414</v>
      </c>
      <c r="F939">
        <v>7255.04850575414</v>
      </c>
    </row>
    <row r="940" spans="1:6" x14ac:dyDescent="0.2">
      <c r="A940">
        <v>468</v>
      </c>
      <c r="B940" t="s">
        <v>1002</v>
      </c>
      <c r="C940" s="1">
        <v>45306</v>
      </c>
      <c r="D940" t="s">
        <v>1002</v>
      </c>
      <c r="E940">
        <v>2133.9061160669999</v>
      </c>
      <c r="F940">
        <v>2133.9061160669999</v>
      </c>
    </row>
    <row r="941" spans="1:6" x14ac:dyDescent="0.2">
      <c r="A941">
        <v>469</v>
      </c>
      <c r="B941" t="s">
        <v>121</v>
      </c>
      <c r="C941" s="1">
        <v>45504</v>
      </c>
      <c r="D941" t="s">
        <v>121</v>
      </c>
      <c r="E941">
        <v>15178.3332722796</v>
      </c>
      <c r="F941">
        <v>15178.3332722796</v>
      </c>
    </row>
    <row r="942" spans="1:6" x14ac:dyDescent="0.2">
      <c r="A942">
        <v>470</v>
      </c>
      <c r="B942" t="s">
        <v>1003</v>
      </c>
      <c r="C942" s="1">
        <v>45496</v>
      </c>
      <c r="D942" t="s">
        <v>1003</v>
      </c>
      <c r="E942">
        <v>35224.355935944397</v>
      </c>
      <c r="F942">
        <v>35224.355935944397</v>
      </c>
    </row>
    <row r="943" spans="1:6" x14ac:dyDescent="0.2">
      <c r="A943">
        <v>470</v>
      </c>
      <c r="B943" t="s">
        <v>1004</v>
      </c>
      <c r="C943" s="1">
        <v>45331</v>
      </c>
      <c r="D943" t="s">
        <v>1004</v>
      </c>
      <c r="E943">
        <v>211.75132460849801</v>
      </c>
      <c r="F943">
        <v>211.75132460849801</v>
      </c>
    </row>
    <row r="944" spans="1:6" x14ac:dyDescent="0.2">
      <c r="A944">
        <v>470</v>
      </c>
      <c r="B944" t="s">
        <v>348</v>
      </c>
      <c r="C944" s="1">
        <v>45619</v>
      </c>
      <c r="D944" t="s">
        <v>348</v>
      </c>
      <c r="E944">
        <v>4485.9674676783397</v>
      </c>
      <c r="F944">
        <v>4485.9674676783397</v>
      </c>
    </row>
    <row r="945" spans="1:6" x14ac:dyDescent="0.2">
      <c r="A945">
        <v>472</v>
      </c>
      <c r="B945" t="s">
        <v>122</v>
      </c>
      <c r="C945" s="1">
        <v>45381</v>
      </c>
      <c r="D945" t="s">
        <v>122</v>
      </c>
      <c r="E945">
        <v>20478.6863973197</v>
      </c>
      <c r="F945">
        <v>20478.6863973197</v>
      </c>
    </row>
    <row r="946" spans="1:6" x14ac:dyDescent="0.2">
      <c r="A946">
        <v>472</v>
      </c>
      <c r="B946" t="s">
        <v>1005</v>
      </c>
      <c r="C946" s="1">
        <v>45371</v>
      </c>
      <c r="D946" t="s">
        <v>1005</v>
      </c>
      <c r="E946">
        <v>110337.826622229</v>
      </c>
      <c r="F946">
        <v>110337.826622229</v>
      </c>
    </row>
    <row r="947" spans="1:6" x14ac:dyDescent="0.2">
      <c r="A947">
        <v>472</v>
      </c>
      <c r="B947" t="s">
        <v>123</v>
      </c>
      <c r="C947" s="1">
        <v>45315</v>
      </c>
      <c r="D947" t="s">
        <v>123</v>
      </c>
      <c r="E947">
        <v>127.608704426838</v>
      </c>
      <c r="F947">
        <v>127.608704426838</v>
      </c>
    </row>
    <row r="948" spans="1:6" x14ac:dyDescent="0.2">
      <c r="A948">
        <v>473</v>
      </c>
      <c r="B948" t="s">
        <v>349</v>
      </c>
      <c r="C948" s="1">
        <v>45462</v>
      </c>
      <c r="D948" t="s">
        <v>349</v>
      </c>
      <c r="E948">
        <v>234102.03397894499</v>
      </c>
      <c r="F948">
        <v>234102.03397894499</v>
      </c>
    </row>
    <row r="949" spans="1:6" x14ac:dyDescent="0.2">
      <c r="A949">
        <v>473</v>
      </c>
      <c r="B949" t="s">
        <v>1006</v>
      </c>
      <c r="C949" s="1">
        <v>45488</v>
      </c>
      <c r="D949" t="s">
        <v>1006</v>
      </c>
      <c r="E949">
        <v>10064.643898475701</v>
      </c>
      <c r="F949">
        <v>10064.643898475701</v>
      </c>
    </row>
    <row r="950" spans="1:6" x14ac:dyDescent="0.2">
      <c r="A950">
        <v>474</v>
      </c>
      <c r="B950" t="s">
        <v>350</v>
      </c>
      <c r="C950" s="1">
        <v>45449</v>
      </c>
      <c r="D950" t="s">
        <v>350</v>
      </c>
      <c r="E950">
        <v>32.958192360945702</v>
      </c>
      <c r="F950">
        <v>32.958192360945702</v>
      </c>
    </row>
    <row r="951" spans="1:6" x14ac:dyDescent="0.2">
      <c r="A951">
        <v>474</v>
      </c>
      <c r="B951" t="s">
        <v>124</v>
      </c>
      <c r="C951" s="1">
        <v>45347</v>
      </c>
      <c r="D951" t="s">
        <v>124</v>
      </c>
      <c r="E951">
        <v>298.71302928434801</v>
      </c>
      <c r="F951">
        <v>298.71302928434801</v>
      </c>
    </row>
    <row r="952" spans="1:6" x14ac:dyDescent="0.2">
      <c r="A952">
        <v>474</v>
      </c>
      <c r="B952" t="s">
        <v>125</v>
      </c>
      <c r="C952" s="1">
        <v>45386</v>
      </c>
      <c r="D952" t="s">
        <v>125</v>
      </c>
      <c r="E952">
        <v>7157.95138962685</v>
      </c>
      <c r="F952">
        <v>7157.95138962685</v>
      </c>
    </row>
    <row r="953" spans="1:6" x14ac:dyDescent="0.2">
      <c r="A953">
        <v>475</v>
      </c>
      <c r="B953" t="s">
        <v>1007</v>
      </c>
      <c r="C953" s="1">
        <v>45424</v>
      </c>
      <c r="D953" t="s">
        <v>1007</v>
      </c>
      <c r="E953">
        <v>19043.7811604577</v>
      </c>
      <c r="F953">
        <v>19043.7811604577</v>
      </c>
    </row>
    <row r="954" spans="1:6" x14ac:dyDescent="0.2">
      <c r="A954">
        <v>475</v>
      </c>
      <c r="B954" t="s">
        <v>1008</v>
      </c>
      <c r="C954" s="1">
        <v>45420</v>
      </c>
      <c r="D954" t="s">
        <v>1008</v>
      </c>
      <c r="E954">
        <v>21287.687400502899</v>
      </c>
      <c r="F954">
        <v>21287.687400502899</v>
      </c>
    </row>
    <row r="955" spans="1:6" x14ac:dyDescent="0.2">
      <c r="A955">
        <v>476</v>
      </c>
      <c r="B955" t="s">
        <v>351</v>
      </c>
      <c r="C955" s="1">
        <v>45498</v>
      </c>
      <c r="D955" t="s">
        <v>351</v>
      </c>
      <c r="E955">
        <v>583703.0086229</v>
      </c>
      <c r="F955">
        <v>583703.0086229</v>
      </c>
    </row>
    <row r="956" spans="1:6" x14ac:dyDescent="0.2">
      <c r="A956">
        <v>476</v>
      </c>
      <c r="B956" t="s">
        <v>1009</v>
      </c>
      <c r="C956" s="1">
        <v>45642</v>
      </c>
      <c r="D956" t="s">
        <v>1009</v>
      </c>
      <c r="E956">
        <v>296176.42930809001</v>
      </c>
      <c r="F956">
        <v>296176.42930809001</v>
      </c>
    </row>
    <row r="957" spans="1:6" x14ac:dyDescent="0.2">
      <c r="A957">
        <v>477</v>
      </c>
      <c r="B957" t="s">
        <v>1010</v>
      </c>
      <c r="C957" s="1">
        <v>45641</v>
      </c>
      <c r="D957" t="s">
        <v>1010</v>
      </c>
      <c r="E957">
        <v>109646.731300015</v>
      </c>
      <c r="F957">
        <v>109646.731300015</v>
      </c>
    </row>
    <row r="958" spans="1:6" x14ac:dyDescent="0.2">
      <c r="A958">
        <v>477</v>
      </c>
      <c r="B958" t="s">
        <v>1011</v>
      </c>
      <c r="C958" s="1">
        <v>45320</v>
      </c>
      <c r="D958" t="s">
        <v>1011</v>
      </c>
      <c r="E958">
        <v>634.27092464600298</v>
      </c>
      <c r="F958">
        <v>634.27092464600298</v>
      </c>
    </row>
    <row r="959" spans="1:6" x14ac:dyDescent="0.2">
      <c r="A959">
        <v>479</v>
      </c>
      <c r="B959" t="s">
        <v>1012</v>
      </c>
      <c r="C959" s="1">
        <v>45523</v>
      </c>
      <c r="D959" t="s">
        <v>1012</v>
      </c>
      <c r="E959">
        <v>152.56798422570799</v>
      </c>
      <c r="F959">
        <v>152.56798422570799</v>
      </c>
    </row>
    <row r="960" spans="1:6" x14ac:dyDescent="0.2">
      <c r="A960">
        <v>480</v>
      </c>
      <c r="B960" t="s">
        <v>126</v>
      </c>
      <c r="C960" s="1">
        <v>45562</v>
      </c>
      <c r="D960" t="s">
        <v>126</v>
      </c>
      <c r="E960">
        <v>75.397529309512194</v>
      </c>
      <c r="F960">
        <v>75.397529309512194</v>
      </c>
    </row>
    <row r="961" spans="1:6" x14ac:dyDescent="0.2">
      <c r="A961">
        <v>480</v>
      </c>
      <c r="B961" t="s">
        <v>127</v>
      </c>
      <c r="C961" s="1">
        <v>45363</v>
      </c>
      <c r="D961" t="s">
        <v>127</v>
      </c>
      <c r="E961">
        <v>3.0405051681486599</v>
      </c>
      <c r="F961">
        <v>3.0405051681486599</v>
      </c>
    </row>
    <row r="962" spans="1:6" x14ac:dyDescent="0.2">
      <c r="A962">
        <v>480</v>
      </c>
      <c r="B962" t="s">
        <v>128</v>
      </c>
      <c r="C962" s="1">
        <v>45569</v>
      </c>
      <c r="D962" t="s">
        <v>128</v>
      </c>
      <c r="E962">
        <v>666261.05394964095</v>
      </c>
      <c r="F962">
        <v>666261.05394964095</v>
      </c>
    </row>
    <row r="963" spans="1:6" x14ac:dyDescent="0.2">
      <c r="A963">
        <v>481</v>
      </c>
      <c r="B963" t="s">
        <v>1013</v>
      </c>
      <c r="C963" s="1">
        <v>45607</v>
      </c>
      <c r="D963" t="s">
        <v>1013</v>
      </c>
      <c r="E963">
        <v>2131.0716372053198</v>
      </c>
      <c r="F963">
        <v>2131.0716372053198</v>
      </c>
    </row>
    <row r="964" spans="1:6" x14ac:dyDescent="0.2">
      <c r="A964">
        <v>482</v>
      </c>
      <c r="B964" t="s">
        <v>352</v>
      </c>
      <c r="C964" s="1">
        <v>45366</v>
      </c>
      <c r="D964" t="s">
        <v>352</v>
      </c>
      <c r="E964">
        <v>1247.0770271169499</v>
      </c>
      <c r="F964">
        <v>1247.0770271169499</v>
      </c>
    </row>
    <row r="965" spans="1:6" x14ac:dyDescent="0.2">
      <c r="A965">
        <v>482</v>
      </c>
      <c r="B965" t="s">
        <v>353</v>
      </c>
      <c r="C965" s="1">
        <v>45603</v>
      </c>
      <c r="D965" t="s">
        <v>353</v>
      </c>
      <c r="E965">
        <v>32290.9012862942</v>
      </c>
      <c r="F965">
        <v>32290.9012862942</v>
      </c>
    </row>
    <row r="966" spans="1:6" x14ac:dyDescent="0.2">
      <c r="A966">
        <v>482</v>
      </c>
      <c r="B966" t="s">
        <v>354</v>
      </c>
      <c r="C966" s="1">
        <v>45450</v>
      </c>
      <c r="D966" t="s">
        <v>354</v>
      </c>
      <c r="E966">
        <v>1432.87707200979</v>
      </c>
      <c r="F966">
        <v>1432.87707200979</v>
      </c>
    </row>
    <row r="967" spans="1:6" x14ac:dyDescent="0.2">
      <c r="A967">
        <v>483</v>
      </c>
      <c r="B967" t="s">
        <v>1014</v>
      </c>
      <c r="C967" s="1">
        <v>45519</v>
      </c>
      <c r="D967" t="s">
        <v>1014</v>
      </c>
      <c r="E967">
        <v>208744.65600163801</v>
      </c>
      <c r="F967">
        <v>208744.65600163801</v>
      </c>
    </row>
    <row r="968" spans="1:6" x14ac:dyDescent="0.2">
      <c r="A968">
        <v>484</v>
      </c>
      <c r="B968" t="s">
        <v>1015</v>
      </c>
      <c r="C968" s="1">
        <v>45656</v>
      </c>
      <c r="D968" t="s">
        <v>1015</v>
      </c>
      <c r="E968">
        <v>511992.57893951301</v>
      </c>
      <c r="F968">
        <v>511992.57893951301</v>
      </c>
    </row>
    <row r="969" spans="1:6" x14ac:dyDescent="0.2">
      <c r="A969">
        <v>484</v>
      </c>
      <c r="B969" t="s">
        <v>1016</v>
      </c>
      <c r="C969" s="1">
        <v>45533</v>
      </c>
      <c r="D969" t="s">
        <v>1016</v>
      </c>
      <c r="E969">
        <v>8916.9033749139508</v>
      </c>
      <c r="F969">
        <v>8916.9033749139508</v>
      </c>
    </row>
    <row r="970" spans="1:6" x14ac:dyDescent="0.2">
      <c r="A970">
        <v>484</v>
      </c>
      <c r="B970" t="s">
        <v>1017</v>
      </c>
      <c r="C970" s="1">
        <v>45333</v>
      </c>
      <c r="D970" t="s">
        <v>1017</v>
      </c>
      <c r="E970">
        <v>400.40635459528897</v>
      </c>
      <c r="F970">
        <v>400.40635459528897</v>
      </c>
    </row>
    <row r="971" spans="1:6" x14ac:dyDescent="0.2">
      <c r="A971">
        <v>485</v>
      </c>
      <c r="B971" t="s">
        <v>355</v>
      </c>
      <c r="C971" s="1">
        <v>45464</v>
      </c>
      <c r="D971" t="s">
        <v>355</v>
      </c>
      <c r="E971">
        <v>244.15710796925401</v>
      </c>
      <c r="F971">
        <v>244.15710796925401</v>
      </c>
    </row>
    <row r="972" spans="1:6" x14ac:dyDescent="0.2">
      <c r="A972">
        <v>485</v>
      </c>
      <c r="B972" t="s">
        <v>1018</v>
      </c>
      <c r="C972" s="1">
        <v>45562</v>
      </c>
      <c r="D972" t="s">
        <v>1018</v>
      </c>
      <c r="E972">
        <v>1520.9176032514599</v>
      </c>
      <c r="F972">
        <v>1520.9176032514599</v>
      </c>
    </row>
    <row r="973" spans="1:6" x14ac:dyDescent="0.2">
      <c r="A973">
        <v>485</v>
      </c>
      <c r="B973" t="s">
        <v>129</v>
      </c>
      <c r="C973" s="1">
        <v>45542</v>
      </c>
      <c r="D973" t="s">
        <v>129</v>
      </c>
      <c r="E973">
        <v>703877.62024471397</v>
      </c>
      <c r="F973">
        <v>703877.62024471397</v>
      </c>
    </row>
    <row r="974" spans="1:6" x14ac:dyDescent="0.2">
      <c r="A974">
        <v>485</v>
      </c>
      <c r="B974" t="s">
        <v>130</v>
      </c>
      <c r="C974" s="1">
        <v>45469</v>
      </c>
      <c r="D974" t="s">
        <v>130</v>
      </c>
      <c r="E974">
        <v>477346.20645921101</v>
      </c>
      <c r="F974">
        <v>477346.20645921101</v>
      </c>
    </row>
    <row r="975" spans="1:6" x14ac:dyDescent="0.2">
      <c r="A975">
        <v>488</v>
      </c>
      <c r="B975" t="s">
        <v>1019</v>
      </c>
      <c r="C975" s="1">
        <v>45493</v>
      </c>
      <c r="D975" t="s">
        <v>1019</v>
      </c>
      <c r="E975">
        <v>43156.333611804002</v>
      </c>
      <c r="F975">
        <v>43156.333611804002</v>
      </c>
    </row>
    <row r="976" spans="1:6" x14ac:dyDescent="0.2">
      <c r="A976">
        <v>488</v>
      </c>
      <c r="B976" t="s">
        <v>1020</v>
      </c>
      <c r="C976" s="1">
        <v>45375</v>
      </c>
      <c r="D976" t="s">
        <v>1020</v>
      </c>
      <c r="E976">
        <v>24.573321978234102</v>
      </c>
      <c r="F976">
        <v>24.573321978234102</v>
      </c>
    </row>
    <row r="977" spans="1:6" x14ac:dyDescent="0.2">
      <c r="A977">
        <v>488</v>
      </c>
      <c r="B977" t="s">
        <v>1021</v>
      </c>
      <c r="C977" s="1">
        <v>45610</v>
      </c>
      <c r="D977" t="s">
        <v>1021</v>
      </c>
      <c r="E977">
        <v>1873.87166153166</v>
      </c>
      <c r="F977">
        <v>1873.87166153166</v>
      </c>
    </row>
    <row r="978" spans="1:6" x14ac:dyDescent="0.2">
      <c r="A978">
        <v>489</v>
      </c>
      <c r="B978" t="s">
        <v>1022</v>
      </c>
      <c r="C978" s="1">
        <v>45401</v>
      </c>
      <c r="D978" t="s">
        <v>1022</v>
      </c>
      <c r="E978">
        <v>18392.662910341201</v>
      </c>
      <c r="F978">
        <v>18392.662910341201</v>
      </c>
    </row>
    <row r="979" spans="1:6" x14ac:dyDescent="0.2">
      <c r="A979">
        <v>489</v>
      </c>
      <c r="B979" t="s">
        <v>1023</v>
      </c>
      <c r="C979" s="1">
        <v>45361</v>
      </c>
      <c r="D979" t="s">
        <v>1023</v>
      </c>
      <c r="E979">
        <v>57779.178061581901</v>
      </c>
      <c r="F979">
        <v>57779.178061581901</v>
      </c>
    </row>
    <row r="980" spans="1:6" x14ac:dyDescent="0.2">
      <c r="A980">
        <v>490</v>
      </c>
      <c r="B980" t="s">
        <v>1024</v>
      </c>
      <c r="C980" s="1">
        <v>45648</v>
      </c>
      <c r="D980" t="s">
        <v>1024</v>
      </c>
      <c r="E980">
        <v>75.681462893481495</v>
      </c>
      <c r="F980">
        <v>75.681462893481495</v>
      </c>
    </row>
    <row r="981" spans="1:6" x14ac:dyDescent="0.2">
      <c r="A981">
        <v>490</v>
      </c>
      <c r="B981" t="s">
        <v>1025</v>
      </c>
      <c r="C981" s="1">
        <v>45422</v>
      </c>
      <c r="D981" t="s">
        <v>1025</v>
      </c>
      <c r="E981">
        <v>74944.466850213998</v>
      </c>
      <c r="F981">
        <v>74944.466850213998</v>
      </c>
    </row>
    <row r="982" spans="1:6" x14ac:dyDescent="0.2">
      <c r="A982">
        <v>490</v>
      </c>
      <c r="B982" t="s">
        <v>1026</v>
      </c>
      <c r="C982" s="1">
        <v>45412</v>
      </c>
      <c r="D982" t="s">
        <v>1026</v>
      </c>
      <c r="E982">
        <v>782.69475232517505</v>
      </c>
      <c r="F982">
        <v>782.69475232517505</v>
      </c>
    </row>
    <row r="983" spans="1:6" x14ac:dyDescent="0.2">
      <c r="A983">
        <v>491</v>
      </c>
      <c r="B983" t="s">
        <v>1027</v>
      </c>
      <c r="C983" s="1">
        <v>45513</v>
      </c>
      <c r="D983" t="s">
        <v>1027</v>
      </c>
      <c r="E983">
        <v>75.672030036676304</v>
      </c>
      <c r="F983">
        <v>75.672030036676304</v>
      </c>
    </row>
    <row r="984" spans="1:6" x14ac:dyDescent="0.2">
      <c r="A984">
        <v>491</v>
      </c>
      <c r="B984" t="s">
        <v>1028</v>
      </c>
      <c r="C984" s="1">
        <v>45512</v>
      </c>
      <c r="D984" t="s">
        <v>1028</v>
      </c>
      <c r="E984">
        <v>207985.89513587</v>
      </c>
      <c r="F984">
        <v>207985.89513587</v>
      </c>
    </row>
    <row r="985" spans="1:6" x14ac:dyDescent="0.2">
      <c r="A985">
        <v>491</v>
      </c>
      <c r="B985" t="s">
        <v>1029</v>
      </c>
      <c r="C985" s="1">
        <v>45475</v>
      </c>
      <c r="D985" t="s">
        <v>1029</v>
      </c>
      <c r="E985">
        <v>836.35731257784005</v>
      </c>
      <c r="F985">
        <v>836.35731257784005</v>
      </c>
    </row>
    <row r="986" spans="1:6" x14ac:dyDescent="0.2">
      <c r="A986">
        <v>491</v>
      </c>
      <c r="B986" t="s">
        <v>1030</v>
      </c>
      <c r="C986" s="1">
        <v>45480</v>
      </c>
      <c r="D986" t="s">
        <v>1030</v>
      </c>
      <c r="E986">
        <v>169.51502711780699</v>
      </c>
      <c r="F986">
        <v>169.51502711780699</v>
      </c>
    </row>
    <row r="987" spans="1:6" x14ac:dyDescent="0.2">
      <c r="A987">
        <v>491</v>
      </c>
      <c r="B987" t="s">
        <v>1031</v>
      </c>
      <c r="C987" s="1">
        <v>45454</v>
      </c>
      <c r="D987" t="s">
        <v>1031</v>
      </c>
      <c r="E987">
        <v>417885.18542438297</v>
      </c>
      <c r="F987">
        <v>417885.18542438297</v>
      </c>
    </row>
    <row r="988" spans="1:6" x14ac:dyDescent="0.2">
      <c r="A988">
        <v>493</v>
      </c>
      <c r="B988" t="s">
        <v>131</v>
      </c>
      <c r="C988" s="1">
        <v>45329</v>
      </c>
      <c r="D988" t="s">
        <v>131</v>
      </c>
      <c r="E988">
        <v>442880.48695844598</v>
      </c>
      <c r="F988">
        <v>442880.48695844598</v>
      </c>
    </row>
    <row r="989" spans="1:6" x14ac:dyDescent="0.2">
      <c r="A989">
        <v>493</v>
      </c>
      <c r="B989" t="s">
        <v>132</v>
      </c>
      <c r="C989" s="1">
        <v>45484</v>
      </c>
      <c r="D989" t="s">
        <v>132</v>
      </c>
      <c r="E989">
        <v>703197.08728210803</v>
      </c>
      <c r="F989">
        <v>703197.08728210803</v>
      </c>
    </row>
    <row r="990" spans="1:6" x14ac:dyDescent="0.2">
      <c r="A990">
        <v>494</v>
      </c>
      <c r="B990" t="s">
        <v>133</v>
      </c>
      <c r="C990" s="1">
        <v>45544</v>
      </c>
      <c r="D990" t="s">
        <v>133</v>
      </c>
      <c r="E990">
        <v>2368.5549072293902</v>
      </c>
      <c r="F990">
        <v>2368.5549072293902</v>
      </c>
    </row>
    <row r="991" spans="1:6" x14ac:dyDescent="0.2">
      <c r="A991">
        <v>494</v>
      </c>
      <c r="B991" t="s">
        <v>134</v>
      </c>
      <c r="C991" s="1">
        <v>45398</v>
      </c>
      <c r="D991" t="s">
        <v>134</v>
      </c>
      <c r="E991">
        <v>8339.9392097517994</v>
      </c>
      <c r="F991">
        <v>8339.9392097517994</v>
      </c>
    </row>
    <row r="992" spans="1:6" x14ac:dyDescent="0.2">
      <c r="A992">
        <v>494</v>
      </c>
      <c r="B992" t="s">
        <v>356</v>
      </c>
      <c r="C992" s="1">
        <v>45545</v>
      </c>
      <c r="D992" t="s">
        <v>356</v>
      </c>
      <c r="E992">
        <v>5256.4109258490598</v>
      </c>
      <c r="F992">
        <v>5256.4109258490598</v>
      </c>
    </row>
    <row r="993" spans="1:6" x14ac:dyDescent="0.2">
      <c r="A993">
        <v>496</v>
      </c>
      <c r="B993" t="s">
        <v>1032</v>
      </c>
      <c r="C993" s="1">
        <v>45343</v>
      </c>
      <c r="D993" t="s">
        <v>1032</v>
      </c>
      <c r="E993">
        <v>847.95901818484197</v>
      </c>
      <c r="F993">
        <v>847.95901818484197</v>
      </c>
    </row>
    <row r="994" spans="1:6" x14ac:dyDescent="0.2">
      <c r="A994">
        <v>496</v>
      </c>
      <c r="B994" t="s">
        <v>1033</v>
      </c>
      <c r="C994" s="1">
        <v>45618</v>
      </c>
      <c r="D994" t="s">
        <v>1033</v>
      </c>
      <c r="E994">
        <v>42413.642577022598</v>
      </c>
      <c r="F994">
        <v>42413.642577022598</v>
      </c>
    </row>
    <row r="995" spans="1:6" x14ac:dyDescent="0.2">
      <c r="A995">
        <v>496</v>
      </c>
      <c r="B995" t="s">
        <v>1034</v>
      </c>
      <c r="C995" s="1">
        <v>45394</v>
      </c>
      <c r="D995" t="s">
        <v>1034</v>
      </c>
      <c r="E995">
        <v>11.767598159110801</v>
      </c>
      <c r="F995">
        <v>11.767598159110801</v>
      </c>
    </row>
    <row r="996" spans="1:6" x14ac:dyDescent="0.2">
      <c r="A996">
        <v>496</v>
      </c>
      <c r="B996" t="s">
        <v>1035</v>
      </c>
      <c r="C996" s="1">
        <v>45506</v>
      </c>
      <c r="D996" t="s">
        <v>1035</v>
      </c>
      <c r="E996">
        <v>10695.019255404901</v>
      </c>
      <c r="F996">
        <v>10695.019255404901</v>
      </c>
    </row>
    <row r="997" spans="1:6" x14ac:dyDescent="0.2">
      <c r="A997">
        <v>496</v>
      </c>
      <c r="B997" t="s">
        <v>1036</v>
      </c>
      <c r="C997" s="1">
        <v>45403</v>
      </c>
      <c r="D997" t="s">
        <v>1036</v>
      </c>
      <c r="E997">
        <v>1031.4297910221601</v>
      </c>
      <c r="F997">
        <v>1031.4297910221601</v>
      </c>
    </row>
    <row r="998" spans="1:6" x14ac:dyDescent="0.2">
      <c r="A998">
        <v>496</v>
      </c>
      <c r="B998" t="s">
        <v>1037</v>
      </c>
      <c r="C998" s="1">
        <v>45651</v>
      </c>
      <c r="D998" t="s">
        <v>1037</v>
      </c>
      <c r="E998">
        <v>2834.10768809408</v>
      </c>
      <c r="F998">
        <v>2834.10768809408</v>
      </c>
    </row>
    <row r="999" spans="1:6" x14ac:dyDescent="0.2">
      <c r="A999">
        <v>497</v>
      </c>
      <c r="B999" t="s">
        <v>357</v>
      </c>
      <c r="C999" s="1">
        <v>45578</v>
      </c>
      <c r="D999" t="s">
        <v>357</v>
      </c>
      <c r="E999">
        <v>317016.81777470402</v>
      </c>
      <c r="F999">
        <v>317016.81777470402</v>
      </c>
    </row>
    <row r="1000" spans="1:6" x14ac:dyDescent="0.2">
      <c r="A1000">
        <v>499</v>
      </c>
      <c r="B1000" t="s">
        <v>1038</v>
      </c>
      <c r="C1000" s="1">
        <v>45418</v>
      </c>
      <c r="D1000" t="s">
        <v>1038</v>
      </c>
      <c r="E1000">
        <v>630.11600566935203</v>
      </c>
      <c r="F1000">
        <v>630.11600566935203</v>
      </c>
    </row>
    <row r="1001" spans="1:6" x14ac:dyDescent="0.2">
      <c r="A1001">
        <v>499</v>
      </c>
      <c r="B1001" t="s">
        <v>1039</v>
      </c>
      <c r="C1001" s="1">
        <v>45546</v>
      </c>
      <c r="D1001" t="s">
        <v>1039</v>
      </c>
      <c r="E1001">
        <v>1975.8883541422499</v>
      </c>
      <c r="F1001">
        <v>1975.8883541422499</v>
      </c>
    </row>
    <row r="1002" spans="1:6" x14ac:dyDescent="0.2">
      <c r="A1002">
        <v>499</v>
      </c>
      <c r="B1002" t="s">
        <v>1040</v>
      </c>
      <c r="C1002" s="1">
        <v>45548</v>
      </c>
      <c r="D1002" t="s">
        <v>1040</v>
      </c>
      <c r="E1002">
        <v>63475.276708677397</v>
      </c>
      <c r="F1002">
        <v>63475.276708677397</v>
      </c>
    </row>
    <row r="1003" spans="1:6" x14ac:dyDescent="0.2">
      <c r="A1003">
        <v>500</v>
      </c>
      <c r="B1003" t="s">
        <v>1041</v>
      </c>
      <c r="C1003" s="1">
        <v>45525</v>
      </c>
      <c r="D1003" t="s">
        <v>1041</v>
      </c>
      <c r="E1003">
        <v>902.01385501992297</v>
      </c>
      <c r="F1003">
        <v>902.01385501992297</v>
      </c>
    </row>
    <row r="1004" spans="1:6" x14ac:dyDescent="0.2">
      <c r="A1004">
        <v>500</v>
      </c>
      <c r="B1004" t="s">
        <v>1042</v>
      </c>
      <c r="C1004" s="1">
        <v>45592</v>
      </c>
      <c r="D1004" t="s">
        <v>1042</v>
      </c>
      <c r="E1004">
        <v>43017.554394878702</v>
      </c>
      <c r="F1004">
        <v>43017.554394878702</v>
      </c>
    </row>
    <row r="1005" spans="1:6" x14ac:dyDescent="0.2">
      <c r="A1005">
        <v>500</v>
      </c>
      <c r="B1005" t="s">
        <v>1043</v>
      </c>
      <c r="C1005" s="1">
        <v>45396</v>
      </c>
      <c r="D1005" t="s">
        <v>1043</v>
      </c>
      <c r="E1005">
        <v>3937.54201766909</v>
      </c>
      <c r="F1005">
        <v>3937.54201766909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139767-5219-0B4A-B3B7-68E81FF3B93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Sheet1</vt:lpstr>
      <vt:lpstr>ClaimCount</vt:lpstr>
      <vt:lpstr>Settings</vt:lpstr>
      <vt:lpstr>claimSimResults</vt:lpstr>
      <vt:lpstr>frequency_distribution</vt:lpstr>
      <vt:lpstr>frequency_lambda</vt:lpstr>
      <vt:lpstr>frequency_prob</vt:lpstr>
      <vt:lpstr>frequency_trials</vt:lpstr>
      <vt:lpstr>max_claim_amount</vt:lpstr>
      <vt:lpstr>num_policies</vt:lpstr>
      <vt:lpstr>severity_alpha</vt:lpstr>
      <vt:lpstr>severity_distribution</vt:lpstr>
      <vt:lpstr>severity_mu</vt:lpstr>
      <vt:lpstr>severity_sigma</vt:lpstr>
      <vt:lpstr>severity_theta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Tom Berg</cp:lastModifiedBy>
  <dcterms:created xsi:type="dcterms:W3CDTF">2025-02-08T20:16:04Z</dcterms:created>
  <dcterms:modified xsi:type="dcterms:W3CDTF">2025-02-14T04:15:14Z</dcterms:modified>
</cp:coreProperties>
</file>