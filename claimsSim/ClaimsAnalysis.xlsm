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691E7CB4-1690-704C-92E0-CE9E82C75E1F}" xr6:coauthVersionLast="47" xr6:coauthVersionMax="47" xr10:uidLastSave="{00000000-0000-0000-0000-000000000000}"/>
  <bookViews>
    <workbookView xWindow="18640" yWindow="14500" windowWidth="28800" windowHeight="17500" xr2:uid="{4BF5421F-6D43-8944-9C24-E443344B4663}"/>
  </bookViews>
  <sheets>
    <sheet name="Dashboard" sheetId="1" r:id="rId1"/>
    <sheet name="Settings" sheetId="7" r:id="rId2"/>
    <sheet name="PolicyLosses" sheetId="13" state="hidden" r:id="rId3"/>
    <sheet name="claimSimResults" sheetId="6" state="hidden" r:id="rId4"/>
    <sheet name="SeverityCDF" sheetId="15" state="hidden" r:id="rId5"/>
    <sheet name="PolicyLossCDF" sheetId="16" state="hidden" r:id="rId6"/>
  </sheets>
  <functionGroups builtInGroupCount="19"/>
  <definedNames>
    <definedName name="_xlchart.v1.0" hidden="1">PolicyLosses!$C$1</definedName>
    <definedName name="_xlchart.v1.1" hidden="1">PolicyLosses!$C$2:$C$501</definedName>
    <definedName name="_xlchart.v1.2" hidden="1">'claimSimResults'!$F$1</definedName>
    <definedName name="_xlchart.v1.3" hidden="1">'claimSimResults'!$F$2:$F$1080</definedName>
    <definedName name="_xleta.SUM" hidden="1" xlm="1">#NAME?</definedName>
    <definedName name="_xleta.VAR" hidden="1" xlm="1">#NAME?</definedName>
    <definedName name="_xleta.VAR.S" hidden="1" xlm="1">#NAME?</definedName>
    <definedName name="_xlpm.directory" hidden="1" xlm="1">#NAME?</definedName>
    <definedName name="_xlpm.filepath" hidden="1" xlm="1">#NAME?</definedName>
    <definedName name="_xlpm.x" hidden="1" xlm="1">#NAME?</definedName>
    <definedName name="ClaimsByPolicy">'claimSimResults'!$J$7:$L$462</definedName>
    <definedName name="claimSimResults_" localSheetId="3" hidden="1">'claimSimResults'!$A$1:$F$1080</definedName>
    <definedName name="claimSimResultsCsvPath">Settings!$B$8</definedName>
    <definedName name="ExternalData_3" localSheetId="2" hidden="1">PolicyLosses!$A$1:$C$501</definedName>
    <definedName name="frequency_distribution">Table2[Distribution]</definedName>
    <definedName name="frequency_lambda">Table2[lambda]</definedName>
    <definedName name="frequency_prob">Table2[p]</definedName>
    <definedName name="frequency_trials">Table2[trials]</definedName>
    <definedName name="max_claim_amount">Settings!$B$7</definedName>
    <definedName name="num_policies">Settings!$B$6</definedName>
    <definedName name="Rscript_path">Settings!$B$5</definedName>
    <definedName name="SevCDFValueRange">OFFSET(SeverityCDF!$C$4, 0, 0, COUNTA(SeverityCDF!$C:$C) - 1, 1)</definedName>
    <definedName name="SevClaimAmountRange">OFFSET(SeverityCDF!$B$4, 0, 0, COUNTA(SeverityCDF!$B:$B) - 1, 1)</definedName>
    <definedName name="severity_alpha">Table1[alpha]</definedName>
    <definedName name="severity_distribution">Table1[Distribution]</definedName>
    <definedName name="severity_mu">Table1[mu]</definedName>
    <definedName name="severity_sigma">Table1[sigma]</definedName>
    <definedName name="severity_theta">Table1[theta]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1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7" l="1" a="1"/>
  <c r="B8" i="7" s="1"/>
  <c r="P13" i="1"/>
  <c r="D33" i="1"/>
  <c r="D29" i="1"/>
  <c r="P8" i="1"/>
  <c r="P12" i="1"/>
  <c r="P33" i="1"/>
  <c r="P32" i="1"/>
  <c r="P29" i="1"/>
  <c r="D30" i="1"/>
  <c r="B2" i="16" a="1"/>
  <c r="B2" i="16" s="1"/>
  <c r="C2" i="16" s="1" a="1"/>
  <c r="C2" i="16" s="1"/>
  <c r="R29" i="1" a="1"/>
  <c r="R29" i="1" s="1"/>
  <c r="W30" i="1"/>
  <c r="W31" i="1"/>
  <c r="W32" i="1"/>
  <c r="W33" i="1"/>
  <c r="W29" i="1"/>
  <c r="P31" i="1"/>
  <c r="P30" i="1"/>
  <c r="P28" i="1"/>
  <c r="P9" i="1"/>
  <c r="P7" i="1"/>
  <c r="D31" i="1"/>
  <c r="F29" i="1" a="1"/>
  <c r="F29" i="1" s="1"/>
  <c r="B4" i="15" a="1"/>
  <c r="B4" i="15" s="1"/>
  <c r="P11" i="1"/>
  <c r="P10" i="1"/>
  <c r="D32" i="1"/>
  <c r="P17" i="1"/>
  <c r="P18" i="1"/>
  <c r="P19" i="1"/>
  <c r="P20" i="1"/>
  <c r="P16" i="1"/>
  <c r="K33" i="1"/>
  <c r="K32" i="1"/>
  <c r="K31" i="1"/>
  <c r="K30" i="1"/>
  <c r="K29" i="1"/>
  <c r="D28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PolicyLevelAggregate" description="Connection to the 'PolicyLevelAggregate' query in the workbook." type="5" refreshedVersion="8" saveData="1">
    <dbPr connection="Provider=Microsoft.Mashup.OleDb.1;Data Source=$Workbook$;Location=PolicyLevelAggregate;Extended Properties=&quot;&quot;" command="SELECT * FROM [PolicyLevelAggregat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<sst xmlns="http://schemas.openxmlformats.org/spreadsheetml/2006/main" count="2244" uniqueCount="1142">
  <si>
    <t>PolicyID</t>
  </si>
  <si>
    <t>ClaimAmount</t>
  </si>
  <si>
    <t>ClaimDate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</si>
  <si>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</si>
  <si>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</si>
  <si>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</si>
  <si>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</si>
  <si>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</si>
  <si>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</si>
  <si>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</si>
  <si>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</si>
  <si>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</si>
  <si>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</si>
  <si>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</si>
  <si>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</si>
  <si>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</si>
  <si>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Distribution Summary</t>
  </si>
  <si>
    <t>Mean</t>
  </si>
  <si>
    <t>Num Policies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</si>
  <si>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</si>
  <si>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</si>
  <si>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</si>
  <si>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</si>
  <si>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</si>
  <si>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</si>
  <si>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Grand Total</t>
  </si>
  <si>
    <t>ClaimCount</t>
  </si>
  <si>
    <t>NumberOfPolicies</t>
  </si>
  <si>
    <t>Claim Amount</t>
  </si>
  <si>
    <t>Empirical CDF of the claim amounts - sorted for a sanity check</t>
  </si>
  <si>
    <t>Min</t>
  </si>
  <si>
    <t>Max</t>
  </si>
  <si>
    <t>Total Claims</t>
  </si>
  <si>
    <t>Largest Claims</t>
  </si>
  <si>
    <t>TotalClaimAmount</t>
  </si>
  <si>
    <t xml:space="preserve"> </t>
  </si>
  <si>
    <t>Total Loss</t>
  </si>
  <si>
    <t>Empirical CDF of policy losses - sorted for a sanity check</t>
  </si>
  <si>
    <t>Loss</t>
  </si>
  <si>
    <t>CDF(Loss)</t>
  </si>
  <si>
    <t>CDF(Amount)</t>
  </si>
  <si>
    <t>Claim Frequency</t>
  </si>
  <si>
    <t>Claim Severity</t>
  </si>
  <si>
    <t>Total Losses</t>
  </si>
  <si>
    <t>Median</t>
  </si>
  <si>
    <t>Amount</t>
  </si>
  <si>
    <t>Date</t>
  </si>
  <si>
    <t>Policy</t>
  </si>
  <si>
    <t>Claims</t>
  </si>
  <si>
    <t>Percentile</t>
  </si>
  <si>
    <t>Policy-Level Loss</t>
  </si>
  <si>
    <t>Std. Dev</t>
  </si>
  <si>
    <t>Std. Dev.</t>
  </si>
  <si>
    <t>0-claim Policies</t>
  </si>
  <si>
    <t>Gamma</t>
  </si>
  <si>
    <r>
      <rPr>
        <b/>
        <sz val="14"/>
        <color theme="1"/>
        <rFont val="Aptos Narrow"/>
        <scheme val="minor"/>
      </rPr>
      <t>Claim Frequency:</t>
    </r>
    <r>
      <rPr>
        <sz val="14"/>
        <color theme="1"/>
        <rFont val="Aptos Narrow"/>
        <scheme val="minor"/>
      </rPr>
      <t xml:space="preserve"> distribution of the number of claims per policy</t>
    </r>
  </si>
  <si>
    <r>
      <rPr>
        <b/>
        <sz val="14"/>
        <color theme="1"/>
        <rFont val="Aptos Narrow"/>
        <scheme val="minor"/>
      </rPr>
      <t xml:space="preserve">Policy-Level Loss: </t>
    </r>
    <r>
      <rPr>
        <sz val="14"/>
        <color theme="1"/>
        <rFont val="Aptos Narrow"/>
        <scheme val="minor"/>
      </rPr>
      <t>distribution of total loss amounts per policy</t>
    </r>
  </si>
  <si>
    <t>Top Policies by Loss Amount</t>
  </si>
  <si>
    <t>This is hardcoded in the R script (for now), so this can't be changed. TODO: support passing this to the R script</t>
  </si>
  <si>
    <t>Results Csv Path</t>
  </si>
  <si>
    <t>This is where powerquery will look for the simulation results</t>
  </si>
  <si>
    <r>
      <rPr>
        <b/>
        <sz val="14"/>
        <color theme="1"/>
        <rFont val="Aptos Narrow"/>
        <scheme val="minor"/>
      </rPr>
      <t xml:space="preserve">Claim Severity:      </t>
    </r>
    <r>
      <rPr>
        <sz val="14"/>
        <color theme="1"/>
        <rFont val="Aptos Narrow"/>
        <scheme val="minor"/>
      </rPr>
      <t>distribution of individual claim amounts</t>
    </r>
  </si>
  <si>
    <t>0.107525168854414</t>
  </si>
  <si>
    <t>0.504740769935949</t>
  </si>
  <si>
    <t>0.279937813712569</t>
  </si>
  <si>
    <t>0.11922872308669</t>
  </si>
  <si>
    <t>0.075190364599179</t>
  </si>
  <si>
    <t>0.315505179234479</t>
  </si>
  <si>
    <t>0.234271970780042</t>
  </si>
  <si>
    <t>0.0703283277505258</t>
  </si>
  <si>
    <t>0.029144557068867</t>
  </si>
  <si>
    <t>0.245429080588635</t>
  </si>
  <si>
    <t>0.0605503550287921</t>
  </si>
  <si>
    <t>0.156469773522048</t>
  </si>
  <si>
    <t>0.630247942513426</t>
  </si>
  <si>
    <t>0.275262444907751</t>
  </si>
  <si>
    <t>0.0789830277743215</t>
  </si>
  <si>
    <t>0.389929926334116</t>
  </si>
  <si>
    <t>0.158085820351013</t>
  </si>
  <si>
    <t>0.197664038337339</t>
  </si>
  <si>
    <t>0.17764121973411</t>
  </si>
  <si>
    <t>0.282852792502315</t>
  </si>
  <si>
    <t>0.559303145894387</t>
  </si>
  <si>
    <t>0.333954826617548</t>
  </si>
  <si>
    <t>0.176258960164585</t>
  </si>
  <si>
    <t>0.105441249463959</t>
  </si>
  <si>
    <t>0.098284953209316</t>
  </si>
  <si>
    <t>0.13157746270102</t>
  </si>
  <si>
    <t>0.139732514376647</t>
  </si>
  <si>
    <t>0.0740693146795186</t>
  </si>
  <si>
    <t>0.0294187066570667</t>
  </si>
  <si>
    <t>0.269598553486039</t>
  </si>
  <si>
    <t>0.0844020538201024</t>
  </si>
  <si>
    <t>0.227008030288468</t>
  </si>
  <si>
    <t>0.174096938776802</t>
  </si>
  <si>
    <t>0.28842135841553</t>
  </si>
  <si>
    <t>0.0380743432528095</t>
  </si>
  <si>
    <t>0.583806215759578</t>
  </si>
  <si>
    <t>0.150329840954716</t>
  </si>
  <si>
    <t>0.168168298473001</t>
  </si>
  <si>
    <t>0.29859104071586</t>
  </si>
  <si>
    <t>0.0638112193854923</t>
  </si>
  <si>
    <t>0.208665669299551</t>
  </si>
  <si>
    <t>0.0161858963781434</t>
  </si>
  <si>
    <t>0.217591555776937</t>
  </si>
  <si>
    <t>0.109151784185519</t>
  </si>
  <si>
    <t>0.261976082918573</t>
  </si>
  <si>
    <t>0.10920439858597</t>
  </si>
  <si>
    <t>0.392413352430507</t>
  </si>
  <si>
    <t>0.174945199887848</t>
  </si>
  <si>
    <t>0.130576299135352</t>
  </si>
  <si>
    <t>0.294003466577364</t>
  </si>
  <si>
    <t>0.205588009793501</t>
  </si>
  <si>
    <t>0.0698324769870811</t>
  </si>
  <si>
    <t>0.114578322179896</t>
  </si>
  <si>
    <t>0.211306445364919</t>
  </si>
  <si>
    <t>0.137350176666558</t>
  </si>
  <si>
    <t>0.121236496221721</t>
  </si>
  <si>
    <t>0.109260315190007</t>
  </si>
  <si>
    <t>0.126813494492074</t>
  </si>
  <si>
    <t>0.206085268146105</t>
  </si>
  <si>
    <t>0.0674868072048885</t>
  </si>
  <si>
    <t>0.349200299798407</t>
  </si>
  <si>
    <t>0.0637573562188934</t>
  </si>
  <si>
    <t>0.0643938670467256</t>
  </si>
  <si>
    <t>0.0822097744866052</t>
  </si>
  <si>
    <t>0.224739780765491</t>
  </si>
  <si>
    <t>0.130314596512339</t>
  </si>
  <si>
    <t>0.160102564618933</t>
  </si>
  <si>
    <t>0.1215438425481</t>
  </si>
  <si>
    <t>0.171273589810613</t>
  </si>
  <si>
    <t>0.025002058626641</t>
  </si>
  <si>
    <t>0.101790810752372</t>
  </si>
  <si>
    <t>0.116884159656395</t>
  </si>
  <si>
    <t>0.11770729267573</t>
  </si>
  <si>
    <t>0.0667660997165944</t>
  </si>
  <si>
    <t>0.403913207467988</t>
  </si>
  <si>
    <t>0.094942675652629</t>
  </si>
  <si>
    <t>0.0749506571248814</t>
  </si>
  <si>
    <t>0.279234260176847</t>
  </si>
  <si>
    <t>0.30071855533682</t>
  </si>
  <si>
    <t>0.40520496805306</t>
  </si>
  <si>
    <t>0.118113344449804</t>
  </si>
  <si>
    <t>0.11075603661637</t>
  </si>
  <si>
    <t>0.20439651045577</t>
  </si>
  <si>
    <t>0.405487033558801</t>
  </si>
  <si>
    <t>0.142511914653919</t>
  </si>
  <si>
    <t>0.209097521327691</t>
  </si>
  <si>
    <t>0.101736211509356</t>
  </si>
  <si>
    <t>0.177426367687258</t>
  </si>
  <si>
    <t>0.213873393374757</t>
  </si>
  <si>
    <t>0.0904269886161105</t>
  </si>
  <si>
    <t>0.276846364140214</t>
  </si>
  <si>
    <t>0.0940983700601464</t>
  </si>
  <si>
    <t>0.0358840100109497</t>
  </si>
  <si>
    <t>0.449421757802668</t>
  </si>
  <si>
    <t>0.143603114797308</t>
  </si>
  <si>
    <t>0.476820879289624</t>
  </si>
  <si>
    <t>0.431428292099862</t>
  </si>
  <si>
    <t>0.0946362029451137</t>
  </si>
  <si>
    <t>0.0461462742490145</t>
  </si>
  <si>
    <t>0.06245950512701</t>
  </si>
  <si>
    <t>0.174688683725703</t>
  </si>
  <si>
    <t>0.0903886328528645</t>
  </si>
  <si>
    <t>0.121643788565271</t>
  </si>
  <si>
    <t>0.177229775617972</t>
  </si>
  <si>
    <t>0.2076453864526</t>
  </si>
  <si>
    <t>0.401701251111899</t>
  </si>
  <si>
    <t>0.252803262499624</t>
  </si>
  <si>
    <t>0.0273528821169672</t>
  </si>
  <si>
    <t>0.0523439985850243</t>
  </si>
  <si>
    <t>0.30777379848164</t>
  </si>
  <si>
    <t>0.422510838600023</t>
  </si>
  <si>
    <t>0.12198396900501</t>
  </si>
  <si>
    <t>0.162744732947556</t>
  </si>
  <si>
    <t>0.26614147871636</t>
  </si>
  <si>
    <t>0.168903220028225</t>
  </si>
  <si>
    <t>0.079354414918276</t>
  </si>
  <si>
    <t>0.131033135479745</t>
  </si>
  <si>
    <t>0.166345055377606</t>
  </si>
  <si>
    <t>0.144792699718946</t>
  </si>
  <si>
    <t>0.21378254146991</t>
  </si>
  <si>
    <t>0.0413811392084555</t>
  </si>
  <si>
    <t>0.161118594017637</t>
  </si>
  <si>
    <t>0.182191562697624</t>
  </si>
  <si>
    <t>0.172275874635649</t>
  </si>
  <si>
    <t>0.0493959551649269</t>
  </si>
  <si>
    <t>0.342413048778613</t>
  </si>
  <si>
    <t>0.0943936562240187</t>
  </si>
  <si>
    <t>0.176141106289949</t>
  </si>
  <si>
    <t>0.200918666808266</t>
  </si>
  <si>
    <t>0.629241807956799</t>
  </si>
  <si>
    <t>0.112692680001935</t>
  </si>
  <si>
    <t>0.22053896295145</t>
  </si>
  <si>
    <t>0.231350080483811</t>
  </si>
  <si>
    <t>0.0490272210374106</t>
  </si>
  <si>
    <t>0.0718024112228242</t>
  </si>
  <si>
    <t>0.146387185344379</t>
  </si>
  <si>
    <t>0.378934681725275</t>
  </si>
  <si>
    <t>0.16816165210071</t>
  </si>
  <si>
    <t>0.545280538392873</t>
  </si>
  <si>
    <t>0.162131202893374</t>
  </si>
  <si>
    <t>0.256749099362485</t>
  </si>
  <si>
    <t>0.197701785296051</t>
  </si>
  <si>
    <t>0.19994826296867</t>
  </si>
  <si>
    <t>0.247444939344887</t>
  </si>
  <si>
    <t>0.0388934393163568</t>
  </si>
  <si>
    <t>0.0233640967738935</t>
  </si>
  <si>
    <t>0.145400676453769</t>
  </si>
  <si>
    <t>0.162304974516755</t>
  </si>
  <si>
    <t>0.217046477264081</t>
  </si>
  <si>
    <t>0.0472128236364271</t>
  </si>
  <si>
    <t>0.20974428280677</t>
  </si>
  <si>
    <t>0.448633787398789</t>
  </si>
  <si>
    <t>0.165149366853801</t>
  </si>
  <si>
    <t>0.0741412452812285</t>
  </si>
  <si>
    <t>0.177641741445596</t>
  </si>
  <si>
    <t>0.106139315802636</t>
  </si>
  <si>
    <t>0.573789240877184</t>
  </si>
  <si>
    <t>0.260662773522418</t>
  </si>
  <si>
    <t>0.111742291149617</t>
  </si>
  <si>
    <t>0.263589901704813</t>
  </si>
  <si>
    <t>0.216577926205455</t>
  </si>
  <si>
    <t>0.0280649177768995</t>
  </si>
  <si>
    <t>0.289826004395794</t>
  </si>
  <si>
    <t>0.20009046273748</t>
  </si>
  <si>
    <t>0.0711617956778124</t>
  </si>
  <si>
    <t>0.179576533740458</t>
  </si>
  <si>
    <t>0.0143499791994887</t>
  </si>
  <si>
    <t>0.131133916447809</t>
  </si>
  <si>
    <t>0.145680381265042</t>
  </si>
  <si>
    <t>0.0559796640489792</t>
  </si>
  <si>
    <t>0.0733849862767619</t>
  </si>
  <si>
    <t>0.135699210161946</t>
  </si>
  <si>
    <t>0.116178797833861</t>
  </si>
  <si>
    <t>0.0623241168707994</t>
  </si>
  <si>
    <t>0.0507971959710894</t>
  </si>
  <si>
    <t>0.0335237476725663</t>
  </si>
  <si>
    <t>0.308444952439121</t>
  </si>
  <si>
    <t>0.0409781217642104</t>
  </si>
  <si>
    <t>0.218740333652231</t>
  </si>
  <si>
    <t>0.136087541915018</t>
  </si>
  <si>
    <t>0.27211564616766</t>
  </si>
  <si>
    <t>0.357942434081095</t>
  </si>
  <si>
    <t>0.135430783106433</t>
  </si>
  <si>
    <t>0.177418286550533</t>
  </si>
  <si>
    <t>0.204460154144174</t>
  </si>
  <si>
    <t>0.148676502219892</t>
  </si>
  <si>
    <t>0.158007366021079</t>
  </si>
  <si>
    <t>0.125527268280205</t>
  </si>
  <si>
    <t>0.313804307934837</t>
  </si>
  <si>
    <t>0.47397616659638</t>
  </si>
  <si>
    <t>0.259458804763194</t>
  </si>
  <si>
    <t>0.168974512544667</t>
  </si>
  <si>
    <t>0.190998490156351</t>
  </si>
  <si>
    <t>0.0426522294451995</t>
  </si>
  <si>
    <t>0.591249136294228</t>
  </si>
  <si>
    <t>0.236302804628722</t>
  </si>
  <si>
    <t>0.331146074324383</t>
  </si>
  <si>
    <t>0.165847624667882</t>
  </si>
  <si>
    <t>0.111169209224</t>
  </si>
  <si>
    <t>0.287993661834639</t>
  </si>
  <si>
    <t>0.217456096217209</t>
  </si>
  <si>
    <t>0.155667117400492</t>
  </si>
  <si>
    <t>0.192198098835736</t>
  </si>
  <si>
    <t>0.05552386041541</t>
  </si>
  <si>
    <t>0.120484747972115</t>
  </si>
  <si>
    <t>0.27978300272837</t>
  </si>
  <si>
    <t>0.13257347012135</t>
  </si>
  <si>
    <t>0.186744519409335</t>
  </si>
  <si>
    <t>0.104288193254921</t>
  </si>
  <si>
    <t>0.199651903267491</t>
  </si>
  <si>
    <t>0.0188321781062801</t>
  </si>
  <si>
    <t>0.218215298924874</t>
  </si>
  <si>
    <t>0.329623559329986</t>
  </si>
  <si>
    <t>0.187807048662523</t>
  </si>
  <si>
    <t>0.399365505244658</t>
  </si>
  <si>
    <t>0.117590977819916</t>
  </si>
  <si>
    <t>0.236737428267142</t>
  </si>
  <si>
    <t>0.086195912653327</t>
  </si>
  <si>
    <t>0.0783828795977604</t>
  </si>
  <si>
    <t>0.201566230034275</t>
  </si>
  <si>
    <t>0.0296326160122437</t>
  </si>
  <si>
    <t>0.504327000238529</t>
  </si>
  <si>
    <t>0.550866469707356</t>
  </si>
  <si>
    <t>0.317680430441451</t>
  </si>
  <si>
    <t>0.349945388736985</t>
  </si>
  <si>
    <t>0.562298950795209</t>
  </si>
  <si>
    <t>0.245517431291979</t>
  </si>
  <si>
    <t>0.027784252370095</t>
  </si>
  <si>
    <t>0.336281941993194</t>
  </si>
  <si>
    <t>0.0308422205798414</t>
  </si>
  <si>
    <t>0.286483764632202</t>
  </si>
  <si>
    <t>0.236187290520106</t>
  </si>
  <si>
    <t>0.290445974673908</t>
  </si>
  <si>
    <t>0.162411745418355</t>
  </si>
  <si>
    <t>0.116175307791655</t>
  </si>
  <si>
    <t>0.0812201193738631</t>
  </si>
  <si>
    <t>0.435505140168625</t>
  </si>
  <si>
    <t>0.0204859965015352</t>
  </si>
  <si>
    <t>0.152515145825215</t>
  </si>
  <si>
    <t>0.0221051932679046</t>
  </si>
  <si>
    <t>0.134338693650633</t>
  </si>
  <si>
    <t>0.0847258176728719</t>
  </si>
  <si>
    <t>0.108035336039424</t>
  </si>
  <si>
    <t>0.0980882219381466</t>
  </si>
  <si>
    <t>0.287176615253888</t>
  </si>
  <si>
    <t>0.118088636540411</t>
  </si>
  <si>
    <t>0.189785995056896</t>
  </si>
  <si>
    <t>0.200352074427999</t>
  </si>
  <si>
    <t>0.163256581969033</t>
  </si>
  <si>
    <t>0.064034293213933</t>
  </si>
  <si>
    <t>0.191528992801643</t>
  </si>
  <si>
    <t>0.0652299743020282</t>
  </si>
  <si>
    <t>0.247007679871121</t>
  </si>
  <si>
    <t>0.0859720012548731</t>
  </si>
  <si>
    <t>0.291100022231273</t>
  </si>
  <si>
    <t>0.0961050351659916</t>
  </si>
  <si>
    <t>0.0130027033077511</t>
  </si>
  <si>
    <t>0.24590990431112</t>
  </si>
  <si>
    <t>0.0648490877536183</t>
  </si>
  <si>
    <t>0.177348844252332</t>
  </si>
  <si>
    <t>0.0302139102497864</t>
  </si>
  <si>
    <t>0.201335511631311</t>
  </si>
  <si>
    <t>0.283425165692555</t>
  </si>
  <si>
    <t>0.304414839898297</t>
  </si>
  <si>
    <t>0.202587695977205</t>
  </si>
  <si>
    <t>0.288998809121787</t>
  </si>
  <si>
    <t>0.26226986206662</t>
  </si>
  <si>
    <t>0.162614728423335</t>
  </si>
  <si>
    <t>0.150227912036588</t>
  </si>
  <si>
    <t>0.39845229544225</t>
  </si>
  <si>
    <t>0.261414025437032</t>
  </si>
  <si>
    <t>0.0514992980491869</t>
  </si>
  <si>
    <t>0.309761017203663</t>
  </si>
  <si>
    <t>0.420872810960289</t>
  </si>
  <si>
    <t>0.0509183867607808</t>
  </si>
  <si>
    <t>0.0874042005163323</t>
  </si>
  <si>
    <t>0.156755782218316</t>
  </si>
  <si>
    <t>0.0572232267663527</t>
  </si>
  <si>
    <t>0.00831379192788324</t>
  </si>
  <si>
    <t>0.111975426838069</t>
  </si>
  <si>
    <t>0.114752641160981</t>
  </si>
  <si>
    <t>0.114227128235437</t>
  </si>
  <si>
    <t>0.319543751574663</t>
  </si>
  <si>
    <t>0.234330762037783</t>
  </si>
  <si>
    <t>0.257998105991845</t>
  </si>
  <si>
    <t>0.0918003845072686</t>
  </si>
  <si>
    <t>0.113197223134351</t>
  </si>
  <si>
    <t>0.0378028048074978</t>
  </si>
  <si>
    <t>0.239265349345007</t>
  </si>
  <si>
    <t>0.149804707511108</t>
  </si>
  <si>
    <t>0.223724697484614</t>
  </si>
  <si>
    <t>0.0860545748176715</t>
  </si>
  <si>
    <t>0.193333904882123</t>
  </si>
  <si>
    <t>0.181961978656154</t>
  </si>
  <si>
    <t>0.237736309148817</t>
  </si>
  <si>
    <t>0.0619245075113429</t>
  </si>
  <si>
    <t>0.560175696871206</t>
  </si>
  <si>
    <t>0.212804779955205</t>
  </si>
  <si>
    <t>0.0714992282304941</t>
  </si>
  <si>
    <t>0.267178292880291</t>
  </si>
  <si>
    <t>0.176793672335192</t>
  </si>
  <si>
    <t>0.0860836202476183</t>
  </si>
  <si>
    <t>0.0871385814742749</t>
  </si>
  <si>
    <t>0.161877584974764</t>
  </si>
  <si>
    <t>0.062912173637547</t>
  </si>
  <si>
    <t>0.218328679890271</t>
  </si>
  <si>
    <t>0.0924053875816803</t>
  </si>
  <si>
    <t>0.0454551034333317</t>
  </si>
  <si>
    <t>0.63170735929396</t>
  </si>
  <si>
    <t>0.0432983597444212</t>
  </si>
  <si>
    <t>0.190759173604416</t>
  </si>
  <si>
    <t>0.43161776248362</t>
  </si>
  <si>
    <t>0.189914414649067</t>
  </si>
  <si>
    <t>0.122731339733475</t>
  </si>
  <si>
    <t>0.296808696307723</t>
  </si>
  <si>
    <t>0.0616334018208544</t>
  </si>
  <si>
    <t>0.370269997608347</t>
  </si>
  <si>
    <t>0.457595396526389</t>
  </si>
  <si>
    <t>0.0916117828294536</t>
  </si>
  <si>
    <t>0.362551210004327</t>
  </si>
  <si>
    <t>0.245386485967034</t>
  </si>
  <si>
    <t>0.0344564912162116</t>
  </si>
  <si>
    <t>0.0621314150738247</t>
  </si>
  <si>
    <t>0.011238436642469</t>
  </si>
  <si>
    <t>0.268383877882127</t>
  </si>
  <si>
    <t>0.0769993340051124</t>
  </si>
  <si>
    <t>0.693156743688002</t>
  </si>
  <si>
    <t>0.0145790381442222</t>
  </si>
  <si>
    <t>0.165100690364547</t>
  </si>
  <si>
    <t>0.434416383466541</t>
  </si>
  <si>
    <t>0.212415703876246</t>
  </si>
  <si>
    <t>0.12724644352661</t>
  </si>
  <si>
    <t>0.188691608760128</t>
  </si>
  <si>
    <t>0.133284229339204</t>
  </si>
  <si>
    <t>0.120772727570112</t>
  </si>
  <si>
    <t>0.0577429412355973</t>
  </si>
  <si>
    <t>0.12315589315593</t>
  </si>
  <si>
    <t>0.0838340037946187</t>
  </si>
  <si>
    <t>0.139342669342252</t>
  </si>
  <si>
    <t>0.130178026191702</t>
  </si>
  <si>
    <t>0.223971931656904</t>
  </si>
  <si>
    <t>0.156897311818839</t>
  </si>
  <si>
    <t>0.110605058249733</t>
  </si>
  <si>
    <t>0.0616945138016253</t>
  </si>
  <si>
    <t>0.0994028185612523</t>
  </si>
  <si>
    <t>0.0165546178866738</t>
  </si>
  <si>
    <t>0.252858553424581</t>
  </si>
  <si>
    <t>0.739180709379193</t>
  </si>
  <si>
    <t>0.0760463703896808</t>
  </si>
  <si>
    <t>0.201201674569839</t>
  </si>
  <si>
    <t>0.287368436899026</t>
  </si>
  <si>
    <t>0.186501228640074</t>
  </si>
  <si>
    <t>0.213944464635581</t>
  </si>
  <si>
    <t>0.0454253033289725</t>
  </si>
  <si>
    <t>0.340861829375984</t>
  </si>
  <si>
    <t>0.490999001533235</t>
  </si>
  <si>
    <t>0.0737468468615666</t>
  </si>
  <si>
    <t>0.310997704807777</t>
  </si>
  <si>
    <t>0.309062071451639</t>
  </si>
  <si>
    <t>0.0827539498349041</t>
  </si>
  <si>
    <t>0.150306340239442</t>
  </si>
  <si>
    <t>0.0192250165522645</t>
  </si>
  <si>
    <t>0.285305899130607</t>
  </si>
  <si>
    <t>0.0875454713073756</t>
  </si>
  <si>
    <t>0.148325820037268</t>
  </si>
  <si>
    <t>0.109780970469754</t>
  </si>
  <si>
    <t>0.0560356020443412</t>
  </si>
  <si>
    <t>0.0476263937686533</t>
  </si>
  <si>
    <t>0.240763776008105</t>
  </si>
  <si>
    <t>0.5863449062556</t>
  </si>
  <si>
    <t>0.0946486714747722</t>
  </si>
  <si>
    <t>0.102422023408374</t>
  </si>
  <si>
    <t>0.159396533278631</t>
  </si>
  <si>
    <t>0.159152064181307</t>
  </si>
  <si>
    <t>0.329946960787775</t>
  </si>
  <si>
    <t>0.153704827561589</t>
  </si>
  <si>
    <t>0.10643552302105</t>
  </si>
  <si>
    <t>0.238679748506138</t>
  </si>
  <si>
    <t>0.289118777895775</t>
  </si>
  <si>
    <t>0.0649412061394279</t>
  </si>
  <si>
    <t>0.127289088864156</t>
  </si>
  <si>
    <t>0.124371493895257</t>
  </si>
  <si>
    <t>0.306892720941122</t>
  </si>
  <si>
    <t>0.172162758705081</t>
  </si>
  <si>
    <t>0.365468805116421</t>
  </si>
  <si>
    <t>0.163367182445783</t>
  </si>
  <si>
    <t>0.146771537804361</t>
  </si>
  <si>
    <t>0.350358591623844</t>
  </si>
  <si>
    <t>0.046205861488646</t>
  </si>
  <si>
    <t>0.130099001320921</t>
  </si>
  <si>
    <t>0.103996688508486</t>
  </si>
  <si>
    <t>0.16747497099819</t>
  </si>
  <si>
    <t>0.163593249550871</t>
  </si>
  <si>
    <t>0.224930061035396</t>
  </si>
  <si>
    <t>0.339695410235091</t>
  </si>
  <si>
    <t>0.166085427811199</t>
  </si>
  <si>
    <t>0.326659197890366</t>
  </si>
  <si>
    <t>0.290831053237008</t>
  </si>
  <si>
    <t>0.112664703960091</t>
  </si>
  <si>
    <t>0.137727033466829</t>
  </si>
  <si>
    <t>0.180639025379218</t>
  </si>
  <si>
    <t>0.146669390727966</t>
  </si>
  <si>
    <t>0.0269082861952174</t>
  </si>
  <si>
    <t>0.0869108076920165</t>
  </si>
  <si>
    <t>0.0619553380501446</t>
  </si>
  <si>
    <t>0.366723317915669</t>
  </si>
  <si>
    <t>0.487468498738398</t>
  </si>
  <si>
    <t>0.0901802835917863</t>
  </si>
  <si>
    <t>0.215077957404242</t>
  </si>
  <si>
    <t>0.0338843081827708</t>
  </si>
  <si>
    <t>0.116872201286683</t>
  </si>
  <si>
    <t>0.27733382503352</t>
  </si>
  <si>
    <t>0.660799398954641</t>
  </si>
  <si>
    <t>0.0967088266540226</t>
  </si>
  <si>
    <t>0.0733306690400617</t>
  </si>
  <si>
    <t>0.0711166267660491</t>
  </si>
  <si>
    <t>0.490107435868372</t>
  </si>
  <si>
    <t>0.0960836543965796</t>
  </si>
  <si>
    <t>0.269124998489524</t>
  </si>
  <si>
    <t>0.1880920979255</t>
  </si>
  <si>
    <t>0.393975837829882</t>
  </si>
  <si>
    <t>0.194215420474813</t>
  </si>
  <si>
    <t>0.223618210969195</t>
  </si>
  <si>
    <t>0.109939056625151</t>
  </si>
  <si>
    <t>0.134790374308392</t>
  </si>
  <si>
    <t>0.631250426101262</t>
  </si>
  <si>
    <t>0.12514216859353</t>
  </si>
  <si>
    <t>0.124117824552295</t>
  </si>
  <si>
    <t>0.11826452117277</t>
  </si>
  <si>
    <t>0.0252446035202479</t>
  </si>
  <si>
    <t>0.203166434775268</t>
  </si>
  <si>
    <t>0.0808988893581404</t>
  </si>
  <si>
    <t>0.0680605026242024</t>
  </si>
  <si>
    <t>0.0438830775630198</t>
  </si>
  <si>
    <t>0.0462588907726952</t>
  </si>
  <si>
    <t>0.190815339797362</t>
  </si>
  <si>
    <t>0.697413036004837</t>
  </si>
  <si>
    <t>0.0378703576085601</t>
  </si>
  <si>
    <t>0.45064743571176</t>
  </si>
  <si>
    <t>0.229185382494735</t>
  </si>
  <si>
    <t>0.294777369948078</t>
  </si>
  <si>
    <t>0.0871504463583095</t>
  </si>
  <si>
    <t>0.224148259626206</t>
  </si>
  <si>
    <t>0.300456980943412</t>
  </si>
  <si>
    <t>0.0826755453484155</t>
  </si>
  <si>
    <t>0.0318938731414824</t>
  </si>
  <si>
    <t>0.135974451332235</t>
  </si>
  <si>
    <t>0.342034879614836</t>
  </si>
  <si>
    <t>0.061810238506092</t>
  </si>
  <si>
    <t>0.228518345029932</t>
  </si>
  <si>
    <t>0.37414543964321</t>
  </si>
  <si>
    <t>0.0249164351845373</t>
  </si>
  <si>
    <t>0.285427150518642</t>
  </si>
  <si>
    <t>0.0698785903063227</t>
  </si>
  <si>
    <t>0.227078792640781</t>
  </si>
  <si>
    <t>0.343511886499007</t>
  </si>
  <si>
    <t>0.169791984298079</t>
  </si>
  <si>
    <t>0.0452752426578417</t>
  </si>
  <si>
    <t>0.243552741093684</t>
  </si>
  <si>
    <t>0.0693344106719174</t>
  </si>
  <si>
    <t>0.20101202339425</t>
  </si>
  <si>
    <t>0.349842056360261</t>
  </si>
  <si>
    <t>0.100989469054215</t>
  </si>
  <si>
    <t>0.277637582216074</t>
  </si>
  <si>
    <t>0.197381001368528</t>
  </si>
  <si>
    <t>0.449038485700909</t>
  </si>
  <si>
    <t>0.231771666635962</t>
  </si>
  <si>
    <t>0.370315531489888</t>
  </si>
  <si>
    <t>0.251883236228337</t>
  </si>
  <si>
    <t>0.177080430653028</t>
  </si>
  <si>
    <t>0.0886780442086727</t>
  </si>
  <si>
    <t>0.214308502899691</t>
  </si>
  <si>
    <t>0.100790853866553</t>
  </si>
  <si>
    <t>0.316994905594817</t>
  </si>
  <si>
    <t>0.296351013165378</t>
  </si>
  <si>
    <t>0.222850963945444</t>
  </si>
  <si>
    <t>0.0902906069794937</t>
  </si>
  <si>
    <t>0.0261788316501843</t>
  </si>
  <si>
    <t>0.252100403532174</t>
  </si>
  <si>
    <t>0.088457167073145</t>
  </si>
  <si>
    <t>0.105998932611369</t>
  </si>
  <si>
    <t>0.253362309876984</t>
  </si>
  <si>
    <t>0.125163731143969</t>
  </si>
  <si>
    <t>0.501977796097287</t>
  </si>
  <si>
    <t>0.18383172847023</t>
  </si>
  <si>
    <t>0.0777694895248285</t>
  </si>
  <si>
    <t>0.132801560743026</t>
  </si>
  <si>
    <t>0.262226761630811</t>
  </si>
  <si>
    <t>0.277509672046276</t>
  </si>
  <si>
    <t>0.134110221556316</t>
  </si>
  <si>
    <t>0.248109356702741</t>
  </si>
  <si>
    <t>0.354008058761307</t>
  </si>
  <si>
    <t>0.162705930727897</t>
  </si>
  <si>
    <t>0.238249431773557</t>
  </si>
  <si>
    <t>0.0799123367072877</t>
  </si>
  <si>
    <t>0.0634578203167434</t>
  </si>
  <si>
    <t>0.292728028133605</t>
  </si>
  <si>
    <t>0.387619248061567</t>
  </si>
  <si>
    <t>0.0871988095021104</t>
  </si>
  <si>
    <t>0.251470253784866</t>
  </si>
  <si>
    <t>0.387555769705698</t>
  </si>
  <si>
    <t>0.273912932943065</t>
  </si>
  <si>
    <t>0.112407468871704</t>
  </si>
  <si>
    <t>0.0638500390617165</t>
  </si>
  <si>
    <t>0.0141322842211441</t>
  </si>
  <si>
    <t>0.0853504163000281</t>
  </si>
  <si>
    <t>0.209138606895266</t>
  </si>
  <si>
    <t>0.244961373137582</t>
  </si>
  <si>
    <t>0.114406424429158</t>
  </si>
  <si>
    <t>0.0933754021743361</t>
  </si>
  <si>
    <t>0.0529263457079518</t>
  </si>
  <si>
    <t>0.148543366279835</t>
  </si>
  <si>
    <t>0.109518730803524</t>
  </si>
  <si>
    <t>0.19580435054409</t>
  </si>
  <si>
    <t>0.172963498014398</t>
  </si>
  <si>
    <t>0.134349267687989</t>
  </si>
  <si>
    <t>0.0201518778958522</t>
  </si>
  <si>
    <t>0.179070128581458</t>
  </si>
  <si>
    <t>0.165259002601225</t>
  </si>
  <si>
    <t>0.144227324742045</t>
  </si>
  <si>
    <t>0.0254409685047136</t>
  </si>
  <si>
    <t>0.109213370843064</t>
  </si>
  <si>
    <t>0.092465480417646</t>
  </si>
  <si>
    <t>0.63437632147206</t>
  </si>
  <si>
    <t>0.0887676987067855</t>
  </si>
  <si>
    <t>0.163326804418884</t>
  </si>
  <si>
    <t>0.427600649969114</t>
  </si>
  <si>
    <t>0.0551061588728188</t>
  </si>
  <si>
    <t>0.177989227321092</t>
  </si>
  <si>
    <t>0.28726857264332</t>
  </si>
  <si>
    <t>0.12128868058079</t>
  </si>
  <si>
    <t>0.309284983226172</t>
  </si>
  <si>
    <t>0.385473354617098</t>
  </si>
  <si>
    <t>0.0995077963637538</t>
  </si>
  <si>
    <t>0.260434469603524</t>
  </si>
  <si>
    <t>0.680891061362853</t>
  </si>
  <si>
    <t>0.0515787532125354</t>
  </si>
  <si>
    <t>0.186536021307465</t>
  </si>
  <si>
    <t>0.0926519539892033</t>
  </si>
  <si>
    <t>0.40782972343111</t>
  </si>
  <si>
    <t>0.748458502843287</t>
  </si>
  <si>
    <t>0.102098282760077</t>
  </si>
  <si>
    <t>0.0376449021346578</t>
  </si>
  <si>
    <t>0.0406551987718452</t>
  </si>
  <si>
    <t>0.134183410617068</t>
  </si>
  <si>
    <t>0.242334112542687</t>
  </si>
  <si>
    <t>0.359987965028997</t>
  </si>
  <si>
    <t>0.246957061376121</t>
  </si>
  <si>
    <t>0.0314347229632013</t>
  </si>
  <si>
    <t>0.0524935838246333</t>
  </si>
  <si>
    <t>0.135491157189136</t>
  </si>
  <si>
    <t>0.104948385731392</t>
  </si>
  <si>
    <t>0.269347278543709</t>
  </si>
  <si>
    <t>0.300761931490406</t>
  </si>
  <si>
    <t>0.206126452053143</t>
  </si>
  <si>
    <t>0.296842766595223</t>
  </si>
  <si>
    <t>0.00626788592083843</t>
  </si>
  <si>
    <t>0.0599885140871034</t>
  </si>
  <si>
    <t>Binomial</t>
  </si>
  <si>
    <t>0.409657299219286</t>
  </si>
  <si>
    <t>0.119344099873414</t>
  </si>
  <si>
    <t>0.254244790233321</t>
  </si>
  <si>
    <t>0.21234777360137</t>
  </si>
  <si>
    <t>0.215879849984219</t>
  </si>
  <si>
    <t>0.280816230898039</t>
  </si>
  <si>
    <t>0.172172770652382</t>
  </si>
  <si>
    <t>0.207022674415428</t>
  </si>
  <si>
    <t>0.153037277236236</t>
  </si>
  <si>
    <t>0.323056201883184</t>
  </si>
  <si>
    <t>0.495501472525663</t>
  </si>
  <si>
    <t>0.158280380113481</t>
  </si>
  <si>
    <t>0.0301723380316012</t>
  </si>
  <si>
    <t>0.103040801317809</t>
  </si>
  <si>
    <t>0.101236821811999</t>
  </si>
  <si>
    <t>0.150894178708181</t>
  </si>
  <si>
    <t>0.300510611685624</t>
  </si>
  <si>
    <t>0.0397565374439828</t>
  </si>
  <si>
    <t>0.274775237945757</t>
  </si>
  <si>
    <t>0.0798320184084244</t>
  </si>
  <si>
    <t>0.0544260425622978</t>
  </si>
  <si>
    <t>0.108126567344503</t>
  </si>
  <si>
    <t>0.321373803068993</t>
  </si>
  <si>
    <t>0.247060479789161</t>
  </si>
  <si>
    <t>0.00509455524675046</t>
  </si>
  <si>
    <t>0.199891175552224</t>
  </si>
  <si>
    <t>0.0565564847204457</t>
  </si>
  <si>
    <t>0.592012913126314</t>
  </si>
  <si>
    <t>0.444768804888307</t>
  </si>
  <si>
    <t>0.366351061072338</t>
  </si>
  <si>
    <t>0.0656109826275306</t>
  </si>
  <si>
    <t>0.11094542415193</t>
  </si>
  <si>
    <t>0.0823321657879321</t>
  </si>
  <si>
    <t>0.0129836538554638</t>
  </si>
  <si>
    <t>0.220224636687893</t>
  </si>
  <si>
    <t>0.105966926421571</t>
  </si>
  <si>
    <t>0.254464669569869</t>
  </si>
  <si>
    <t>0.031727232123632</t>
  </si>
  <si>
    <t>0.104241398015173</t>
  </si>
  <si>
    <t>0.169152166384993</t>
  </si>
  <si>
    <t>0.447611591402135</t>
  </si>
  <si>
    <t>0.143429773940261</t>
  </si>
  <si>
    <t>0.282956640623453</t>
  </si>
  <si>
    <t>0.415420004472314</t>
  </si>
  <si>
    <t>0.106970719663098</t>
  </si>
  <si>
    <t>0.289368972396858</t>
  </si>
  <si>
    <t>0.118165035765738</t>
  </si>
  <si>
    <t>0.0853403573264549</t>
  </si>
  <si>
    <t>0.256088174853596</t>
  </si>
  <si>
    <t>0.0868941722554728</t>
  </si>
  <si>
    <t>0.165133452626157</t>
  </si>
  <si>
    <t>0.168910010033637</t>
  </si>
  <si>
    <t>0.118107400417988</t>
  </si>
  <si>
    <t>0.167519644064719</t>
  </si>
  <si>
    <t>0.204456373398639</t>
  </si>
  <si>
    <t>0.112083595339382</t>
  </si>
  <si>
    <t>0.501058415887895</t>
  </si>
  <si>
    <t>0.396943307276165</t>
  </si>
  <si>
    <t>0.126812922043599</t>
  </si>
  <si>
    <t>0.0192706754166091</t>
  </si>
  <si>
    <t>0.0398971083986481</t>
  </si>
  <si>
    <t>0.115320008325875</t>
  </si>
  <si>
    <t>0.426821930597531</t>
  </si>
  <si>
    <t>0.122177283364791</t>
  </si>
  <si>
    <t>0.100471330520771</t>
  </si>
  <si>
    <t>0.1532136422551</t>
  </si>
  <si>
    <t>0.195208355964721</t>
  </si>
  <si>
    <t>0.0676409772817448</t>
  </si>
  <si>
    <t>0.117033918499273</t>
  </si>
  <si>
    <t>0.167442513367399</t>
  </si>
  <si>
    <t>0.464273339214205</t>
  </si>
  <si>
    <t>0.370162510746287</t>
  </si>
  <si>
    <t>0.171106386407889</t>
  </si>
  <si>
    <t>0.236047298010317</t>
  </si>
  <si>
    <t>0.172061307899774</t>
  </si>
  <si>
    <t>0.294176234764461</t>
  </si>
  <si>
    <t>0.16745420489969</t>
  </si>
  <si>
    <t>0.0915615827745528</t>
  </si>
  <si>
    <t>0.0366112413068619</t>
  </si>
  <si>
    <t>0.1976680115873</t>
  </si>
  <si>
    <t>0.136922796505443</t>
  </si>
  <si>
    <t>0.20268248106271</t>
  </si>
  <si>
    <t>0.113227146105219</t>
  </si>
  <si>
    <t>0.10783859851113</t>
  </si>
  <si>
    <t>0.331438593813059</t>
  </si>
  <si>
    <t>0.0203271673378351</t>
  </si>
  <si>
    <t>0.138302126775923</t>
  </si>
  <si>
    <t>0.164909153047151</t>
  </si>
  <si>
    <t>0.0532167567851216</t>
  </si>
  <si>
    <t>0.175925130084077</t>
  </si>
  <si>
    <t>0.389020344395335</t>
  </si>
  <si>
    <t>0.31281780945646</t>
  </si>
  <si>
    <t>0.438509463310332</t>
  </si>
  <si>
    <t>0.370382712988082</t>
  </si>
  <si>
    <t>0.143213133467307</t>
  </si>
  <si>
    <t>0.0220856075005285</t>
  </si>
  <si>
    <t>0.290116246595345</t>
  </si>
  <si>
    <t>0.135617194899819</t>
  </si>
  <si>
    <t>0.12696787965867</t>
  </si>
  <si>
    <t>0.801170474581046</t>
  </si>
  <si>
    <t>0.0172937866766421</t>
  </si>
  <si>
    <t>0.416511071070278</t>
  </si>
  <si>
    <t>0.0583518470512442</t>
  </si>
  <si>
    <t>0.0431410521133053</t>
  </si>
  <si>
    <t>0.531511258786605</t>
  </si>
  <si>
    <t>0.185750359919402</t>
  </si>
  <si>
    <t>0.0195455936980356</t>
  </si>
  <si>
    <t>0.0608453121701337</t>
  </si>
  <si>
    <t>0.0583675906906914</t>
  </si>
  <si>
    <t>0.0340018477239571</t>
  </si>
  <si>
    <t>0.108278297765051</t>
  </si>
  <si>
    <t>0.156659143725598</t>
  </si>
  <si>
    <t>0.333208151972942</t>
  </si>
  <si>
    <t>0.0888891546077126</t>
  </si>
  <si>
    <t>0.0884663041237403</t>
  </si>
  <si>
    <t>0.659038425114486</t>
  </si>
  <si>
    <t>0.0991119407954404</t>
  </si>
  <si>
    <t>0.0815338888754883</t>
  </si>
  <si>
    <t>0.061097398103101</t>
  </si>
  <si>
    <t>0.394178639543502</t>
  </si>
  <si>
    <t>0.22816709475997</t>
  </si>
  <si>
    <t>0.021395675530746</t>
  </si>
  <si>
    <t>0.168506130837626</t>
  </si>
  <si>
    <t>0.414755820369623</t>
  </si>
  <si>
    <t>0.096489640688382</t>
  </si>
  <si>
    <t>0.062683005758048</t>
  </si>
  <si>
    <t>0.276387229809254</t>
  </si>
  <si>
    <t>0.305335963924545</t>
  </si>
  <si>
    <t>0.465287626186011</t>
  </si>
  <si>
    <t>0.0709708295087181</t>
  </si>
  <si>
    <t>0.141518293658237</t>
  </si>
  <si>
    <t>0.226732994107973</t>
  </si>
  <si>
    <t>0.300799410752566</t>
  </si>
  <si>
    <t>0.0102249569318326</t>
  </si>
  <si>
    <t>0.0515075756825551</t>
  </si>
  <si>
    <t>0.181717818054024</t>
  </si>
  <si>
    <t>0.254037696415744</t>
  </si>
  <si>
    <t>0.0970219295209645</t>
  </si>
  <si>
    <t>0.408617862667968</t>
  </si>
  <si>
    <t>0.528174579353597</t>
  </si>
  <si>
    <t>0.0878036560416412</t>
  </si>
  <si>
    <t>0.0747114848075808</t>
  </si>
  <si>
    <t>0.0460796067445911</t>
  </si>
  <si>
    <t>0.496436373335628</t>
  </si>
  <si>
    <t>0.118507413614925</t>
  </si>
  <si>
    <t>0.0521364983524043</t>
  </si>
  <si>
    <t>0.166009562214886</t>
  </si>
  <si>
    <t>0.233432761252926</t>
  </si>
  <si>
    <t>0.187748438188242</t>
  </si>
  <si>
    <t>0.131253080586803</t>
  </si>
  <si>
    <t>0.63341590624448</t>
  </si>
  <si>
    <t>0.089588755327503</t>
  </si>
  <si>
    <t>0.0986411218961425</t>
  </si>
  <si>
    <t>0.244180026317317</t>
  </si>
  <si>
    <t>0.341214925151185</t>
  </si>
  <si>
    <t>0.245010241916906</t>
  </si>
  <si>
    <t>0.0482498021038172</t>
  </si>
  <si>
    <t>0.147805961483014</t>
  </si>
  <si>
    <t>0.0708523260838259</t>
  </si>
  <si>
    <t>0.182144105020569</t>
  </si>
  <si>
    <t>0.591875210599605</t>
  </si>
  <si>
    <t>0.688243976778305</t>
  </si>
  <si>
    <t>0.25022841028876</t>
  </si>
  <si>
    <t>0.0645600769288701</t>
  </si>
  <si>
    <t>0.179298355333034</t>
  </si>
  <si>
    <t>0.0392223213028199</t>
  </si>
  <si>
    <t>0.0842464144702305</t>
  </si>
  <si>
    <t>0.043072747898854</t>
  </si>
  <si>
    <t>0.120657119185114</t>
  </si>
  <si>
    <t>0.0368629374172905</t>
  </si>
  <si>
    <t>0.0929957379451954</t>
  </si>
  <si>
    <t>0.0955514917805168</t>
  </si>
  <si>
    <t>0.125087068535253</t>
  </si>
  <si>
    <t>0.297149037957403</t>
  </si>
  <si>
    <t>0.154769300393697</t>
  </si>
  <si>
    <t>0.059095450425794</t>
  </si>
  <si>
    <t>0.454495055978478</t>
  </si>
  <si>
    <t>0.0996791673750631</t>
  </si>
  <si>
    <t>0.266085736336831</t>
  </si>
  <si>
    <t>0.139668749589049</t>
  </si>
  <si>
    <t>0.12150718637851</t>
  </si>
  <si>
    <t>0.170272131756247</t>
  </si>
  <si>
    <t>0.118322983223795</t>
  </si>
  <si>
    <t>0.0941819180108275</t>
  </si>
  <si>
    <t>0.593891754028473</t>
  </si>
  <si>
    <t>0.0587913612709712</t>
  </si>
  <si>
    <t>0.0601103539001791</t>
  </si>
  <si>
    <t>0.404974862761825</t>
  </si>
  <si>
    <t>0.164156159357063</t>
  </si>
  <si>
    <t>0.349631193774688</t>
  </si>
  <si>
    <t>0.309364372656889</t>
  </si>
  <si>
    <t>0.370422584766296</t>
  </si>
  <si>
    <t>0.164730721237288</t>
  </si>
  <si>
    <t>0.28196548357208</t>
  </si>
  <si>
    <t>0.0248594908384806</t>
  </si>
  <si>
    <t>0.386494458169249</t>
  </si>
  <si>
    <t>0.148765841880794</t>
  </si>
  <si>
    <t>0.172859507835836</t>
  </si>
  <si>
    <t>0.123198325669352</t>
  </si>
  <si>
    <t>0.0807046509389144</t>
  </si>
  <si>
    <t>0.272417405734161</t>
  </si>
  <si>
    <t>0.072382641430891</t>
  </si>
  <si>
    <t>0.210722028328762</t>
  </si>
  <si>
    <t>0.262564845275642</t>
  </si>
  <si>
    <t>0.289403159481741</t>
  </si>
  <si>
    <t>0.115488045919161</t>
  </si>
  <si>
    <t>0.0371526100045388</t>
  </si>
  <si>
    <t>0.333576522028046</t>
  </si>
  <si>
    <t>0.197661371823759</t>
  </si>
  <si>
    <t>0.245129034816299</t>
  </si>
  <si>
    <t>0.0800236081103753</t>
  </si>
  <si>
    <t>0.0474081726235989</t>
  </si>
  <si>
    <t>0.207808100916371</t>
  </si>
  <si>
    <t>0.0752823900795385</t>
  </si>
  <si>
    <t>0.0264081825383453</t>
  </si>
  <si>
    <t>0.308442729072603</t>
  </si>
  <si>
    <t>0.206713976993541</t>
  </si>
  <si>
    <t>0.136942916445713</t>
  </si>
  <si>
    <t>0.051548052545921</t>
  </si>
  <si>
    <t>0.0624270405368073</t>
  </si>
  <si>
    <t>0.0965473926032008</t>
  </si>
  <si>
    <t>0.284997802121124</t>
  </si>
  <si>
    <t>0.136309271481538</t>
  </si>
  <si>
    <t>0.824797032347877</t>
  </si>
  <si>
    <t>0.250616296735969</t>
  </si>
  <si>
    <t>0.0722347992890613</t>
  </si>
  <si>
    <t>0.270631229472859</t>
  </si>
  <si>
    <t>0.176487259468193</t>
  </si>
  <si>
    <t>0.328933993177749</t>
  </si>
  <si>
    <t>0.248154249124768</t>
  </si>
  <si>
    <t>0.12442241580794</t>
  </si>
  <si>
    <t>0.496290405901797</t>
  </si>
  <si>
    <t>0.356610605822414</t>
  </si>
  <si>
    <t>0.139678197831332</t>
  </si>
  <si>
    <t>0.55558513203423</t>
  </si>
  <si>
    <t>0.225894062655018</t>
  </si>
  <si>
    <t>0.0690852451915387</t>
  </si>
  <si>
    <t>0.1222579797111</t>
  </si>
  <si>
    <t>0.187970739500326</t>
  </si>
  <si>
    <t>0.243085695526249</t>
  </si>
  <si>
    <t>0.114465968416136</t>
  </si>
  <si>
    <t>0.140733597669355</t>
  </si>
  <si>
    <t>0.0655598842187634</t>
  </si>
  <si>
    <t>0.313313780895343</t>
  </si>
  <si>
    <t>0.393780300323959</t>
  </si>
  <si>
    <t>0.210478460676175</t>
  </si>
  <si>
    <t>0.063442863034594</t>
  </si>
  <si>
    <t>1.32169599960894</t>
  </si>
  <si>
    <t>0.380268757065539</t>
  </si>
  <si>
    <t>0.18613834692689</t>
  </si>
  <si>
    <t>0.140816085347312</t>
  </si>
  <si>
    <t>0.0591195824832222</t>
  </si>
  <si>
    <t>0.0540321526925928</t>
  </si>
  <si>
    <t>0.0446855097432785</t>
  </si>
  <si>
    <t>0.171699086778289</t>
  </si>
  <si>
    <t>0.15475525973165</t>
  </si>
  <si>
    <t>0.282953103136698</t>
  </si>
  <si>
    <t>0.18057463470897</t>
  </si>
  <si>
    <t>0.376277430557121</t>
  </si>
  <si>
    <t>0.153430481352568</t>
  </si>
  <si>
    <t>0.0116967013027186</t>
  </si>
  <si>
    <t>0.112464240208392</t>
  </si>
  <si>
    <t>0.116690384450536</t>
  </si>
  <si>
    <t>0.101884794105049</t>
  </si>
  <si>
    <t>0.607187639463188</t>
  </si>
  <si>
    <t>0.295701031880541</t>
  </si>
  <si>
    <t>0.4254033916841</t>
  </si>
  <si>
    <t>0.172728853165962</t>
  </si>
  <si>
    <t>0.105853685116077</t>
  </si>
  <si>
    <t>0.182909740627312</t>
  </si>
  <si>
    <t>0.145387178629759</t>
  </si>
  <si>
    <t>0.121613785943334</t>
  </si>
  <si>
    <t>0.114277724600036</t>
  </si>
  <si>
    <t>0.151979755710788</t>
  </si>
  <si>
    <t>0.454792359410825</t>
  </si>
  <si>
    <t>0.0881014323571367</t>
  </si>
  <si>
    <t>0.0485954143254014</t>
  </si>
  <si>
    <t>0.413322598453296</t>
  </si>
  <si>
    <t>0.380175454006101</t>
  </si>
  <si>
    <t>0.824113736162047</t>
  </si>
  <si>
    <t>0.0662784209555831</t>
  </si>
  <si>
    <t>0.256519580557524</t>
  </si>
  <si>
    <t>0.27848324351727</t>
  </si>
  <si>
    <t>0.00649101956559391</t>
  </si>
  <si>
    <t>0.161392603110805</t>
  </si>
  <si>
    <t>0.284807927426486</t>
  </si>
  <si>
    <t>0.156660291259319</t>
  </si>
  <si>
    <t>0.037510777079243</t>
  </si>
  <si>
    <t>0.175957692917614</t>
  </si>
  <si>
    <t>0.392406796032189</t>
  </si>
  <si>
    <t>0.111385624101152</t>
  </si>
  <si>
    <t>0.236366219916089</t>
  </si>
  <si>
    <t>0.127343272781129</t>
  </si>
  <si>
    <t>0.0764216163869175</t>
  </si>
  <si>
    <t>0.189135680962653</t>
  </si>
  <si>
    <t>0.201099407213333</t>
  </si>
  <si>
    <t>0.161163402111026</t>
  </si>
  <si>
    <t>0.183427434017168</t>
  </si>
  <si>
    <t>0.0432614342326096</t>
  </si>
  <si>
    <t>0.0753626018406705</t>
  </si>
  <si>
    <t>0.112141776277931</t>
  </si>
  <si>
    <t>0.163415131396033</t>
  </si>
  <si>
    <t>0.409653003733136</t>
  </si>
  <si>
    <t>0.355389452845399</t>
  </si>
  <si>
    <t>0.12418933727881</t>
  </si>
  <si>
    <t>0.0214952573163319</t>
  </si>
  <si>
    <t>0.187987251583391</t>
  </si>
  <si>
    <t>0.237993440074118</t>
  </si>
  <si>
    <t>0.264801226849938</t>
  </si>
  <si>
    <t>0.280971940135795</t>
  </si>
  <si>
    <t>0.479603984165171</t>
  </si>
  <si>
    <t>0.403066671339823</t>
  </si>
  <si>
    <t>0.0500331100570688</t>
  </si>
  <si>
    <t>0.0309037243612487</t>
  </si>
  <si>
    <t>0.35335389966324</t>
  </si>
  <si>
    <t>0.429044629290372</t>
  </si>
  <si>
    <t>0.209073917199971</t>
  </si>
  <si>
    <t>0.109469150864413</t>
  </si>
  <si>
    <t>0.100473180592543</t>
  </si>
  <si>
    <t>0.17671685314578</t>
  </si>
  <si>
    <t>0.126831844077803</t>
  </si>
  <si>
    <t>0.0502432426866347</t>
  </si>
  <si>
    <t>0.150805866266079</t>
  </si>
  <si>
    <t>0.254528120365132</t>
  </si>
  <si>
    <t>0.144979593479365</t>
  </si>
  <si>
    <t>0.00806023580924007</t>
  </si>
  <si>
    <t>0.375430461956315</t>
  </si>
  <si>
    <t>0.106384092227038</t>
  </si>
  <si>
    <t>0.149571469802834</t>
  </si>
  <si>
    <t>0.211751488025418</t>
  </si>
  <si>
    <t>0.0876067567306989</t>
  </si>
  <si>
    <t>0.010573985078426</t>
  </si>
  <si>
    <t>0.176029305633425</t>
  </si>
  <si>
    <t>0.132851479433711</t>
  </si>
  <si>
    <t>0.417435382411475</t>
  </si>
  <si>
    <t>0.225184766751797</t>
  </si>
  <si>
    <t>0.110178319282367</t>
  </si>
  <si>
    <t>0.0496818598405401</t>
  </si>
  <si>
    <t>0.337039377033206</t>
  </si>
  <si>
    <t>0.314128500358203</t>
  </si>
  <si>
    <t>0.0194630811821867</t>
  </si>
  <si>
    <t>0.247688665333705</t>
  </si>
  <si>
    <t>0.126966797117326</t>
  </si>
  <si>
    <t>0.0808450827510807</t>
  </si>
  <si>
    <t>0.375310808166747</t>
  </si>
  <si>
    <t>0.521827730472755</t>
  </si>
  <si>
    <t>0.125536838531698</t>
  </si>
  <si>
    <t>0.159533749670433</t>
  </si>
  <si>
    <t>0.229545327698797</t>
  </si>
  <si>
    <t>0.113362039684915</t>
  </si>
  <si>
    <t>0.16596245834712</t>
  </si>
  <si>
    <t>0.0109561108054229</t>
  </si>
  <si>
    <t>0.15514206892313</t>
  </si>
  <si>
    <t>0.336147785289745</t>
  </si>
  <si>
    <t>0.101347802386416</t>
  </si>
  <si>
    <t>0.199257863100871</t>
  </si>
  <si>
    <t>0.0918116327797017</t>
  </si>
  <si>
    <t>0.230353676427322</t>
  </si>
  <si>
    <t>0.116101482307066</t>
  </si>
  <si>
    <t>0.135689382418088</t>
  </si>
  <si>
    <t>0.126488567932678</t>
  </si>
  <si>
    <t>0.0425049778603659</t>
  </si>
  <si>
    <t>0.151563025736575</t>
  </si>
  <si>
    <t>0.191140535016298</t>
  </si>
  <si>
    <t>0.069085532822142</t>
  </si>
  <si>
    <t>0.552684400354843</t>
  </si>
  <si>
    <t>0.215788842367536</t>
  </si>
  <si>
    <t>0.178827596116477</t>
  </si>
  <si>
    <t>0.117392473641937</t>
  </si>
  <si>
    <t>0.299559955299222</t>
  </si>
  <si>
    <t>0.213296403376984</t>
  </si>
  <si>
    <t>0.11011389382207</t>
  </si>
  <si>
    <t>0.339325851029149</t>
  </si>
  <si>
    <t>0.0582383957516035</t>
  </si>
  <si>
    <t>0.281139153680806</t>
  </si>
  <si>
    <t>0.0479688247682125</t>
  </si>
  <si>
    <t>0.2315197936502</t>
  </si>
  <si>
    <t>0.317722121858045</t>
  </si>
  <si>
    <t>0.176772849150194</t>
  </si>
  <si>
    <t>0.0898885530087787</t>
  </si>
  <si>
    <t>0.0527794807247686</t>
  </si>
  <si>
    <t>0.261320989778462</t>
  </si>
  <si>
    <t>0.280622649547736</t>
  </si>
  <si>
    <t>0.0599395612536884</t>
  </si>
  <si>
    <t>0.191257374187492</t>
  </si>
  <si>
    <t>0.0481225620705823</t>
  </si>
  <si>
    <t>0.137006025091817</t>
  </si>
  <si>
    <t>0.222064448822747</t>
  </si>
  <si>
    <t>0.129098542995791</t>
  </si>
  <si>
    <t>0.111300408535309</t>
  </si>
  <si>
    <t>0.0941848958234198</t>
  </si>
  <si>
    <t>0.307044030115719</t>
  </si>
  <si>
    <t>0.0384783182526822</t>
  </si>
  <si>
    <t>0.150509887250368</t>
  </si>
  <si>
    <t>0.416069648692072</t>
  </si>
  <si>
    <t>0.225976352085367</t>
  </si>
  <si>
    <t>0.118533260529331</t>
  </si>
  <si>
    <t>0.176531689906819</t>
  </si>
  <si>
    <t>0.128160224310629</t>
  </si>
  <si>
    <t>0.236595237430339</t>
  </si>
  <si>
    <t>0.277183034808636</t>
  </si>
  <si>
    <t>0.0548721118843234</t>
  </si>
  <si>
    <t>0.020407727821575</t>
  </si>
  <si>
    <t>0.108091695102993</t>
  </si>
  <si>
    <t>0.235829393350873</t>
  </si>
  <si>
    <t>0.0516200343914027</t>
  </si>
  <si>
    <t>0.0536319378872962</t>
  </si>
  <si>
    <t>0.17331396795813</t>
  </si>
  <si>
    <t>0.338811678791571</t>
  </si>
  <si>
    <t>0.104684370569911</t>
  </si>
  <si>
    <t>0.20710268493202</t>
  </si>
  <si>
    <t>0.139254861648213</t>
  </si>
  <si>
    <t>0.00703676346885142</t>
  </si>
  <si>
    <t>0.326394148909664</t>
  </si>
  <si>
    <t>0.236249415365363</t>
  </si>
  <si>
    <t>0.254701174381396</t>
  </si>
  <si>
    <t>0.111161689183256</t>
  </si>
  <si>
    <t>0.0941306802447754</t>
  </si>
  <si>
    <t>0.236481669463273</t>
  </si>
  <si>
    <t>0.136957339153042</t>
  </si>
  <si>
    <t>0.125243529877873</t>
  </si>
  <si>
    <t>0.195964430736955</t>
  </si>
  <si>
    <t>0.178939977418729</t>
  </si>
  <si>
    <t>0.224269384728411</t>
  </si>
  <si>
    <t>0.155491841839727</t>
  </si>
  <si>
    <t>0.331616764803426</t>
  </si>
  <si>
    <t>0.0824131800637338</t>
  </si>
  <si>
    <t>0.172250639388872</t>
  </si>
  <si>
    <t>0.193255728728879</t>
  </si>
  <si>
    <t>0.126214940506935</t>
  </si>
  <si>
    <t>0.158041759854181</t>
  </si>
  <si>
    <t>0.0778155017592059</t>
  </si>
  <si>
    <t>0.136141331019045</t>
  </si>
  <si>
    <t>0.049756234251051</t>
  </si>
  <si>
    <t>0.12774742932823</t>
  </si>
  <si>
    <t>0.01741788597696</t>
  </si>
  <si>
    <t>0.12382332501255</t>
  </si>
  <si>
    <t>0.138011098442334</t>
  </si>
  <si>
    <t>0.0934386853425779</t>
  </si>
  <si>
    <t>0.304777257651337</t>
  </si>
  <si>
    <t>0.125593760008844</t>
  </si>
  <si>
    <t>0.330924801371556</t>
  </si>
  <si>
    <t>0.0860757946118592</t>
  </si>
  <si>
    <t>0.145365185601158</t>
  </si>
  <si>
    <t>0.0965201971162944</t>
  </si>
  <si>
    <t>0.0261234605450395</t>
  </si>
  <si>
    <t>0.195318854787268</t>
  </si>
  <si>
    <t>0.0843799299110628</t>
  </si>
  <si>
    <t>0.122262884331428</t>
  </si>
  <si>
    <t>0.213801398142388</t>
  </si>
  <si>
    <t>0.280511146857394</t>
  </si>
  <si>
    <t>0.0995809365571461</t>
  </si>
  <si>
    <t>0.304171886925581</t>
  </si>
  <si>
    <t>0.0975294312530919</t>
  </si>
  <si>
    <t>0.113004127827445</t>
  </si>
  <si>
    <t>0.15136689994871</t>
  </si>
  <si>
    <t>0.0992973803691811</t>
  </si>
  <si>
    <t>0.477663164492123</t>
  </si>
  <si>
    <t>0.228255519666933</t>
  </si>
  <si>
    <t>0.196617695294523</t>
  </si>
  <si>
    <t>0.163158675693928</t>
  </si>
  <si>
    <t>0.666471156881415</t>
  </si>
  <si>
    <t>0.112603611069508</t>
  </si>
  <si>
    <t>0.133901595922316</t>
  </si>
  <si>
    <t>0.270560272976236</t>
  </si>
  <si>
    <t>0.16219818796417</t>
  </si>
  <si>
    <t>0.175166330015506</t>
  </si>
  <si>
    <t>0.107515889073383</t>
  </si>
  <si>
    <t>0.0975289927585547</t>
  </si>
  <si>
    <t>0.191541396582936</t>
  </si>
  <si>
    <t>0.048223686082509</t>
  </si>
  <si>
    <t>0.144410643251992</t>
  </si>
  <si>
    <t>0.132876454221383</t>
  </si>
  <si>
    <t>0.388575058267151</t>
  </si>
  <si>
    <t>0.199148567876648</t>
  </si>
  <si>
    <t>0.18320105550049</t>
  </si>
  <si>
    <t>0.167225420126753</t>
  </si>
  <si>
    <t>0.320201440109853</t>
  </si>
  <si>
    <t>0.145420316812005</t>
  </si>
  <si>
    <t>0.338471946199581</t>
  </si>
  <si>
    <t>0.0437777373014766</t>
  </si>
  <si>
    <t>0.0390798657305917</t>
  </si>
  <si>
    <t>0.0869420046893672</t>
  </si>
  <si>
    <t>0.0680841842341618</t>
  </si>
  <si>
    <t>0.173404546826743</t>
  </si>
  <si>
    <t>0.278868184943131</t>
  </si>
  <si>
    <t>0.0794580350794356</t>
  </si>
  <si>
    <t>0.0408174709933587</t>
  </si>
  <si>
    <t>0.306731947342305</t>
  </si>
  <si>
    <t>0.224592253227292</t>
  </si>
  <si>
    <t>0.285684439381317</t>
  </si>
  <si>
    <t>0.252418532051932</t>
  </si>
  <si>
    <t>0.0889921990250725</t>
  </si>
  <si>
    <t>0.0913231983612293</t>
  </si>
  <si>
    <t>0.0853702097293171</t>
  </si>
  <si>
    <t>0.181870876694722</t>
  </si>
  <si>
    <t>0.410121846045288</t>
  </si>
  <si>
    <t>0.426301989619364</t>
  </si>
  <si>
    <t>0.0518478329030895</t>
  </si>
  <si>
    <t>0.0901138844477065</t>
  </si>
  <si>
    <t>0.231480804945702</t>
  </si>
  <si>
    <t>0.0395503171404266</t>
  </si>
  <si>
    <t>0.122476226444921</t>
  </si>
  <si>
    <t>0.126283114441553</t>
  </si>
  <si>
    <t>0.359765934893491</t>
  </si>
  <si>
    <t>0.192561404506445</t>
  </si>
  <si>
    <t>0.337157625832848</t>
  </si>
  <si>
    <t>0.146814725088592</t>
  </si>
  <si>
    <t>0.0563216239900834</t>
  </si>
  <si>
    <t>0.150147804331226</t>
  </si>
  <si>
    <t>0.13858451589381</t>
  </si>
  <si>
    <t>0.118403295472443</t>
  </si>
  <si>
    <t>0.205341144493338</t>
  </si>
  <si>
    <t>0.408768288571734</t>
  </si>
  <si>
    <t>0.104883625885606</t>
  </si>
  <si>
    <t>0.196045263700414</t>
  </si>
  <si>
    <t>0.12424722715535</t>
  </si>
  <si>
    <t>0.158667340594267</t>
  </si>
  <si>
    <t>0.212965512589033</t>
  </si>
  <si>
    <t>0.291946180879125</t>
  </si>
  <si>
    <t>0.0740663758772599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</si>
</sst>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16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  <scheme val="minor"/>
    </font>
    <font>
      <sz val="18"/>
      <color theme="3"/>
      <name val="Aptos Display"/>
      <family val="2"/>
      <scheme val="maj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20"/>
      <color theme="3"/>
      <name val="Aptos Narrow"/>
      <scheme val="minor"/>
    </font>
    <font>
      <sz val="12"/>
      <color rgb="FF000000"/>
      <name val="Aptos Narrow"/>
    </font>
    <font>
      <b/>
      <sz val="15"/>
      <color theme="3"/>
      <name val="Aptos Narrow"/>
      <family val="2"/>
      <scheme val="minor"/>
    </font>
    <font>
      <sz val="14"/>
      <color theme="1"/>
      <name val="Aptos Narrow"/>
      <scheme val="minor"/>
    </font>
    <font>
      <u/>
      <sz val="12"/>
      <color theme="1"/>
      <name val="Aptos Narrow"/>
      <scheme val="minor"/>
    </font>
    <font>
      <b/>
      <sz val="16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2" fillId="0" borderId="2" applyNumberFormat="0" applyFill="0" applyAlignment="0" applyProtection="0"/>
  </cellStyleXfs>
  <cellXfs count="38">
    <xf numFmtId="0" fontId="0" fillId="0" borderId="0" xfId="0"/>
    <xf numFmtId="14" fontId="0" fillId="0" borderId="0" xfId="0" applyNumberFormat="1"/>
    <xf numFmtId="11" fontId="0" fillId="0" borderId="0" xfId="0" applyNumberFormat="1"/>
    <xf numFmtId="0" fontId="1" fillId="0" borderId="0" xfId="0" applyFo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5" fillId="0" borderId="0" xfId="0" applyFont="1"/>
    <xf numFmtId="14" fontId="8" fillId="0" borderId="0" xfId="0" applyNumberFormat="1" applyFont="1"/>
    <xf numFmtId="0" fontId="7" fillId="2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/>
    <xf numFmtId="0" fontId="8" fillId="3" borderId="1" xfId="0" applyFont="1" applyFill="1" applyBorder="1" applyAlignment="1">
      <alignment horizontal="center"/>
    </xf>
    <xf numFmtId="164" fontId="8" fillId="3" borderId="1" xfId="0" applyNumberFormat="1" applyFont="1" applyFill="1" applyBorder="1"/>
    <xf numFmtId="0" fontId="8" fillId="0" borderId="1" xfId="0" applyFont="1" applyBorder="1"/>
    <xf numFmtId="44" fontId="8" fillId="0" borderId="1" xfId="1" applyFont="1" applyBorder="1"/>
    <xf numFmtId="0" fontId="8" fillId="3" borderId="1" xfId="0" applyFont="1" applyFill="1" applyBorder="1"/>
    <xf numFmtId="44" fontId="8" fillId="3" borderId="1" xfId="1" applyFont="1" applyFill="1" applyBorder="1"/>
    <xf numFmtId="14" fontId="8" fillId="0" borderId="1" xfId="0" applyNumberFormat="1" applyFont="1" applyBorder="1"/>
    <xf numFmtId="14" fontId="8" fillId="3" borderId="1" xfId="0" applyNumberFormat="1" applyFont="1" applyFill="1" applyBorder="1"/>
    <xf numFmtId="164" fontId="8" fillId="3" borderId="1" xfId="1" applyNumberFormat="1" applyFont="1" applyFill="1" applyBorder="1"/>
    <xf numFmtId="44" fontId="8" fillId="0" borderId="1" xfId="1" applyFont="1" applyFill="1" applyBorder="1"/>
    <xf numFmtId="0" fontId="9" fillId="0" borderId="0" xfId="0" applyFont="1" applyAlignment="1">
      <alignment horizontal="left"/>
    </xf>
    <xf numFmtId="0" fontId="13" fillId="0" borderId="0" xfId="0" applyFont="1"/>
    <xf numFmtId="0" fontId="8" fillId="0" borderId="0" xfId="0" applyFont="1" applyAlignment="1">
      <alignment horizontal="left"/>
    </xf>
    <xf numFmtId="0" fontId="14" fillId="0" borderId="0" xfId="0" applyFont="1"/>
    <xf numFmtId="2" fontId="8" fillId="3" borderId="1" xfId="0" applyNumberFormat="1" applyFont="1" applyFill="1" applyBorder="1"/>
    <xf numFmtId="2" fontId="8" fillId="0" borderId="1" xfId="0" applyNumberFormat="1" applyFont="1" applyBorder="1"/>
    <xf numFmtId="0" fontId="0" fillId="3" borderId="1" xfId="0" applyFill="1" applyBorder="1"/>
    <xf numFmtId="0" fontId="0" fillId="0" borderId="1" xfId="0" applyBorder="1"/>
    <xf numFmtId="1" fontId="8" fillId="0" borderId="1" xfId="0" applyNumberFormat="1" applyFont="1" applyBorder="1"/>
    <xf numFmtId="1" fontId="8" fillId="3" borderId="1" xfId="0" applyNumberFormat="1" applyFont="1" applyFill="1" applyBorder="1"/>
    <xf numFmtId="0" fontId="10" fillId="0" borderId="0" xfId="2" applyFont="1" applyBorder="1" applyAlignment="1">
      <alignment horizontal="center"/>
    </xf>
    <xf numFmtId="0" fontId="9" fillId="0" borderId="0" xfId="0" applyFont="1" applyAlignment="1">
      <alignment horizontal="left"/>
    </xf>
    <xf numFmtId="0" fontId="15" fillId="0" borderId="0" xfId="3" applyFont="1" applyBorder="1" applyAlignment="1">
      <alignment horizontal="left"/>
    </xf>
    <xf numFmtId="0" fontId="0" fillId="0" borderId="0" xfId="0" applyNumberFormat="1"/>
  </cellXfs>
  <cellStyles count="4">
    <cellStyle name="Currency" xfId="1" builtinId="4"/>
    <cellStyle name="Heading 1" xfId="3" builtinId="16"/>
    <cellStyle name="Normal" xfId="0" builtinId="0"/>
    <cellStyle name="Title" xfId="2" builtinId="15"/>
  </cellStyles>
  <dxfs count="20">
    <dxf>
      <numFmt numFmtId="0" formatCode="General"/>
    </dxf>
    <dxf>
      <numFmt numFmtId="19" formatCode="m/d/yy"/>
    </dxf>
    <dxf>
      <numFmt numFmtId="0" formatCode="General"/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</dxfs>
  <tableStyles count="0" defaultTableStyle="TableStyleMedium2" defaultPivotStyle="PivotStyleLight16"/>
  <colors>
    <mruColors>
      <color rgb="FFFFFFFF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CDF of</a:t>
            </a:r>
            <a:r>
              <a:rPr lang="en-US" baseline="0"/>
              <a:t> </a:t>
            </a:r>
            <a:r>
              <a:rPr lang="en-US"/>
              <a:t>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1080"/>
                <c:pt idx="0">
                  <c:v>1.3216959996089399</c:v>
                </c:pt>
                <c:pt idx="1">
                  <c:v>0.82479703234787705</c:v>
                </c:pt>
                <c:pt idx="2">
                  <c:v>0.82411373616204697</c:v>
                </c:pt>
                <c:pt idx="3">
                  <c:v>0.80117047458104595</c:v>
                </c:pt>
                <c:pt idx="4">
                  <c:v>0.74845850284328697</c:v>
                </c:pt>
                <c:pt idx="5">
                  <c:v>0.739180709379193</c:v>
                </c:pt>
                <c:pt idx="6">
                  <c:v>0.69741303600483695</c:v>
                </c:pt>
                <c:pt idx="7">
                  <c:v>0.69315674368800195</c:v>
                </c:pt>
                <c:pt idx="8">
                  <c:v>0.68824397677830496</c:v>
                </c:pt>
                <c:pt idx="9">
                  <c:v>0.68089106136285305</c:v>
                </c:pt>
                <c:pt idx="10">
                  <c:v>0.66647115688141501</c:v>
                </c:pt>
                <c:pt idx="11">
                  <c:v>0.66079939895464102</c:v>
                </c:pt>
                <c:pt idx="12">
                  <c:v>0.65903842511448596</c:v>
                </c:pt>
                <c:pt idx="13">
                  <c:v>0.63437632147206002</c:v>
                </c:pt>
                <c:pt idx="14">
                  <c:v>0.63341590624447996</c:v>
                </c:pt>
                <c:pt idx="15">
                  <c:v>0.63170735929396005</c:v>
                </c:pt>
                <c:pt idx="16">
                  <c:v>0.63125042610126203</c:v>
                </c:pt>
                <c:pt idx="17">
                  <c:v>0.63024794251342597</c:v>
                </c:pt>
                <c:pt idx="18">
                  <c:v>0.62924180795679896</c:v>
                </c:pt>
                <c:pt idx="19">
                  <c:v>0.60718763946318799</c:v>
                </c:pt>
                <c:pt idx="20">
                  <c:v>0.59389175402847305</c:v>
                </c:pt>
                <c:pt idx="21">
                  <c:v>0.59201291312631399</c:v>
                </c:pt>
                <c:pt idx="22">
                  <c:v>0.59187521059960502</c:v>
                </c:pt>
                <c:pt idx="23">
                  <c:v>0.59124913629422804</c:v>
                </c:pt>
                <c:pt idx="24">
                  <c:v>0.58634490625559998</c:v>
                </c:pt>
                <c:pt idx="25">
                  <c:v>0.58380621575957803</c:v>
                </c:pt>
                <c:pt idx="26">
                  <c:v>0.57378924087718397</c:v>
                </c:pt>
                <c:pt idx="27">
                  <c:v>0.56229895079520897</c:v>
                </c:pt>
                <c:pt idx="28">
                  <c:v>0.56017569687120605</c:v>
                </c:pt>
                <c:pt idx="29">
                  <c:v>0.55930314589438701</c:v>
                </c:pt>
                <c:pt idx="30">
                  <c:v>0.55558513203422999</c:v>
                </c:pt>
                <c:pt idx="31">
                  <c:v>0.55268440035484301</c:v>
                </c:pt>
                <c:pt idx="32">
                  <c:v>0.55086646970735598</c:v>
                </c:pt>
                <c:pt idx="33">
                  <c:v>0.54528053839287305</c:v>
                </c:pt>
                <c:pt idx="34">
                  <c:v>0.53151125878660499</c:v>
                </c:pt>
                <c:pt idx="35">
                  <c:v>0.52817457935359702</c:v>
                </c:pt>
                <c:pt idx="36">
                  <c:v>0.52182773047275499</c:v>
                </c:pt>
                <c:pt idx="37">
                  <c:v>0.50474076993594896</c:v>
                </c:pt>
                <c:pt idx="38">
                  <c:v>0.50432700023852906</c:v>
                </c:pt>
                <c:pt idx="39">
                  <c:v>0.50197779609728699</c:v>
                </c:pt>
                <c:pt idx="40">
                  <c:v>0.50105841588789501</c:v>
                </c:pt>
                <c:pt idx="41">
                  <c:v>0.49643637333562801</c:v>
                </c:pt>
                <c:pt idx="42">
                  <c:v>0.49629040590179702</c:v>
                </c:pt>
                <c:pt idx="43">
                  <c:v>0.49550147252566301</c:v>
                </c:pt>
                <c:pt idx="44">
                  <c:v>0.490999001533235</c:v>
                </c:pt>
                <c:pt idx="45">
                  <c:v>0.49010743586837202</c:v>
                </c:pt>
                <c:pt idx="46">
                  <c:v>0.48746849873839798</c:v>
                </c:pt>
                <c:pt idx="47">
                  <c:v>0.47960398416517103</c:v>
                </c:pt>
                <c:pt idx="48">
                  <c:v>0.47766316449212298</c:v>
                </c:pt>
                <c:pt idx="49">
                  <c:v>0.47682087928962402</c:v>
                </c:pt>
                <c:pt idx="50">
                  <c:v>0.47397616659637998</c:v>
                </c:pt>
                <c:pt idx="51">
                  <c:v>0.46528762618601099</c:v>
                </c:pt>
                <c:pt idx="52">
                  <c:v>0.46427333921420499</c:v>
                </c:pt>
                <c:pt idx="53">
                  <c:v>0.45759539652638898</c:v>
                </c:pt>
                <c:pt idx="54">
                  <c:v>0.45479235941082502</c:v>
                </c:pt>
                <c:pt idx="55">
                  <c:v>0.454495055978478</c:v>
                </c:pt>
                <c:pt idx="56">
                  <c:v>0.45064743571176002</c:v>
                </c:pt>
                <c:pt idx="57">
                  <c:v>0.44942175780266802</c:v>
                </c:pt>
                <c:pt idx="58">
                  <c:v>0.44903848570090898</c:v>
                </c:pt>
                <c:pt idx="59">
                  <c:v>0.44863378739878901</c:v>
                </c:pt>
                <c:pt idx="60">
                  <c:v>0.44761159140213502</c:v>
                </c:pt>
                <c:pt idx="61">
                  <c:v>0.444768804888307</c:v>
                </c:pt>
                <c:pt idx="62">
                  <c:v>0.43850946331033203</c:v>
                </c:pt>
                <c:pt idx="63">
                  <c:v>0.43550514016862502</c:v>
                </c:pt>
                <c:pt idx="64">
                  <c:v>0.43441638346654099</c:v>
                </c:pt>
                <c:pt idx="65">
                  <c:v>0.43161776248361999</c:v>
                </c:pt>
                <c:pt idx="66">
                  <c:v>0.431428292099862</c:v>
                </c:pt>
                <c:pt idx="67">
                  <c:v>0.42904462929037201</c:v>
                </c:pt>
                <c:pt idx="68">
                  <c:v>0.42760064996911401</c:v>
                </c:pt>
                <c:pt idx="69">
                  <c:v>0.42682193059753099</c:v>
                </c:pt>
                <c:pt idx="70">
                  <c:v>0.426301989619364</c:v>
                </c:pt>
                <c:pt idx="71">
                  <c:v>0.42540339168410002</c:v>
                </c:pt>
                <c:pt idx="72">
                  <c:v>0.42251083860002298</c:v>
                </c:pt>
                <c:pt idx="73">
                  <c:v>0.420872810960289</c:v>
                </c:pt>
                <c:pt idx="74">
                  <c:v>0.41743538241147499</c:v>
                </c:pt>
                <c:pt idx="75">
                  <c:v>0.41651107107027802</c:v>
                </c:pt>
                <c:pt idx="76">
                  <c:v>0.41606964869207202</c:v>
                </c:pt>
                <c:pt idx="77">
                  <c:v>0.41542000447231398</c:v>
                </c:pt>
                <c:pt idx="78">
                  <c:v>0.414755820369623</c:v>
                </c:pt>
                <c:pt idx="79">
                  <c:v>0.413322598453296</c:v>
                </c:pt>
                <c:pt idx="80">
                  <c:v>0.41012184604528801</c:v>
                </c:pt>
                <c:pt idx="81">
                  <c:v>0.40965729921928601</c:v>
                </c:pt>
                <c:pt idx="82">
                  <c:v>0.40965300373313601</c:v>
                </c:pt>
                <c:pt idx="83">
                  <c:v>0.40876828857173397</c:v>
                </c:pt>
                <c:pt idx="84">
                  <c:v>0.40861786266796801</c:v>
                </c:pt>
                <c:pt idx="85">
                  <c:v>0.40782972343111001</c:v>
                </c:pt>
                <c:pt idx="86">
                  <c:v>0.405487033558801</c:v>
                </c:pt>
                <c:pt idx="87">
                  <c:v>0.40520496805306</c:v>
                </c:pt>
                <c:pt idx="88">
                  <c:v>0.40497486276182498</c:v>
                </c:pt>
                <c:pt idx="89">
                  <c:v>0.40391320746798798</c:v>
                </c:pt>
                <c:pt idx="90">
                  <c:v>0.40306667133982299</c:v>
                </c:pt>
                <c:pt idx="91">
                  <c:v>0.40170125111189903</c:v>
                </c:pt>
                <c:pt idx="92">
                  <c:v>0.39936550524465803</c:v>
                </c:pt>
                <c:pt idx="93">
                  <c:v>0.39845229544225003</c:v>
                </c:pt>
                <c:pt idx="94">
                  <c:v>0.396943307276165</c:v>
                </c:pt>
                <c:pt idx="95">
                  <c:v>0.39417863954350202</c:v>
                </c:pt>
                <c:pt idx="96">
                  <c:v>0.39397583782988199</c:v>
                </c:pt>
                <c:pt idx="97">
                  <c:v>0.393780300323959</c:v>
                </c:pt>
                <c:pt idx="98">
                  <c:v>0.39241335243050701</c:v>
                </c:pt>
                <c:pt idx="99">
                  <c:v>0.39240679603218898</c:v>
                </c:pt>
                <c:pt idx="100">
                  <c:v>0.38992992633411599</c:v>
                </c:pt>
                <c:pt idx="101">
                  <c:v>0.389020344395335</c:v>
                </c:pt>
                <c:pt idx="102">
                  <c:v>0.388575058267151</c:v>
                </c:pt>
                <c:pt idx="103">
                  <c:v>0.387619248061567</c:v>
                </c:pt>
                <c:pt idx="104">
                  <c:v>0.38755576970569799</c:v>
                </c:pt>
                <c:pt idx="105">
                  <c:v>0.38649445816924899</c:v>
                </c:pt>
                <c:pt idx="106">
                  <c:v>0.38547335461709797</c:v>
                </c:pt>
                <c:pt idx="107">
                  <c:v>0.38026875706553898</c:v>
                </c:pt>
                <c:pt idx="108">
                  <c:v>0.38017545400610098</c:v>
                </c:pt>
                <c:pt idx="109">
                  <c:v>0.378934681725275</c:v>
                </c:pt>
                <c:pt idx="110">
                  <c:v>0.37627743055712098</c:v>
                </c:pt>
                <c:pt idx="111">
                  <c:v>0.37543046195631502</c:v>
                </c:pt>
                <c:pt idx="112">
                  <c:v>0.375310808166747</c:v>
                </c:pt>
                <c:pt idx="113">
                  <c:v>0.37414543964321001</c:v>
                </c:pt>
                <c:pt idx="114">
                  <c:v>0.37042258476629603</c:v>
                </c:pt>
                <c:pt idx="115">
                  <c:v>0.37038271298808201</c:v>
                </c:pt>
                <c:pt idx="116">
                  <c:v>0.37031553148988799</c:v>
                </c:pt>
                <c:pt idx="117">
                  <c:v>0.370269997608347</c:v>
                </c:pt>
                <c:pt idx="118">
                  <c:v>0.37016251074628698</c:v>
                </c:pt>
                <c:pt idx="119">
                  <c:v>0.36672331791566898</c:v>
                </c:pt>
                <c:pt idx="120">
                  <c:v>0.366351061072338</c:v>
                </c:pt>
                <c:pt idx="121">
                  <c:v>0.36546880511642099</c:v>
                </c:pt>
                <c:pt idx="122">
                  <c:v>0.362551210004327</c:v>
                </c:pt>
                <c:pt idx="123">
                  <c:v>0.35998796502899699</c:v>
                </c:pt>
                <c:pt idx="124">
                  <c:v>0.35976593489349101</c:v>
                </c:pt>
                <c:pt idx="125">
                  <c:v>0.357942434081095</c:v>
                </c:pt>
                <c:pt idx="126">
                  <c:v>0.356610605822414</c:v>
                </c:pt>
                <c:pt idx="127">
                  <c:v>0.35538945284539902</c:v>
                </c:pt>
                <c:pt idx="128">
                  <c:v>0.35400805876130698</c:v>
                </c:pt>
                <c:pt idx="129">
                  <c:v>0.35335389966323999</c:v>
                </c:pt>
                <c:pt idx="130">
                  <c:v>0.35035859162384397</c:v>
                </c:pt>
                <c:pt idx="131">
                  <c:v>0.349945388736985</c:v>
                </c:pt>
                <c:pt idx="132">
                  <c:v>0.349842056360261</c:v>
                </c:pt>
                <c:pt idx="133">
                  <c:v>0.34963119377468799</c:v>
                </c:pt>
                <c:pt idx="134">
                  <c:v>0.349200299798407</c:v>
                </c:pt>
                <c:pt idx="135">
                  <c:v>0.34351188649900699</c:v>
                </c:pt>
                <c:pt idx="136">
                  <c:v>0.34241304877861301</c:v>
                </c:pt>
                <c:pt idx="137">
                  <c:v>0.34203487961483597</c:v>
                </c:pt>
                <c:pt idx="138">
                  <c:v>0.34121492515118501</c:v>
                </c:pt>
                <c:pt idx="139">
                  <c:v>0.34086182937598403</c:v>
                </c:pt>
                <c:pt idx="140">
                  <c:v>0.33969541023509098</c:v>
                </c:pt>
                <c:pt idx="141">
                  <c:v>0.33932585102914897</c:v>
                </c:pt>
                <c:pt idx="142">
                  <c:v>0.33881167879157098</c:v>
                </c:pt>
                <c:pt idx="143">
                  <c:v>0.33847194619958099</c:v>
                </c:pt>
                <c:pt idx="144">
                  <c:v>0.33715762583284797</c:v>
                </c:pt>
                <c:pt idx="145">
                  <c:v>0.33703937703320602</c:v>
                </c:pt>
                <c:pt idx="146">
                  <c:v>0.336281941993194</c:v>
                </c:pt>
                <c:pt idx="147">
                  <c:v>0.33614778528974498</c:v>
                </c:pt>
                <c:pt idx="148">
                  <c:v>0.333954826617548</c:v>
                </c:pt>
                <c:pt idx="149">
                  <c:v>0.333576522028046</c:v>
                </c:pt>
                <c:pt idx="150">
                  <c:v>0.33320815197294201</c:v>
                </c:pt>
                <c:pt idx="151">
                  <c:v>0.331616764803426</c:v>
                </c:pt>
                <c:pt idx="152">
                  <c:v>0.33143859381305901</c:v>
                </c:pt>
                <c:pt idx="153">
                  <c:v>0.33114607432438298</c:v>
                </c:pt>
                <c:pt idx="154">
                  <c:v>0.330924801371556</c:v>
                </c:pt>
                <c:pt idx="155">
                  <c:v>0.32994696078777502</c:v>
                </c:pt>
                <c:pt idx="156">
                  <c:v>0.32962355932998599</c:v>
                </c:pt>
                <c:pt idx="157">
                  <c:v>0.32893399317774902</c:v>
                </c:pt>
                <c:pt idx="158">
                  <c:v>0.32665919789036602</c:v>
                </c:pt>
                <c:pt idx="159">
                  <c:v>0.32639414890966401</c:v>
                </c:pt>
                <c:pt idx="160">
                  <c:v>0.32305620188318401</c:v>
                </c:pt>
                <c:pt idx="161">
                  <c:v>0.32137380306899299</c:v>
                </c:pt>
                <c:pt idx="162">
                  <c:v>0.32020144010985302</c:v>
                </c:pt>
                <c:pt idx="163">
                  <c:v>0.31954375157466303</c:v>
                </c:pt>
                <c:pt idx="164">
                  <c:v>0.31772212185804499</c:v>
                </c:pt>
                <c:pt idx="165">
                  <c:v>0.317680430441451</c:v>
                </c:pt>
                <c:pt idx="166">
                  <c:v>0.31699490559481702</c:v>
                </c:pt>
                <c:pt idx="167">
                  <c:v>0.31550517923447902</c:v>
                </c:pt>
                <c:pt idx="168">
                  <c:v>0.314128500358203</c:v>
                </c:pt>
                <c:pt idx="169">
                  <c:v>0.31380430793483699</c:v>
                </c:pt>
                <c:pt idx="170">
                  <c:v>0.31331378089534301</c:v>
                </c:pt>
                <c:pt idx="171">
                  <c:v>0.31281780945645998</c:v>
                </c:pt>
                <c:pt idx="172">
                  <c:v>0.310997704807777</c:v>
                </c:pt>
                <c:pt idx="173">
                  <c:v>0.309761017203663</c:v>
                </c:pt>
                <c:pt idx="174">
                  <c:v>0.30936437265688899</c:v>
                </c:pt>
                <c:pt idx="175">
                  <c:v>0.30928498322617198</c:v>
                </c:pt>
                <c:pt idx="176">
                  <c:v>0.309062071451639</c:v>
                </c:pt>
                <c:pt idx="177">
                  <c:v>0.30844495243912101</c:v>
                </c:pt>
                <c:pt idx="178">
                  <c:v>0.30844272907260301</c:v>
                </c:pt>
                <c:pt idx="179">
                  <c:v>0.30777379848163999</c:v>
                </c:pt>
                <c:pt idx="180">
                  <c:v>0.30704403011571901</c:v>
                </c:pt>
                <c:pt idx="181">
                  <c:v>0.30689272094112202</c:v>
                </c:pt>
                <c:pt idx="182">
                  <c:v>0.30673194734230502</c:v>
                </c:pt>
                <c:pt idx="183">
                  <c:v>0.30533596392454498</c:v>
                </c:pt>
                <c:pt idx="184">
                  <c:v>0.30477725765133701</c:v>
                </c:pt>
                <c:pt idx="185">
                  <c:v>0.30441483989829698</c:v>
                </c:pt>
                <c:pt idx="186">
                  <c:v>0.304171886925581</c:v>
                </c:pt>
                <c:pt idx="187">
                  <c:v>0.300799410752566</c:v>
                </c:pt>
                <c:pt idx="188">
                  <c:v>0.30076193149040598</c:v>
                </c:pt>
                <c:pt idx="189">
                  <c:v>0.30071855533682001</c:v>
                </c:pt>
                <c:pt idx="190">
                  <c:v>0.30051061168562399</c:v>
                </c:pt>
                <c:pt idx="191">
                  <c:v>0.300456980943412</c:v>
                </c:pt>
                <c:pt idx="192">
                  <c:v>0.29955995529922202</c:v>
                </c:pt>
                <c:pt idx="193">
                  <c:v>0.29859104071586001</c:v>
                </c:pt>
                <c:pt idx="194">
                  <c:v>0.29714903795740299</c:v>
                </c:pt>
                <c:pt idx="195">
                  <c:v>0.29684276659522302</c:v>
                </c:pt>
                <c:pt idx="196">
                  <c:v>0.296808696307723</c:v>
                </c:pt>
                <c:pt idx="197">
                  <c:v>0.29635101316537799</c:v>
                </c:pt>
                <c:pt idx="198">
                  <c:v>0.29570103188054098</c:v>
                </c:pt>
                <c:pt idx="199">
                  <c:v>0.29477736994807802</c:v>
                </c:pt>
                <c:pt idx="200">
                  <c:v>0.29417623476446098</c:v>
                </c:pt>
                <c:pt idx="201">
                  <c:v>0.29400346657736398</c:v>
                </c:pt>
                <c:pt idx="202">
                  <c:v>0.29272802813360499</c:v>
                </c:pt>
                <c:pt idx="203">
                  <c:v>0.29194618087912499</c:v>
                </c:pt>
                <c:pt idx="204">
                  <c:v>0.29110002223127301</c:v>
                </c:pt>
                <c:pt idx="205">
                  <c:v>0.29083105323700797</c:v>
                </c:pt>
                <c:pt idx="206">
                  <c:v>0.29044597467390798</c:v>
                </c:pt>
                <c:pt idx="207">
                  <c:v>0.29011624659534502</c:v>
                </c:pt>
                <c:pt idx="208">
                  <c:v>0.28982600439579398</c:v>
                </c:pt>
                <c:pt idx="209">
                  <c:v>0.289403159481741</c:v>
                </c:pt>
                <c:pt idx="210">
                  <c:v>0.28936897239685799</c:v>
                </c:pt>
                <c:pt idx="211">
                  <c:v>0.289118777895775</c:v>
                </c:pt>
                <c:pt idx="212">
                  <c:v>0.28899880912178699</c:v>
                </c:pt>
                <c:pt idx="213">
                  <c:v>0.28842135841553002</c:v>
                </c:pt>
                <c:pt idx="214">
                  <c:v>0.28799366183463898</c:v>
                </c:pt>
                <c:pt idx="215">
                  <c:v>0.28736843689902603</c:v>
                </c:pt>
                <c:pt idx="216">
                  <c:v>0.28726857264332001</c:v>
                </c:pt>
                <c:pt idx="217">
                  <c:v>0.28717661525388799</c:v>
                </c:pt>
                <c:pt idx="218">
                  <c:v>0.28648376463220199</c:v>
                </c:pt>
                <c:pt idx="219">
                  <c:v>0.28568443938131699</c:v>
                </c:pt>
                <c:pt idx="220">
                  <c:v>0.28542715051864198</c:v>
                </c:pt>
                <c:pt idx="221">
                  <c:v>0.285305899130607</c:v>
                </c:pt>
                <c:pt idx="222">
                  <c:v>0.28499780212112402</c:v>
                </c:pt>
                <c:pt idx="223">
                  <c:v>0.28480792742648597</c:v>
                </c:pt>
                <c:pt idx="224">
                  <c:v>0.28342516569255499</c:v>
                </c:pt>
                <c:pt idx="225">
                  <c:v>0.28295664062345299</c:v>
                </c:pt>
                <c:pt idx="226">
                  <c:v>0.28295310313669803</c:v>
                </c:pt>
                <c:pt idx="227">
                  <c:v>0.28285279250231499</c:v>
                </c:pt>
                <c:pt idx="228">
                  <c:v>0.28196548357208001</c:v>
                </c:pt>
                <c:pt idx="229">
                  <c:v>0.281139153680806</c:v>
                </c:pt>
                <c:pt idx="230">
                  <c:v>0.28097194013579502</c:v>
                </c:pt>
                <c:pt idx="231">
                  <c:v>0.28081623089803898</c:v>
                </c:pt>
                <c:pt idx="232">
                  <c:v>0.28062264954773602</c:v>
                </c:pt>
                <c:pt idx="233">
                  <c:v>0.28051114685739398</c:v>
                </c:pt>
                <c:pt idx="234">
                  <c:v>0.27993781371256898</c:v>
                </c:pt>
                <c:pt idx="235">
                  <c:v>0.27978300272836998</c:v>
                </c:pt>
                <c:pt idx="236">
                  <c:v>0.27923426017684699</c:v>
                </c:pt>
                <c:pt idx="237">
                  <c:v>0.27886818494313098</c:v>
                </c:pt>
                <c:pt idx="238">
                  <c:v>0.27848324351727</c:v>
                </c:pt>
                <c:pt idx="239">
                  <c:v>0.27763758221607399</c:v>
                </c:pt>
                <c:pt idx="240">
                  <c:v>0.27750967204627602</c:v>
                </c:pt>
                <c:pt idx="241">
                  <c:v>0.27733382503352</c:v>
                </c:pt>
                <c:pt idx="242">
                  <c:v>0.27718303480863599</c:v>
                </c:pt>
                <c:pt idx="243">
                  <c:v>0.27684636414021402</c:v>
                </c:pt>
                <c:pt idx="244">
                  <c:v>0.27638722980925401</c:v>
                </c:pt>
                <c:pt idx="245">
                  <c:v>0.27526244490775098</c:v>
                </c:pt>
                <c:pt idx="246">
                  <c:v>0.27477523794575698</c:v>
                </c:pt>
                <c:pt idx="247">
                  <c:v>0.27391293294306501</c:v>
                </c:pt>
                <c:pt idx="248">
                  <c:v>0.27241740573416101</c:v>
                </c:pt>
                <c:pt idx="249">
                  <c:v>0.27211564616765999</c:v>
                </c:pt>
                <c:pt idx="250">
                  <c:v>0.270631229472859</c:v>
                </c:pt>
                <c:pt idx="251">
                  <c:v>0.27056027297623603</c:v>
                </c:pt>
                <c:pt idx="252">
                  <c:v>0.26959855348603901</c:v>
                </c:pt>
                <c:pt idx="253">
                  <c:v>0.26934727854370899</c:v>
                </c:pt>
                <c:pt idx="254">
                  <c:v>0.26912499848952398</c:v>
                </c:pt>
                <c:pt idx="255">
                  <c:v>0.26838387788212698</c:v>
                </c:pt>
                <c:pt idx="256">
                  <c:v>0.26717829288029099</c:v>
                </c:pt>
                <c:pt idx="257">
                  <c:v>0.26614147871636001</c:v>
                </c:pt>
                <c:pt idx="258">
                  <c:v>0.26608573633683102</c:v>
                </c:pt>
                <c:pt idx="259">
                  <c:v>0.26480122684993801</c:v>
                </c:pt>
                <c:pt idx="260">
                  <c:v>0.263589901704813</c:v>
                </c:pt>
                <c:pt idx="261">
                  <c:v>0.262564845275642</c:v>
                </c:pt>
                <c:pt idx="262">
                  <c:v>0.26226986206662001</c:v>
                </c:pt>
                <c:pt idx="263">
                  <c:v>0.26222676163081099</c:v>
                </c:pt>
                <c:pt idx="264">
                  <c:v>0.26197608291857299</c:v>
                </c:pt>
                <c:pt idx="265">
                  <c:v>0.26141402543703202</c:v>
                </c:pt>
                <c:pt idx="266">
                  <c:v>0.26132098977846202</c:v>
                </c:pt>
                <c:pt idx="267">
                  <c:v>0.26066277352241801</c:v>
                </c:pt>
                <c:pt idx="268">
                  <c:v>0.26043446960352401</c:v>
                </c:pt>
                <c:pt idx="269">
                  <c:v>0.259458804763194</c:v>
                </c:pt>
                <c:pt idx="270">
                  <c:v>0.25799810599184497</c:v>
                </c:pt>
                <c:pt idx="271">
                  <c:v>0.25674909936248502</c:v>
                </c:pt>
                <c:pt idx="272">
                  <c:v>0.256519580557524</c:v>
                </c:pt>
                <c:pt idx="273">
                  <c:v>0.25608817485359597</c:v>
                </c:pt>
                <c:pt idx="274">
                  <c:v>0.254701174381396</c:v>
                </c:pt>
                <c:pt idx="275">
                  <c:v>0.254528120365132</c:v>
                </c:pt>
                <c:pt idx="276">
                  <c:v>0.25446466956986902</c:v>
                </c:pt>
                <c:pt idx="277">
                  <c:v>0.25424479023332103</c:v>
                </c:pt>
                <c:pt idx="278">
                  <c:v>0.25403769641574397</c:v>
                </c:pt>
                <c:pt idx="279">
                  <c:v>0.25336230987698399</c:v>
                </c:pt>
                <c:pt idx="280">
                  <c:v>0.25285855342458102</c:v>
                </c:pt>
                <c:pt idx="281">
                  <c:v>0.25280326249962398</c:v>
                </c:pt>
                <c:pt idx="282">
                  <c:v>0.25241853205193199</c:v>
                </c:pt>
                <c:pt idx="283">
                  <c:v>0.252100403532174</c:v>
                </c:pt>
                <c:pt idx="284">
                  <c:v>0.25188323622833703</c:v>
                </c:pt>
                <c:pt idx="285">
                  <c:v>0.25147025378486598</c:v>
                </c:pt>
                <c:pt idx="286">
                  <c:v>0.25061629673596902</c:v>
                </c:pt>
                <c:pt idx="287">
                  <c:v>0.25022841028875997</c:v>
                </c:pt>
                <c:pt idx="288">
                  <c:v>0.24815424912476799</c:v>
                </c:pt>
                <c:pt idx="289">
                  <c:v>0.24810935670274101</c:v>
                </c:pt>
                <c:pt idx="290">
                  <c:v>0.24768866533370501</c:v>
                </c:pt>
                <c:pt idx="291">
                  <c:v>0.24744493934488701</c:v>
                </c:pt>
                <c:pt idx="292">
                  <c:v>0.24706047978916101</c:v>
                </c:pt>
                <c:pt idx="293">
                  <c:v>0.24700767987112099</c:v>
                </c:pt>
                <c:pt idx="294">
                  <c:v>0.246957061376121</c:v>
                </c:pt>
                <c:pt idx="295">
                  <c:v>0.24590990431112</c:v>
                </c:pt>
                <c:pt idx="296">
                  <c:v>0.245517431291979</c:v>
                </c:pt>
                <c:pt idx="297">
                  <c:v>0.245429080588635</c:v>
                </c:pt>
                <c:pt idx="298">
                  <c:v>0.245386485967034</c:v>
                </c:pt>
                <c:pt idx="299">
                  <c:v>0.245129034816299</c:v>
                </c:pt>
                <c:pt idx="300">
                  <c:v>0.24501024191690601</c:v>
                </c:pt>
                <c:pt idx="301">
                  <c:v>0.24496137313758201</c:v>
                </c:pt>
                <c:pt idx="302">
                  <c:v>0.244180026317317</c:v>
                </c:pt>
                <c:pt idx="303">
                  <c:v>0.24355274109368399</c:v>
                </c:pt>
                <c:pt idx="304">
                  <c:v>0.24308569552624901</c:v>
                </c:pt>
                <c:pt idx="305">
                  <c:v>0.242334112542687</c:v>
                </c:pt>
                <c:pt idx="306">
                  <c:v>0.240763776008105</c:v>
                </c:pt>
                <c:pt idx="307">
                  <c:v>0.23926534934500701</c:v>
                </c:pt>
                <c:pt idx="308">
                  <c:v>0.23867974850613799</c:v>
                </c:pt>
                <c:pt idx="309">
                  <c:v>0.23824943177355701</c:v>
                </c:pt>
                <c:pt idx="310">
                  <c:v>0.23799344007411799</c:v>
                </c:pt>
                <c:pt idx="311">
                  <c:v>0.23773630914881699</c:v>
                </c:pt>
                <c:pt idx="312">
                  <c:v>0.236737428267142</c:v>
                </c:pt>
                <c:pt idx="313">
                  <c:v>0.236595237430339</c:v>
                </c:pt>
                <c:pt idx="314">
                  <c:v>0.23648166946327301</c:v>
                </c:pt>
                <c:pt idx="315">
                  <c:v>0.236366219916089</c:v>
                </c:pt>
                <c:pt idx="316">
                  <c:v>0.236302804628722</c:v>
                </c:pt>
                <c:pt idx="317">
                  <c:v>0.23624941536536301</c:v>
                </c:pt>
                <c:pt idx="318">
                  <c:v>0.23618729052010601</c:v>
                </c:pt>
                <c:pt idx="319">
                  <c:v>0.23604729801031701</c:v>
                </c:pt>
                <c:pt idx="320">
                  <c:v>0.235829393350873</c:v>
                </c:pt>
                <c:pt idx="321">
                  <c:v>0.234330762037783</c:v>
                </c:pt>
                <c:pt idx="322">
                  <c:v>0.234271970780042</c:v>
                </c:pt>
                <c:pt idx="323">
                  <c:v>0.233432761252926</c:v>
                </c:pt>
                <c:pt idx="324">
                  <c:v>0.23177166663596199</c:v>
                </c:pt>
                <c:pt idx="325">
                  <c:v>0.23151979365020001</c:v>
                </c:pt>
                <c:pt idx="326">
                  <c:v>0.231480804945702</c:v>
                </c:pt>
                <c:pt idx="327">
                  <c:v>0.231350080483811</c:v>
                </c:pt>
                <c:pt idx="328">
                  <c:v>0.23035367642732199</c:v>
                </c:pt>
                <c:pt idx="329">
                  <c:v>0.22954532769879701</c:v>
                </c:pt>
                <c:pt idx="330">
                  <c:v>0.229185382494735</c:v>
                </c:pt>
                <c:pt idx="331">
                  <c:v>0.22851834502993201</c:v>
                </c:pt>
                <c:pt idx="332">
                  <c:v>0.228255519666933</c:v>
                </c:pt>
                <c:pt idx="333">
                  <c:v>0.22816709475996999</c:v>
                </c:pt>
                <c:pt idx="334">
                  <c:v>0.22707879264078101</c:v>
                </c:pt>
                <c:pt idx="335">
                  <c:v>0.227008030288468</c:v>
                </c:pt>
                <c:pt idx="336">
                  <c:v>0.22673299410797301</c:v>
                </c:pt>
                <c:pt idx="337">
                  <c:v>0.22597635208536701</c:v>
                </c:pt>
                <c:pt idx="338">
                  <c:v>0.22589406265501799</c:v>
                </c:pt>
                <c:pt idx="339">
                  <c:v>0.22518476675179699</c:v>
                </c:pt>
                <c:pt idx="340">
                  <c:v>0.22493006103539601</c:v>
                </c:pt>
                <c:pt idx="341">
                  <c:v>0.224739780765491</c:v>
                </c:pt>
                <c:pt idx="342">
                  <c:v>0.22459225322729201</c:v>
                </c:pt>
                <c:pt idx="343">
                  <c:v>0.22426938472841099</c:v>
                </c:pt>
                <c:pt idx="344">
                  <c:v>0.22414825962620599</c:v>
                </c:pt>
                <c:pt idx="345">
                  <c:v>0.22397193165690399</c:v>
                </c:pt>
                <c:pt idx="346">
                  <c:v>0.22372469748461399</c:v>
                </c:pt>
                <c:pt idx="347">
                  <c:v>0.22361821096919501</c:v>
                </c:pt>
                <c:pt idx="348">
                  <c:v>0.22285096394544399</c:v>
                </c:pt>
                <c:pt idx="349">
                  <c:v>0.22206444882274701</c:v>
                </c:pt>
                <c:pt idx="350">
                  <c:v>0.22053896295145001</c:v>
                </c:pt>
                <c:pt idx="351">
                  <c:v>0.22022463668789299</c:v>
                </c:pt>
                <c:pt idx="352">
                  <c:v>0.218740333652231</c:v>
                </c:pt>
                <c:pt idx="353">
                  <c:v>0.21832867989027099</c:v>
                </c:pt>
                <c:pt idx="354">
                  <c:v>0.21821529892487401</c:v>
                </c:pt>
                <c:pt idx="355">
                  <c:v>0.21759155577693701</c:v>
                </c:pt>
                <c:pt idx="356">
                  <c:v>0.21745609621720899</c:v>
                </c:pt>
                <c:pt idx="357">
                  <c:v>0.21704647726408099</c:v>
                </c:pt>
                <c:pt idx="358">
                  <c:v>0.21657792620545499</c:v>
                </c:pt>
                <c:pt idx="359">
                  <c:v>0.215879849984219</c:v>
                </c:pt>
                <c:pt idx="360">
                  <c:v>0.21578884236753601</c:v>
                </c:pt>
                <c:pt idx="361">
                  <c:v>0.21507795740424199</c:v>
                </c:pt>
                <c:pt idx="362">
                  <c:v>0.214308502899691</c:v>
                </c:pt>
                <c:pt idx="363">
                  <c:v>0.21394446463558101</c:v>
                </c:pt>
                <c:pt idx="364">
                  <c:v>0.213873393374757</c:v>
                </c:pt>
                <c:pt idx="365">
                  <c:v>0.21380139814238799</c:v>
                </c:pt>
                <c:pt idx="366">
                  <c:v>0.21378254146990999</c:v>
                </c:pt>
                <c:pt idx="367">
                  <c:v>0.213296403376984</c:v>
                </c:pt>
                <c:pt idx="368">
                  <c:v>0.21296551258903301</c:v>
                </c:pt>
                <c:pt idx="369">
                  <c:v>0.212804779955205</c:v>
                </c:pt>
                <c:pt idx="370">
                  <c:v>0.212415703876246</c:v>
                </c:pt>
                <c:pt idx="371">
                  <c:v>0.21234777360137</c:v>
                </c:pt>
                <c:pt idx="372">
                  <c:v>0.21175148802541799</c:v>
                </c:pt>
                <c:pt idx="373">
                  <c:v>0.21130644536491899</c:v>
                </c:pt>
                <c:pt idx="374">
                  <c:v>0.210722028328762</c:v>
                </c:pt>
                <c:pt idx="375">
                  <c:v>0.21047846067617501</c:v>
                </c:pt>
                <c:pt idx="376">
                  <c:v>0.20974428280676999</c:v>
                </c:pt>
                <c:pt idx="377">
                  <c:v>0.209138606895266</c:v>
                </c:pt>
                <c:pt idx="378">
                  <c:v>0.20909752132769099</c:v>
                </c:pt>
                <c:pt idx="379">
                  <c:v>0.20907391719997101</c:v>
                </c:pt>
                <c:pt idx="380">
                  <c:v>0.20866566929955099</c:v>
                </c:pt>
                <c:pt idx="381">
                  <c:v>0.207808100916371</c:v>
                </c:pt>
                <c:pt idx="382">
                  <c:v>0.2076453864526</c:v>
                </c:pt>
                <c:pt idx="383">
                  <c:v>0.20710268493202</c:v>
                </c:pt>
                <c:pt idx="384">
                  <c:v>0.20702267441542799</c:v>
                </c:pt>
                <c:pt idx="385">
                  <c:v>0.20671397699354099</c:v>
                </c:pt>
                <c:pt idx="386">
                  <c:v>0.20612645205314301</c:v>
                </c:pt>
                <c:pt idx="387">
                  <c:v>0.20608526814610501</c:v>
                </c:pt>
                <c:pt idx="388">
                  <c:v>0.205588009793501</c:v>
                </c:pt>
                <c:pt idx="389">
                  <c:v>0.20534114449333801</c:v>
                </c:pt>
                <c:pt idx="390">
                  <c:v>0.20446015414417401</c:v>
                </c:pt>
                <c:pt idx="391">
                  <c:v>0.20445637339863901</c:v>
                </c:pt>
                <c:pt idx="392">
                  <c:v>0.20439651045577001</c:v>
                </c:pt>
                <c:pt idx="393">
                  <c:v>0.203166434775268</c:v>
                </c:pt>
                <c:pt idx="394">
                  <c:v>0.20268248106271</c:v>
                </c:pt>
                <c:pt idx="395">
                  <c:v>0.202587695977205</c:v>
                </c:pt>
                <c:pt idx="396">
                  <c:v>0.20156623003427501</c:v>
                </c:pt>
                <c:pt idx="397">
                  <c:v>0.201335511631311</c:v>
                </c:pt>
                <c:pt idx="398">
                  <c:v>0.20120167456983901</c:v>
                </c:pt>
                <c:pt idx="399">
                  <c:v>0.201099407213333</c:v>
                </c:pt>
                <c:pt idx="400">
                  <c:v>0.20101202339425001</c:v>
                </c:pt>
                <c:pt idx="401">
                  <c:v>0.20091866680826601</c:v>
                </c:pt>
                <c:pt idx="402">
                  <c:v>0.20035207442799899</c:v>
                </c:pt>
                <c:pt idx="403">
                  <c:v>0.20009046273747999</c:v>
                </c:pt>
                <c:pt idx="404">
                  <c:v>0.19994826296866999</c:v>
                </c:pt>
                <c:pt idx="405">
                  <c:v>0.19989117555222399</c:v>
                </c:pt>
                <c:pt idx="406">
                  <c:v>0.19965190326749099</c:v>
                </c:pt>
                <c:pt idx="407">
                  <c:v>0.19925786310087101</c:v>
                </c:pt>
                <c:pt idx="408">
                  <c:v>0.199148567876648</c:v>
                </c:pt>
                <c:pt idx="409">
                  <c:v>0.19770178529605101</c:v>
                </c:pt>
                <c:pt idx="410">
                  <c:v>0.19766801158729999</c:v>
                </c:pt>
                <c:pt idx="411">
                  <c:v>0.197664038337339</c:v>
                </c:pt>
                <c:pt idx="412">
                  <c:v>0.19766137182375901</c:v>
                </c:pt>
                <c:pt idx="413">
                  <c:v>0.19738100136852799</c:v>
                </c:pt>
                <c:pt idx="414">
                  <c:v>0.196617695294523</c:v>
                </c:pt>
                <c:pt idx="415">
                  <c:v>0.196045263700414</c:v>
                </c:pt>
                <c:pt idx="416">
                  <c:v>0.19596443073695499</c:v>
                </c:pt>
                <c:pt idx="417">
                  <c:v>0.19580435054409001</c:v>
                </c:pt>
                <c:pt idx="418">
                  <c:v>0.19531885478726799</c:v>
                </c:pt>
                <c:pt idx="419">
                  <c:v>0.195208355964721</c:v>
                </c:pt>
                <c:pt idx="420">
                  <c:v>0.19421542047481299</c:v>
                </c:pt>
                <c:pt idx="421">
                  <c:v>0.19333390488212299</c:v>
                </c:pt>
                <c:pt idx="422">
                  <c:v>0.193255728728879</c:v>
                </c:pt>
                <c:pt idx="423">
                  <c:v>0.19256140450644499</c:v>
                </c:pt>
                <c:pt idx="424">
                  <c:v>0.19219809883573599</c:v>
                </c:pt>
                <c:pt idx="425">
                  <c:v>0.19154139658293601</c:v>
                </c:pt>
                <c:pt idx="426">
                  <c:v>0.19152899280164301</c:v>
                </c:pt>
                <c:pt idx="427">
                  <c:v>0.191257374187492</c:v>
                </c:pt>
                <c:pt idx="428">
                  <c:v>0.19114053501629799</c:v>
                </c:pt>
                <c:pt idx="429">
                  <c:v>0.19099849015635101</c:v>
                </c:pt>
                <c:pt idx="430">
                  <c:v>0.19081533979736201</c:v>
                </c:pt>
                <c:pt idx="431">
                  <c:v>0.19075917360441599</c:v>
                </c:pt>
                <c:pt idx="432">
                  <c:v>0.189914414649067</c:v>
                </c:pt>
                <c:pt idx="433">
                  <c:v>0.189785995056896</c:v>
                </c:pt>
                <c:pt idx="434">
                  <c:v>0.18913568096265301</c:v>
                </c:pt>
                <c:pt idx="435">
                  <c:v>0.188691608760128</c:v>
                </c:pt>
                <c:pt idx="436">
                  <c:v>0.1880920979255</c:v>
                </c:pt>
                <c:pt idx="437">
                  <c:v>0.187987251583391</c:v>
                </c:pt>
                <c:pt idx="438">
                  <c:v>0.187970739500326</c:v>
                </c:pt>
                <c:pt idx="439">
                  <c:v>0.18780704866252301</c:v>
                </c:pt>
                <c:pt idx="440">
                  <c:v>0.187748438188242</c:v>
                </c:pt>
                <c:pt idx="441">
                  <c:v>0.18674451940933501</c:v>
                </c:pt>
                <c:pt idx="442">
                  <c:v>0.18653602130746499</c:v>
                </c:pt>
                <c:pt idx="443">
                  <c:v>0.18650122864007401</c:v>
                </c:pt>
                <c:pt idx="444">
                  <c:v>0.18613834692688999</c:v>
                </c:pt>
                <c:pt idx="445">
                  <c:v>0.185750359919402</c:v>
                </c:pt>
                <c:pt idx="446">
                  <c:v>0.18383172847022999</c:v>
                </c:pt>
                <c:pt idx="447">
                  <c:v>0.18342743401716799</c:v>
                </c:pt>
                <c:pt idx="448">
                  <c:v>0.18320105550049001</c:v>
                </c:pt>
                <c:pt idx="449">
                  <c:v>0.182909740627312</c:v>
                </c:pt>
                <c:pt idx="450">
                  <c:v>0.18219156269762399</c:v>
                </c:pt>
                <c:pt idx="451">
                  <c:v>0.18214410502056899</c:v>
                </c:pt>
                <c:pt idx="452">
                  <c:v>0.18196197865615399</c:v>
                </c:pt>
                <c:pt idx="453">
                  <c:v>0.18187087669472199</c:v>
                </c:pt>
                <c:pt idx="454">
                  <c:v>0.18171781805402401</c:v>
                </c:pt>
                <c:pt idx="455">
                  <c:v>0.180639025379218</c:v>
                </c:pt>
                <c:pt idx="456">
                  <c:v>0.18057463470897001</c:v>
                </c:pt>
                <c:pt idx="457">
                  <c:v>0.17957653374045801</c:v>
                </c:pt>
                <c:pt idx="458">
                  <c:v>0.17929835533303401</c:v>
                </c:pt>
                <c:pt idx="459">
                  <c:v>0.17907012858145799</c:v>
                </c:pt>
                <c:pt idx="460">
                  <c:v>0.178939977418729</c:v>
                </c:pt>
                <c:pt idx="461">
                  <c:v>0.178827596116477</c:v>
                </c:pt>
                <c:pt idx="462">
                  <c:v>0.17798922732109199</c:v>
                </c:pt>
                <c:pt idx="463">
                  <c:v>0.177641741445596</c:v>
                </c:pt>
                <c:pt idx="464">
                  <c:v>0.17764121973411001</c:v>
                </c:pt>
                <c:pt idx="465">
                  <c:v>0.177426367687258</c:v>
                </c:pt>
                <c:pt idx="466">
                  <c:v>0.17741828655053299</c:v>
                </c:pt>
                <c:pt idx="467">
                  <c:v>0.17734884425233199</c:v>
                </c:pt>
                <c:pt idx="468">
                  <c:v>0.17722977561797201</c:v>
                </c:pt>
                <c:pt idx="469">
                  <c:v>0.177080430653028</c:v>
                </c:pt>
                <c:pt idx="470">
                  <c:v>0.176793672335192</c:v>
                </c:pt>
                <c:pt idx="471">
                  <c:v>0.17677284915019401</c:v>
                </c:pt>
                <c:pt idx="472">
                  <c:v>0.17671685314578001</c:v>
                </c:pt>
                <c:pt idx="473">
                  <c:v>0.176531689906819</c:v>
                </c:pt>
                <c:pt idx="474">
                  <c:v>0.17648725946819299</c:v>
                </c:pt>
                <c:pt idx="475">
                  <c:v>0.176258960164585</c:v>
                </c:pt>
                <c:pt idx="476">
                  <c:v>0.176141106289949</c:v>
                </c:pt>
                <c:pt idx="477">
                  <c:v>0.176029305633425</c:v>
                </c:pt>
                <c:pt idx="478">
                  <c:v>0.17595769291761401</c:v>
                </c:pt>
                <c:pt idx="479">
                  <c:v>0.17592513008407701</c:v>
                </c:pt>
                <c:pt idx="480">
                  <c:v>0.17516633001550599</c:v>
                </c:pt>
                <c:pt idx="481">
                  <c:v>0.17494519988784801</c:v>
                </c:pt>
                <c:pt idx="482">
                  <c:v>0.17468868372570301</c:v>
                </c:pt>
                <c:pt idx="483">
                  <c:v>0.17409693877680199</c:v>
                </c:pt>
                <c:pt idx="484">
                  <c:v>0.173404546826743</c:v>
                </c:pt>
                <c:pt idx="485">
                  <c:v>0.17331396795813001</c:v>
                </c:pt>
                <c:pt idx="486">
                  <c:v>0.172963498014398</c:v>
                </c:pt>
                <c:pt idx="487">
                  <c:v>0.17285950783583601</c:v>
                </c:pt>
                <c:pt idx="488">
                  <c:v>0.17272885316596201</c:v>
                </c:pt>
                <c:pt idx="489">
                  <c:v>0.172275874635649</c:v>
                </c:pt>
                <c:pt idx="490">
                  <c:v>0.172250639388872</c:v>
                </c:pt>
                <c:pt idx="491">
                  <c:v>0.17217277065238201</c:v>
                </c:pt>
                <c:pt idx="492">
                  <c:v>0.17216275870508099</c:v>
                </c:pt>
                <c:pt idx="493">
                  <c:v>0.172061307899774</c:v>
                </c:pt>
                <c:pt idx="494">
                  <c:v>0.17169908677828899</c:v>
                </c:pt>
                <c:pt idx="495">
                  <c:v>0.171273589810613</c:v>
                </c:pt>
                <c:pt idx="496">
                  <c:v>0.171106386407889</c:v>
                </c:pt>
                <c:pt idx="497">
                  <c:v>0.170272131756247</c:v>
                </c:pt>
                <c:pt idx="498">
                  <c:v>0.16979198429807901</c:v>
                </c:pt>
                <c:pt idx="499">
                  <c:v>0.169152166384993</c:v>
                </c:pt>
                <c:pt idx="500">
                  <c:v>0.168974512544667</c:v>
                </c:pt>
                <c:pt idx="501">
                  <c:v>0.16891001003363701</c:v>
                </c:pt>
                <c:pt idx="502">
                  <c:v>0.168903220028225</c:v>
                </c:pt>
                <c:pt idx="503">
                  <c:v>0.168506130837626</c:v>
                </c:pt>
                <c:pt idx="504">
                  <c:v>0.16816829847300099</c:v>
                </c:pt>
                <c:pt idx="505">
                  <c:v>0.16816165210070999</c:v>
                </c:pt>
                <c:pt idx="506">
                  <c:v>0.167519644064719</c:v>
                </c:pt>
                <c:pt idx="507">
                  <c:v>0.16747497099819</c:v>
                </c:pt>
                <c:pt idx="508">
                  <c:v>0.16745420489969001</c:v>
                </c:pt>
                <c:pt idx="509">
                  <c:v>0.16744251336739899</c:v>
                </c:pt>
                <c:pt idx="510">
                  <c:v>0.16722542012675301</c:v>
                </c:pt>
                <c:pt idx="511">
                  <c:v>0.16634505537760599</c:v>
                </c:pt>
                <c:pt idx="512">
                  <c:v>0.166085427811199</c:v>
                </c:pt>
                <c:pt idx="513">
                  <c:v>0.166009562214886</c:v>
                </c:pt>
                <c:pt idx="514">
                  <c:v>0.16596245834712001</c:v>
                </c:pt>
                <c:pt idx="515">
                  <c:v>0.165847624667882</c:v>
                </c:pt>
                <c:pt idx="516">
                  <c:v>0.165259002601225</c:v>
                </c:pt>
                <c:pt idx="517">
                  <c:v>0.16514936685380099</c:v>
                </c:pt>
                <c:pt idx="518">
                  <c:v>0.165133452626157</c:v>
                </c:pt>
                <c:pt idx="519">
                  <c:v>0.165100690364547</c:v>
                </c:pt>
                <c:pt idx="520">
                  <c:v>0.16490915304715101</c:v>
                </c:pt>
                <c:pt idx="521">
                  <c:v>0.16473072123728799</c:v>
                </c:pt>
                <c:pt idx="522">
                  <c:v>0.16415615935706299</c:v>
                </c:pt>
                <c:pt idx="523">
                  <c:v>0.16359324955087101</c:v>
                </c:pt>
                <c:pt idx="524">
                  <c:v>0.163415131396033</c:v>
                </c:pt>
                <c:pt idx="525">
                  <c:v>0.16336718244578299</c:v>
                </c:pt>
                <c:pt idx="526">
                  <c:v>0.163326804418884</c:v>
                </c:pt>
                <c:pt idx="527">
                  <c:v>0.163256581969033</c:v>
                </c:pt>
                <c:pt idx="528">
                  <c:v>0.163158675693928</c:v>
                </c:pt>
                <c:pt idx="529">
                  <c:v>0.16274473294755601</c:v>
                </c:pt>
                <c:pt idx="530">
                  <c:v>0.16270593072789699</c:v>
                </c:pt>
                <c:pt idx="531">
                  <c:v>0.16261472842333499</c:v>
                </c:pt>
                <c:pt idx="532">
                  <c:v>0.16241174541835501</c:v>
                </c:pt>
                <c:pt idx="533">
                  <c:v>0.16230497451675499</c:v>
                </c:pt>
                <c:pt idx="534">
                  <c:v>0.16219818796416999</c:v>
                </c:pt>
                <c:pt idx="535">
                  <c:v>0.16213120289337399</c:v>
                </c:pt>
                <c:pt idx="536">
                  <c:v>0.16187758497476401</c:v>
                </c:pt>
                <c:pt idx="537">
                  <c:v>0.161392603110805</c:v>
                </c:pt>
                <c:pt idx="538">
                  <c:v>0.16116340211102601</c:v>
                </c:pt>
                <c:pt idx="539">
                  <c:v>0.16111859401763701</c:v>
                </c:pt>
                <c:pt idx="540">
                  <c:v>0.16010256461893299</c:v>
                </c:pt>
                <c:pt idx="541">
                  <c:v>0.15953374967043299</c:v>
                </c:pt>
                <c:pt idx="542">
                  <c:v>0.15939653327863099</c:v>
                </c:pt>
                <c:pt idx="543">
                  <c:v>0.15915206418130701</c:v>
                </c:pt>
                <c:pt idx="544">
                  <c:v>0.15866734059426699</c:v>
                </c:pt>
                <c:pt idx="545">
                  <c:v>0.158280380113481</c:v>
                </c:pt>
                <c:pt idx="546">
                  <c:v>0.15808582035101301</c:v>
                </c:pt>
                <c:pt idx="547">
                  <c:v>0.15804175985418101</c:v>
                </c:pt>
                <c:pt idx="548">
                  <c:v>0.15800736602107901</c:v>
                </c:pt>
                <c:pt idx="549">
                  <c:v>0.15689731181883901</c:v>
                </c:pt>
                <c:pt idx="550">
                  <c:v>0.15675578221831599</c:v>
                </c:pt>
                <c:pt idx="551">
                  <c:v>0.15666029125931899</c:v>
                </c:pt>
                <c:pt idx="552">
                  <c:v>0.156659143725598</c:v>
                </c:pt>
                <c:pt idx="553">
                  <c:v>0.15646977352204799</c:v>
                </c:pt>
                <c:pt idx="554">
                  <c:v>0.15566711740049199</c:v>
                </c:pt>
                <c:pt idx="555">
                  <c:v>0.155491841839727</c:v>
                </c:pt>
                <c:pt idx="556">
                  <c:v>0.15514206892313001</c:v>
                </c:pt>
                <c:pt idx="557">
                  <c:v>0.15476930039369699</c:v>
                </c:pt>
                <c:pt idx="558">
                  <c:v>0.15475525973165</c:v>
                </c:pt>
                <c:pt idx="559">
                  <c:v>0.15370482756158901</c:v>
                </c:pt>
                <c:pt idx="560">
                  <c:v>0.15343048135256801</c:v>
                </c:pt>
                <c:pt idx="561">
                  <c:v>0.15321364225510001</c:v>
                </c:pt>
                <c:pt idx="562">
                  <c:v>0.153037277236236</c:v>
                </c:pt>
                <c:pt idx="563">
                  <c:v>0.152515145825215</c:v>
                </c:pt>
                <c:pt idx="564">
                  <c:v>0.15197975571078801</c:v>
                </c:pt>
                <c:pt idx="565">
                  <c:v>0.15156302573657501</c:v>
                </c:pt>
                <c:pt idx="566">
                  <c:v>0.15136689994871</c:v>
                </c:pt>
                <c:pt idx="567">
                  <c:v>0.150894178708181</c:v>
                </c:pt>
                <c:pt idx="568">
                  <c:v>0.150805866266079</c:v>
                </c:pt>
                <c:pt idx="569">
                  <c:v>0.15050988725036801</c:v>
                </c:pt>
                <c:pt idx="570">
                  <c:v>0.15032984095471599</c:v>
                </c:pt>
                <c:pt idx="571">
                  <c:v>0.150306340239442</c:v>
                </c:pt>
                <c:pt idx="572">
                  <c:v>0.150227912036588</c:v>
                </c:pt>
                <c:pt idx="573">
                  <c:v>0.15014780433122599</c:v>
                </c:pt>
                <c:pt idx="574">
                  <c:v>0.149804707511108</c:v>
                </c:pt>
                <c:pt idx="575">
                  <c:v>0.14957146980283401</c:v>
                </c:pt>
                <c:pt idx="576">
                  <c:v>0.148765841880794</c:v>
                </c:pt>
                <c:pt idx="577">
                  <c:v>0.14867650221989201</c:v>
                </c:pt>
                <c:pt idx="578">
                  <c:v>0.148543366279835</c:v>
                </c:pt>
                <c:pt idx="579">
                  <c:v>0.14832582003726799</c:v>
                </c:pt>
                <c:pt idx="580">
                  <c:v>0.147805961483014</c:v>
                </c:pt>
                <c:pt idx="581">
                  <c:v>0.146814725088592</c:v>
                </c:pt>
                <c:pt idx="582">
                  <c:v>0.146771537804361</c:v>
                </c:pt>
                <c:pt idx="583">
                  <c:v>0.146669390727966</c:v>
                </c:pt>
                <c:pt idx="584">
                  <c:v>0.146387185344379</c:v>
                </c:pt>
                <c:pt idx="585">
                  <c:v>0.14568038126504201</c:v>
                </c:pt>
                <c:pt idx="586">
                  <c:v>0.14542031681200501</c:v>
                </c:pt>
                <c:pt idx="587">
                  <c:v>0.145400676453769</c:v>
                </c:pt>
                <c:pt idx="588">
                  <c:v>0.145387178629759</c:v>
                </c:pt>
                <c:pt idx="589">
                  <c:v>0.14536518560115799</c:v>
                </c:pt>
                <c:pt idx="590">
                  <c:v>0.14497959347936501</c:v>
                </c:pt>
                <c:pt idx="591">
                  <c:v>0.14479269971894601</c:v>
                </c:pt>
                <c:pt idx="592">
                  <c:v>0.14441064325199199</c:v>
                </c:pt>
                <c:pt idx="593">
                  <c:v>0.144227324742045</c:v>
                </c:pt>
                <c:pt idx="594">
                  <c:v>0.143603114797308</c:v>
                </c:pt>
                <c:pt idx="595">
                  <c:v>0.14342977394026099</c:v>
                </c:pt>
                <c:pt idx="596">
                  <c:v>0.14321313346730699</c:v>
                </c:pt>
                <c:pt idx="597">
                  <c:v>0.14251191465391899</c:v>
                </c:pt>
                <c:pt idx="598">
                  <c:v>0.14151829365823701</c:v>
                </c:pt>
                <c:pt idx="599">
                  <c:v>0.14081608534731199</c:v>
                </c:pt>
                <c:pt idx="600">
                  <c:v>0.140733597669355</c:v>
                </c:pt>
                <c:pt idx="601">
                  <c:v>0.13973251437664699</c:v>
                </c:pt>
                <c:pt idx="602">
                  <c:v>0.13967819783133201</c:v>
                </c:pt>
                <c:pt idx="603">
                  <c:v>0.13966874958904901</c:v>
                </c:pt>
                <c:pt idx="604">
                  <c:v>0.13934266934225201</c:v>
                </c:pt>
                <c:pt idx="605">
                  <c:v>0.13925486164821299</c:v>
                </c:pt>
                <c:pt idx="606">
                  <c:v>0.13858451589380999</c:v>
                </c:pt>
                <c:pt idx="607">
                  <c:v>0.13830212677592299</c:v>
                </c:pt>
                <c:pt idx="608">
                  <c:v>0.138011098442334</c:v>
                </c:pt>
                <c:pt idx="609">
                  <c:v>0.13772703346682899</c:v>
                </c:pt>
                <c:pt idx="610">
                  <c:v>0.13735017666655799</c:v>
                </c:pt>
                <c:pt idx="611">
                  <c:v>0.137006025091817</c:v>
                </c:pt>
                <c:pt idx="612">
                  <c:v>0.13695733915304201</c:v>
                </c:pt>
                <c:pt idx="613">
                  <c:v>0.13694291644571299</c:v>
                </c:pt>
                <c:pt idx="614">
                  <c:v>0.13692279650544301</c:v>
                </c:pt>
                <c:pt idx="615">
                  <c:v>0.13630927148153801</c:v>
                </c:pt>
                <c:pt idx="616">
                  <c:v>0.13614133101904499</c:v>
                </c:pt>
                <c:pt idx="617">
                  <c:v>0.13608754191501801</c:v>
                </c:pt>
                <c:pt idx="618">
                  <c:v>0.13597445133223501</c:v>
                </c:pt>
                <c:pt idx="619">
                  <c:v>0.135699210161946</c:v>
                </c:pt>
                <c:pt idx="620">
                  <c:v>0.13568938241808801</c:v>
                </c:pt>
                <c:pt idx="621">
                  <c:v>0.13561719489981899</c:v>
                </c:pt>
                <c:pt idx="622">
                  <c:v>0.13549115718913601</c:v>
                </c:pt>
                <c:pt idx="623">
                  <c:v>0.135430783106433</c:v>
                </c:pt>
                <c:pt idx="624">
                  <c:v>0.134790374308392</c:v>
                </c:pt>
                <c:pt idx="625">
                  <c:v>0.13434926768798899</c:v>
                </c:pt>
                <c:pt idx="626">
                  <c:v>0.134338693650633</c:v>
                </c:pt>
                <c:pt idx="627">
                  <c:v>0.13418341061706801</c:v>
                </c:pt>
                <c:pt idx="628">
                  <c:v>0.13411022155631599</c:v>
                </c:pt>
                <c:pt idx="629">
                  <c:v>0.13390159592231601</c:v>
                </c:pt>
                <c:pt idx="630">
                  <c:v>0.133284229339204</c:v>
                </c:pt>
                <c:pt idx="631">
                  <c:v>0.132876454221383</c:v>
                </c:pt>
                <c:pt idx="632">
                  <c:v>0.13285147943371101</c:v>
                </c:pt>
                <c:pt idx="633">
                  <c:v>0.13280156074302599</c:v>
                </c:pt>
                <c:pt idx="634">
                  <c:v>0.13257347012135001</c:v>
                </c:pt>
                <c:pt idx="635">
                  <c:v>0.13157746270102</c:v>
                </c:pt>
                <c:pt idx="636">
                  <c:v>0.13125308058680299</c:v>
                </c:pt>
                <c:pt idx="637">
                  <c:v>0.131133916447809</c:v>
                </c:pt>
                <c:pt idx="638">
                  <c:v>0.13103313547974499</c:v>
                </c:pt>
                <c:pt idx="639">
                  <c:v>0.13057629913535199</c:v>
                </c:pt>
                <c:pt idx="640">
                  <c:v>0.13031459651233901</c:v>
                </c:pt>
                <c:pt idx="641">
                  <c:v>0.13017802619170199</c:v>
                </c:pt>
                <c:pt idx="642">
                  <c:v>0.130099001320921</c:v>
                </c:pt>
                <c:pt idx="643">
                  <c:v>0.12909854299579099</c:v>
                </c:pt>
                <c:pt idx="644">
                  <c:v>0.12816022431062901</c:v>
                </c:pt>
                <c:pt idx="645">
                  <c:v>0.12774742932822999</c:v>
                </c:pt>
                <c:pt idx="646">
                  <c:v>0.127343272781129</c:v>
                </c:pt>
                <c:pt idx="647">
                  <c:v>0.12728908886415599</c:v>
                </c:pt>
                <c:pt idx="648">
                  <c:v>0.12724644352660999</c:v>
                </c:pt>
                <c:pt idx="649">
                  <c:v>0.12696787965867001</c:v>
                </c:pt>
                <c:pt idx="650">
                  <c:v>0.126966797117326</c:v>
                </c:pt>
                <c:pt idx="651">
                  <c:v>0.12683184407780301</c:v>
                </c:pt>
                <c:pt idx="652">
                  <c:v>0.12681349449207399</c:v>
                </c:pt>
                <c:pt idx="653">
                  <c:v>0.12681292204359901</c:v>
                </c:pt>
                <c:pt idx="654">
                  <c:v>0.12648856793267799</c:v>
                </c:pt>
                <c:pt idx="655">
                  <c:v>0.12628311444155299</c:v>
                </c:pt>
                <c:pt idx="656">
                  <c:v>0.12621494050693499</c:v>
                </c:pt>
                <c:pt idx="657">
                  <c:v>0.12559376000884401</c:v>
                </c:pt>
                <c:pt idx="658">
                  <c:v>0.125536838531698</c:v>
                </c:pt>
                <c:pt idx="659">
                  <c:v>0.125527268280205</c:v>
                </c:pt>
                <c:pt idx="660">
                  <c:v>0.12524352987787299</c:v>
                </c:pt>
                <c:pt idx="661">
                  <c:v>0.125163731143969</c:v>
                </c:pt>
                <c:pt idx="662">
                  <c:v>0.12514216859353</c:v>
                </c:pt>
                <c:pt idx="663">
                  <c:v>0.125087068535253</c:v>
                </c:pt>
                <c:pt idx="664">
                  <c:v>0.12442241580794</c:v>
                </c:pt>
                <c:pt idx="665">
                  <c:v>0.12437149389525699</c:v>
                </c:pt>
                <c:pt idx="666">
                  <c:v>0.12424722715535</c:v>
                </c:pt>
                <c:pt idx="667">
                  <c:v>0.12418933727881</c:v>
                </c:pt>
                <c:pt idx="668">
                  <c:v>0.124117824552295</c:v>
                </c:pt>
                <c:pt idx="669">
                  <c:v>0.12382332501255</c:v>
                </c:pt>
                <c:pt idx="670">
                  <c:v>0.123198325669352</c:v>
                </c:pt>
                <c:pt idx="671">
                  <c:v>0.12315589315592999</c:v>
                </c:pt>
                <c:pt idx="672">
                  <c:v>0.122731339733475</c:v>
                </c:pt>
                <c:pt idx="673">
                  <c:v>0.122476226444921</c:v>
                </c:pt>
                <c:pt idx="674">
                  <c:v>0.122262884331428</c:v>
                </c:pt>
                <c:pt idx="675">
                  <c:v>0.1222579797111</c:v>
                </c:pt>
                <c:pt idx="676">
                  <c:v>0.122177283364791</c:v>
                </c:pt>
                <c:pt idx="677">
                  <c:v>0.12198396900501</c:v>
                </c:pt>
                <c:pt idx="678">
                  <c:v>0.121643788565271</c:v>
                </c:pt>
                <c:pt idx="679">
                  <c:v>0.121613785943334</c:v>
                </c:pt>
                <c:pt idx="680">
                  <c:v>0.1215438425481</c:v>
                </c:pt>
                <c:pt idx="681">
                  <c:v>0.12150718637851</c:v>
                </c:pt>
                <c:pt idx="682">
                  <c:v>0.12128868058079</c:v>
                </c:pt>
                <c:pt idx="683">
                  <c:v>0.121236496221721</c:v>
                </c:pt>
                <c:pt idx="684">
                  <c:v>0.120772727570112</c:v>
                </c:pt>
                <c:pt idx="685">
                  <c:v>0.120657119185114</c:v>
                </c:pt>
                <c:pt idx="686">
                  <c:v>0.120484747972115</c:v>
                </c:pt>
                <c:pt idx="687">
                  <c:v>0.119344099873414</c:v>
                </c:pt>
                <c:pt idx="688">
                  <c:v>0.11922872308669</c:v>
                </c:pt>
                <c:pt idx="689">
                  <c:v>0.118533260529331</c:v>
                </c:pt>
                <c:pt idx="690">
                  <c:v>0.11850741361492501</c:v>
                </c:pt>
                <c:pt idx="691">
                  <c:v>0.11840329547244299</c:v>
                </c:pt>
                <c:pt idx="692">
                  <c:v>0.118322983223795</c:v>
                </c:pt>
                <c:pt idx="693">
                  <c:v>0.11826452117277</c:v>
                </c:pt>
                <c:pt idx="694">
                  <c:v>0.118165035765738</c:v>
                </c:pt>
                <c:pt idx="695">
                  <c:v>0.11811334444980399</c:v>
                </c:pt>
                <c:pt idx="696">
                  <c:v>0.11810740041798801</c:v>
                </c:pt>
                <c:pt idx="697">
                  <c:v>0.118088636540411</c:v>
                </c:pt>
                <c:pt idx="698">
                  <c:v>0.11770729267573</c:v>
                </c:pt>
                <c:pt idx="699">
                  <c:v>0.117590977819916</c:v>
                </c:pt>
                <c:pt idx="700">
                  <c:v>0.117392473641937</c:v>
                </c:pt>
                <c:pt idx="701">
                  <c:v>0.117033918499273</c:v>
                </c:pt>
                <c:pt idx="702">
                  <c:v>0.116884159656395</c:v>
                </c:pt>
                <c:pt idx="703">
                  <c:v>0.11687220128668301</c:v>
                </c:pt>
                <c:pt idx="704">
                  <c:v>0.11669038445053601</c:v>
                </c:pt>
                <c:pt idx="705">
                  <c:v>0.11617879783386099</c:v>
                </c:pt>
                <c:pt idx="706">
                  <c:v>0.116175307791655</c:v>
                </c:pt>
                <c:pt idx="707">
                  <c:v>0.116101482307066</c:v>
                </c:pt>
                <c:pt idx="708">
                  <c:v>0.11548804591916099</c:v>
                </c:pt>
                <c:pt idx="709">
                  <c:v>0.115320008325875</c:v>
                </c:pt>
                <c:pt idx="710">
                  <c:v>0.11475264116098099</c:v>
                </c:pt>
                <c:pt idx="711">
                  <c:v>0.114578322179896</c:v>
                </c:pt>
                <c:pt idx="712">
                  <c:v>0.114465968416136</c:v>
                </c:pt>
                <c:pt idx="713">
                  <c:v>0.11440642442915799</c:v>
                </c:pt>
                <c:pt idx="714">
                  <c:v>0.114277724600036</c:v>
                </c:pt>
                <c:pt idx="715">
                  <c:v>0.114227128235437</c:v>
                </c:pt>
                <c:pt idx="716">
                  <c:v>0.113362039684915</c:v>
                </c:pt>
                <c:pt idx="717">
                  <c:v>0.113227146105219</c:v>
                </c:pt>
                <c:pt idx="718">
                  <c:v>0.113197223134351</c:v>
                </c:pt>
                <c:pt idx="719">
                  <c:v>0.113004127827445</c:v>
                </c:pt>
                <c:pt idx="720">
                  <c:v>0.112692680001935</c:v>
                </c:pt>
                <c:pt idx="721">
                  <c:v>0.112664703960091</c:v>
                </c:pt>
                <c:pt idx="722">
                  <c:v>0.112603611069508</c:v>
                </c:pt>
                <c:pt idx="723">
                  <c:v>0.11246424020839201</c:v>
                </c:pt>
                <c:pt idx="724">
                  <c:v>0.112407468871704</c:v>
                </c:pt>
                <c:pt idx="725">
                  <c:v>0.112141776277931</c:v>
                </c:pt>
                <c:pt idx="726">
                  <c:v>0.112083595339382</c:v>
                </c:pt>
                <c:pt idx="727">
                  <c:v>0.11197542683806901</c:v>
                </c:pt>
                <c:pt idx="728">
                  <c:v>0.11174229114961701</c:v>
                </c:pt>
                <c:pt idx="729">
                  <c:v>0.11138562410115201</c:v>
                </c:pt>
                <c:pt idx="730">
                  <c:v>0.111300408535309</c:v>
                </c:pt>
                <c:pt idx="731">
                  <c:v>0.111169209224</c:v>
                </c:pt>
                <c:pt idx="732">
                  <c:v>0.111161689183256</c:v>
                </c:pt>
                <c:pt idx="733">
                  <c:v>0.11094542415193</c:v>
                </c:pt>
                <c:pt idx="734">
                  <c:v>0.11075603661637</c:v>
                </c:pt>
                <c:pt idx="735">
                  <c:v>0.110605058249733</c:v>
                </c:pt>
                <c:pt idx="736">
                  <c:v>0.110178319282367</c:v>
                </c:pt>
                <c:pt idx="737">
                  <c:v>0.11011389382207</c:v>
                </c:pt>
                <c:pt idx="738">
                  <c:v>0.10993905662515099</c:v>
                </c:pt>
                <c:pt idx="739">
                  <c:v>0.10978097046975401</c:v>
                </c:pt>
                <c:pt idx="740">
                  <c:v>0.10951873080352401</c:v>
                </c:pt>
                <c:pt idx="741">
                  <c:v>0.109469150864413</c:v>
                </c:pt>
                <c:pt idx="742">
                  <c:v>0.10926031519000701</c:v>
                </c:pt>
                <c:pt idx="743">
                  <c:v>0.109213370843064</c:v>
                </c:pt>
                <c:pt idx="744">
                  <c:v>0.10920439858597</c:v>
                </c:pt>
                <c:pt idx="745">
                  <c:v>0.109151784185519</c:v>
                </c:pt>
                <c:pt idx="746">
                  <c:v>0.108278297765051</c:v>
                </c:pt>
                <c:pt idx="747">
                  <c:v>0.108126567344503</c:v>
                </c:pt>
                <c:pt idx="748">
                  <c:v>0.108091695102993</c:v>
                </c:pt>
                <c:pt idx="749">
                  <c:v>0.108035336039424</c:v>
                </c:pt>
                <c:pt idx="750">
                  <c:v>0.10783859851112999</c:v>
                </c:pt>
                <c:pt idx="751">
                  <c:v>0.107525168854414</c:v>
                </c:pt>
                <c:pt idx="752">
                  <c:v>0.107515889073383</c:v>
                </c:pt>
                <c:pt idx="753">
                  <c:v>0.106970719663098</c:v>
                </c:pt>
                <c:pt idx="754">
                  <c:v>0.10643552302105</c:v>
                </c:pt>
                <c:pt idx="755">
                  <c:v>0.106384092227038</c:v>
                </c:pt>
                <c:pt idx="756">
                  <c:v>0.106139315802636</c:v>
                </c:pt>
                <c:pt idx="757">
                  <c:v>0.105998932611369</c:v>
                </c:pt>
                <c:pt idx="758">
                  <c:v>0.105966926421571</c:v>
                </c:pt>
                <c:pt idx="759">
                  <c:v>0.105853685116077</c:v>
                </c:pt>
                <c:pt idx="760">
                  <c:v>0.105441249463959</c:v>
                </c:pt>
                <c:pt idx="761">
                  <c:v>0.10494838573139199</c:v>
                </c:pt>
                <c:pt idx="762">
                  <c:v>0.104883625885606</c:v>
                </c:pt>
                <c:pt idx="763">
                  <c:v>0.10468437056991101</c:v>
                </c:pt>
                <c:pt idx="764">
                  <c:v>0.104288193254921</c:v>
                </c:pt>
                <c:pt idx="765">
                  <c:v>0.104241398015173</c:v>
                </c:pt>
                <c:pt idx="766">
                  <c:v>0.10399668850848599</c:v>
                </c:pt>
                <c:pt idx="767">
                  <c:v>0.103040801317809</c:v>
                </c:pt>
                <c:pt idx="768">
                  <c:v>0.102422023408374</c:v>
                </c:pt>
                <c:pt idx="769">
                  <c:v>0.102098282760077</c:v>
                </c:pt>
                <c:pt idx="770">
                  <c:v>0.101884794105049</c:v>
                </c:pt>
                <c:pt idx="771">
                  <c:v>0.10179081075237199</c:v>
                </c:pt>
                <c:pt idx="772">
                  <c:v>0.10173621150935599</c:v>
                </c:pt>
                <c:pt idx="773">
                  <c:v>0.101347802386416</c:v>
                </c:pt>
                <c:pt idx="774">
                  <c:v>0.101236821811999</c:v>
                </c:pt>
                <c:pt idx="775">
                  <c:v>0.10098946905421501</c:v>
                </c:pt>
                <c:pt idx="776">
                  <c:v>0.100790853866553</c:v>
                </c:pt>
                <c:pt idx="777">
                  <c:v>0.100473180592543</c:v>
                </c:pt>
                <c:pt idx="778">
                  <c:v>0.10047133052077099</c:v>
                </c:pt>
                <c:pt idx="779">
                  <c:v>9.9679167375063105E-2</c:v>
                </c:pt>
                <c:pt idx="780">
                  <c:v>9.9580936557146102E-2</c:v>
                </c:pt>
                <c:pt idx="781">
                  <c:v>9.95077963637538E-2</c:v>
                </c:pt>
                <c:pt idx="782">
                  <c:v>9.9402818561252299E-2</c:v>
                </c:pt>
                <c:pt idx="783">
                  <c:v>9.9297380369181107E-2</c:v>
                </c:pt>
                <c:pt idx="784">
                  <c:v>9.9111940795440404E-2</c:v>
                </c:pt>
                <c:pt idx="785">
                  <c:v>9.8641121896142506E-2</c:v>
                </c:pt>
                <c:pt idx="786">
                  <c:v>9.8284953209316003E-2</c:v>
                </c:pt>
                <c:pt idx="787">
                  <c:v>9.8088221938146605E-2</c:v>
                </c:pt>
                <c:pt idx="788">
                  <c:v>9.7529431253091894E-2</c:v>
                </c:pt>
                <c:pt idx="789">
                  <c:v>9.75289927585547E-2</c:v>
                </c:pt>
                <c:pt idx="790">
                  <c:v>9.7021929520964501E-2</c:v>
                </c:pt>
                <c:pt idx="791">
                  <c:v>9.6708826654022598E-2</c:v>
                </c:pt>
                <c:pt idx="792">
                  <c:v>9.6547392603200805E-2</c:v>
                </c:pt>
                <c:pt idx="793">
                  <c:v>9.6520197116294407E-2</c:v>
                </c:pt>
                <c:pt idx="794">
                  <c:v>9.6489640688382006E-2</c:v>
                </c:pt>
                <c:pt idx="795">
                  <c:v>9.6105035165991601E-2</c:v>
                </c:pt>
                <c:pt idx="796">
                  <c:v>9.6083654396579607E-2</c:v>
                </c:pt>
                <c:pt idx="797">
                  <c:v>9.5551491780516806E-2</c:v>
                </c:pt>
                <c:pt idx="798">
                  <c:v>9.4942675652628997E-2</c:v>
                </c:pt>
                <c:pt idx="799">
                  <c:v>9.4648671474772197E-2</c:v>
                </c:pt>
                <c:pt idx="800">
                  <c:v>9.4636202945113698E-2</c:v>
                </c:pt>
                <c:pt idx="801">
                  <c:v>9.4393656224018699E-2</c:v>
                </c:pt>
                <c:pt idx="802">
                  <c:v>9.4184895823419795E-2</c:v>
                </c:pt>
                <c:pt idx="803">
                  <c:v>9.4181918010827495E-2</c:v>
                </c:pt>
                <c:pt idx="804">
                  <c:v>9.4130680244775403E-2</c:v>
                </c:pt>
                <c:pt idx="805">
                  <c:v>9.4098370060146402E-2</c:v>
                </c:pt>
                <c:pt idx="806">
                  <c:v>9.3438685342577904E-2</c:v>
                </c:pt>
                <c:pt idx="807">
                  <c:v>9.3375402174336097E-2</c:v>
                </c:pt>
                <c:pt idx="808">
                  <c:v>9.2995737945195403E-2</c:v>
                </c:pt>
                <c:pt idx="809">
                  <c:v>9.2651953989203298E-2</c:v>
                </c:pt>
                <c:pt idx="810">
                  <c:v>9.2465480417646004E-2</c:v>
                </c:pt>
                <c:pt idx="811">
                  <c:v>9.2405387581680307E-2</c:v>
                </c:pt>
                <c:pt idx="812">
                  <c:v>9.1811632779701696E-2</c:v>
                </c:pt>
                <c:pt idx="813">
                  <c:v>9.1800384507268601E-2</c:v>
                </c:pt>
                <c:pt idx="814">
                  <c:v>9.1611782829453606E-2</c:v>
                </c:pt>
                <c:pt idx="815">
                  <c:v>9.1561582774552799E-2</c:v>
                </c:pt>
                <c:pt idx="816">
                  <c:v>9.1323198361229305E-2</c:v>
                </c:pt>
                <c:pt idx="817">
                  <c:v>9.0426988616110496E-2</c:v>
                </c:pt>
                <c:pt idx="818">
                  <c:v>9.0388632852864498E-2</c:v>
                </c:pt>
                <c:pt idx="819">
                  <c:v>9.0290606979493704E-2</c:v>
                </c:pt>
                <c:pt idx="820">
                  <c:v>9.01802835917863E-2</c:v>
                </c:pt>
                <c:pt idx="821">
                  <c:v>9.0113884447706502E-2</c:v>
                </c:pt>
                <c:pt idx="822">
                  <c:v>8.9888553008778696E-2</c:v>
                </c:pt>
                <c:pt idx="823">
                  <c:v>8.9588755327503003E-2</c:v>
                </c:pt>
                <c:pt idx="824">
                  <c:v>8.8992199025072494E-2</c:v>
                </c:pt>
                <c:pt idx="825">
                  <c:v>8.88891546077126E-2</c:v>
                </c:pt>
                <c:pt idx="826">
                  <c:v>8.8767698706785497E-2</c:v>
                </c:pt>
                <c:pt idx="827">
                  <c:v>8.8678044208672702E-2</c:v>
                </c:pt>
                <c:pt idx="828">
                  <c:v>8.8466304123740305E-2</c:v>
                </c:pt>
                <c:pt idx="829">
                  <c:v>8.8457167073144993E-2</c:v>
                </c:pt>
                <c:pt idx="830">
                  <c:v>8.8101432357136703E-2</c:v>
                </c:pt>
                <c:pt idx="831">
                  <c:v>8.7803656041641198E-2</c:v>
                </c:pt>
                <c:pt idx="832">
                  <c:v>8.7606756730698898E-2</c:v>
                </c:pt>
                <c:pt idx="833">
                  <c:v>8.7545471307375597E-2</c:v>
                </c:pt>
                <c:pt idx="834">
                  <c:v>8.7404200516332298E-2</c:v>
                </c:pt>
                <c:pt idx="835">
                  <c:v>8.7198809502110397E-2</c:v>
                </c:pt>
                <c:pt idx="836">
                  <c:v>8.71504463583095E-2</c:v>
                </c:pt>
                <c:pt idx="837">
                  <c:v>8.7138581474274904E-2</c:v>
                </c:pt>
                <c:pt idx="838">
                  <c:v>8.6942004689367205E-2</c:v>
                </c:pt>
                <c:pt idx="839">
                  <c:v>8.6910807692016506E-2</c:v>
                </c:pt>
                <c:pt idx="840">
                  <c:v>8.6894172255472801E-2</c:v>
                </c:pt>
                <c:pt idx="841">
                  <c:v>8.6195912653327003E-2</c:v>
                </c:pt>
                <c:pt idx="842">
                  <c:v>8.60836202476183E-2</c:v>
                </c:pt>
                <c:pt idx="843">
                  <c:v>8.6075794611859199E-2</c:v>
                </c:pt>
                <c:pt idx="844">
                  <c:v>8.6054574817671495E-2</c:v>
                </c:pt>
                <c:pt idx="845">
                  <c:v>8.5972001254873101E-2</c:v>
                </c:pt>
                <c:pt idx="846">
                  <c:v>8.5370209729317095E-2</c:v>
                </c:pt>
                <c:pt idx="847">
                  <c:v>8.5350416300028098E-2</c:v>
                </c:pt>
                <c:pt idx="848">
                  <c:v>8.5340357326454896E-2</c:v>
                </c:pt>
                <c:pt idx="849">
                  <c:v>8.4725817672871906E-2</c:v>
                </c:pt>
                <c:pt idx="850">
                  <c:v>8.4402053820102393E-2</c:v>
                </c:pt>
                <c:pt idx="851">
                  <c:v>8.4379929911062801E-2</c:v>
                </c:pt>
                <c:pt idx="852">
                  <c:v>8.4246414470230499E-2</c:v>
                </c:pt>
                <c:pt idx="853">
                  <c:v>8.3834003794618694E-2</c:v>
                </c:pt>
                <c:pt idx="854">
                  <c:v>8.2753949834904098E-2</c:v>
                </c:pt>
                <c:pt idx="855">
                  <c:v>8.2675545348415494E-2</c:v>
                </c:pt>
                <c:pt idx="856">
                  <c:v>8.2413180063733799E-2</c:v>
                </c:pt>
                <c:pt idx="857">
                  <c:v>8.2332165787932093E-2</c:v>
                </c:pt>
                <c:pt idx="858">
                  <c:v>8.22097744866052E-2</c:v>
                </c:pt>
                <c:pt idx="859">
                  <c:v>8.1533888875488306E-2</c:v>
                </c:pt>
                <c:pt idx="860">
                  <c:v>8.1220119373863101E-2</c:v>
                </c:pt>
                <c:pt idx="861">
                  <c:v>8.0898889358140394E-2</c:v>
                </c:pt>
                <c:pt idx="862">
                  <c:v>8.0845082751080696E-2</c:v>
                </c:pt>
                <c:pt idx="863">
                  <c:v>8.0704650938914393E-2</c:v>
                </c:pt>
                <c:pt idx="864">
                  <c:v>8.0023608110375302E-2</c:v>
                </c:pt>
                <c:pt idx="865">
                  <c:v>7.9912336707287701E-2</c:v>
                </c:pt>
                <c:pt idx="866">
                  <c:v>7.9832018408424396E-2</c:v>
                </c:pt>
                <c:pt idx="867">
                  <c:v>7.9458035079435593E-2</c:v>
                </c:pt>
                <c:pt idx="868">
                  <c:v>7.9354414918275995E-2</c:v>
                </c:pt>
                <c:pt idx="869">
                  <c:v>7.8983027774321493E-2</c:v>
                </c:pt>
                <c:pt idx="870">
                  <c:v>7.8382879597760399E-2</c:v>
                </c:pt>
                <c:pt idx="871">
                  <c:v>7.7815501759205902E-2</c:v>
                </c:pt>
                <c:pt idx="872">
                  <c:v>7.7769489524828497E-2</c:v>
                </c:pt>
                <c:pt idx="873">
                  <c:v>7.6999334005112399E-2</c:v>
                </c:pt>
                <c:pt idx="874">
                  <c:v>7.6421616386917496E-2</c:v>
                </c:pt>
                <c:pt idx="875">
                  <c:v>7.6046370389680804E-2</c:v>
                </c:pt>
                <c:pt idx="876">
                  <c:v>7.5362601840670507E-2</c:v>
                </c:pt>
                <c:pt idx="877">
                  <c:v>7.5282390079538505E-2</c:v>
                </c:pt>
                <c:pt idx="878">
                  <c:v>7.5190364599178994E-2</c:v>
                </c:pt>
                <c:pt idx="879">
                  <c:v>7.4950657124881401E-2</c:v>
                </c:pt>
                <c:pt idx="880">
                  <c:v>7.4711484807580802E-2</c:v>
                </c:pt>
                <c:pt idx="881">
                  <c:v>7.4141245281228493E-2</c:v>
                </c:pt>
                <c:pt idx="882">
                  <c:v>7.4069314679518605E-2</c:v>
                </c:pt>
                <c:pt idx="883">
                  <c:v>7.4066375877259893E-2</c:v>
                </c:pt>
                <c:pt idx="884">
                  <c:v>7.3746846861566601E-2</c:v>
                </c:pt>
                <c:pt idx="885">
                  <c:v>7.3384986276761904E-2</c:v>
                </c:pt>
                <c:pt idx="886">
                  <c:v>7.3330669040061705E-2</c:v>
                </c:pt>
                <c:pt idx="887">
                  <c:v>7.2382641430891001E-2</c:v>
                </c:pt>
                <c:pt idx="888">
                  <c:v>7.2234799289061305E-2</c:v>
                </c:pt>
                <c:pt idx="889">
                  <c:v>7.18024112228242E-2</c:v>
                </c:pt>
                <c:pt idx="890">
                  <c:v>7.1499228230494094E-2</c:v>
                </c:pt>
                <c:pt idx="891">
                  <c:v>7.1161795677812403E-2</c:v>
                </c:pt>
                <c:pt idx="892">
                  <c:v>7.1116626766049101E-2</c:v>
                </c:pt>
                <c:pt idx="893">
                  <c:v>7.0970829508718095E-2</c:v>
                </c:pt>
                <c:pt idx="894">
                  <c:v>7.0852326083825898E-2</c:v>
                </c:pt>
                <c:pt idx="895">
                  <c:v>7.0328327750525804E-2</c:v>
                </c:pt>
                <c:pt idx="896">
                  <c:v>6.9878590306322694E-2</c:v>
                </c:pt>
                <c:pt idx="897">
                  <c:v>6.9832476987081102E-2</c:v>
                </c:pt>
                <c:pt idx="898">
                  <c:v>6.9334410671917396E-2</c:v>
                </c:pt>
                <c:pt idx="899">
                  <c:v>6.9085532822141998E-2</c:v>
                </c:pt>
                <c:pt idx="900">
                  <c:v>6.9085245191538705E-2</c:v>
                </c:pt>
                <c:pt idx="901">
                  <c:v>6.8084184234161793E-2</c:v>
                </c:pt>
                <c:pt idx="902">
                  <c:v>6.8060502624202407E-2</c:v>
                </c:pt>
                <c:pt idx="903">
                  <c:v>6.7640977281744799E-2</c:v>
                </c:pt>
                <c:pt idx="904">
                  <c:v>6.7486807204888505E-2</c:v>
                </c:pt>
                <c:pt idx="905">
                  <c:v>6.6766099716594404E-2</c:v>
                </c:pt>
                <c:pt idx="906">
                  <c:v>6.6278420955583103E-2</c:v>
                </c:pt>
                <c:pt idx="907">
                  <c:v>6.5610982627530595E-2</c:v>
                </c:pt>
                <c:pt idx="908">
                  <c:v>6.5559884218763395E-2</c:v>
                </c:pt>
                <c:pt idx="909">
                  <c:v>6.5229974302028204E-2</c:v>
                </c:pt>
                <c:pt idx="910">
                  <c:v>6.4941206139427901E-2</c:v>
                </c:pt>
                <c:pt idx="911">
                  <c:v>6.4849087753618306E-2</c:v>
                </c:pt>
                <c:pt idx="912">
                  <c:v>6.45600769288701E-2</c:v>
                </c:pt>
                <c:pt idx="913">
                  <c:v>6.4393867046725603E-2</c:v>
                </c:pt>
                <c:pt idx="914">
                  <c:v>6.4034293213933002E-2</c:v>
                </c:pt>
                <c:pt idx="915">
                  <c:v>6.3850039061716504E-2</c:v>
                </c:pt>
                <c:pt idx="916">
                  <c:v>6.3811219385492293E-2</c:v>
                </c:pt>
                <c:pt idx="917">
                  <c:v>6.3757356218893405E-2</c:v>
                </c:pt>
                <c:pt idx="918">
                  <c:v>6.3457820316743394E-2</c:v>
                </c:pt>
                <c:pt idx="919">
                  <c:v>6.3442863034593996E-2</c:v>
                </c:pt>
                <c:pt idx="920">
                  <c:v>6.2912173637547003E-2</c:v>
                </c:pt>
                <c:pt idx="921">
                  <c:v>6.2683005758047999E-2</c:v>
                </c:pt>
                <c:pt idx="922">
                  <c:v>6.2459505127009998E-2</c:v>
                </c:pt>
                <c:pt idx="923">
                  <c:v>6.2427040536807303E-2</c:v>
                </c:pt>
                <c:pt idx="924">
                  <c:v>6.2324116870799397E-2</c:v>
                </c:pt>
                <c:pt idx="925">
                  <c:v>6.2131415073824699E-2</c:v>
                </c:pt>
                <c:pt idx="926">
                  <c:v>6.1955338050144602E-2</c:v>
                </c:pt>
                <c:pt idx="927">
                  <c:v>6.1924507511342902E-2</c:v>
                </c:pt>
                <c:pt idx="928">
                  <c:v>6.1810238506091998E-2</c:v>
                </c:pt>
                <c:pt idx="929">
                  <c:v>6.16945138016253E-2</c:v>
                </c:pt>
                <c:pt idx="930">
                  <c:v>6.1633401820854403E-2</c:v>
                </c:pt>
                <c:pt idx="931">
                  <c:v>6.1097398103100997E-2</c:v>
                </c:pt>
                <c:pt idx="932">
                  <c:v>6.0845312170133697E-2</c:v>
                </c:pt>
                <c:pt idx="933">
                  <c:v>6.0550355028792101E-2</c:v>
                </c:pt>
                <c:pt idx="934">
                  <c:v>6.0110353900179103E-2</c:v>
                </c:pt>
                <c:pt idx="935">
                  <c:v>5.9988514087103401E-2</c:v>
                </c:pt>
                <c:pt idx="936">
                  <c:v>5.9939561253688399E-2</c:v>
                </c:pt>
                <c:pt idx="937">
                  <c:v>5.9119582483222202E-2</c:v>
                </c:pt>
                <c:pt idx="938">
                  <c:v>5.9095450425793998E-2</c:v>
                </c:pt>
                <c:pt idx="939">
                  <c:v>5.8791361270971197E-2</c:v>
                </c:pt>
                <c:pt idx="940">
                  <c:v>5.8367590690691397E-2</c:v>
                </c:pt>
                <c:pt idx="941">
                  <c:v>5.8351847051244202E-2</c:v>
                </c:pt>
                <c:pt idx="942">
                  <c:v>5.82383957516035E-2</c:v>
                </c:pt>
                <c:pt idx="943">
                  <c:v>5.7742941235597298E-2</c:v>
                </c:pt>
                <c:pt idx="944">
                  <c:v>5.7223226766352699E-2</c:v>
                </c:pt>
                <c:pt idx="945">
                  <c:v>5.65564847204457E-2</c:v>
                </c:pt>
                <c:pt idx="946">
                  <c:v>5.6321623990083398E-2</c:v>
                </c:pt>
                <c:pt idx="947">
                  <c:v>5.6035602044341201E-2</c:v>
                </c:pt>
                <c:pt idx="948">
                  <c:v>5.5979664048979201E-2</c:v>
                </c:pt>
                <c:pt idx="949">
                  <c:v>5.5523860415409999E-2</c:v>
                </c:pt>
                <c:pt idx="950">
                  <c:v>5.5106158872818799E-2</c:v>
                </c:pt>
                <c:pt idx="951">
                  <c:v>5.48721118843234E-2</c:v>
                </c:pt>
                <c:pt idx="952">
                  <c:v>5.4426042562297799E-2</c:v>
                </c:pt>
                <c:pt idx="953">
                  <c:v>5.4032152692592803E-2</c:v>
                </c:pt>
                <c:pt idx="954">
                  <c:v>5.3631937887296199E-2</c:v>
                </c:pt>
                <c:pt idx="955">
                  <c:v>5.3216756785121597E-2</c:v>
                </c:pt>
                <c:pt idx="956">
                  <c:v>5.2926345707951801E-2</c:v>
                </c:pt>
                <c:pt idx="957">
                  <c:v>5.2779480724768603E-2</c:v>
                </c:pt>
                <c:pt idx="958">
                  <c:v>5.2493583824633303E-2</c:v>
                </c:pt>
                <c:pt idx="959">
                  <c:v>5.2343998585024303E-2</c:v>
                </c:pt>
                <c:pt idx="960">
                  <c:v>5.2136498352404297E-2</c:v>
                </c:pt>
                <c:pt idx="961">
                  <c:v>5.1847832903089502E-2</c:v>
                </c:pt>
                <c:pt idx="962">
                  <c:v>5.1620034391402697E-2</c:v>
                </c:pt>
                <c:pt idx="963">
                  <c:v>5.1578753212535397E-2</c:v>
                </c:pt>
                <c:pt idx="964">
                  <c:v>5.1548052545921E-2</c:v>
                </c:pt>
                <c:pt idx="965">
                  <c:v>5.1507575682555103E-2</c:v>
                </c:pt>
                <c:pt idx="966">
                  <c:v>5.1499298049186903E-2</c:v>
                </c:pt>
                <c:pt idx="967">
                  <c:v>5.0918386760780802E-2</c:v>
                </c:pt>
                <c:pt idx="968">
                  <c:v>5.07971959710894E-2</c:v>
                </c:pt>
                <c:pt idx="969">
                  <c:v>5.0243242686634701E-2</c:v>
                </c:pt>
                <c:pt idx="970">
                  <c:v>5.00331100570688E-2</c:v>
                </c:pt>
                <c:pt idx="971">
                  <c:v>4.9756234251051003E-2</c:v>
                </c:pt>
                <c:pt idx="972">
                  <c:v>4.9681859840540098E-2</c:v>
                </c:pt>
                <c:pt idx="973">
                  <c:v>4.9395955164926897E-2</c:v>
                </c:pt>
                <c:pt idx="974">
                  <c:v>4.9027221037410598E-2</c:v>
                </c:pt>
                <c:pt idx="975">
                  <c:v>4.8595414325401397E-2</c:v>
                </c:pt>
                <c:pt idx="976">
                  <c:v>4.8249802103817199E-2</c:v>
                </c:pt>
                <c:pt idx="977">
                  <c:v>4.8223686082509001E-2</c:v>
                </c:pt>
                <c:pt idx="978">
                  <c:v>4.8122562070582298E-2</c:v>
                </c:pt>
                <c:pt idx="979">
                  <c:v>4.7968824768212501E-2</c:v>
                </c:pt>
                <c:pt idx="980">
                  <c:v>4.7626393768653297E-2</c:v>
                </c:pt>
                <c:pt idx="981">
                  <c:v>4.74081726235989E-2</c:v>
                </c:pt>
                <c:pt idx="982">
                  <c:v>4.72128236364271E-2</c:v>
                </c:pt>
                <c:pt idx="983">
                  <c:v>4.6258890772695203E-2</c:v>
                </c:pt>
                <c:pt idx="984">
                  <c:v>4.6205861488646E-2</c:v>
                </c:pt>
                <c:pt idx="985">
                  <c:v>4.6146274249014498E-2</c:v>
                </c:pt>
                <c:pt idx="986">
                  <c:v>4.6079606744591099E-2</c:v>
                </c:pt>
                <c:pt idx="987">
                  <c:v>4.5455103433331701E-2</c:v>
                </c:pt>
                <c:pt idx="988">
                  <c:v>4.5425303328972502E-2</c:v>
                </c:pt>
                <c:pt idx="989">
                  <c:v>4.5275242657841698E-2</c:v>
                </c:pt>
                <c:pt idx="990">
                  <c:v>4.46855097432785E-2</c:v>
                </c:pt>
                <c:pt idx="991">
                  <c:v>4.3883077563019797E-2</c:v>
                </c:pt>
                <c:pt idx="992">
                  <c:v>4.3777737301476598E-2</c:v>
                </c:pt>
                <c:pt idx="993">
                  <c:v>4.32983597444212E-2</c:v>
                </c:pt>
                <c:pt idx="994">
                  <c:v>4.32614342326096E-2</c:v>
                </c:pt>
                <c:pt idx="995">
                  <c:v>4.3141052113305302E-2</c:v>
                </c:pt>
                <c:pt idx="996">
                  <c:v>4.3072747898854E-2</c:v>
                </c:pt>
                <c:pt idx="997">
                  <c:v>4.2652229445199502E-2</c:v>
                </c:pt>
                <c:pt idx="998">
                  <c:v>4.2504977860365903E-2</c:v>
                </c:pt>
                <c:pt idx="999">
                  <c:v>4.13811392084555E-2</c:v>
                </c:pt>
                <c:pt idx="1000">
                  <c:v>4.0978121764210403E-2</c:v>
                </c:pt>
                <c:pt idx="1001">
                  <c:v>4.0817470993358702E-2</c:v>
                </c:pt>
                <c:pt idx="1002">
                  <c:v>4.0655198771845202E-2</c:v>
                </c:pt>
                <c:pt idx="1003">
                  <c:v>3.9897108398648101E-2</c:v>
                </c:pt>
                <c:pt idx="1004">
                  <c:v>3.9756537443982803E-2</c:v>
                </c:pt>
                <c:pt idx="1005">
                  <c:v>3.9550317140426602E-2</c:v>
                </c:pt>
                <c:pt idx="1006">
                  <c:v>3.9222321302819899E-2</c:v>
                </c:pt>
                <c:pt idx="1007">
                  <c:v>3.9079865730591697E-2</c:v>
                </c:pt>
                <c:pt idx="1008">
                  <c:v>3.8893439316356797E-2</c:v>
                </c:pt>
                <c:pt idx="1009">
                  <c:v>3.8478318252682199E-2</c:v>
                </c:pt>
                <c:pt idx="1010">
                  <c:v>3.8074343252809499E-2</c:v>
                </c:pt>
                <c:pt idx="1011">
                  <c:v>3.7870357608560098E-2</c:v>
                </c:pt>
                <c:pt idx="1012">
                  <c:v>3.78028048074978E-2</c:v>
                </c:pt>
                <c:pt idx="1013">
                  <c:v>3.76449021346578E-2</c:v>
                </c:pt>
                <c:pt idx="1014">
                  <c:v>3.7510777079243003E-2</c:v>
                </c:pt>
                <c:pt idx="1015">
                  <c:v>3.7152610004538802E-2</c:v>
                </c:pt>
                <c:pt idx="1016">
                  <c:v>3.6862937417290499E-2</c:v>
                </c:pt>
                <c:pt idx="1017">
                  <c:v>3.66112413068619E-2</c:v>
                </c:pt>
                <c:pt idx="1018">
                  <c:v>3.58840100109497E-2</c:v>
                </c:pt>
                <c:pt idx="1019">
                  <c:v>3.4456491216211603E-2</c:v>
                </c:pt>
                <c:pt idx="1020">
                  <c:v>3.4001847723957097E-2</c:v>
                </c:pt>
                <c:pt idx="1021">
                  <c:v>3.38843081827708E-2</c:v>
                </c:pt>
                <c:pt idx="1022">
                  <c:v>3.3523747672566301E-2</c:v>
                </c:pt>
                <c:pt idx="1023">
                  <c:v>3.1893873141482398E-2</c:v>
                </c:pt>
                <c:pt idx="1024">
                  <c:v>3.1727232123632002E-2</c:v>
                </c:pt>
                <c:pt idx="1025">
                  <c:v>3.1434722963201302E-2</c:v>
                </c:pt>
                <c:pt idx="1026">
                  <c:v>3.0903724361248702E-2</c:v>
                </c:pt>
                <c:pt idx="1027">
                  <c:v>3.0842220579841401E-2</c:v>
                </c:pt>
                <c:pt idx="1028">
                  <c:v>3.02139102497864E-2</c:v>
                </c:pt>
                <c:pt idx="1029">
                  <c:v>3.0172338031601201E-2</c:v>
                </c:pt>
                <c:pt idx="1030">
                  <c:v>2.96326160122437E-2</c:v>
                </c:pt>
                <c:pt idx="1031">
                  <c:v>2.9418706657066699E-2</c:v>
                </c:pt>
                <c:pt idx="1032">
                  <c:v>2.9144557068867E-2</c:v>
                </c:pt>
                <c:pt idx="1033">
                  <c:v>2.8064917776899501E-2</c:v>
                </c:pt>
                <c:pt idx="1034">
                  <c:v>2.7784252370094999E-2</c:v>
                </c:pt>
                <c:pt idx="1035">
                  <c:v>2.7352882116967198E-2</c:v>
                </c:pt>
                <c:pt idx="1036">
                  <c:v>2.6908286195217401E-2</c:v>
                </c:pt>
                <c:pt idx="1037">
                  <c:v>2.6408182538345301E-2</c:v>
                </c:pt>
                <c:pt idx="1038">
                  <c:v>2.6178831650184298E-2</c:v>
                </c:pt>
                <c:pt idx="1039">
                  <c:v>2.6123460545039501E-2</c:v>
                </c:pt>
                <c:pt idx="1040">
                  <c:v>2.5440968504713599E-2</c:v>
                </c:pt>
                <c:pt idx="1041">
                  <c:v>2.5244603520247901E-2</c:v>
                </c:pt>
                <c:pt idx="1042">
                  <c:v>2.5002058626641E-2</c:v>
                </c:pt>
                <c:pt idx="1043">
                  <c:v>2.4916435184537299E-2</c:v>
                </c:pt>
                <c:pt idx="1044">
                  <c:v>2.4859490838480599E-2</c:v>
                </c:pt>
                <c:pt idx="1045">
                  <c:v>2.3364096773893499E-2</c:v>
                </c:pt>
                <c:pt idx="1046">
                  <c:v>2.21051932679046E-2</c:v>
                </c:pt>
                <c:pt idx="1047">
                  <c:v>2.2085607500528501E-2</c:v>
                </c:pt>
                <c:pt idx="1048">
                  <c:v>2.1495257316331898E-2</c:v>
                </c:pt>
                <c:pt idx="1049">
                  <c:v>2.1395675530745999E-2</c:v>
                </c:pt>
                <c:pt idx="1050">
                  <c:v>2.0485996501535202E-2</c:v>
                </c:pt>
                <c:pt idx="1051">
                  <c:v>2.0407727821575E-2</c:v>
                </c:pt>
                <c:pt idx="1052">
                  <c:v>2.03271673378351E-2</c:v>
                </c:pt>
                <c:pt idx="1053">
                  <c:v>2.01518778958522E-2</c:v>
                </c:pt>
                <c:pt idx="1054">
                  <c:v>1.9545593698035602E-2</c:v>
                </c:pt>
                <c:pt idx="1055">
                  <c:v>1.94630811821867E-2</c:v>
                </c:pt>
                <c:pt idx="1056">
                  <c:v>1.9270675416609099E-2</c:v>
                </c:pt>
                <c:pt idx="1057">
                  <c:v>1.9225016552264499E-2</c:v>
                </c:pt>
                <c:pt idx="1058">
                  <c:v>1.8832178106280101E-2</c:v>
                </c:pt>
                <c:pt idx="1059">
                  <c:v>1.741788597696E-2</c:v>
                </c:pt>
                <c:pt idx="1060">
                  <c:v>1.7293786676642098E-2</c:v>
                </c:pt>
                <c:pt idx="1061">
                  <c:v>1.6554617886673801E-2</c:v>
                </c:pt>
                <c:pt idx="1062">
                  <c:v>1.61858963781434E-2</c:v>
                </c:pt>
                <c:pt idx="1063">
                  <c:v>1.4579038144222199E-2</c:v>
                </c:pt>
                <c:pt idx="1064">
                  <c:v>1.43499791994887E-2</c:v>
                </c:pt>
                <c:pt idx="1065">
                  <c:v>1.41322842211441E-2</c:v>
                </c:pt>
                <c:pt idx="1066">
                  <c:v>1.30027033077511E-2</c:v>
                </c:pt>
                <c:pt idx="1067">
                  <c:v>1.29836538554638E-2</c:v>
                </c:pt>
                <c:pt idx="1068">
                  <c:v>1.1696701302718601E-2</c:v>
                </c:pt>
                <c:pt idx="1069">
                  <c:v>1.1238436642469001E-2</c:v>
                </c:pt>
                <c:pt idx="1070">
                  <c:v>1.09561108054229E-2</c:v>
                </c:pt>
                <c:pt idx="1071">
                  <c:v>1.0573985078425999E-2</c:v>
                </c:pt>
                <c:pt idx="1072">
                  <c:v>1.0224956931832599E-2</c:v>
                </c:pt>
                <c:pt idx="1073">
                  <c:v>8.3137919278832399E-3</c:v>
                </c:pt>
                <c:pt idx="1074">
                  <c:v>8.0602358092400697E-3</c:v>
                </c:pt>
                <c:pt idx="1075">
                  <c:v>7.0367634688514201E-3</c:v>
                </c:pt>
                <c:pt idx="1076">
                  <c:v>6.49101956559391E-3</c:v>
                </c:pt>
                <c:pt idx="1077">
                  <c:v>6.2678859208384298E-3</c:v>
                </c:pt>
                <c:pt idx="1078">
                  <c:v>5.0945552467504601E-3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1079"/>
                <c:pt idx="0">
                  <c:v>1</c:v>
                </c:pt>
                <c:pt idx="1">
                  <c:v>0.99907321594068577</c:v>
                </c:pt>
                <c:pt idx="2">
                  <c:v>0.99814643188137164</c:v>
                </c:pt>
                <c:pt idx="3">
                  <c:v>0.99721964782205741</c:v>
                </c:pt>
                <c:pt idx="4">
                  <c:v>0.99629286376274329</c:v>
                </c:pt>
                <c:pt idx="5">
                  <c:v>0.99536607970342905</c:v>
                </c:pt>
                <c:pt idx="6">
                  <c:v>0.99443929564411493</c:v>
                </c:pt>
                <c:pt idx="7">
                  <c:v>0.99351251158480069</c:v>
                </c:pt>
                <c:pt idx="8">
                  <c:v>0.99258572752548657</c:v>
                </c:pt>
                <c:pt idx="9">
                  <c:v>0.99165894346617234</c:v>
                </c:pt>
                <c:pt idx="10">
                  <c:v>0.99073215940685821</c:v>
                </c:pt>
                <c:pt idx="11">
                  <c:v>0.98980537534754398</c:v>
                </c:pt>
                <c:pt idx="12">
                  <c:v>0.98887859128822986</c:v>
                </c:pt>
                <c:pt idx="13">
                  <c:v>0.98795180722891562</c:v>
                </c:pt>
                <c:pt idx="14">
                  <c:v>0.9870250231696015</c:v>
                </c:pt>
                <c:pt idx="15">
                  <c:v>0.98609823911028727</c:v>
                </c:pt>
                <c:pt idx="16">
                  <c:v>0.98517145505097314</c:v>
                </c:pt>
                <c:pt idx="17">
                  <c:v>0.98424467099165891</c:v>
                </c:pt>
                <c:pt idx="18">
                  <c:v>0.98331788693234479</c:v>
                </c:pt>
                <c:pt idx="19">
                  <c:v>0.98239110287303055</c:v>
                </c:pt>
                <c:pt idx="20">
                  <c:v>0.98146431881371643</c:v>
                </c:pt>
                <c:pt idx="21">
                  <c:v>0.9805375347544022</c:v>
                </c:pt>
                <c:pt idx="22">
                  <c:v>0.97961075069508807</c:v>
                </c:pt>
                <c:pt idx="23">
                  <c:v>0.97868396663577384</c:v>
                </c:pt>
                <c:pt idx="24">
                  <c:v>0.97775718257645972</c:v>
                </c:pt>
                <c:pt idx="25">
                  <c:v>0.97683039851714548</c:v>
                </c:pt>
                <c:pt idx="26">
                  <c:v>0.97590361445783136</c:v>
                </c:pt>
                <c:pt idx="27">
                  <c:v>0.97497683039851712</c:v>
                </c:pt>
                <c:pt idx="28">
                  <c:v>0.974050046339203</c:v>
                </c:pt>
                <c:pt idx="29">
                  <c:v>0.97312326227988877</c:v>
                </c:pt>
                <c:pt idx="30">
                  <c:v>0.97219647822057464</c:v>
                </c:pt>
                <c:pt idx="31">
                  <c:v>0.97126969416126041</c:v>
                </c:pt>
                <c:pt idx="32">
                  <c:v>0.97034291010194629</c:v>
                </c:pt>
                <c:pt idx="33">
                  <c:v>0.96941612604263205</c:v>
                </c:pt>
                <c:pt idx="34">
                  <c:v>0.96848934198331793</c:v>
                </c:pt>
                <c:pt idx="35">
                  <c:v>0.9675625579240037</c:v>
                </c:pt>
                <c:pt idx="36">
                  <c:v>0.96663577386468957</c:v>
                </c:pt>
                <c:pt idx="37">
                  <c:v>0.96570898980537534</c:v>
                </c:pt>
                <c:pt idx="38">
                  <c:v>0.96478220574606122</c:v>
                </c:pt>
                <c:pt idx="39">
                  <c:v>0.96385542168674698</c:v>
                </c:pt>
                <c:pt idx="40">
                  <c:v>0.96292863762743286</c:v>
                </c:pt>
                <c:pt idx="41">
                  <c:v>0.96200185356811863</c:v>
                </c:pt>
                <c:pt idx="42">
                  <c:v>0.9610750695088045</c:v>
                </c:pt>
                <c:pt idx="43">
                  <c:v>0.96014828544949027</c:v>
                </c:pt>
                <c:pt idx="44">
                  <c:v>0.95922150139017603</c:v>
                </c:pt>
                <c:pt idx="45">
                  <c:v>0.95829471733086191</c:v>
                </c:pt>
                <c:pt idx="46">
                  <c:v>0.95736793327154768</c:v>
                </c:pt>
                <c:pt idx="47">
                  <c:v>0.95644114921223355</c:v>
                </c:pt>
                <c:pt idx="48">
                  <c:v>0.95551436515291932</c:v>
                </c:pt>
                <c:pt idx="49">
                  <c:v>0.9545875810936052</c:v>
                </c:pt>
                <c:pt idx="50">
                  <c:v>0.95366079703429096</c:v>
                </c:pt>
                <c:pt idx="51">
                  <c:v>0.95273401297497684</c:v>
                </c:pt>
                <c:pt idx="52">
                  <c:v>0.95180722891566261</c:v>
                </c:pt>
                <c:pt idx="53">
                  <c:v>0.95088044485634848</c:v>
                </c:pt>
                <c:pt idx="54">
                  <c:v>0.94995366079703425</c:v>
                </c:pt>
                <c:pt idx="55">
                  <c:v>0.94902687673772013</c:v>
                </c:pt>
                <c:pt idx="56">
                  <c:v>0.94810009267840589</c:v>
                </c:pt>
                <c:pt idx="57">
                  <c:v>0.94717330861909177</c:v>
                </c:pt>
                <c:pt idx="58">
                  <c:v>0.94624652455977754</c:v>
                </c:pt>
                <c:pt idx="59">
                  <c:v>0.94531974050046341</c:v>
                </c:pt>
                <c:pt idx="60">
                  <c:v>0.94439295644114918</c:v>
                </c:pt>
                <c:pt idx="61">
                  <c:v>0.94346617238183506</c:v>
                </c:pt>
                <c:pt idx="62">
                  <c:v>0.94253938832252082</c:v>
                </c:pt>
                <c:pt idx="63">
                  <c:v>0.9416126042632067</c:v>
                </c:pt>
                <c:pt idx="64">
                  <c:v>0.94068582020389246</c:v>
                </c:pt>
                <c:pt idx="65">
                  <c:v>0.93975903614457834</c:v>
                </c:pt>
                <c:pt idx="66">
                  <c:v>0.93883225208526411</c:v>
                </c:pt>
                <c:pt idx="67">
                  <c:v>0.93790546802594998</c:v>
                </c:pt>
                <c:pt idx="68">
                  <c:v>0.93697868396663575</c:v>
                </c:pt>
                <c:pt idx="69">
                  <c:v>0.93605189990732163</c:v>
                </c:pt>
                <c:pt idx="70">
                  <c:v>0.93512511584800739</c:v>
                </c:pt>
                <c:pt idx="71">
                  <c:v>0.93419833178869327</c:v>
                </c:pt>
                <c:pt idx="72">
                  <c:v>0.93327154772937904</c:v>
                </c:pt>
                <c:pt idx="73">
                  <c:v>0.93234476367006491</c:v>
                </c:pt>
                <c:pt idx="74">
                  <c:v>0.93141797961075068</c:v>
                </c:pt>
                <c:pt idx="75">
                  <c:v>0.93049119555143656</c:v>
                </c:pt>
                <c:pt idx="76">
                  <c:v>0.92956441149212232</c:v>
                </c:pt>
                <c:pt idx="77">
                  <c:v>0.9286376274328082</c:v>
                </c:pt>
                <c:pt idx="78">
                  <c:v>0.92771084337349397</c:v>
                </c:pt>
                <c:pt idx="79">
                  <c:v>0.92678405931417984</c:v>
                </c:pt>
                <c:pt idx="80">
                  <c:v>0.92585727525486561</c:v>
                </c:pt>
                <c:pt idx="81">
                  <c:v>0.92493049119555149</c:v>
                </c:pt>
                <c:pt idx="82">
                  <c:v>0.92400370713623725</c:v>
                </c:pt>
                <c:pt idx="83">
                  <c:v>0.92307692307692313</c:v>
                </c:pt>
                <c:pt idx="84">
                  <c:v>0.92215013901760889</c:v>
                </c:pt>
                <c:pt idx="85">
                  <c:v>0.92122335495829477</c:v>
                </c:pt>
                <c:pt idx="86">
                  <c:v>0.92029657089898054</c:v>
                </c:pt>
                <c:pt idx="87">
                  <c:v>0.9193697868396663</c:v>
                </c:pt>
                <c:pt idx="88">
                  <c:v>0.91844300278035218</c:v>
                </c:pt>
                <c:pt idx="89">
                  <c:v>0.91751621872103795</c:v>
                </c:pt>
                <c:pt idx="90">
                  <c:v>0.91658943466172382</c:v>
                </c:pt>
                <c:pt idx="91">
                  <c:v>0.91566265060240959</c:v>
                </c:pt>
                <c:pt idx="92">
                  <c:v>0.91473586654309547</c:v>
                </c:pt>
                <c:pt idx="93">
                  <c:v>0.91380908248378123</c:v>
                </c:pt>
                <c:pt idx="94">
                  <c:v>0.91288229842446711</c:v>
                </c:pt>
                <c:pt idx="95">
                  <c:v>0.91195551436515288</c:v>
                </c:pt>
                <c:pt idx="96">
                  <c:v>0.91102873030583875</c:v>
                </c:pt>
                <c:pt idx="97">
                  <c:v>0.91010194624652452</c:v>
                </c:pt>
                <c:pt idx="98">
                  <c:v>0.9091751621872104</c:v>
                </c:pt>
                <c:pt idx="99">
                  <c:v>0.90824837812789616</c:v>
                </c:pt>
                <c:pt idx="100">
                  <c:v>0.90732159406858204</c:v>
                </c:pt>
                <c:pt idx="101">
                  <c:v>0.9063948100092678</c:v>
                </c:pt>
                <c:pt idx="102">
                  <c:v>0.90546802594995368</c:v>
                </c:pt>
                <c:pt idx="103">
                  <c:v>0.90454124189063945</c:v>
                </c:pt>
                <c:pt idx="104">
                  <c:v>0.90361445783132532</c:v>
                </c:pt>
                <c:pt idx="105">
                  <c:v>0.90268767377201109</c:v>
                </c:pt>
                <c:pt idx="106">
                  <c:v>0.90176088971269697</c:v>
                </c:pt>
                <c:pt idx="107">
                  <c:v>0.90083410565338273</c:v>
                </c:pt>
                <c:pt idx="108">
                  <c:v>0.89990732159406861</c:v>
                </c:pt>
                <c:pt idx="109">
                  <c:v>0.89898053753475438</c:v>
                </c:pt>
                <c:pt idx="110">
                  <c:v>0.89805375347544025</c:v>
                </c:pt>
                <c:pt idx="111">
                  <c:v>0.89712696941612602</c:v>
                </c:pt>
                <c:pt idx="112">
                  <c:v>0.8962001853568119</c:v>
                </c:pt>
                <c:pt idx="113">
                  <c:v>0.89527340129749766</c:v>
                </c:pt>
                <c:pt idx="114">
                  <c:v>0.89434661723818354</c:v>
                </c:pt>
                <c:pt idx="115">
                  <c:v>0.8934198331788693</c:v>
                </c:pt>
                <c:pt idx="116">
                  <c:v>0.89249304911955518</c:v>
                </c:pt>
                <c:pt idx="117">
                  <c:v>0.89156626506024095</c:v>
                </c:pt>
                <c:pt idx="118">
                  <c:v>0.89063948100092682</c:v>
                </c:pt>
                <c:pt idx="119">
                  <c:v>0.88971269694161259</c:v>
                </c:pt>
                <c:pt idx="120">
                  <c:v>0.88878591288229847</c:v>
                </c:pt>
                <c:pt idx="121">
                  <c:v>0.88785912882298423</c:v>
                </c:pt>
                <c:pt idx="122">
                  <c:v>0.88693234476367011</c:v>
                </c:pt>
                <c:pt idx="123">
                  <c:v>0.88600556070435588</c:v>
                </c:pt>
                <c:pt idx="124">
                  <c:v>0.88507877664504175</c:v>
                </c:pt>
                <c:pt idx="125">
                  <c:v>0.88415199258572752</c:v>
                </c:pt>
                <c:pt idx="126">
                  <c:v>0.8832252085264134</c:v>
                </c:pt>
                <c:pt idx="127">
                  <c:v>0.88229842446709916</c:v>
                </c:pt>
                <c:pt idx="128">
                  <c:v>0.88137164040778504</c:v>
                </c:pt>
                <c:pt idx="129">
                  <c:v>0.88044485634847081</c:v>
                </c:pt>
                <c:pt idx="130">
                  <c:v>0.87951807228915657</c:v>
                </c:pt>
                <c:pt idx="131">
                  <c:v>0.87859128822984245</c:v>
                </c:pt>
                <c:pt idx="132">
                  <c:v>0.87766450417052821</c:v>
                </c:pt>
                <c:pt idx="133">
                  <c:v>0.87673772011121409</c:v>
                </c:pt>
                <c:pt idx="134">
                  <c:v>0.87581093605189986</c:v>
                </c:pt>
                <c:pt idx="135">
                  <c:v>0.87488415199258573</c:v>
                </c:pt>
                <c:pt idx="136">
                  <c:v>0.8739573679332715</c:v>
                </c:pt>
                <c:pt idx="137">
                  <c:v>0.87303058387395738</c:v>
                </c:pt>
                <c:pt idx="138">
                  <c:v>0.87210379981464314</c:v>
                </c:pt>
                <c:pt idx="139">
                  <c:v>0.87117701575532902</c:v>
                </c:pt>
                <c:pt idx="140">
                  <c:v>0.87025023169601479</c:v>
                </c:pt>
                <c:pt idx="141">
                  <c:v>0.86932344763670066</c:v>
                </c:pt>
                <c:pt idx="142">
                  <c:v>0.86839666357738643</c:v>
                </c:pt>
                <c:pt idx="143">
                  <c:v>0.86746987951807231</c:v>
                </c:pt>
                <c:pt idx="144">
                  <c:v>0.86654309545875807</c:v>
                </c:pt>
                <c:pt idx="145">
                  <c:v>0.86561631139944395</c:v>
                </c:pt>
                <c:pt idx="146">
                  <c:v>0.86468952734012972</c:v>
                </c:pt>
                <c:pt idx="147">
                  <c:v>0.86376274328081559</c:v>
                </c:pt>
                <c:pt idx="148">
                  <c:v>0.86283595922150136</c:v>
                </c:pt>
                <c:pt idx="149">
                  <c:v>0.86190917516218724</c:v>
                </c:pt>
                <c:pt idx="150">
                  <c:v>0.860982391102873</c:v>
                </c:pt>
                <c:pt idx="151">
                  <c:v>0.86005560704355888</c:v>
                </c:pt>
                <c:pt idx="152">
                  <c:v>0.85912882298424464</c:v>
                </c:pt>
                <c:pt idx="153">
                  <c:v>0.85820203892493052</c:v>
                </c:pt>
                <c:pt idx="154">
                  <c:v>0.85727525486561629</c:v>
                </c:pt>
                <c:pt idx="155">
                  <c:v>0.85634847080630216</c:v>
                </c:pt>
                <c:pt idx="156">
                  <c:v>0.85542168674698793</c:v>
                </c:pt>
                <c:pt idx="157">
                  <c:v>0.85449490268767381</c:v>
                </c:pt>
                <c:pt idx="158">
                  <c:v>0.85356811862835957</c:v>
                </c:pt>
                <c:pt idx="159">
                  <c:v>0.85264133456904545</c:v>
                </c:pt>
                <c:pt idx="160">
                  <c:v>0.85171455050973122</c:v>
                </c:pt>
                <c:pt idx="161">
                  <c:v>0.85078776645041709</c:v>
                </c:pt>
                <c:pt idx="162">
                  <c:v>0.84986098239110286</c:v>
                </c:pt>
                <c:pt idx="163">
                  <c:v>0.84893419833178874</c:v>
                </c:pt>
                <c:pt idx="164">
                  <c:v>0.8480074142724745</c:v>
                </c:pt>
                <c:pt idx="165">
                  <c:v>0.84708063021316038</c:v>
                </c:pt>
                <c:pt idx="166">
                  <c:v>0.84615384615384615</c:v>
                </c:pt>
                <c:pt idx="167">
                  <c:v>0.84522706209453202</c:v>
                </c:pt>
                <c:pt idx="168">
                  <c:v>0.84430027803521779</c:v>
                </c:pt>
                <c:pt idx="169">
                  <c:v>0.84337349397590367</c:v>
                </c:pt>
                <c:pt idx="170">
                  <c:v>0.84244670991658943</c:v>
                </c:pt>
                <c:pt idx="171">
                  <c:v>0.84151992585727531</c:v>
                </c:pt>
                <c:pt idx="172">
                  <c:v>0.84059314179796107</c:v>
                </c:pt>
                <c:pt idx="173">
                  <c:v>0.83966635773864684</c:v>
                </c:pt>
                <c:pt idx="174">
                  <c:v>0.83873957367933272</c:v>
                </c:pt>
                <c:pt idx="175">
                  <c:v>0.83781278962001848</c:v>
                </c:pt>
                <c:pt idx="176">
                  <c:v>0.83688600556070436</c:v>
                </c:pt>
                <c:pt idx="177">
                  <c:v>0.83595922150139013</c:v>
                </c:pt>
                <c:pt idx="178">
                  <c:v>0.835032437442076</c:v>
                </c:pt>
                <c:pt idx="179">
                  <c:v>0.83410565338276177</c:v>
                </c:pt>
                <c:pt idx="180">
                  <c:v>0.83317886932344765</c:v>
                </c:pt>
                <c:pt idx="181">
                  <c:v>0.83225208526413341</c:v>
                </c:pt>
                <c:pt idx="182">
                  <c:v>0.83132530120481929</c:v>
                </c:pt>
                <c:pt idx="183">
                  <c:v>0.83039851714550506</c:v>
                </c:pt>
                <c:pt idx="184">
                  <c:v>0.82947173308619093</c:v>
                </c:pt>
                <c:pt idx="185">
                  <c:v>0.8285449490268767</c:v>
                </c:pt>
                <c:pt idx="186">
                  <c:v>0.82761816496756258</c:v>
                </c:pt>
                <c:pt idx="187">
                  <c:v>0.82669138090824834</c:v>
                </c:pt>
                <c:pt idx="188">
                  <c:v>0.82576459684893422</c:v>
                </c:pt>
                <c:pt idx="189">
                  <c:v>0.82483781278961998</c:v>
                </c:pt>
                <c:pt idx="190">
                  <c:v>0.82391102873030586</c:v>
                </c:pt>
                <c:pt idx="191">
                  <c:v>0.82298424467099163</c:v>
                </c:pt>
                <c:pt idx="192">
                  <c:v>0.8220574606116775</c:v>
                </c:pt>
                <c:pt idx="193">
                  <c:v>0.82113067655236327</c:v>
                </c:pt>
                <c:pt idx="194">
                  <c:v>0.82020389249304915</c:v>
                </c:pt>
                <c:pt idx="195">
                  <c:v>0.81927710843373491</c:v>
                </c:pt>
                <c:pt idx="196">
                  <c:v>0.81835032437442079</c:v>
                </c:pt>
                <c:pt idx="197">
                  <c:v>0.81742354031510656</c:v>
                </c:pt>
                <c:pt idx="198">
                  <c:v>0.81649675625579243</c:v>
                </c:pt>
                <c:pt idx="199">
                  <c:v>0.8155699721964782</c:v>
                </c:pt>
                <c:pt idx="200">
                  <c:v>0.81464318813716408</c:v>
                </c:pt>
                <c:pt idx="201">
                  <c:v>0.81371640407784984</c:v>
                </c:pt>
                <c:pt idx="202">
                  <c:v>0.81278962001853572</c:v>
                </c:pt>
                <c:pt idx="203">
                  <c:v>0.81186283595922148</c:v>
                </c:pt>
                <c:pt idx="204">
                  <c:v>0.81093605189990736</c:v>
                </c:pt>
                <c:pt idx="205">
                  <c:v>0.81000926784059313</c:v>
                </c:pt>
                <c:pt idx="206">
                  <c:v>0.809082483781279</c:v>
                </c:pt>
                <c:pt idx="207">
                  <c:v>0.80815569972196477</c:v>
                </c:pt>
                <c:pt idx="208">
                  <c:v>0.80722891566265065</c:v>
                </c:pt>
                <c:pt idx="209">
                  <c:v>0.80630213160333641</c:v>
                </c:pt>
                <c:pt idx="210">
                  <c:v>0.80537534754402229</c:v>
                </c:pt>
                <c:pt idx="211">
                  <c:v>0.80444856348470806</c:v>
                </c:pt>
                <c:pt idx="212">
                  <c:v>0.80352177942539393</c:v>
                </c:pt>
                <c:pt idx="213">
                  <c:v>0.8025949953660797</c:v>
                </c:pt>
                <c:pt idx="214">
                  <c:v>0.80166821130676558</c:v>
                </c:pt>
                <c:pt idx="215">
                  <c:v>0.80074142724745134</c:v>
                </c:pt>
                <c:pt idx="216">
                  <c:v>0.79981464318813711</c:v>
                </c:pt>
                <c:pt idx="217">
                  <c:v>0.79888785912882299</c:v>
                </c:pt>
                <c:pt idx="218">
                  <c:v>0.79796107506950875</c:v>
                </c:pt>
                <c:pt idx="219">
                  <c:v>0.79703429101019463</c:v>
                </c:pt>
                <c:pt idx="220">
                  <c:v>0.79610750695088039</c:v>
                </c:pt>
                <c:pt idx="221">
                  <c:v>0.79518072289156627</c:v>
                </c:pt>
                <c:pt idx="222">
                  <c:v>0.79425393883225204</c:v>
                </c:pt>
                <c:pt idx="223">
                  <c:v>0.79332715477293791</c:v>
                </c:pt>
                <c:pt idx="224">
                  <c:v>0.79240037071362368</c:v>
                </c:pt>
                <c:pt idx="225">
                  <c:v>0.79147358665430956</c:v>
                </c:pt>
                <c:pt idx="226">
                  <c:v>0.79054680259499532</c:v>
                </c:pt>
                <c:pt idx="227">
                  <c:v>0.7896200185356812</c:v>
                </c:pt>
                <c:pt idx="228">
                  <c:v>0.78869323447636697</c:v>
                </c:pt>
                <c:pt idx="229">
                  <c:v>0.78776645041705284</c:v>
                </c:pt>
                <c:pt idx="230">
                  <c:v>0.78683966635773861</c:v>
                </c:pt>
                <c:pt idx="231">
                  <c:v>0.78591288229842449</c:v>
                </c:pt>
                <c:pt idx="232">
                  <c:v>0.78498609823911025</c:v>
                </c:pt>
                <c:pt idx="233">
                  <c:v>0.78405931417979613</c:v>
                </c:pt>
                <c:pt idx="234">
                  <c:v>0.7831325301204819</c:v>
                </c:pt>
                <c:pt idx="235">
                  <c:v>0.78220574606116777</c:v>
                </c:pt>
                <c:pt idx="236">
                  <c:v>0.78127896200185354</c:v>
                </c:pt>
                <c:pt idx="237">
                  <c:v>0.78035217794253942</c:v>
                </c:pt>
                <c:pt idx="238">
                  <c:v>0.77942539388322518</c:v>
                </c:pt>
                <c:pt idx="239">
                  <c:v>0.77849860982391106</c:v>
                </c:pt>
                <c:pt idx="240">
                  <c:v>0.77757182576459682</c:v>
                </c:pt>
                <c:pt idx="241">
                  <c:v>0.7766450417052827</c:v>
                </c:pt>
                <c:pt idx="242">
                  <c:v>0.77571825764596847</c:v>
                </c:pt>
                <c:pt idx="243">
                  <c:v>0.77479147358665434</c:v>
                </c:pt>
                <c:pt idx="244">
                  <c:v>0.77386468952734011</c:v>
                </c:pt>
                <c:pt idx="245">
                  <c:v>0.77293790546802599</c:v>
                </c:pt>
                <c:pt idx="246">
                  <c:v>0.77201112140871175</c:v>
                </c:pt>
                <c:pt idx="247">
                  <c:v>0.77108433734939763</c:v>
                </c:pt>
                <c:pt idx="248">
                  <c:v>0.7701575532900834</c:v>
                </c:pt>
                <c:pt idx="249">
                  <c:v>0.76923076923076927</c:v>
                </c:pt>
                <c:pt idx="250">
                  <c:v>0.76830398517145504</c:v>
                </c:pt>
                <c:pt idx="251">
                  <c:v>0.76737720111214092</c:v>
                </c:pt>
                <c:pt idx="252">
                  <c:v>0.76645041705282668</c:v>
                </c:pt>
                <c:pt idx="253">
                  <c:v>0.76552363299351256</c:v>
                </c:pt>
                <c:pt idx="254">
                  <c:v>0.76459684893419833</c:v>
                </c:pt>
                <c:pt idx="255">
                  <c:v>0.7636700648748842</c:v>
                </c:pt>
                <c:pt idx="256">
                  <c:v>0.76274328081556997</c:v>
                </c:pt>
                <c:pt idx="257">
                  <c:v>0.76181649675625585</c:v>
                </c:pt>
                <c:pt idx="258">
                  <c:v>0.76088971269694161</c:v>
                </c:pt>
                <c:pt idx="259">
                  <c:v>0.75996292863762738</c:v>
                </c:pt>
                <c:pt idx="260">
                  <c:v>0.75903614457831325</c:v>
                </c:pt>
                <c:pt idx="261">
                  <c:v>0.75810936051899902</c:v>
                </c:pt>
                <c:pt idx="262">
                  <c:v>0.7571825764596849</c:v>
                </c:pt>
                <c:pt idx="263">
                  <c:v>0.75625579240037066</c:v>
                </c:pt>
                <c:pt idx="264">
                  <c:v>0.75532900834105654</c:v>
                </c:pt>
                <c:pt idx="265">
                  <c:v>0.75440222428174231</c:v>
                </c:pt>
                <c:pt idx="266">
                  <c:v>0.75347544022242818</c:v>
                </c:pt>
                <c:pt idx="267">
                  <c:v>0.75254865616311395</c:v>
                </c:pt>
                <c:pt idx="268">
                  <c:v>0.75162187210379983</c:v>
                </c:pt>
                <c:pt idx="269">
                  <c:v>0.75069508804448559</c:v>
                </c:pt>
                <c:pt idx="270">
                  <c:v>0.74976830398517147</c:v>
                </c:pt>
                <c:pt idx="271">
                  <c:v>0.74884151992585724</c:v>
                </c:pt>
                <c:pt idx="272">
                  <c:v>0.74791473586654311</c:v>
                </c:pt>
                <c:pt idx="273">
                  <c:v>0.74698795180722888</c:v>
                </c:pt>
                <c:pt idx="274">
                  <c:v>0.74606116774791476</c:v>
                </c:pt>
                <c:pt idx="275">
                  <c:v>0.74513438368860052</c:v>
                </c:pt>
                <c:pt idx="276">
                  <c:v>0.7442075996292864</c:v>
                </c:pt>
                <c:pt idx="277">
                  <c:v>0.74328081556997216</c:v>
                </c:pt>
                <c:pt idx="278">
                  <c:v>0.74235403151065804</c:v>
                </c:pt>
                <c:pt idx="279">
                  <c:v>0.74142724745134381</c:v>
                </c:pt>
                <c:pt idx="280">
                  <c:v>0.74050046339202968</c:v>
                </c:pt>
                <c:pt idx="281">
                  <c:v>0.73957367933271545</c:v>
                </c:pt>
                <c:pt idx="282">
                  <c:v>0.73864689527340133</c:v>
                </c:pt>
                <c:pt idx="283">
                  <c:v>0.73772011121408709</c:v>
                </c:pt>
                <c:pt idx="284">
                  <c:v>0.73679332715477297</c:v>
                </c:pt>
                <c:pt idx="285">
                  <c:v>0.73586654309545874</c:v>
                </c:pt>
                <c:pt idx="286">
                  <c:v>0.73493975903614461</c:v>
                </c:pt>
                <c:pt idx="287">
                  <c:v>0.73401297497683038</c:v>
                </c:pt>
                <c:pt idx="288">
                  <c:v>0.73308619091751626</c:v>
                </c:pt>
                <c:pt idx="289">
                  <c:v>0.73215940685820202</c:v>
                </c:pt>
                <c:pt idx="290">
                  <c:v>0.7312326227988879</c:v>
                </c:pt>
                <c:pt idx="291">
                  <c:v>0.73030583873957367</c:v>
                </c:pt>
                <c:pt idx="292">
                  <c:v>0.72937905468025954</c:v>
                </c:pt>
                <c:pt idx="293">
                  <c:v>0.72845227062094531</c:v>
                </c:pt>
                <c:pt idx="294">
                  <c:v>0.72752548656163119</c:v>
                </c:pt>
                <c:pt idx="295">
                  <c:v>0.72659870250231695</c:v>
                </c:pt>
                <c:pt idx="296">
                  <c:v>0.72567191844300283</c:v>
                </c:pt>
                <c:pt idx="297">
                  <c:v>0.72474513438368859</c:v>
                </c:pt>
                <c:pt idx="298">
                  <c:v>0.72381835032437447</c:v>
                </c:pt>
                <c:pt idx="299">
                  <c:v>0.72289156626506024</c:v>
                </c:pt>
                <c:pt idx="300">
                  <c:v>0.72196478220574611</c:v>
                </c:pt>
                <c:pt idx="301">
                  <c:v>0.72103799814643188</c:v>
                </c:pt>
                <c:pt idx="302">
                  <c:v>0.72011121408711776</c:v>
                </c:pt>
                <c:pt idx="303">
                  <c:v>0.71918443002780352</c:v>
                </c:pt>
                <c:pt idx="304">
                  <c:v>0.71825764596848929</c:v>
                </c:pt>
                <c:pt idx="305">
                  <c:v>0.71733086190917517</c:v>
                </c:pt>
                <c:pt idx="306">
                  <c:v>0.71640407784986093</c:v>
                </c:pt>
                <c:pt idx="307">
                  <c:v>0.71547729379054681</c:v>
                </c:pt>
                <c:pt idx="308">
                  <c:v>0.71455050973123257</c:v>
                </c:pt>
                <c:pt idx="309">
                  <c:v>0.71362372567191845</c:v>
                </c:pt>
                <c:pt idx="310">
                  <c:v>0.71269694161260422</c:v>
                </c:pt>
                <c:pt idx="311">
                  <c:v>0.71177015755329009</c:v>
                </c:pt>
                <c:pt idx="312">
                  <c:v>0.71084337349397586</c:v>
                </c:pt>
                <c:pt idx="313">
                  <c:v>0.70991658943466174</c:v>
                </c:pt>
                <c:pt idx="314">
                  <c:v>0.7089898053753475</c:v>
                </c:pt>
                <c:pt idx="315">
                  <c:v>0.70806302131603338</c:v>
                </c:pt>
                <c:pt idx="316">
                  <c:v>0.70713623725671915</c:v>
                </c:pt>
                <c:pt idx="317">
                  <c:v>0.70620945319740502</c:v>
                </c:pt>
                <c:pt idx="318">
                  <c:v>0.70528266913809079</c:v>
                </c:pt>
                <c:pt idx="319">
                  <c:v>0.70435588507877667</c:v>
                </c:pt>
                <c:pt idx="320">
                  <c:v>0.70342910101946243</c:v>
                </c:pt>
                <c:pt idx="321">
                  <c:v>0.70250231696014831</c:v>
                </c:pt>
                <c:pt idx="322">
                  <c:v>0.70157553290083408</c:v>
                </c:pt>
                <c:pt idx="323">
                  <c:v>0.70064874884151995</c:v>
                </c:pt>
                <c:pt idx="324">
                  <c:v>0.69972196478220572</c:v>
                </c:pt>
                <c:pt idx="325">
                  <c:v>0.6987951807228916</c:v>
                </c:pt>
                <c:pt idx="326">
                  <c:v>0.69786839666357736</c:v>
                </c:pt>
                <c:pt idx="327">
                  <c:v>0.69694161260426324</c:v>
                </c:pt>
                <c:pt idx="328">
                  <c:v>0.696014828544949</c:v>
                </c:pt>
                <c:pt idx="329">
                  <c:v>0.69508804448563488</c:v>
                </c:pt>
                <c:pt idx="330">
                  <c:v>0.69416126042632065</c:v>
                </c:pt>
                <c:pt idx="331">
                  <c:v>0.69323447636700652</c:v>
                </c:pt>
                <c:pt idx="332">
                  <c:v>0.69230769230769229</c:v>
                </c:pt>
                <c:pt idx="333">
                  <c:v>0.69138090824837817</c:v>
                </c:pt>
                <c:pt idx="334">
                  <c:v>0.69045412418906393</c:v>
                </c:pt>
                <c:pt idx="335">
                  <c:v>0.68952734012974981</c:v>
                </c:pt>
                <c:pt idx="336">
                  <c:v>0.68860055607043558</c:v>
                </c:pt>
                <c:pt idx="337">
                  <c:v>0.68767377201112145</c:v>
                </c:pt>
                <c:pt idx="338">
                  <c:v>0.68674698795180722</c:v>
                </c:pt>
                <c:pt idx="339">
                  <c:v>0.6858202038924931</c:v>
                </c:pt>
                <c:pt idx="340">
                  <c:v>0.68489341983317886</c:v>
                </c:pt>
                <c:pt idx="341">
                  <c:v>0.68396663577386474</c:v>
                </c:pt>
                <c:pt idx="342">
                  <c:v>0.68303985171455051</c:v>
                </c:pt>
                <c:pt idx="343">
                  <c:v>0.68211306765523638</c:v>
                </c:pt>
                <c:pt idx="344">
                  <c:v>0.68118628359592215</c:v>
                </c:pt>
                <c:pt idx="345">
                  <c:v>0.68025949953660803</c:v>
                </c:pt>
                <c:pt idx="346">
                  <c:v>0.67933271547729379</c:v>
                </c:pt>
                <c:pt idx="347">
                  <c:v>0.67840593141797956</c:v>
                </c:pt>
                <c:pt idx="348">
                  <c:v>0.67747914735866543</c:v>
                </c:pt>
                <c:pt idx="349">
                  <c:v>0.6765523632993512</c:v>
                </c:pt>
                <c:pt idx="350">
                  <c:v>0.67562557924003708</c:v>
                </c:pt>
                <c:pt idx="351">
                  <c:v>0.67469879518072284</c:v>
                </c:pt>
                <c:pt idx="352">
                  <c:v>0.67377201112140872</c:v>
                </c:pt>
                <c:pt idx="353">
                  <c:v>0.67284522706209449</c:v>
                </c:pt>
                <c:pt idx="354">
                  <c:v>0.67191844300278036</c:v>
                </c:pt>
                <c:pt idx="355">
                  <c:v>0.67099165894346613</c:v>
                </c:pt>
                <c:pt idx="356">
                  <c:v>0.67006487488415201</c:v>
                </c:pt>
                <c:pt idx="357">
                  <c:v>0.66913809082483777</c:v>
                </c:pt>
                <c:pt idx="358">
                  <c:v>0.66821130676552365</c:v>
                </c:pt>
                <c:pt idx="359">
                  <c:v>0.66728452270620942</c:v>
                </c:pt>
                <c:pt idx="360">
                  <c:v>0.66635773864689529</c:v>
                </c:pt>
                <c:pt idx="361">
                  <c:v>0.66543095458758106</c:v>
                </c:pt>
                <c:pt idx="362">
                  <c:v>0.66450417052826694</c:v>
                </c:pt>
                <c:pt idx="363">
                  <c:v>0.6635773864689527</c:v>
                </c:pt>
                <c:pt idx="364">
                  <c:v>0.66265060240963858</c:v>
                </c:pt>
                <c:pt idx="365">
                  <c:v>0.66172381835032434</c:v>
                </c:pt>
                <c:pt idx="366">
                  <c:v>0.66079703429101022</c:v>
                </c:pt>
                <c:pt idx="367">
                  <c:v>0.65987025023169599</c:v>
                </c:pt>
                <c:pt idx="368">
                  <c:v>0.65894346617238186</c:v>
                </c:pt>
                <c:pt idx="369">
                  <c:v>0.65801668211306763</c:v>
                </c:pt>
                <c:pt idx="370">
                  <c:v>0.65708989805375351</c:v>
                </c:pt>
                <c:pt idx="371">
                  <c:v>0.65616311399443927</c:v>
                </c:pt>
                <c:pt idx="372">
                  <c:v>0.65523632993512515</c:v>
                </c:pt>
                <c:pt idx="373">
                  <c:v>0.65430954587581092</c:v>
                </c:pt>
                <c:pt idx="374">
                  <c:v>0.65338276181649679</c:v>
                </c:pt>
                <c:pt idx="375">
                  <c:v>0.65245597775718256</c:v>
                </c:pt>
                <c:pt idx="376">
                  <c:v>0.65152919369786844</c:v>
                </c:pt>
                <c:pt idx="377">
                  <c:v>0.6506024096385542</c:v>
                </c:pt>
                <c:pt idx="378">
                  <c:v>0.64967562557924008</c:v>
                </c:pt>
                <c:pt idx="379">
                  <c:v>0.64874884151992585</c:v>
                </c:pt>
                <c:pt idx="380">
                  <c:v>0.64782205746061172</c:v>
                </c:pt>
                <c:pt idx="381">
                  <c:v>0.64689527340129749</c:v>
                </c:pt>
                <c:pt idx="382">
                  <c:v>0.64596848934198337</c:v>
                </c:pt>
                <c:pt idx="383">
                  <c:v>0.64504170528266913</c:v>
                </c:pt>
                <c:pt idx="384">
                  <c:v>0.64411492122335501</c:v>
                </c:pt>
                <c:pt idx="385">
                  <c:v>0.64318813716404077</c:v>
                </c:pt>
                <c:pt idx="386">
                  <c:v>0.64226135310472665</c:v>
                </c:pt>
                <c:pt idx="387">
                  <c:v>0.64133456904541242</c:v>
                </c:pt>
                <c:pt idx="388">
                  <c:v>0.64040778498609829</c:v>
                </c:pt>
                <c:pt idx="389">
                  <c:v>0.63948100092678406</c:v>
                </c:pt>
                <c:pt idx="390">
                  <c:v>0.63855421686746983</c:v>
                </c:pt>
                <c:pt idx="391">
                  <c:v>0.6376274328081557</c:v>
                </c:pt>
                <c:pt idx="392">
                  <c:v>0.63670064874884147</c:v>
                </c:pt>
                <c:pt idx="393">
                  <c:v>0.63577386468952735</c:v>
                </c:pt>
                <c:pt idx="394">
                  <c:v>0.63484708063021311</c:v>
                </c:pt>
                <c:pt idx="395">
                  <c:v>0.63392029657089899</c:v>
                </c:pt>
                <c:pt idx="396">
                  <c:v>0.63299351251158475</c:v>
                </c:pt>
                <c:pt idx="397">
                  <c:v>0.63206672845227063</c:v>
                </c:pt>
                <c:pt idx="398">
                  <c:v>0.6311399443929564</c:v>
                </c:pt>
                <c:pt idx="399">
                  <c:v>0.63021316033364227</c:v>
                </c:pt>
                <c:pt idx="400">
                  <c:v>0.62928637627432804</c:v>
                </c:pt>
                <c:pt idx="401">
                  <c:v>0.62835959221501392</c:v>
                </c:pt>
                <c:pt idx="402">
                  <c:v>0.62743280815569968</c:v>
                </c:pt>
                <c:pt idx="403">
                  <c:v>0.62650602409638556</c:v>
                </c:pt>
                <c:pt idx="404">
                  <c:v>0.62557924003707133</c:v>
                </c:pt>
                <c:pt idx="405">
                  <c:v>0.6246524559777572</c:v>
                </c:pt>
                <c:pt idx="406">
                  <c:v>0.62372567191844297</c:v>
                </c:pt>
                <c:pt idx="407">
                  <c:v>0.62279888785912885</c:v>
                </c:pt>
                <c:pt idx="408">
                  <c:v>0.62187210379981461</c:v>
                </c:pt>
                <c:pt idx="409">
                  <c:v>0.62094531974050049</c:v>
                </c:pt>
                <c:pt idx="410">
                  <c:v>0.62001853568118626</c:v>
                </c:pt>
                <c:pt idx="411">
                  <c:v>0.61909175162187213</c:v>
                </c:pt>
                <c:pt idx="412">
                  <c:v>0.6181649675625579</c:v>
                </c:pt>
                <c:pt idx="413">
                  <c:v>0.61723818350324378</c:v>
                </c:pt>
                <c:pt idx="414">
                  <c:v>0.61631139944392954</c:v>
                </c:pt>
                <c:pt idx="415">
                  <c:v>0.61538461538461542</c:v>
                </c:pt>
                <c:pt idx="416">
                  <c:v>0.61445783132530118</c:v>
                </c:pt>
                <c:pt idx="417">
                  <c:v>0.61353104726598706</c:v>
                </c:pt>
                <c:pt idx="418">
                  <c:v>0.61260426320667283</c:v>
                </c:pt>
                <c:pt idx="419">
                  <c:v>0.6116774791473587</c:v>
                </c:pt>
                <c:pt idx="420">
                  <c:v>0.61075069508804447</c:v>
                </c:pt>
                <c:pt idx="421">
                  <c:v>0.60982391102873035</c:v>
                </c:pt>
                <c:pt idx="422">
                  <c:v>0.60889712696941611</c:v>
                </c:pt>
                <c:pt idx="423">
                  <c:v>0.60797034291010199</c:v>
                </c:pt>
                <c:pt idx="424">
                  <c:v>0.60704355885078776</c:v>
                </c:pt>
                <c:pt idx="425">
                  <c:v>0.60611677479147363</c:v>
                </c:pt>
                <c:pt idx="426">
                  <c:v>0.6051899907321594</c:v>
                </c:pt>
                <c:pt idx="427">
                  <c:v>0.60426320667284528</c:v>
                </c:pt>
                <c:pt idx="428">
                  <c:v>0.60333642261353104</c:v>
                </c:pt>
                <c:pt idx="429">
                  <c:v>0.60240963855421692</c:v>
                </c:pt>
                <c:pt idx="430">
                  <c:v>0.60148285449490269</c:v>
                </c:pt>
                <c:pt idx="431">
                  <c:v>0.60055607043558856</c:v>
                </c:pt>
                <c:pt idx="432">
                  <c:v>0.59962928637627433</c:v>
                </c:pt>
                <c:pt idx="433">
                  <c:v>0.59870250231696009</c:v>
                </c:pt>
                <c:pt idx="434">
                  <c:v>0.59777571825764597</c:v>
                </c:pt>
                <c:pt idx="435">
                  <c:v>0.59684893419833174</c:v>
                </c:pt>
                <c:pt idx="436">
                  <c:v>0.59592215013901761</c:v>
                </c:pt>
                <c:pt idx="437">
                  <c:v>0.59499536607970338</c:v>
                </c:pt>
                <c:pt idx="438">
                  <c:v>0.59406858202038926</c:v>
                </c:pt>
                <c:pt idx="439">
                  <c:v>0.59314179796107502</c:v>
                </c:pt>
                <c:pt idx="440">
                  <c:v>0.5922150139017609</c:v>
                </c:pt>
                <c:pt idx="441">
                  <c:v>0.59128822984244667</c:v>
                </c:pt>
                <c:pt idx="442">
                  <c:v>0.59036144578313254</c:v>
                </c:pt>
                <c:pt idx="443">
                  <c:v>0.58943466172381831</c:v>
                </c:pt>
                <c:pt idx="444">
                  <c:v>0.58850787766450419</c:v>
                </c:pt>
                <c:pt idx="445">
                  <c:v>0.58758109360518995</c:v>
                </c:pt>
                <c:pt idx="446">
                  <c:v>0.58665430954587583</c:v>
                </c:pt>
                <c:pt idx="447">
                  <c:v>0.5857275254865616</c:v>
                </c:pt>
                <c:pt idx="448">
                  <c:v>0.58480074142724747</c:v>
                </c:pt>
                <c:pt idx="449">
                  <c:v>0.58387395736793324</c:v>
                </c:pt>
                <c:pt idx="450">
                  <c:v>0.58294717330861912</c:v>
                </c:pt>
                <c:pt idx="451">
                  <c:v>0.58202038924930488</c:v>
                </c:pt>
                <c:pt idx="452">
                  <c:v>0.58109360518999076</c:v>
                </c:pt>
                <c:pt idx="453">
                  <c:v>0.58016682113067652</c:v>
                </c:pt>
                <c:pt idx="454">
                  <c:v>0.5792400370713624</c:v>
                </c:pt>
                <c:pt idx="455">
                  <c:v>0.57831325301204817</c:v>
                </c:pt>
                <c:pt idx="456">
                  <c:v>0.57738646895273404</c:v>
                </c:pt>
                <c:pt idx="457">
                  <c:v>0.57645968489341981</c:v>
                </c:pt>
                <c:pt idx="458">
                  <c:v>0.57553290083410569</c:v>
                </c:pt>
                <c:pt idx="459">
                  <c:v>0.57460611677479145</c:v>
                </c:pt>
                <c:pt idx="460">
                  <c:v>0.57367933271547733</c:v>
                </c:pt>
                <c:pt idx="461">
                  <c:v>0.5727525486561631</c:v>
                </c:pt>
                <c:pt idx="462">
                  <c:v>0.57182576459684897</c:v>
                </c:pt>
                <c:pt idx="463">
                  <c:v>0.57089898053753474</c:v>
                </c:pt>
                <c:pt idx="464">
                  <c:v>0.56997219647822062</c:v>
                </c:pt>
                <c:pt idx="465">
                  <c:v>0.56904541241890638</c:v>
                </c:pt>
                <c:pt idx="466">
                  <c:v>0.56811862835959226</c:v>
                </c:pt>
                <c:pt idx="467">
                  <c:v>0.56719184430027803</c:v>
                </c:pt>
                <c:pt idx="468">
                  <c:v>0.5662650602409639</c:v>
                </c:pt>
                <c:pt idx="469">
                  <c:v>0.56533827618164967</c:v>
                </c:pt>
                <c:pt idx="470">
                  <c:v>0.56441149212233555</c:v>
                </c:pt>
                <c:pt idx="471">
                  <c:v>0.56348470806302131</c:v>
                </c:pt>
                <c:pt idx="472">
                  <c:v>0.56255792400370719</c:v>
                </c:pt>
                <c:pt idx="473">
                  <c:v>0.56163113994439295</c:v>
                </c:pt>
                <c:pt idx="474">
                  <c:v>0.56070435588507883</c:v>
                </c:pt>
                <c:pt idx="475">
                  <c:v>0.5597775718257646</c:v>
                </c:pt>
                <c:pt idx="476">
                  <c:v>0.55885078776645036</c:v>
                </c:pt>
                <c:pt idx="477">
                  <c:v>0.55792400370713624</c:v>
                </c:pt>
                <c:pt idx="478">
                  <c:v>0.55699721964782201</c:v>
                </c:pt>
                <c:pt idx="479">
                  <c:v>0.55607043558850788</c:v>
                </c:pt>
                <c:pt idx="480">
                  <c:v>0.55514365152919365</c:v>
                </c:pt>
                <c:pt idx="481">
                  <c:v>0.55421686746987953</c:v>
                </c:pt>
                <c:pt idx="482">
                  <c:v>0.55329008341056529</c:v>
                </c:pt>
                <c:pt idx="483">
                  <c:v>0.55236329935125117</c:v>
                </c:pt>
                <c:pt idx="484">
                  <c:v>0.55143651529193694</c:v>
                </c:pt>
                <c:pt idx="485">
                  <c:v>0.55050973123262281</c:v>
                </c:pt>
                <c:pt idx="486">
                  <c:v>0.54958294717330858</c:v>
                </c:pt>
                <c:pt idx="487">
                  <c:v>0.54865616311399446</c:v>
                </c:pt>
                <c:pt idx="488">
                  <c:v>0.54772937905468022</c:v>
                </c:pt>
                <c:pt idx="489">
                  <c:v>0.5468025949953661</c:v>
                </c:pt>
                <c:pt idx="490">
                  <c:v>0.54587581093605186</c:v>
                </c:pt>
                <c:pt idx="491">
                  <c:v>0.54494902687673774</c:v>
                </c:pt>
                <c:pt idx="492">
                  <c:v>0.54402224281742351</c:v>
                </c:pt>
                <c:pt idx="493">
                  <c:v>0.54309545875810938</c:v>
                </c:pt>
                <c:pt idx="494">
                  <c:v>0.54216867469879515</c:v>
                </c:pt>
                <c:pt idx="495">
                  <c:v>0.54124189063948103</c:v>
                </c:pt>
                <c:pt idx="496">
                  <c:v>0.54031510658016679</c:v>
                </c:pt>
                <c:pt idx="497">
                  <c:v>0.53938832252085267</c:v>
                </c:pt>
                <c:pt idx="498">
                  <c:v>0.53846153846153844</c:v>
                </c:pt>
                <c:pt idx="499">
                  <c:v>0.53753475440222431</c:v>
                </c:pt>
                <c:pt idx="500">
                  <c:v>0.53660797034291008</c:v>
                </c:pt>
                <c:pt idx="501">
                  <c:v>0.53568118628359596</c:v>
                </c:pt>
                <c:pt idx="502">
                  <c:v>0.53475440222428172</c:v>
                </c:pt>
                <c:pt idx="503">
                  <c:v>0.5338276181649676</c:v>
                </c:pt>
                <c:pt idx="504">
                  <c:v>0.53290083410565336</c:v>
                </c:pt>
                <c:pt idx="505">
                  <c:v>0.53197405004633924</c:v>
                </c:pt>
                <c:pt idx="506">
                  <c:v>0.53104726598702501</c:v>
                </c:pt>
                <c:pt idx="507">
                  <c:v>0.53012048192771088</c:v>
                </c:pt>
                <c:pt idx="508">
                  <c:v>0.52919369786839665</c:v>
                </c:pt>
                <c:pt idx="509">
                  <c:v>0.52826691380908253</c:v>
                </c:pt>
                <c:pt idx="510">
                  <c:v>0.52734012974976829</c:v>
                </c:pt>
                <c:pt idx="511">
                  <c:v>0.52641334569045417</c:v>
                </c:pt>
                <c:pt idx="512">
                  <c:v>0.52548656163113994</c:v>
                </c:pt>
                <c:pt idx="513">
                  <c:v>0.52455977757182581</c:v>
                </c:pt>
                <c:pt idx="514">
                  <c:v>0.52363299351251158</c:v>
                </c:pt>
                <c:pt idx="515">
                  <c:v>0.52270620945319746</c:v>
                </c:pt>
                <c:pt idx="516">
                  <c:v>0.52177942539388322</c:v>
                </c:pt>
                <c:pt idx="517">
                  <c:v>0.5208526413345691</c:v>
                </c:pt>
                <c:pt idx="518">
                  <c:v>0.51992585727525487</c:v>
                </c:pt>
                <c:pt idx="519">
                  <c:v>0.51899907321594063</c:v>
                </c:pt>
                <c:pt idx="520">
                  <c:v>0.51807228915662651</c:v>
                </c:pt>
                <c:pt idx="521">
                  <c:v>0.51714550509731227</c:v>
                </c:pt>
                <c:pt idx="522">
                  <c:v>0.51621872103799815</c:v>
                </c:pt>
                <c:pt idx="523">
                  <c:v>0.51529193697868392</c:v>
                </c:pt>
                <c:pt idx="524">
                  <c:v>0.51436515291936979</c:v>
                </c:pt>
                <c:pt idx="525">
                  <c:v>0.51343836886005556</c:v>
                </c:pt>
                <c:pt idx="526">
                  <c:v>0.51251158480074144</c:v>
                </c:pt>
                <c:pt idx="527">
                  <c:v>0.5115848007414272</c:v>
                </c:pt>
                <c:pt idx="528">
                  <c:v>0.51065801668211308</c:v>
                </c:pt>
                <c:pt idx="529">
                  <c:v>0.50973123262279885</c:v>
                </c:pt>
                <c:pt idx="530">
                  <c:v>0.50880444856348472</c:v>
                </c:pt>
                <c:pt idx="531">
                  <c:v>0.50787766450417049</c:v>
                </c:pt>
                <c:pt idx="532">
                  <c:v>0.50695088044485637</c:v>
                </c:pt>
                <c:pt idx="533">
                  <c:v>0.50602409638554213</c:v>
                </c:pt>
                <c:pt idx="534">
                  <c:v>0.50509731232622801</c:v>
                </c:pt>
                <c:pt idx="535">
                  <c:v>0.50417052826691378</c:v>
                </c:pt>
                <c:pt idx="536">
                  <c:v>0.50324374420759965</c:v>
                </c:pt>
                <c:pt idx="537">
                  <c:v>0.50231696014828542</c:v>
                </c:pt>
                <c:pt idx="538">
                  <c:v>0.5013901760889713</c:v>
                </c:pt>
                <c:pt idx="539">
                  <c:v>0.50046339202965706</c:v>
                </c:pt>
                <c:pt idx="540">
                  <c:v>0.49953660797034288</c:v>
                </c:pt>
                <c:pt idx="541">
                  <c:v>0.4986098239110287</c:v>
                </c:pt>
                <c:pt idx="542">
                  <c:v>0.49768303985171453</c:v>
                </c:pt>
                <c:pt idx="543">
                  <c:v>0.49675625579240035</c:v>
                </c:pt>
                <c:pt idx="544">
                  <c:v>0.49582947173308617</c:v>
                </c:pt>
                <c:pt idx="545">
                  <c:v>0.49490268767377199</c:v>
                </c:pt>
                <c:pt idx="546">
                  <c:v>0.49397590361445781</c:v>
                </c:pt>
                <c:pt idx="547">
                  <c:v>0.49304911955514363</c:v>
                </c:pt>
                <c:pt idx="548">
                  <c:v>0.49212233549582945</c:v>
                </c:pt>
                <c:pt idx="549">
                  <c:v>0.49119555143651528</c:v>
                </c:pt>
                <c:pt idx="550">
                  <c:v>0.4902687673772011</c:v>
                </c:pt>
                <c:pt idx="551">
                  <c:v>0.48934198331788692</c:v>
                </c:pt>
                <c:pt idx="552">
                  <c:v>0.48841519925857274</c:v>
                </c:pt>
                <c:pt idx="553">
                  <c:v>0.48748841519925856</c:v>
                </c:pt>
                <c:pt idx="554">
                  <c:v>0.48656163113994438</c:v>
                </c:pt>
                <c:pt idx="555">
                  <c:v>0.48563484708063021</c:v>
                </c:pt>
                <c:pt idx="556">
                  <c:v>0.48470806302131603</c:v>
                </c:pt>
                <c:pt idx="557">
                  <c:v>0.48378127896200185</c:v>
                </c:pt>
                <c:pt idx="558">
                  <c:v>0.48285449490268767</c:v>
                </c:pt>
                <c:pt idx="559">
                  <c:v>0.48192771084337349</c:v>
                </c:pt>
                <c:pt idx="560">
                  <c:v>0.48100092678405931</c:v>
                </c:pt>
                <c:pt idx="561">
                  <c:v>0.48007414272474513</c:v>
                </c:pt>
                <c:pt idx="562">
                  <c:v>0.47914735866543096</c:v>
                </c:pt>
                <c:pt idx="563">
                  <c:v>0.47822057460611678</c:v>
                </c:pt>
                <c:pt idx="564">
                  <c:v>0.4772937905468026</c:v>
                </c:pt>
                <c:pt idx="565">
                  <c:v>0.47636700648748842</c:v>
                </c:pt>
                <c:pt idx="566">
                  <c:v>0.47544022242817424</c:v>
                </c:pt>
                <c:pt idx="567">
                  <c:v>0.47451343836886006</c:v>
                </c:pt>
                <c:pt idx="568">
                  <c:v>0.47358665430954588</c:v>
                </c:pt>
                <c:pt idx="569">
                  <c:v>0.47265987025023171</c:v>
                </c:pt>
                <c:pt idx="570">
                  <c:v>0.47173308619091753</c:v>
                </c:pt>
                <c:pt idx="571">
                  <c:v>0.47080630213160335</c:v>
                </c:pt>
                <c:pt idx="572">
                  <c:v>0.46987951807228917</c:v>
                </c:pt>
                <c:pt idx="573">
                  <c:v>0.46895273401297499</c:v>
                </c:pt>
                <c:pt idx="574">
                  <c:v>0.46802594995366081</c:v>
                </c:pt>
                <c:pt idx="575">
                  <c:v>0.46709916589434664</c:v>
                </c:pt>
                <c:pt idx="576">
                  <c:v>0.46617238183503246</c:v>
                </c:pt>
                <c:pt idx="577">
                  <c:v>0.46524559777571828</c:v>
                </c:pt>
                <c:pt idx="578">
                  <c:v>0.4643188137164041</c:v>
                </c:pt>
                <c:pt idx="579">
                  <c:v>0.46339202965708992</c:v>
                </c:pt>
                <c:pt idx="580">
                  <c:v>0.46246524559777574</c:v>
                </c:pt>
                <c:pt idx="581">
                  <c:v>0.46153846153846156</c:v>
                </c:pt>
                <c:pt idx="582">
                  <c:v>0.46061167747914739</c:v>
                </c:pt>
                <c:pt idx="583">
                  <c:v>0.45968489341983315</c:v>
                </c:pt>
                <c:pt idx="584">
                  <c:v>0.45875810936051897</c:v>
                </c:pt>
                <c:pt idx="585">
                  <c:v>0.45783132530120479</c:v>
                </c:pt>
                <c:pt idx="586">
                  <c:v>0.45690454124189062</c:v>
                </c:pt>
                <c:pt idx="587">
                  <c:v>0.45597775718257644</c:v>
                </c:pt>
                <c:pt idx="588">
                  <c:v>0.45505097312326226</c:v>
                </c:pt>
                <c:pt idx="589">
                  <c:v>0.45412418906394808</c:v>
                </c:pt>
                <c:pt idx="590">
                  <c:v>0.4531974050046339</c:v>
                </c:pt>
                <c:pt idx="591">
                  <c:v>0.45227062094531972</c:v>
                </c:pt>
                <c:pt idx="592">
                  <c:v>0.45134383688600554</c:v>
                </c:pt>
                <c:pt idx="593">
                  <c:v>0.45041705282669137</c:v>
                </c:pt>
                <c:pt idx="594">
                  <c:v>0.44949026876737719</c:v>
                </c:pt>
                <c:pt idx="595">
                  <c:v>0.44856348470806301</c:v>
                </c:pt>
                <c:pt idx="596">
                  <c:v>0.44763670064874883</c:v>
                </c:pt>
                <c:pt idx="597">
                  <c:v>0.44670991658943465</c:v>
                </c:pt>
                <c:pt idx="598">
                  <c:v>0.44578313253012047</c:v>
                </c:pt>
                <c:pt idx="599">
                  <c:v>0.4448563484708063</c:v>
                </c:pt>
                <c:pt idx="600">
                  <c:v>0.44392956441149212</c:v>
                </c:pt>
                <c:pt idx="601">
                  <c:v>0.44300278035217794</c:v>
                </c:pt>
                <c:pt idx="602">
                  <c:v>0.44207599629286376</c:v>
                </c:pt>
                <c:pt idx="603">
                  <c:v>0.44114921223354958</c:v>
                </c:pt>
                <c:pt idx="604">
                  <c:v>0.4402224281742354</c:v>
                </c:pt>
                <c:pt idx="605">
                  <c:v>0.43929564411492122</c:v>
                </c:pt>
                <c:pt idx="606">
                  <c:v>0.43836886005560705</c:v>
                </c:pt>
                <c:pt idx="607">
                  <c:v>0.43744207599629287</c:v>
                </c:pt>
                <c:pt idx="608">
                  <c:v>0.43651529193697869</c:v>
                </c:pt>
                <c:pt idx="609">
                  <c:v>0.43558850787766451</c:v>
                </c:pt>
                <c:pt idx="610">
                  <c:v>0.43466172381835033</c:v>
                </c:pt>
                <c:pt idx="611">
                  <c:v>0.43373493975903615</c:v>
                </c:pt>
                <c:pt idx="612">
                  <c:v>0.43280815569972197</c:v>
                </c:pt>
                <c:pt idx="613">
                  <c:v>0.4318813716404078</c:v>
                </c:pt>
                <c:pt idx="614">
                  <c:v>0.43095458758109362</c:v>
                </c:pt>
                <c:pt idx="615">
                  <c:v>0.43002780352177944</c:v>
                </c:pt>
                <c:pt idx="616">
                  <c:v>0.42910101946246526</c:v>
                </c:pt>
                <c:pt idx="617">
                  <c:v>0.42817423540315108</c:v>
                </c:pt>
                <c:pt idx="618">
                  <c:v>0.4272474513438369</c:v>
                </c:pt>
                <c:pt idx="619">
                  <c:v>0.42632066728452273</c:v>
                </c:pt>
                <c:pt idx="620">
                  <c:v>0.42539388322520855</c:v>
                </c:pt>
                <c:pt idx="621">
                  <c:v>0.42446709916589437</c:v>
                </c:pt>
                <c:pt idx="622">
                  <c:v>0.42354031510658019</c:v>
                </c:pt>
                <c:pt idx="623">
                  <c:v>0.42261353104726601</c:v>
                </c:pt>
                <c:pt idx="624">
                  <c:v>0.42168674698795183</c:v>
                </c:pt>
                <c:pt idx="625">
                  <c:v>0.42075996292863765</c:v>
                </c:pt>
                <c:pt idx="626">
                  <c:v>0.41983317886932342</c:v>
                </c:pt>
                <c:pt idx="627">
                  <c:v>0.41890639481000924</c:v>
                </c:pt>
                <c:pt idx="628">
                  <c:v>0.41797961075069506</c:v>
                </c:pt>
                <c:pt idx="629">
                  <c:v>0.41705282669138088</c:v>
                </c:pt>
                <c:pt idx="630">
                  <c:v>0.41612604263206671</c:v>
                </c:pt>
                <c:pt idx="631">
                  <c:v>0.41519925857275253</c:v>
                </c:pt>
                <c:pt idx="632">
                  <c:v>0.41427247451343835</c:v>
                </c:pt>
                <c:pt idx="633">
                  <c:v>0.41334569045412417</c:v>
                </c:pt>
                <c:pt idx="634">
                  <c:v>0.41241890639480999</c:v>
                </c:pt>
                <c:pt idx="635">
                  <c:v>0.41149212233549581</c:v>
                </c:pt>
                <c:pt idx="636">
                  <c:v>0.41056533827618164</c:v>
                </c:pt>
                <c:pt idx="637">
                  <c:v>0.40963855421686746</c:v>
                </c:pt>
                <c:pt idx="638">
                  <c:v>0.40871177015755328</c:v>
                </c:pt>
                <c:pt idx="639">
                  <c:v>0.4077849860982391</c:v>
                </c:pt>
                <c:pt idx="640">
                  <c:v>0.40685820203892492</c:v>
                </c:pt>
                <c:pt idx="641">
                  <c:v>0.40593141797961074</c:v>
                </c:pt>
                <c:pt idx="642">
                  <c:v>0.40500463392029656</c:v>
                </c:pt>
                <c:pt idx="643">
                  <c:v>0.40407784986098239</c:v>
                </c:pt>
                <c:pt idx="644">
                  <c:v>0.40315106580166821</c:v>
                </c:pt>
                <c:pt idx="645">
                  <c:v>0.40222428174235403</c:v>
                </c:pt>
                <c:pt idx="646">
                  <c:v>0.40129749768303985</c:v>
                </c:pt>
                <c:pt idx="647">
                  <c:v>0.40037071362372567</c:v>
                </c:pt>
                <c:pt idx="648">
                  <c:v>0.39944392956441149</c:v>
                </c:pt>
                <c:pt idx="649">
                  <c:v>0.39851714550509731</c:v>
                </c:pt>
                <c:pt idx="650">
                  <c:v>0.39759036144578314</c:v>
                </c:pt>
                <c:pt idx="651">
                  <c:v>0.39666357738646896</c:v>
                </c:pt>
                <c:pt idx="652">
                  <c:v>0.39573679332715478</c:v>
                </c:pt>
                <c:pt idx="653">
                  <c:v>0.3948100092678406</c:v>
                </c:pt>
                <c:pt idx="654">
                  <c:v>0.39388322520852642</c:v>
                </c:pt>
                <c:pt idx="655">
                  <c:v>0.39295644114921224</c:v>
                </c:pt>
                <c:pt idx="656">
                  <c:v>0.39202965708989806</c:v>
                </c:pt>
                <c:pt idx="657">
                  <c:v>0.39110287303058389</c:v>
                </c:pt>
                <c:pt idx="658">
                  <c:v>0.39017608897126971</c:v>
                </c:pt>
                <c:pt idx="659">
                  <c:v>0.38924930491195553</c:v>
                </c:pt>
                <c:pt idx="660">
                  <c:v>0.38832252085264135</c:v>
                </c:pt>
                <c:pt idx="661">
                  <c:v>0.38739573679332717</c:v>
                </c:pt>
                <c:pt idx="662">
                  <c:v>0.38646895273401299</c:v>
                </c:pt>
                <c:pt idx="663">
                  <c:v>0.38554216867469882</c:v>
                </c:pt>
                <c:pt idx="664">
                  <c:v>0.38461538461538464</c:v>
                </c:pt>
                <c:pt idx="665">
                  <c:v>0.38368860055607046</c:v>
                </c:pt>
                <c:pt idx="666">
                  <c:v>0.38276181649675628</c:v>
                </c:pt>
                <c:pt idx="667">
                  <c:v>0.3818350324374421</c:v>
                </c:pt>
                <c:pt idx="668">
                  <c:v>0.38090824837812792</c:v>
                </c:pt>
                <c:pt idx="669">
                  <c:v>0.37998146431881369</c:v>
                </c:pt>
                <c:pt idx="670">
                  <c:v>0.37905468025949951</c:v>
                </c:pt>
                <c:pt idx="671">
                  <c:v>0.37812789620018533</c:v>
                </c:pt>
                <c:pt idx="672">
                  <c:v>0.37720111214087115</c:v>
                </c:pt>
                <c:pt idx="673">
                  <c:v>0.37627432808155697</c:v>
                </c:pt>
                <c:pt idx="674">
                  <c:v>0.3753475440222428</c:v>
                </c:pt>
                <c:pt idx="675">
                  <c:v>0.37442075996292862</c:v>
                </c:pt>
                <c:pt idx="676">
                  <c:v>0.37349397590361444</c:v>
                </c:pt>
                <c:pt idx="677">
                  <c:v>0.37256719184430026</c:v>
                </c:pt>
                <c:pt idx="678">
                  <c:v>0.37164040778498608</c:v>
                </c:pt>
                <c:pt idx="679">
                  <c:v>0.3707136237256719</c:v>
                </c:pt>
                <c:pt idx="680">
                  <c:v>0.36978683966635773</c:v>
                </c:pt>
                <c:pt idx="681">
                  <c:v>0.36886005560704355</c:v>
                </c:pt>
                <c:pt idx="682">
                  <c:v>0.36793327154772937</c:v>
                </c:pt>
                <c:pt idx="683">
                  <c:v>0.36700648748841519</c:v>
                </c:pt>
                <c:pt idx="684">
                  <c:v>0.36607970342910101</c:v>
                </c:pt>
                <c:pt idx="685">
                  <c:v>0.36515291936978683</c:v>
                </c:pt>
                <c:pt idx="686">
                  <c:v>0.36422613531047265</c:v>
                </c:pt>
                <c:pt idx="687">
                  <c:v>0.36329935125115848</c:v>
                </c:pt>
                <c:pt idx="688">
                  <c:v>0.3623725671918443</c:v>
                </c:pt>
                <c:pt idx="689">
                  <c:v>0.36144578313253012</c:v>
                </c:pt>
                <c:pt idx="690">
                  <c:v>0.36051899907321594</c:v>
                </c:pt>
                <c:pt idx="691">
                  <c:v>0.35959221501390176</c:v>
                </c:pt>
                <c:pt idx="692">
                  <c:v>0.35866543095458758</c:v>
                </c:pt>
                <c:pt idx="693">
                  <c:v>0.3577386468952734</c:v>
                </c:pt>
                <c:pt idx="694">
                  <c:v>0.35681186283595923</c:v>
                </c:pt>
                <c:pt idx="695">
                  <c:v>0.35588507877664505</c:v>
                </c:pt>
                <c:pt idx="696">
                  <c:v>0.35495829471733087</c:v>
                </c:pt>
                <c:pt idx="697">
                  <c:v>0.35403151065801669</c:v>
                </c:pt>
                <c:pt idx="698">
                  <c:v>0.35310472659870251</c:v>
                </c:pt>
                <c:pt idx="699">
                  <c:v>0.35217794253938833</c:v>
                </c:pt>
                <c:pt idx="700">
                  <c:v>0.35125115848007415</c:v>
                </c:pt>
                <c:pt idx="701">
                  <c:v>0.35032437442075998</c:v>
                </c:pt>
                <c:pt idx="702">
                  <c:v>0.3493975903614458</c:v>
                </c:pt>
                <c:pt idx="703">
                  <c:v>0.34847080630213162</c:v>
                </c:pt>
                <c:pt idx="704">
                  <c:v>0.34754402224281744</c:v>
                </c:pt>
                <c:pt idx="705">
                  <c:v>0.34661723818350326</c:v>
                </c:pt>
                <c:pt idx="706">
                  <c:v>0.34569045412418908</c:v>
                </c:pt>
                <c:pt idx="707">
                  <c:v>0.34476367006487491</c:v>
                </c:pt>
                <c:pt idx="708">
                  <c:v>0.34383688600556073</c:v>
                </c:pt>
                <c:pt idx="709">
                  <c:v>0.34291010194624655</c:v>
                </c:pt>
                <c:pt idx="710">
                  <c:v>0.34198331788693237</c:v>
                </c:pt>
                <c:pt idx="711">
                  <c:v>0.34105653382761819</c:v>
                </c:pt>
                <c:pt idx="712">
                  <c:v>0.34012974976830401</c:v>
                </c:pt>
                <c:pt idx="713">
                  <c:v>0.33920296570898978</c:v>
                </c:pt>
                <c:pt idx="714">
                  <c:v>0.3382761816496756</c:v>
                </c:pt>
                <c:pt idx="715">
                  <c:v>0.33734939759036142</c:v>
                </c:pt>
                <c:pt idx="716">
                  <c:v>0.33642261353104724</c:v>
                </c:pt>
                <c:pt idx="717">
                  <c:v>0.33549582947173306</c:v>
                </c:pt>
                <c:pt idx="718">
                  <c:v>0.33456904541241889</c:v>
                </c:pt>
                <c:pt idx="719">
                  <c:v>0.33364226135310471</c:v>
                </c:pt>
                <c:pt idx="720">
                  <c:v>0.33271547729379053</c:v>
                </c:pt>
                <c:pt idx="721">
                  <c:v>0.33178869323447635</c:v>
                </c:pt>
                <c:pt idx="722">
                  <c:v>0.33086190917516217</c:v>
                </c:pt>
                <c:pt idx="723">
                  <c:v>0.32993512511584799</c:v>
                </c:pt>
                <c:pt idx="724">
                  <c:v>0.32900834105653382</c:v>
                </c:pt>
                <c:pt idx="725">
                  <c:v>0.32808155699721964</c:v>
                </c:pt>
                <c:pt idx="726">
                  <c:v>0.32715477293790546</c:v>
                </c:pt>
                <c:pt idx="727">
                  <c:v>0.32622798887859128</c:v>
                </c:pt>
                <c:pt idx="728">
                  <c:v>0.3253012048192771</c:v>
                </c:pt>
                <c:pt idx="729">
                  <c:v>0.32437442075996292</c:v>
                </c:pt>
                <c:pt idx="730">
                  <c:v>0.32344763670064874</c:v>
                </c:pt>
                <c:pt idx="731">
                  <c:v>0.32252085264133457</c:v>
                </c:pt>
                <c:pt idx="732">
                  <c:v>0.32159406858202039</c:v>
                </c:pt>
                <c:pt idx="733">
                  <c:v>0.32066728452270621</c:v>
                </c:pt>
                <c:pt idx="734">
                  <c:v>0.31974050046339203</c:v>
                </c:pt>
                <c:pt idx="735">
                  <c:v>0.31881371640407785</c:v>
                </c:pt>
                <c:pt idx="736">
                  <c:v>0.31788693234476367</c:v>
                </c:pt>
                <c:pt idx="737">
                  <c:v>0.31696014828544949</c:v>
                </c:pt>
                <c:pt idx="738">
                  <c:v>0.31603336422613532</c:v>
                </c:pt>
                <c:pt idx="739">
                  <c:v>0.31510658016682114</c:v>
                </c:pt>
                <c:pt idx="740">
                  <c:v>0.31417979610750696</c:v>
                </c:pt>
                <c:pt idx="741">
                  <c:v>0.31325301204819278</c:v>
                </c:pt>
                <c:pt idx="742">
                  <c:v>0.3123262279888786</c:v>
                </c:pt>
                <c:pt idx="743">
                  <c:v>0.31139944392956442</c:v>
                </c:pt>
                <c:pt idx="744">
                  <c:v>0.31047265987025024</c:v>
                </c:pt>
                <c:pt idx="745">
                  <c:v>0.30954587581093607</c:v>
                </c:pt>
                <c:pt idx="746">
                  <c:v>0.30861909175162189</c:v>
                </c:pt>
                <c:pt idx="747">
                  <c:v>0.30769230769230771</c:v>
                </c:pt>
                <c:pt idx="748">
                  <c:v>0.30676552363299353</c:v>
                </c:pt>
                <c:pt idx="749">
                  <c:v>0.30583873957367935</c:v>
                </c:pt>
                <c:pt idx="750">
                  <c:v>0.30491195551436517</c:v>
                </c:pt>
                <c:pt idx="751">
                  <c:v>0.303985171455051</c:v>
                </c:pt>
                <c:pt idx="752">
                  <c:v>0.30305838739573682</c:v>
                </c:pt>
                <c:pt idx="753">
                  <c:v>0.30213160333642264</c:v>
                </c:pt>
                <c:pt idx="754">
                  <c:v>0.30120481927710846</c:v>
                </c:pt>
                <c:pt idx="755">
                  <c:v>0.30027803521779428</c:v>
                </c:pt>
                <c:pt idx="756">
                  <c:v>0.29935125115848005</c:v>
                </c:pt>
                <c:pt idx="757">
                  <c:v>0.29842446709916587</c:v>
                </c:pt>
                <c:pt idx="758">
                  <c:v>0.29749768303985169</c:v>
                </c:pt>
                <c:pt idx="759">
                  <c:v>0.29657089898053751</c:v>
                </c:pt>
                <c:pt idx="760">
                  <c:v>0.29564411492122333</c:v>
                </c:pt>
                <c:pt idx="761">
                  <c:v>0.29471733086190915</c:v>
                </c:pt>
                <c:pt idx="762">
                  <c:v>0.29379054680259498</c:v>
                </c:pt>
                <c:pt idx="763">
                  <c:v>0.2928637627432808</c:v>
                </c:pt>
                <c:pt idx="764">
                  <c:v>0.29193697868396662</c:v>
                </c:pt>
                <c:pt idx="765">
                  <c:v>0.29101019462465244</c:v>
                </c:pt>
                <c:pt idx="766">
                  <c:v>0.29008341056533826</c:v>
                </c:pt>
                <c:pt idx="767">
                  <c:v>0.28915662650602408</c:v>
                </c:pt>
                <c:pt idx="768">
                  <c:v>0.28822984244670991</c:v>
                </c:pt>
                <c:pt idx="769">
                  <c:v>0.28730305838739573</c:v>
                </c:pt>
                <c:pt idx="770">
                  <c:v>0.28637627432808155</c:v>
                </c:pt>
                <c:pt idx="771">
                  <c:v>0.28544949026876737</c:v>
                </c:pt>
                <c:pt idx="772">
                  <c:v>0.28452270620945319</c:v>
                </c:pt>
                <c:pt idx="773">
                  <c:v>0.28359592215013901</c:v>
                </c:pt>
                <c:pt idx="774">
                  <c:v>0.28266913809082483</c:v>
                </c:pt>
                <c:pt idx="775">
                  <c:v>0.28174235403151066</c:v>
                </c:pt>
                <c:pt idx="776">
                  <c:v>0.28081556997219648</c:v>
                </c:pt>
                <c:pt idx="777">
                  <c:v>0.2798887859128823</c:v>
                </c:pt>
                <c:pt idx="778">
                  <c:v>0.27896200185356812</c:v>
                </c:pt>
                <c:pt idx="779">
                  <c:v>0.27803521779425394</c:v>
                </c:pt>
                <c:pt idx="780">
                  <c:v>0.27710843373493976</c:v>
                </c:pt>
                <c:pt idx="781">
                  <c:v>0.27618164967562558</c:v>
                </c:pt>
                <c:pt idx="782">
                  <c:v>0.27525486561631141</c:v>
                </c:pt>
                <c:pt idx="783">
                  <c:v>0.27432808155699723</c:v>
                </c:pt>
                <c:pt idx="784">
                  <c:v>0.27340129749768305</c:v>
                </c:pt>
                <c:pt idx="785">
                  <c:v>0.27247451343836887</c:v>
                </c:pt>
                <c:pt idx="786">
                  <c:v>0.27154772937905469</c:v>
                </c:pt>
                <c:pt idx="787">
                  <c:v>0.27062094531974051</c:v>
                </c:pt>
                <c:pt idx="788">
                  <c:v>0.26969416126042633</c:v>
                </c:pt>
                <c:pt idx="789">
                  <c:v>0.26876737720111216</c:v>
                </c:pt>
                <c:pt idx="790">
                  <c:v>0.26784059314179798</c:v>
                </c:pt>
                <c:pt idx="791">
                  <c:v>0.2669138090824838</c:v>
                </c:pt>
                <c:pt idx="792">
                  <c:v>0.26598702502316962</c:v>
                </c:pt>
                <c:pt idx="793">
                  <c:v>0.26506024096385544</c:v>
                </c:pt>
                <c:pt idx="794">
                  <c:v>0.26413345690454126</c:v>
                </c:pt>
                <c:pt idx="795">
                  <c:v>0.26320667284522709</c:v>
                </c:pt>
                <c:pt idx="796">
                  <c:v>0.26227988878591291</c:v>
                </c:pt>
                <c:pt idx="797">
                  <c:v>0.26135310472659873</c:v>
                </c:pt>
                <c:pt idx="798">
                  <c:v>0.26042632066728455</c:v>
                </c:pt>
                <c:pt idx="799">
                  <c:v>0.25949953660797032</c:v>
                </c:pt>
                <c:pt idx="800">
                  <c:v>0.25857275254865614</c:v>
                </c:pt>
                <c:pt idx="801">
                  <c:v>0.25764596848934196</c:v>
                </c:pt>
                <c:pt idx="802">
                  <c:v>0.25671918443002778</c:v>
                </c:pt>
                <c:pt idx="803">
                  <c:v>0.2557924003707136</c:v>
                </c:pt>
                <c:pt idx="804">
                  <c:v>0.25486561631139942</c:v>
                </c:pt>
                <c:pt idx="805">
                  <c:v>0.25393883225208524</c:v>
                </c:pt>
                <c:pt idx="806">
                  <c:v>0.25301204819277107</c:v>
                </c:pt>
                <c:pt idx="807">
                  <c:v>0.25208526413345689</c:v>
                </c:pt>
                <c:pt idx="808">
                  <c:v>0.25115848007414271</c:v>
                </c:pt>
                <c:pt idx="809">
                  <c:v>0.25023169601482853</c:v>
                </c:pt>
                <c:pt idx="810">
                  <c:v>0.24930491195551435</c:v>
                </c:pt>
                <c:pt idx="811">
                  <c:v>0.24837812789620017</c:v>
                </c:pt>
                <c:pt idx="812">
                  <c:v>0.247451343836886</c:v>
                </c:pt>
                <c:pt idx="813">
                  <c:v>0.24652455977757182</c:v>
                </c:pt>
                <c:pt idx="814">
                  <c:v>0.24559777571825764</c:v>
                </c:pt>
                <c:pt idx="815">
                  <c:v>0.24467099165894346</c:v>
                </c:pt>
                <c:pt idx="816">
                  <c:v>0.24374420759962928</c:v>
                </c:pt>
                <c:pt idx="817">
                  <c:v>0.2428174235403151</c:v>
                </c:pt>
                <c:pt idx="818">
                  <c:v>0.24189063948100092</c:v>
                </c:pt>
                <c:pt idx="819">
                  <c:v>0.24096385542168675</c:v>
                </c:pt>
                <c:pt idx="820">
                  <c:v>0.24003707136237257</c:v>
                </c:pt>
                <c:pt idx="821">
                  <c:v>0.23911028730305839</c:v>
                </c:pt>
                <c:pt idx="822">
                  <c:v>0.23818350324374421</c:v>
                </c:pt>
                <c:pt idx="823">
                  <c:v>0.23725671918443003</c:v>
                </c:pt>
                <c:pt idx="824">
                  <c:v>0.23632993512511585</c:v>
                </c:pt>
                <c:pt idx="825">
                  <c:v>0.23540315106580167</c:v>
                </c:pt>
                <c:pt idx="826">
                  <c:v>0.2344763670064875</c:v>
                </c:pt>
                <c:pt idx="827">
                  <c:v>0.23354958294717332</c:v>
                </c:pt>
                <c:pt idx="828">
                  <c:v>0.23262279888785914</c:v>
                </c:pt>
                <c:pt idx="829">
                  <c:v>0.23169601482854496</c:v>
                </c:pt>
                <c:pt idx="830">
                  <c:v>0.23076923076923078</c:v>
                </c:pt>
                <c:pt idx="831">
                  <c:v>0.22984244670991658</c:v>
                </c:pt>
                <c:pt idx="832">
                  <c:v>0.2289156626506024</c:v>
                </c:pt>
                <c:pt idx="833">
                  <c:v>0.22798887859128822</c:v>
                </c:pt>
                <c:pt idx="834">
                  <c:v>0.22706209453197404</c:v>
                </c:pt>
                <c:pt idx="835">
                  <c:v>0.22613531047265986</c:v>
                </c:pt>
                <c:pt idx="836">
                  <c:v>0.22520852641334568</c:v>
                </c:pt>
                <c:pt idx="837">
                  <c:v>0.2242817423540315</c:v>
                </c:pt>
                <c:pt idx="838">
                  <c:v>0.22335495829471733</c:v>
                </c:pt>
                <c:pt idx="839">
                  <c:v>0.22242817423540315</c:v>
                </c:pt>
                <c:pt idx="840">
                  <c:v>0.22150139017608897</c:v>
                </c:pt>
                <c:pt idx="841">
                  <c:v>0.22057460611677479</c:v>
                </c:pt>
                <c:pt idx="842">
                  <c:v>0.21964782205746061</c:v>
                </c:pt>
                <c:pt idx="843">
                  <c:v>0.21872103799814643</c:v>
                </c:pt>
                <c:pt idx="844">
                  <c:v>0.21779425393883226</c:v>
                </c:pt>
                <c:pt idx="845">
                  <c:v>0.21686746987951808</c:v>
                </c:pt>
                <c:pt idx="846">
                  <c:v>0.2159406858202039</c:v>
                </c:pt>
                <c:pt idx="847">
                  <c:v>0.21501390176088972</c:v>
                </c:pt>
                <c:pt idx="848">
                  <c:v>0.21408711770157554</c:v>
                </c:pt>
                <c:pt idx="849">
                  <c:v>0.21316033364226136</c:v>
                </c:pt>
                <c:pt idx="850">
                  <c:v>0.21223354958294718</c:v>
                </c:pt>
                <c:pt idx="851">
                  <c:v>0.21130676552363301</c:v>
                </c:pt>
                <c:pt idx="852">
                  <c:v>0.21037998146431883</c:v>
                </c:pt>
                <c:pt idx="853">
                  <c:v>0.20945319740500462</c:v>
                </c:pt>
                <c:pt idx="854">
                  <c:v>0.20852641334569044</c:v>
                </c:pt>
                <c:pt idx="855">
                  <c:v>0.20759962928637626</c:v>
                </c:pt>
                <c:pt idx="856">
                  <c:v>0.20667284522706209</c:v>
                </c:pt>
                <c:pt idx="857">
                  <c:v>0.20574606116774791</c:v>
                </c:pt>
                <c:pt idx="858">
                  <c:v>0.20481927710843373</c:v>
                </c:pt>
                <c:pt idx="859">
                  <c:v>0.20389249304911955</c:v>
                </c:pt>
                <c:pt idx="860">
                  <c:v>0.20296570898980537</c:v>
                </c:pt>
                <c:pt idx="861">
                  <c:v>0.20203892493049119</c:v>
                </c:pt>
                <c:pt idx="862">
                  <c:v>0.20111214087117701</c:v>
                </c:pt>
                <c:pt idx="863">
                  <c:v>0.20018535681186284</c:v>
                </c:pt>
                <c:pt idx="864">
                  <c:v>0.19925857275254866</c:v>
                </c:pt>
                <c:pt idx="865">
                  <c:v>0.19833178869323448</c:v>
                </c:pt>
                <c:pt idx="866">
                  <c:v>0.1974050046339203</c:v>
                </c:pt>
                <c:pt idx="867">
                  <c:v>0.19647822057460612</c:v>
                </c:pt>
                <c:pt idx="868">
                  <c:v>0.19555143651529194</c:v>
                </c:pt>
                <c:pt idx="869">
                  <c:v>0.19462465245597776</c:v>
                </c:pt>
                <c:pt idx="870">
                  <c:v>0.19369786839666359</c:v>
                </c:pt>
                <c:pt idx="871">
                  <c:v>0.19277108433734941</c:v>
                </c:pt>
                <c:pt idx="872">
                  <c:v>0.19184430027803523</c:v>
                </c:pt>
                <c:pt idx="873">
                  <c:v>0.19091751621872105</c:v>
                </c:pt>
                <c:pt idx="874">
                  <c:v>0.18999073215940684</c:v>
                </c:pt>
                <c:pt idx="875">
                  <c:v>0.18906394810009267</c:v>
                </c:pt>
                <c:pt idx="876">
                  <c:v>0.18813716404077849</c:v>
                </c:pt>
                <c:pt idx="877">
                  <c:v>0.18721037998146431</c:v>
                </c:pt>
                <c:pt idx="878">
                  <c:v>0.18628359592215013</c:v>
                </c:pt>
                <c:pt idx="879">
                  <c:v>0.18535681186283595</c:v>
                </c:pt>
                <c:pt idx="880">
                  <c:v>0.18443002780352177</c:v>
                </c:pt>
                <c:pt idx="881">
                  <c:v>0.18350324374420759</c:v>
                </c:pt>
                <c:pt idx="882">
                  <c:v>0.18257645968489342</c:v>
                </c:pt>
                <c:pt idx="883">
                  <c:v>0.18164967562557924</c:v>
                </c:pt>
                <c:pt idx="884">
                  <c:v>0.18072289156626506</c:v>
                </c:pt>
                <c:pt idx="885">
                  <c:v>0.17979610750695088</c:v>
                </c:pt>
                <c:pt idx="886">
                  <c:v>0.1788693234476367</c:v>
                </c:pt>
                <c:pt idx="887">
                  <c:v>0.17794253938832252</c:v>
                </c:pt>
                <c:pt idx="888">
                  <c:v>0.17701575532900835</c:v>
                </c:pt>
                <c:pt idx="889">
                  <c:v>0.17608897126969417</c:v>
                </c:pt>
                <c:pt idx="890">
                  <c:v>0.17516218721037999</c:v>
                </c:pt>
                <c:pt idx="891">
                  <c:v>0.17423540315106581</c:v>
                </c:pt>
                <c:pt idx="892">
                  <c:v>0.17330861909175163</c:v>
                </c:pt>
                <c:pt idx="893">
                  <c:v>0.17238183503243745</c:v>
                </c:pt>
                <c:pt idx="894">
                  <c:v>0.17145505097312327</c:v>
                </c:pt>
                <c:pt idx="895">
                  <c:v>0.1705282669138091</c:v>
                </c:pt>
                <c:pt idx="896">
                  <c:v>0.16960148285449489</c:v>
                </c:pt>
                <c:pt idx="897">
                  <c:v>0.16867469879518071</c:v>
                </c:pt>
                <c:pt idx="898">
                  <c:v>0.16774791473586653</c:v>
                </c:pt>
                <c:pt idx="899">
                  <c:v>0.16682113067655235</c:v>
                </c:pt>
                <c:pt idx="900">
                  <c:v>0.16589434661723818</c:v>
                </c:pt>
                <c:pt idx="901">
                  <c:v>0.164967562557924</c:v>
                </c:pt>
                <c:pt idx="902">
                  <c:v>0.16404077849860982</c:v>
                </c:pt>
                <c:pt idx="903">
                  <c:v>0.16311399443929564</c:v>
                </c:pt>
                <c:pt idx="904">
                  <c:v>0.16218721037998146</c:v>
                </c:pt>
                <c:pt idx="905">
                  <c:v>0.16126042632066728</c:v>
                </c:pt>
                <c:pt idx="906">
                  <c:v>0.1603336422613531</c:v>
                </c:pt>
                <c:pt idx="907">
                  <c:v>0.15940685820203893</c:v>
                </c:pt>
                <c:pt idx="908">
                  <c:v>0.15848007414272475</c:v>
                </c:pt>
                <c:pt idx="909">
                  <c:v>0.15755329008341057</c:v>
                </c:pt>
                <c:pt idx="910">
                  <c:v>0.15662650602409639</c:v>
                </c:pt>
                <c:pt idx="911">
                  <c:v>0.15569972196478221</c:v>
                </c:pt>
                <c:pt idx="912">
                  <c:v>0.15477293790546803</c:v>
                </c:pt>
                <c:pt idx="913">
                  <c:v>0.15384615384615385</c:v>
                </c:pt>
                <c:pt idx="914">
                  <c:v>0.15291936978683968</c:v>
                </c:pt>
                <c:pt idx="915">
                  <c:v>0.1519925857275255</c:v>
                </c:pt>
                <c:pt idx="916">
                  <c:v>0.15106580166821132</c:v>
                </c:pt>
                <c:pt idx="917">
                  <c:v>0.15013901760889714</c:v>
                </c:pt>
                <c:pt idx="918">
                  <c:v>0.14921223354958293</c:v>
                </c:pt>
                <c:pt idx="919">
                  <c:v>0.14828544949026876</c:v>
                </c:pt>
                <c:pt idx="920">
                  <c:v>0.14735866543095458</c:v>
                </c:pt>
                <c:pt idx="921">
                  <c:v>0.1464318813716404</c:v>
                </c:pt>
                <c:pt idx="922">
                  <c:v>0.14550509731232622</c:v>
                </c:pt>
                <c:pt idx="923">
                  <c:v>0.14457831325301204</c:v>
                </c:pt>
                <c:pt idx="924">
                  <c:v>0.14365152919369786</c:v>
                </c:pt>
                <c:pt idx="925">
                  <c:v>0.14272474513438368</c:v>
                </c:pt>
                <c:pt idx="926">
                  <c:v>0.14179796107506951</c:v>
                </c:pt>
                <c:pt idx="927">
                  <c:v>0.14087117701575533</c:v>
                </c:pt>
                <c:pt idx="928">
                  <c:v>0.13994439295644115</c:v>
                </c:pt>
                <c:pt idx="929">
                  <c:v>0.13901760889712697</c:v>
                </c:pt>
                <c:pt idx="930">
                  <c:v>0.13809082483781279</c:v>
                </c:pt>
                <c:pt idx="931">
                  <c:v>0.13716404077849861</c:v>
                </c:pt>
                <c:pt idx="932">
                  <c:v>0.13623725671918444</c:v>
                </c:pt>
                <c:pt idx="933">
                  <c:v>0.13531047265987026</c:v>
                </c:pt>
                <c:pt idx="934">
                  <c:v>0.13438368860055608</c:v>
                </c:pt>
                <c:pt idx="935">
                  <c:v>0.1334569045412419</c:v>
                </c:pt>
                <c:pt idx="936">
                  <c:v>0.13253012048192772</c:v>
                </c:pt>
                <c:pt idx="937">
                  <c:v>0.13160333642261354</c:v>
                </c:pt>
                <c:pt idx="938">
                  <c:v>0.13067655236329936</c:v>
                </c:pt>
                <c:pt idx="939">
                  <c:v>0.12974976830398516</c:v>
                </c:pt>
                <c:pt idx="940">
                  <c:v>0.12882298424467098</c:v>
                </c:pt>
                <c:pt idx="941">
                  <c:v>0.1278962001853568</c:v>
                </c:pt>
                <c:pt idx="942">
                  <c:v>0.12696941612604262</c:v>
                </c:pt>
                <c:pt idx="943">
                  <c:v>0.12604263206672844</c:v>
                </c:pt>
                <c:pt idx="944">
                  <c:v>0.12511584800741427</c:v>
                </c:pt>
                <c:pt idx="945">
                  <c:v>0.12418906394810009</c:v>
                </c:pt>
                <c:pt idx="946">
                  <c:v>0.12326227988878591</c:v>
                </c:pt>
                <c:pt idx="947">
                  <c:v>0.12233549582947173</c:v>
                </c:pt>
                <c:pt idx="948">
                  <c:v>0.12140871177015755</c:v>
                </c:pt>
                <c:pt idx="949">
                  <c:v>0.12048192771084337</c:v>
                </c:pt>
                <c:pt idx="950">
                  <c:v>0.11955514365152919</c:v>
                </c:pt>
                <c:pt idx="951">
                  <c:v>0.11862835959221502</c:v>
                </c:pt>
                <c:pt idx="952">
                  <c:v>0.11770157553290084</c:v>
                </c:pt>
                <c:pt idx="953">
                  <c:v>0.11677479147358666</c:v>
                </c:pt>
                <c:pt idx="954">
                  <c:v>0.11584800741427248</c:v>
                </c:pt>
                <c:pt idx="955">
                  <c:v>0.11492122335495829</c:v>
                </c:pt>
                <c:pt idx="956">
                  <c:v>0.11399443929564411</c:v>
                </c:pt>
                <c:pt idx="957">
                  <c:v>0.11306765523632993</c:v>
                </c:pt>
                <c:pt idx="958">
                  <c:v>0.11214087117701575</c:v>
                </c:pt>
                <c:pt idx="959">
                  <c:v>0.11121408711770157</c:v>
                </c:pt>
                <c:pt idx="960">
                  <c:v>0.1102873030583874</c:v>
                </c:pt>
                <c:pt idx="961">
                  <c:v>0.10936051899907322</c:v>
                </c:pt>
                <c:pt idx="962">
                  <c:v>0.10843373493975904</c:v>
                </c:pt>
                <c:pt idx="963">
                  <c:v>0.10750695088044486</c:v>
                </c:pt>
                <c:pt idx="964">
                  <c:v>0.10658016682113068</c:v>
                </c:pt>
                <c:pt idx="965">
                  <c:v>0.1056533827618165</c:v>
                </c:pt>
                <c:pt idx="966">
                  <c:v>0.10472659870250231</c:v>
                </c:pt>
                <c:pt idx="967">
                  <c:v>0.10379981464318813</c:v>
                </c:pt>
                <c:pt idx="968">
                  <c:v>0.10287303058387395</c:v>
                </c:pt>
                <c:pt idx="969">
                  <c:v>0.10194624652455977</c:v>
                </c:pt>
                <c:pt idx="970">
                  <c:v>0.1010194624652456</c:v>
                </c:pt>
                <c:pt idx="971">
                  <c:v>0.10009267840593142</c:v>
                </c:pt>
                <c:pt idx="972">
                  <c:v>9.9165894346617239E-2</c:v>
                </c:pt>
                <c:pt idx="973">
                  <c:v>9.8239110287303061E-2</c:v>
                </c:pt>
                <c:pt idx="974">
                  <c:v>9.7312326227988882E-2</c:v>
                </c:pt>
                <c:pt idx="975">
                  <c:v>9.6385542168674704E-2</c:v>
                </c:pt>
                <c:pt idx="976">
                  <c:v>9.5458758109360525E-2</c:v>
                </c:pt>
                <c:pt idx="977">
                  <c:v>9.4531974050046333E-2</c:v>
                </c:pt>
                <c:pt idx="978">
                  <c:v>9.3605189990732154E-2</c:v>
                </c:pt>
                <c:pt idx="979">
                  <c:v>9.2678405931417976E-2</c:v>
                </c:pt>
                <c:pt idx="980">
                  <c:v>9.1751621872103797E-2</c:v>
                </c:pt>
                <c:pt idx="981">
                  <c:v>9.0824837812789619E-2</c:v>
                </c:pt>
                <c:pt idx="982">
                  <c:v>8.989805375347544E-2</c:v>
                </c:pt>
                <c:pt idx="983">
                  <c:v>8.8971269694161262E-2</c:v>
                </c:pt>
                <c:pt idx="984">
                  <c:v>8.8044485634847083E-2</c:v>
                </c:pt>
                <c:pt idx="985">
                  <c:v>8.7117701575532905E-2</c:v>
                </c:pt>
                <c:pt idx="986">
                  <c:v>8.6190917516218726E-2</c:v>
                </c:pt>
                <c:pt idx="987">
                  <c:v>8.5264133456904548E-2</c:v>
                </c:pt>
                <c:pt idx="988">
                  <c:v>8.4337349397590355E-2</c:v>
                </c:pt>
                <c:pt idx="989">
                  <c:v>8.3410565338276177E-2</c:v>
                </c:pt>
                <c:pt idx="990">
                  <c:v>8.2483781278961998E-2</c:v>
                </c:pt>
                <c:pt idx="991">
                  <c:v>8.155699721964782E-2</c:v>
                </c:pt>
                <c:pt idx="992">
                  <c:v>8.0630213160333641E-2</c:v>
                </c:pt>
                <c:pt idx="993">
                  <c:v>7.9703429101019463E-2</c:v>
                </c:pt>
                <c:pt idx="994">
                  <c:v>7.8776645041705284E-2</c:v>
                </c:pt>
                <c:pt idx="995">
                  <c:v>7.7849860982391106E-2</c:v>
                </c:pt>
                <c:pt idx="996">
                  <c:v>7.6923076923076927E-2</c:v>
                </c:pt>
                <c:pt idx="997">
                  <c:v>7.5996292863762749E-2</c:v>
                </c:pt>
                <c:pt idx="998">
                  <c:v>7.506950880444857E-2</c:v>
                </c:pt>
                <c:pt idx="999">
                  <c:v>7.4142724745134378E-2</c:v>
                </c:pt>
                <c:pt idx="1000">
                  <c:v>7.3215940685820199E-2</c:v>
                </c:pt>
                <c:pt idx="1001">
                  <c:v>7.2289156626506021E-2</c:v>
                </c:pt>
                <c:pt idx="1002">
                  <c:v>7.1362372567191842E-2</c:v>
                </c:pt>
                <c:pt idx="1003">
                  <c:v>7.0435588507877664E-2</c:v>
                </c:pt>
                <c:pt idx="1004">
                  <c:v>6.9508804448563485E-2</c:v>
                </c:pt>
                <c:pt idx="1005">
                  <c:v>6.8582020389249307E-2</c:v>
                </c:pt>
                <c:pt idx="1006">
                  <c:v>6.7655236329935128E-2</c:v>
                </c:pt>
                <c:pt idx="1007">
                  <c:v>6.672845227062095E-2</c:v>
                </c:pt>
                <c:pt idx="1008">
                  <c:v>6.5801668211306771E-2</c:v>
                </c:pt>
                <c:pt idx="1009">
                  <c:v>6.4874884151992579E-2</c:v>
                </c:pt>
                <c:pt idx="1010">
                  <c:v>6.39481000926784E-2</c:v>
                </c:pt>
                <c:pt idx="1011">
                  <c:v>6.3021316033364222E-2</c:v>
                </c:pt>
                <c:pt idx="1012">
                  <c:v>6.2094531974050043E-2</c:v>
                </c:pt>
                <c:pt idx="1013">
                  <c:v>6.1167747914735865E-2</c:v>
                </c:pt>
                <c:pt idx="1014">
                  <c:v>6.0240963855421686E-2</c:v>
                </c:pt>
                <c:pt idx="1015">
                  <c:v>5.9314179796107508E-2</c:v>
                </c:pt>
                <c:pt idx="1016">
                  <c:v>5.8387395736793329E-2</c:v>
                </c:pt>
                <c:pt idx="1017">
                  <c:v>5.7460611677479144E-2</c:v>
                </c:pt>
                <c:pt idx="1018">
                  <c:v>5.6533827618164965E-2</c:v>
                </c:pt>
                <c:pt idx="1019">
                  <c:v>5.5607043558850787E-2</c:v>
                </c:pt>
                <c:pt idx="1020">
                  <c:v>5.4680259499536608E-2</c:v>
                </c:pt>
                <c:pt idx="1021">
                  <c:v>5.375347544022243E-2</c:v>
                </c:pt>
                <c:pt idx="1022">
                  <c:v>5.2826691380908251E-2</c:v>
                </c:pt>
                <c:pt idx="1023">
                  <c:v>5.1899907321594066E-2</c:v>
                </c:pt>
                <c:pt idx="1024">
                  <c:v>5.0973123262279887E-2</c:v>
                </c:pt>
                <c:pt idx="1025">
                  <c:v>5.0046339202965709E-2</c:v>
                </c:pt>
                <c:pt idx="1026">
                  <c:v>4.911955514365153E-2</c:v>
                </c:pt>
                <c:pt idx="1027">
                  <c:v>4.8192771084337352E-2</c:v>
                </c:pt>
                <c:pt idx="1028">
                  <c:v>4.7265987025023166E-2</c:v>
                </c:pt>
                <c:pt idx="1029">
                  <c:v>4.6339202965708988E-2</c:v>
                </c:pt>
                <c:pt idx="1030">
                  <c:v>4.5412418906394809E-2</c:v>
                </c:pt>
                <c:pt idx="1031">
                  <c:v>4.4485634847080631E-2</c:v>
                </c:pt>
                <c:pt idx="1032">
                  <c:v>4.3558850787766452E-2</c:v>
                </c:pt>
                <c:pt idx="1033">
                  <c:v>4.2632066728452274E-2</c:v>
                </c:pt>
                <c:pt idx="1034">
                  <c:v>4.1705282669138088E-2</c:v>
                </c:pt>
                <c:pt idx="1035">
                  <c:v>4.077849860982391E-2</c:v>
                </c:pt>
                <c:pt idx="1036">
                  <c:v>3.9851714550509731E-2</c:v>
                </c:pt>
                <c:pt idx="1037">
                  <c:v>3.8924930491195553E-2</c:v>
                </c:pt>
                <c:pt idx="1038">
                  <c:v>3.7998146431881374E-2</c:v>
                </c:pt>
                <c:pt idx="1039">
                  <c:v>3.7071362372567189E-2</c:v>
                </c:pt>
                <c:pt idx="1040">
                  <c:v>3.614457831325301E-2</c:v>
                </c:pt>
                <c:pt idx="1041">
                  <c:v>3.5217794253938832E-2</c:v>
                </c:pt>
                <c:pt idx="1042">
                  <c:v>3.4291010194624653E-2</c:v>
                </c:pt>
                <c:pt idx="1043">
                  <c:v>3.3364226135310475E-2</c:v>
                </c:pt>
                <c:pt idx="1044">
                  <c:v>3.2437442075996289E-2</c:v>
                </c:pt>
                <c:pt idx="1045">
                  <c:v>3.1510658016682111E-2</c:v>
                </c:pt>
                <c:pt idx="1046">
                  <c:v>3.0583873957367932E-2</c:v>
                </c:pt>
                <c:pt idx="1047">
                  <c:v>2.9657089898053754E-2</c:v>
                </c:pt>
                <c:pt idx="1048">
                  <c:v>2.8730305838739572E-2</c:v>
                </c:pt>
                <c:pt idx="1049">
                  <c:v>2.7803521779425393E-2</c:v>
                </c:pt>
                <c:pt idx="1050">
                  <c:v>2.6876737720111215E-2</c:v>
                </c:pt>
                <c:pt idx="1051">
                  <c:v>2.5949953660797033E-2</c:v>
                </c:pt>
                <c:pt idx="1052">
                  <c:v>2.5023169601482854E-2</c:v>
                </c:pt>
                <c:pt idx="1053">
                  <c:v>2.4096385542168676E-2</c:v>
                </c:pt>
                <c:pt idx="1054">
                  <c:v>2.3169601482854494E-2</c:v>
                </c:pt>
                <c:pt idx="1055">
                  <c:v>2.2242817423540315E-2</c:v>
                </c:pt>
                <c:pt idx="1056">
                  <c:v>2.1316033364226137E-2</c:v>
                </c:pt>
                <c:pt idx="1057">
                  <c:v>2.0389249304911955E-2</c:v>
                </c:pt>
                <c:pt idx="1058">
                  <c:v>1.9462465245597776E-2</c:v>
                </c:pt>
                <c:pt idx="1059">
                  <c:v>1.8535681186283594E-2</c:v>
                </c:pt>
                <c:pt idx="1060">
                  <c:v>1.7608897126969416E-2</c:v>
                </c:pt>
                <c:pt idx="1061">
                  <c:v>1.6682113067655237E-2</c:v>
                </c:pt>
                <c:pt idx="1062">
                  <c:v>1.5755329008341055E-2</c:v>
                </c:pt>
                <c:pt idx="1063">
                  <c:v>1.4828544949026877E-2</c:v>
                </c:pt>
                <c:pt idx="1064">
                  <c:v>1.3901760889712697E-2</c:v>
                </c:pt>
                <c:pt idx="1065">
                  <c:v>1.2974976830398516E-2</c:v>
                </c:pt>
                <c:pt idx="1066">
                  <c:v>1.2048192771084338E-2</c:v>
                </c:pt>
                <c:pt idx="1067">
                  <c:v>1.1121408711770158E-2</c:v>
                </c:pt>
                <c:pt idx="1068">
                  <c:v>1.0194624652455977E-2</c:v>
                </c:pt>
                <c:pt idx="1069">
                  <c:v>9.2678405931417972E-3</c:v>
                </c:pt>
                <c:pt idx="1070">
                  <c:v>8.3410565338276187E-3</c:v>
                </c:pt>
                <c:pt idx="1071">
                  <c:v>7.4142724745134385E-3</c:v>
                </c:pt>
                <c:pt idx="1072">
                  <c:v>6.4874884151992582E-3</c:v>
                </c:pt>
                <c:pt idx="1073">
                  <c:v>5.5607043558850789E-3</c:v>
                </c:pt>
                <c:pt idx="1074">
                  <c:v>4.6339202965708986E-3</c:v>
                </c:pt>
                <c:pt idx="1075">
                  <c:v>3.7071362372567192E-3</c:v>
                </c:pt>
                <c:pt idx="1076">
                  <c:v>2.7803521779425394E-3</c:v>
                </c:pt>
                <c:pt idx="1077">
                  <c:v>1.8535681186283596E-3</c:v>
                </c:pt>
                <c:pt idx="1078">
                  <c:v>9.2678405931417981E-4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1.32169599960893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[ClaimsAnalysis.xlsm]PolicyLosses!ClaimFrequencyDistribution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PolicyLosses!$H$4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PolicyLosses!$G$5:$G$10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PolicyLosses!$H$5:$H$10</c:f>
              <c:numCache>
                <c:formatCode>General</c:formatCode>
                <c:ptCount val="5"/>
                <c:pt idx="0">
                  <c:v>27</c:v>
                </c:pt>
                <c:pt idx="1">
                  <c:v>94</c:v>
                </c:pt>
                <c:pt idx="2">
                  <c:v>183</c:v>
                </c:pt>
                <c:pt idx="3">
                  <c:v>165</c:v>
                </c:pt>
                <c:pt idx="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6E4A-A43B-9C777FEE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702675455"/>
        <c:axId val="1640654111"/>
      </c:barChart>
      <c:catAx>
        <c:axId val="170267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54111"/>
        <c:crosses val="autoZero"/>
        <c:auto val="1"/>
        <c:lblAlgn val="ctr"/>
        <c:lblOffset val="100"/>
        <c:noMultiLvlLbl val="0"/>
      </c:catAx>
      <c:valAx>
        <c:axId val="164065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</a:t>
                </a:r>
                <a:r>
                  <a:rPr lang="en-US" sz="1200" baseline="0"/>
                  <a:t> of Policies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7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CDF of Policy Loss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PolicyLossCDF!$C$1</c:f>
              <c:strCache>
                <c:ptCount val="1"/>
                <c:pt idx="0">
                  <c:v>CDF(Loss)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PolicyLossCDF!$B$2:$B$445</c:f>
              <c:numCache>
                <c:formatCode>General</c:formatCode>
                <c:ptCount val="444"/>
                <c:pt idx="0">
                  <c:v>1.5205696457499669</c:v>
                </c:pt>
                <c:pt idx="1">
                  <c:v>1.504188092727857</c:v>
                </c:pt>
                <c:pt idx="2">
                  <c:v>1.423527370391702</c:v>
                </c:pt>
                <c:pt idx="3">
                  <c:v>1.3866702178757229</c:v>
                </c:pt>
                <c:pt idx="4">
                  <c:v>1.3381187526315728</c:v>
                </c:pt>
                <c:pt idx="5">
                  <c:v>1.328292063027829</c:v>
                </c:pt>
                <c:pt idx="6">
                  <c:v>1.252993673542022</c:v>
                </c:pt>
                <c:pt idx="7">
                  <c:v>1.208944476719702</c:v>
                </c:pt>
                <c:pt idx="8">
                  <c:v>1.1423715316546299</c:v>
                </c:pt>
                <c:pt idx="9">
                  <c:v>1.04701081991981</c:v>
                </c:pt>
                <c:pt idx="10">
                  <c:v>1.0262475278698659</c:v>
                </c:pt>
                <c:pt idx="11">
                  <c:v>1.024494607284171</c:v>
                </c:pt>
                <c:pt idx="12">
                  <c:v>1.021923238009649</c:v>
                </c:pt>
                <c:pt idx="13">
                  <c:v>0.99781685013348964</c:v>
                </c:pt>
                <c:pt idx="14">
                  <c:v>0.94097583018173803</c:v>
                </c:pt>
                <c:pt idx="15">
                  <c:v>0.93660148873384497</c:v>
                </c:pt>
                <c:pt idx="16">
                  <c:v>0.92813835423971591</c:v>
                </c:pt>
                <c:pt idx="17">
                  <c:v>0.92217574448360595</c:v>
                </c:pt>
                <c:pt idx="18">
                  <c:v>0.91030191742791755</c:v>
                </c:pt>
                <c:pt idx="19">
                  <c:v>0.90131191227256702</c:v>
                </c:pt>
                <c:pt idx="20">
                  <c:v>0.90057092311680997</c:v>
                </c:pt>
                <c:pt idx="21">
                  <c:v>0.89800172316406002</c:v>
                </c:pt>
                <c:pt idx="22">
                  <c:v>0.88787909746868698</c:v>
                </c:pt>
                <c:pt idx="23">
                  <c:v>0.88559606019897197</c:v>
                </c:pt>
                <c:pt idx="24">
                  <c:v>0.87610512625171422</c:v>
                </c:pt>
                <c:pt idx="25">
                  <c:v>0.87490409772285904</c:v>
                </c:pt>
                <c:pt idx="26">
                  <c:v>0.86845285414497209</c:v>
                </c:pt>
                <c:pt idx="27">
                  <c:v>0.8590043683558839</c:v>
                </c:pt>
                <c:pt idx="28">
                  <c:v>0.85425774215878592</c:v>
                </c:pt>
                <c:pt idx="29">
                  <c:v>0.85419181665406696</c:v>
                </c:pt>
                <c:pt idx="30">
                  <c:v>0.85055678560336401</c:v>
                </c:pt>
                <c:pt idx="31">
                  <c:v>0.84996076002860199</c:v>
                </c:pt>
                <c:pt idx="32">
                  <c:v>0.84805563008950713</c:v>
                </c:pt>
                <c:pt idx="33">
                  <c:v>0.8466166700336667</c:v>
                </c:pt>
                <c:pt idx="34">
                  <c:v>0.84487164170399986</c:v>
                </c:pt>
                <c:pt idx="35">
                  <c:v>0.84209346678479835</c:v>
                </c:pt>
                <c:pt idx="36">
                  <c:v>0.83812871683005752</c:v>
                </c:pt>
                <c:pt idx="37">
                  <c:v>0.83651048815156503</c:v>
                </c:pt>
                <c:pt idx="38">
                  <c:v>0.83151209582852004</c:v>
                </c:pt>
                <c:pt idx="39">
                  <c:v>0.82809521125943852</c:v>
                </c:pt>
                <c:pt idx="40">
                  <c:v>0.82411373616204697</c:v>
                </c:pt>
                <c:pt idx="41">
                  <c:v>0.82235731336228191</c:v>
                </c:pt>
                <c:pt idx="42">
                  <c:v>0.81734473865642299</c:v>
                </c:pt>
                <c:pt idx="43">
                  <c:v>0.81180946927388997</c:v>
                </c:pt>
                <c:pt idx="44">
                  <c:v>0.80703523774311003</c:v>
                </c:pt>
                <c:pt idx="45">
                  <c:v>0.80689831867488593</c:v>
                </c:pt>
                <c:pt idx="46">
                  <c:v>0.80315177633396662</c:v>
                </c:pt>
                <c:pt idx="47">
                  <c:v>0.78835268900986155</c:v>
                </c:pt>
                <c:pt idx="48">
                  <c:v>0.78291149308458197</c:v>
                </c:pt>
                <c:pt idx="49">
                  <c:v>0.78147919468924798</c:v>
                </c:pt>
                <c:pt idx="50">
                  <c:v>0.78016360766441384</c:v>
                </c:pt>
                <c:pt idx="51">
                  <c:v>0.76604080040965405</c:v>
                </c:pt>
                <c:pt idx="52">
                  <c:v>0.76579376196299354</c:v>
                </c:pt>
                <c:pt idx="53">
                  <c:v>0.76269522466054096</c:v>
                </c:pt>
                <c:pt idx="54">
                  <c:v>0.75866218067088198</c:v>
                </c:pt>
                <c:pt idx="55">
                  <c:v>0.7573711020642</c:v>
                </c:pt>
                <c:pt idx="56">
                  <c:v>0.75129365125375902</c:v>
                </c:pt>
                <c:pt idx="57">
                  <c:v>0.750170458065894</c:v>
                </c:pt>
                <c:pt idx="58">
                  <c:v>0.74695648377215895</c:v>
                </c:pt>
                <c:pt idx="59">
                  <c:v>0.74642325030508094</c:v>
                </c:pt>
                <c:pt idx="60">
                  <c:v>0.74121850799409561</c:v>
                </c:pt>
                <c:pt idx="61">
                  <c:v>0.73734989145247587</c:v>
                </c:pt>
                <c:pt idx="62">
                  <c:v>0.72586583992410902</c:v>
                </c:pt>
                <c:pt idx="63">
                  <c:v>0.72500075590138402</c:v>
                </c:pt>
                <c:pt idx="64">
                  <c:v>0.72054495608612201</c:v>
                </c:pt>
                <c:pt idx="65">
                  <c:v>0.71785341593872798</c:v>
                </c:pt>
                <c:pt idx="66">
                  <c:v>0.71726161870600702</c:v>
                </c:pt>
                <c:pt idx="67">
                  <c:v>0.71584328834385202</c:v>
                </c:pt>
                <c:pt idx="68">
                  <c:v>0.71279346919962339</c:v>
                </c:pt>
                <c:pt idx="69">
                  <c:v>0.70597253662235304</c:v>
                </c:pt>
                <c:pt idx="70">
                  <c:v>0.70591868415905601</c:v>
                </c:pt>
                <c:pt idx="71">
                  <c:v>0.70476353172709705</c:v>
                </c:pt>
                <c:pt idx="72">
                  <c:v>0.70151065811045699</c:v>
                </c:pt>
                <c:pt idx="73">
                  <c:v>0.69928856422918195</c:v>
                </c:pt>
                <c:pt idx="74">
                  <c:v>0.69053180087943367</c:v>
                </c:pt>
                <c:pt idx="75">
                  <c:v>0.68573895373555827</c:v>
                </c:pt>
                <c:pt idx="76">
                  <c:v>0.68520991140709997</c:v>
                </c:pt>
                <c:pt idx="77">
                  <c:v>0.68099357773037217</c:v>
                </c:pt>
                <c:pt idx="78">
                  <c:v>0.68081015233687103</c:v>
                </c:pt>
                <c:pt idx="79">
                  <c:v>0.67983281820649499</c:v>
                </c:pt>
                <c:pt idx="80">
                  <c:v>0.67876048392900901</c:v>
                </c:pt>
                <c:pt idx="81">
                  <c:v>0.673957236842472</c:v>
                </c:pt>
                <c:pt idx="82">
                  <c:v>0.67337083655482499</c:v>
                </c:pt>
                <c:pt idx="83">
                  <c:v>0.66473124322219312</c:v>
                </c:pt>
                <c:pt idx="84">
                  <c:v>0.6626783954848966</c:v>
                </c:pt>
                <c:pt idx="85">
                  <c:v>0.66069603616302475</c:v>
                </c:pt>
                <c:pt idx="86">
                  <c:v>0.65559127158288066</c:v>
                </c:pt>
                <c:pt idx="87">
                  <c:v>0.65378185263914401</c:v>
                </c:pt>
                <c:pt idx="88">
                  <c:v>0.65331674794712702</c:v>
                </c:pt>
                <c:pt idx="89">
                  <c:v>0.6513992522717249</c:v>
                </c:pt>
                <c:pt idx="90">
                  <c:v>0.64947054448309294</c:v>
                </c:pt>
                <c:pt idx="91">
                  <c:v>0.64623183258111905</c:v>
                </c:pt>
                <c:pt idx="92">
                  <c:v>0.64394933786901909</c:v>
                </c:pt>
                <c:pt idx="93">
                  <c:v>0.64169780023053735</c:v>
                </c:pt>
                <c:pt idx="94">
                  <c:v>0.64060084762382496</c:v>
                </c:pt>
                <c:pt idx="95">
                  <c:v>0.64046926944611071</c:v>
                </c:pt>
                <c:pt idx="96">
                  <c:v>0.64037159887585293</c:v>
                </c:pt>
                <c:pt idx="97">
                  <c:v>0.63987229403766155</c:v>
                </c:pt>
                <c:pt idx="98">
                  <c:v>0.6393689895553466</c:v>
                </c:pt>
                <c:pt idx="99">
                  <c:v>0.6393272600084583</c:v>
                </c:pt>
                <c:pt idx="100">
                  <c:v>0.63599496637684805</c:v>
                </c:pt>
                <c:pt idx="101">
                  <c:v>0.63437632147206002</c:v>
                </c:pt>
                <c:pt idx="102">
                  <c:v>0.63214744118754806</c:v>
                </c:pt>
                <c:pt idx="103">
                  <c:v>0.63179412838573301</c:v>
                </c:pt>
                <c:pt idx="104">
                  <c:v>0.62994892282430603</c:v>
                </c:pt>
                <c:pt idx="105">
                  <c:v>0.62234573430347195</c:v>
                </c:pt>
                <c:pt idx="106">
                  <c:v>0.62210020438254898</c:v>
                </c:pt>
                <c:pt idx="107">
                  <c:v>0.62061273372888526</c:v>
                </c:pt>
                <c:pt idx="108">
                  <c:v>0.62010547776504676</c:v>
                </c:pt>
                <c:pt idx="109">
                  <c:v>0.61800974800826503</c:v>
                </c:pt>
                <c:pt idx="110">
                  <c:v>0.61649139830200239</c:v>
                </c:pt>
                <c:pt idx="111">
                  <c:v>0.61604385121918703</c:v>
                </c:pt>
                <c:pt idx="112">
                  <c:v>0.61494378695055296</c:v>
                </c:pt>
                <c:pt idx="113">
                  <c:v>0.61409611197531022</c:v>
                </c:pt>
                <c:pt idx="114">
                  <c:v>0.61312209285914143</c:v>
                </c:pt>
                <c:pt idx="115">
                  <c:v>0.61311949925743847</c:v>
                </c:pt>
                <c:pt idx="116">
                  <c:v>0.61098905150762861</c:v>
                </c:pt>
                <c:pt idx="117">
                  <c:v>0.60792479095591201</c:v>
                </c:pt>
                <c:pt idx="118">
                  <c:v>0.60505785419512226</c:v>
                </c:pt>
                <c:pt idx="119">
                  <c:v>0.60425876100013398</c:v>
                </c:pt>
                <c:pt idx="120">
                  <c:v>0.60205508382180706</c:v>
                </c:pt>
                <c:pt idx="121">
                  <c:v>0.6008471973548235</c:v>
                </c:pt>
                <c:pt idx="122">
                  <c:v>0.599100992259055</c:v>
                </c:pt>
                <c:pt idx="123">
                  <c:v>0.59882978266218279</c:v>
                </c:pt>
                <c:pt idx="124">
                  <c:v>0.59700012662868374</c:v>
                </c:pt>
                <c:pt idx="125">
                  <c:v>0.59696354450967604</c:v>
                </c:pt>
                <c:pt idx="126">
                  <c:v>0.58772362614379903</c:v>
                </c:pt>
                <c:pt idx="127">
                  <c:v>0.58622516706809102</c:v>
                </c:pt>
                <c:pt idx="128">
                  <c:v>0.58384345733563703</c:v>
                </c:pt>
                <c:pt idx="129">
                  <c:v>0.583261951207249</c:v>
                </c:pt>
                <c:pt idx="130">
                  <c:v>0.58140963822159508</c:v>
                </c:pt>
                <c:pt idx="131">
                  <c:v>0.57959451313107091</c:v>
                </c:pt>
                <c:pt idx="132">
                  <c:v>0.57930494760972551</c:v>
                </c:pt>
                <c:pt idx="133">
                  <c:v>0.57812536885955657</c:v>
                </c:pt>
                <c:pt idx="134">
                  <c:v>0.57256952473798506</c:v>
                </c:pt>
                <c:pt idx="135">
                  <c:v>0.56971707007380801</c:v>
                </c:pt>
                <c:pt idx="136">
                  <c:v>0.56843428285815401</c:v>
                </c:pt>
                <c:pt idx="137">
                  <c:v>0.56836448894980296</c:v>
                </c:pt>
                <c:pt idx="138">
                  <c:v>0.56458172343719604</c:v>
                </c:pt>
                <c:pt idx="139">
                  <c:v>0.56229895079520897</c:v>
                </c:pt>
                <c:pt idx="140">
                  <c:v>0.5531920224387038</c:v>
                </c:pt>
                <c:pt idx="141">
                  <c:v>0.55065524402686705</c:v>
                </c:pt>
                <c:pt idx="142">
                  <c:v>0.54821622900635103</c:v>
                </c:pt>
                <c:pt idx="143">
                  <c:v>0.54799894821271999</c:v>
                </c:pt>
                <c:pt idx="144">
                  <c:v>0.54291161095093954</c:v>
                </c:pt>
                <c:pt idx="145">
                  <c:v>0.54288300895809749</c:v>
                </c:pt>
                <c:pt idx="146">
                  <c:v>0.54156488860448926</c:v>
                </c:pt>
                <c:pt idx="147">
                  <c:v>0.54126889715417592</c:v>
                </c:pt>
                <c:pt idx="148">
                  <c:v>0.53893735268272636</c:v>
                </c:pt>
                <c:pt idx="149">
                  <c:v>0.53761513279480044</c:v>
                </c:pt>
                <c:pt idx="150">
                  <c:v>0.53622704143624889</c:v>
                </c:pt>
                <c:pt idx="151">
                  <c:v>0.53568145395591749</c:v>
                </c:pt>
                <c:pt idx="152">
                  <c:v>0.53432549827514708</c:v>
                </c:pt>
                <c:pt idx="153">
                  <c:v>0.53418260394589001</c:v>
                </c:pt>
                <c:pt idx="154">
                  <c:v>0.53326093521478612</c:v>
                </c:pt>
                <c:pt idx="155">
                  <c:v>0.53325844488391694</c:v>
                </c:pt>
                <c:pt idx="156">
                  <c:v>0.53207817383789802</c:v>
                </c:pt>
                <c:pt idx="157">
                  <c:v>0.53173076684930953</c:v>
                </c:pt>
                <c:pt idx="158">
                  <c:v>0.52786510295172395</c:v>
                </c:pt>
                <c:pt idx="159">
                  <c:v>0.526663454433411</c:v>
                </c:pt>
                <c:pt idx="160">
                  <c:v>0.52663326519401399</c:v>
                </c:pt>
                <c:pt idx="161">
                  <c:v>0.52606449504497566</c:v>
                </c:pt>
                <c:pt idx="162">
                  <c:v>0.52531983050426401</c:v>
                </c:pt>
                <c:pt idx="163">
                  <c:v>0.5247535087778108</c:v>
                </c:pt>
                <c:pt idx="164">
                  <c:v>0.52280127588087655</c:v>
                </c:pt>
                <c:pt idx="165">
                  <c:v>0.52239072413541199</c:v>
                </c:pt>
                <c:pt idx="166">
                  <c:v>0.51837917588412397</c:v>
                </c:pt>
                <c:pt idx="167">
                  <c:v>0.51523715638086176</c:v>
                </c:pt>
                <c:pt idx="168">
                  <c:v>0.51181596712104205</c:v>
                </c:pt>
                <c:pt idx="169">
                  <c:v>0.51021378678213303</c:v>
                </c:pt>
                <c:pt idx="170">
                  <c:v>0.50563979218893251</c:v>
                </c:pt>
                <c:pt idx="171">
                  <c:v>0.50515328033418694</c:v>
                </c:pt>
                <c:pt idx="172">
                  <c:v>0.50491169346815801</c:v>
                </c:pt>
                <c:pt idx="173">
                  <c:v>0.50365090489198128</c:v>
                </c:pt>
                <c:pt idx="174">
                  <c:v>0.49838210151534296</c:v>
                </c:pt>
                <c:pt idx="175">
                  <c:v>0.49647200248056544</c:v>
                </c:pt>
                <c:pt idx="176">
                  <c:v>0.496288803653746</c:v>
                </c:pt>
                <c:pt idx="177">
                  <c:v>0.4946489449298524</c:v>
                </c:pt>
                <c:pt idx="178">
                  <c:v>0.49287436548905089</c:v>
                </c:pt>
                <c:pt idx="179">
                  <c:v>0.49128985421287497</c:v>
                </c:pt>
                <c:pt idx="180">
                  <c:v>0.49116132783778776</c:v>
                </c:pt>
                <c:pt idx="181">
                  <c:v>0.48939238827686204</c:v>
                </c:pt>
                <c:pt idx="182">
                  <c:v>0.48868177590998296</c:v>
                </c:pt>
                <c:pt idx="183">
                  <c:v>0.48805075171818502</c:v>
                </c:pt>
                <c:pt idx="184">
                  <c:v>0.4855070228853724</c:v>
                </c:pt>
                <c:pt idx="185">
                  <c:v>0.48498115098085176</c:v>
                </c:pt>
                <c:pt idx="186">
                  <c:v>0.4840035057581405</c:v>
                </c:pt>
                <c:pt idx="187">
                  <c:v>0.47899953913334903</c:v>
                </c:pt>
                <c:pt idx="188">
                  <c:v>0.47712793815299204</c:v>
                </c:pt>
                <c:pt idx="189">
                  <c:v>0.47328687360440402</c:v>
                </c:pt>
                <c:pt idx="190">
                  <c:v>0.47011565094490404</c:v>
                </c:pt>
                <c:pt idx="191">
                  <c:v>0.46838215631042701</c:v>
                </c:pt>
                <c:pt idx="192">
                  <c:v>0.46571373116370995</c:v>
                </c:pt>
                <c:pt idx="193">
                  <c:v>0.46562175692185803</c:v>
                </c:pt>
                <c:pt idx="194">
                  <c:v>0.46511545724588998</c:v>
                </c:pt>
                <c:pt idx="195">
                  <c:v>0.46427333921420499</c:v>
                </c:pt>
                <c:pt idx="196">
                  <c:v>0.46352773784566803</c:v>
                </c:pt>
                <c:pt idx="197">
                  <c:v>0.46246340035384698</c:v>
                </c:pt>
                <c:pt idx="198">
                  <c:v>0.46219943032692185</c:v>
                </c:pt>
                <c:pt idx="199">
                  <c:v>0.4606612244667751</c:v>
                </c:pt>
                <c:pt idx="200">
                  <c:v>0.45557555054539972</c:v>
                </c:pt>
                <c:pt idx="201">
                  <c:v>0.45137536385824573</c:v>
                </c:pt>
                <c:pt idx="202">
                  <c:v>0.44791954818148483</c:v>
                </c:pt>
                <c:pt idx="203">
                  <c:v>0.44349604936148201</c:v>
                </c:pt>
                <c:pt idx="204">
                  <c:v>0.4420438154054408</c:v>
                </c:pt>
                <c:pt idx="205">
                  <c:v>0.43976077402444003</c:v>
                </c:pt>
                <c:pt idx="206">
                  <c:v>0.43927719232418899</c:v>
                </c:pt>
                <c:pt idx="207">
                  <c:v>0.4392221172749281</c:v>
                </c:pt>
                <c:pt idx="208">
                  <c:v>0.4382667915140897</c:v>
                </c:pt>
                <c:pt idx="209">
                  <c:v>0.43680670500263169</c:v>
                </c:pt>
                <c:pt idx="210">
                  <c:v>0.42978556115993932</c:v>
                </c:pt>
                <c:pt idx="211">
                  <c:v>0.42753042749763598</c:v>
                </c:pt>
                <c:pt idx="212">
                  <c:v>0.42638641456371396</c:v>
                </c:pt>
                <c:pt idx="213">
                  <c:v>0.424117197750981</c:v>
                </c:pt>
                <c:pt idx="214">
                  <c:v>0.42156436807340408</c:v>
                </c:pt>
                <c:pt idx="215">
                  <c:v>0.42096342430954958</c:v>
                </c:pt>
                <c:pt idx="216">
                  <c:v>0.42044421238487883</c:v>
                </c:pt>
                <c:pt idx="217">
                  <c:v>0.41668710700329548</c:v>
                </c:pt>
                <c:pt idx="218">
                  <c:v>0.41651107107027802</c:v>
                </c:pt>
                <c:pt idx="219">
                  <c:v>0.41594340093869303</c:v>
                </c:pt>
                <c:pt idx="220">
                  <c:v>0.41143145557658783</c:v>
                </c:pt>
                <c:pt idx="221">
                  <c:v>0.41130642851518801</c:v>
                </c:pt>
                <c:pt idx="222">
                  <c:v>0.41081047466616899</c:v>
                </c:pt>
                <c:pt idx="223">
                  <c:v>0.41043339828126102</c:v>
                </c:pt>
                <c:pt idx="224">
                  <c:v>0.41012184604528801</c:v>
                </c:pt>
                <c:pt idx="225">
                  <c:v>0.409530251120448</c:v>
                </c:pt>
                <c:pt idx="226">
                  <c:v>0.40810860591009102</c:v>
                </c:pt>
                <c:pt idx="227">
                  <c:v>0.40798919613485801</c:v>
                </c:pt>
                <c:pt idx="228">
                  <c:v>0.40543344060147801</c:v>
                </c:pt>
                <c:pt idx="229">
                  <c:v>0.40426560845233195</c:v>
                </c:pt>
                <c:pt idx="230">
                  <c:v>0.39916287105863901</c:v>
                </c:pt>
                <c:pt idx="231">
                  <c:v>0.3990618748277473</c:v>
                </c:pt>
                <c:pt idx="232">
                  <c:v>0.39878189529201541</c:v>
                </c:pt>
                <c:pt idx="233">
                  <c:v>0.398295744259479</c:v>
                </c:pt>
                <c:pt idx="234">
                  <c:v>0.39758412078555938</c:v>
                </c:pt>
                <c:pt idx="235">
                  <c:v>0.39616298375162906</c:v>
                </c:pt>
                <c:pt idx="236">
                  <c:v>0.39202543571686804</c:v>
                </c:pt>
                <c:pt idx="237">
                  <c:v>0.38992992633411599</c:v>
                </c:pt>
                <c:pt idx="238">
                  <c:v>0.38747067918363148</c:v>
                </c:pt>
                <c:pt idx="239">
                  <c:v>0.38520853861323889</c:v>
                </c:pt>
                <c:pt idx="240">
                  <c:v>0.38480574576646631</c:v>
                </c:pt>
                <c:pt idx="241">
                  <c:v>0.38478049042989027</c:v>
                </c:pt>
                <c:pt idx="242">
                  <c:v>0.38436223959838001</c:v>
                </c:pt>
                <c:pt idx="243">
                  <c:v>0.38219005662998656</c:v>
                </c:pt>
                <c:pt idx="244">
                  <c:v>0.38080470942411193</c:v>
                </c:pt>
                <c:pt idx="245">
                  <c:v>0.3801249295913483</c:v>
                </c:pt>
                <c:pt idx="246">
                  <c:v>0.37887366511410642</c:v>
                </c:pt>
                <c:pt idx="247">
                  <c:v>0.37885176468588772</c:v>
                </c:pt>
                <c:pt idx="248">
                  <c:v>0.37764552702479298</c:v>
                </c:pt>
                <c:pt idx="249">
                  <c:v>0.37627743055712098</c:v>
                </c:pt>
                <c:pt idx="250">
                  <c:v>0.37490440815568399</c:v>
                </c:pt>
                <c:pt idx="251">
                  <c:v>0.37364829199611971</c:v>
                </c:pt>
                <c:pt idx="252">
                  <c:v>0.37075709478378127</c:v>
                </c:pt>
                <c:pt idx="253">
                  <c:v>0.366351061072338</c:v>
                </c:pt>
                <c:pt idx="254">
                  <c:v>0.36576490371189413</c:v>
                </c:pt>
                <c:pt idx="255">
                  <c:v>0.36456464374056602</c:v>
                </c:pt>
                <c:pt idx="256">
                  <c:v>0.36114500653383513</c:v>
                </c:pt>
                <c:pt idx="257">
                  <c:v>0.360560753279692</c:v>
                </c:pt>
                <c:pt idx="258">
                  <c:v>0.36005995165166399</c:v>
                </c:pt>
                <c:pt idx="259">
                  <c:v>0.35856428478526836</c:v>
                </c:pt>
                <c:pt idx="260">
                  <c:v>0.35563622176011389</c:v>
                </c:pt>
                <c:pt idx="261">
                  <c:v>0.35482787556724904</c:v>
                </c:pt>
                <c:pt idx="262">
                  <c:v>0.35424547268207246</c:v>
                </c:pt>
                <c:pt idx="263">
                  <c:v>0.35422004002245</c:v>
                </c:pt>
                <c:pt idx="264">
                  <c:v>0.35339431004908439</c:v>
                </c:pt>
                <c:pt idx="265">
                  <c:v>0.35335469932857266</c:v>
                </c:pt>
                <c:pt idx="266">
                  <c:v>0.35313665636406599</c:v>
                </c:pt>
                <c:pt idx="267">
                  <c:v>0.35212582675761084</c:v>
                </c:pt>
                <c:pt idx="268">
                  <c:v>0.35210395583208859</c:v>
                </c:pt>
                <c:pt idx="269">
                  <c:v>0.34786521623622801</c:v>
                </c:pt>
                <c:pt idx="270">
                  <c:v>0.34754941833566372</c:v>
                </c:pt>
                <c:pt idx="271">
                  <c:v>0.34698656146744072</c:v>
                </c:pt>
                <c:pt idx="272">
                  <c:v>0.34538321188723936</c:v>
                </c:pt>
                <c:pt idx="273">
                  <c:v>0.34480004716505203</c:v>
                </c:pt>
                <c:pt idx="274">
                  <c:v>0.34450961261469804</c:v>
                </c:pt>
                <c:pt idx="275">
                  <c:v>0.34202057631757221</c:v>
                </c:pt>
                <c:pt idx="276">
                  <c:v>0.339662147402856</c:v>
                </c:pt>
                <c:pt idx="277">
                  <c:v>0.3393775494324095</c:v>
                </c:pt>
                <c:pt idx="278">
                  <c:v>0.33932585102914897</c:v>
                </c:pt>
                <c:pt idx="279">
                  <c:v>0.33917521696492781</c:v>
                </c:pt>
                <c:pt idx="280">
                  <c:v>0.33902818095481113</c:v>
                </c:pt>
                <c:pt idx="281">
                  <c:v>0.33703937703320602</c:v>
                </c:pt>
                <c:pt idx="282">
                  <c:v>0.33322578788018387</c:v>
                </c:pt>
                <c:pt idx="283">
                  <c:v>0.33106822054906104</c:v>
                </c:pt>
                <c:pt idx="284">
                  <c:v>0.32830510350946096</c:v>
                </c:pt>
                <c:pt idx="285">
                  <c:v>0.32665919789036602</c:v>
                </c:pt>
                <c:pt idx="286">
                  <c:v>0.32588476754481499</c:v>
                </c:pt>
                <c:pt idx="287">
                  <c:v>0.32581259508937804</c:v>
                </c:pt>
                <c:pt idx="288">
                  <c:v>0.32571057440998818</c:v>
                </c:pt>
                <c:pt idx="289">
                  <c:v>0.32551078355588398</c:v>
                </c:pt>
                <c:pt idx="290">
                  <c:v>0.3250604293877557</c:v>
                </c:pt>
                <c:pt idx="291">
                  <c:v>0.32279800151310711</c:v>
                </c:pt>
                <c:pt idx="292">
                  <c:v>0.31959785983462952</c:v>
                </c:pt>
                <c:pt idx="293">
                  <c:v>0.31854306806438404</c:v>
                </c:pt>
                <c:pt idx="294">
                  <c:v>0.31363429826096523</c:v>
                </c:pt>
                <c:pt idx="295">
                  <c:v>0.31197106929569951</c:v>
                </c:pt>
                <c:pt idx="296">
                  <c:v>0.31083373283704696</c:v>
                </c:pt>
                <c:pt idx="297">
                  <c:v>0.30993222983454288</c:v>
                </c:pt>
                <c:pt idx="298">
                  <c:v>0.309761017203663</c:v>
                </c:pt>
                <c:pt idx="299">
                  <c:v>0.3095817256442791</c:v>
                </c:pt>
                <c:pt idx="300">
                  <c:v>0.30948632734326997</c:v>
                </c:pt>
                <c:pt idx="301">
                  <c:v>0.30928498322617198</c:v>
                </c:pt>
                <c:pt idx="302">
                  <c:v>0.307474827433947</c:v>
                </c:pt>
                <c:pt idx="303">
                  <c:v>0.30694955525209622</c:v>
                </c:pt>
                <c:pt idx="304">
                  <c:v>0.30512079652379798</c:v>
                </c:pt>
                <c:pt idx="305">
                  <c:v>0.30469191421744801</c:v>
                </c:pt>
                <c:pt idx="306">
                  <c:v>0.30465879880320329</c:v>
                </c:pt>
                <c:pt idx="307">
                  <c:v>0.304171886925581</c:v>
                </c:pt>
                <c:pt idx="308">
                  <c:v>0.30266636914997852</c:v>
                </c:pt>
                <c:pt idx="309">
                  <c:v>0.30076193149040598</c:v>
                </c:pt>
                <c:pt idx="310">
                  <c:v>0.30006332789388201</c:v>
                </c:pt>
                <c:pt idx="311">
                  <c:v>0.29887356418324301</c:v>
                </c:pt>
                <c:pt idx="312">
                  <c:v>0.29828975123196433</c:v>
                </c:pt>
                <c:pt idx="313">
                  <c:v>0.29760248141042883</c:v>
                </c:pt>
                <c:pt idx="314">
                  <c:v>0.296625854262064</c:v>
                </c:pt>
                <c:pt idx="315">
                  <c:v>0.29191958891547753</c:v>
                </c:pt>
                <c:pt idx="316">
                  <c:v>0.2908493756504425</c:v>
                </c:pt>
                <c:pt idx="317">
                  <c:v>0.29083105323700797</c:v>
                </c:pt>
                <c:pt idx="318">
                  <c:v>0.29011624659534502</c:v>
                </c:pt>
                <c:pt idx="319">
                  <c:v>0.28928902965234715</c:v>
                </c:pt>
                <c:pt idx="320">
                  <c:v>0.28873232022503598</c:v>
                </c:pt>
                <c:pt idx="321">
                  <c:v>0.28862617673479529</c:v>
                </c:pt>
                <c:pt idx="322">
                  <c:v>0.28859511498004198</c:v>
                </c:pt>
                <c:pt idx="323">
                  <c:v>0.28648376463220199</c:v>
                </c:pt>
                <c:pt idx="324">
                  <c:v>0.28567964772018395</c:v>
                </c:pt>
                <c:pt idx="325">
                  <c:v>0.28542715051864198</c:v>
                </c:pt>
                <c:pt idx="326">
                  <c:v>0.28497426308286389</c:v>
                </c:pt>
                <c:pt idx="327">
                  <c:v>0.284256700361116</c:v>
                </c:pt>
                <c:pt idx="328">
                  <c:v>0.28401911253351603</c:v>
                </c:pt>
                <c:pt idx="329">
                  <c:v>0.28342516569255499</c:v>
                </c:pt>
                <c:pt idx="330">
                  <c:v>0.28097194013579502</c:v>
                </c:pt>
                <c:pt idx="331">
                  <c:v>0.27816902315058101</c:v>
                </c:pt>
                <c:pt idx="332">
                  <c:v>0.27719569021598589</c:v>
                </c:pt>
                <c:pt idx="333">
                  <c:v>0.2770681541525048</c:v>
                </c:pt>
                <c:pt idx="334">
                  <c:v>0.27635914136024947</c:v>
                </c:pt>
                <c:pt idx="335">
                  <c:v>0.27477523794575698</c:v>
                </c:pt>
                <c:pt idx="336">
                  <c:v>0.27330168366207402</c:v>
                </c:pt>
                <c:pt idx="337">
                  <c:v>0.270631229472859</c:v>
                </c:pt>
                <c:pt idx="338">
                  <c:v>0.26717829288029099</c:v>
                </c:pt>
                <c:pt idx="339">
                  <c:v>0.26587834621519102</c:v>
                </c:pt>
                <c:pt idx="340">
                  <c:v>0.26507731657856748</c:v>
                </c:pt>
                <c:pt idx="341">
                  <c:v>0.26480122684993801</c:v>
                </c:pt>
                <c:pt idx="342">
                  <c:v>0.26284933324646581</c:v>
                </c:pt>
                <c:pt idx="343">
                  <c:v>0.26226986206662001</c:v>
                </c:pt>
                <c:pt idx="344">
                  <c:v>0.26222676163081099</c:v>
                </c:pt>
                <c:pt idx="345">
                  <c:v>0.26154221551942014</c:v>
                </c:pt>
                <c:pt idx="346">
                  <c:v>0.25995163401928567</c:v>
                </c:pt>
                <c:pt idx="347">
                  <c:v>0.25936976796455352</c:v>
                </c:pt>
                <c:pt idx="348">
                  <c:v>0.25891260761887108</c:v>
                </c:pt>
                <c:pt idx="349">
                  <c:v>0.25858667288827897</c:v>
                </c:pt>
                <c:pt idx="350">
                  <c:v>0.25806209708335903</c:v>
                </c:pt>
                <c:pt idx="351">
                  <c:v>0.25530736887437139</c:v>
                </c:pt>
                <c:pt idx="352">
                  <c:v>0.25336230987698399</c:v>
                </c:pt>
                <c:pt idx="353">
                  <c:v>0.25280326249962398</c:v>
                </c:pt>
                <c:pt idx="354">
                  <c:v>0.25230457359087449</c:v>
                </c:pt>
                <c:pt idx="355">
                  <c:v>0.251660582759413</c:v>
                </c:pt>
                <c:pt idx="356">
                  <c:v>0.25067951329239369</c:v>
                </c:pt>
                <c:pt idx="357">
                  <c:v>0.24797628155419849</c:v>
                </c:pt>
                <c:pt idx="358">
                  <c:v>0.24641349535129559</c:v>
                </c:pt>
                <c:pt idx="359">
                  <c:v>0.2461069955656604</c:v>
                </c:pt>
                <c:pt idx="360">
                  <c:v>0.24523476652224202</c:v>
                </c:pt>
                <c:pt idx="361">
                  <c:v>0.242334112542687</c:v>
                </c:pt>
                <c:pt idx="362">
                  <c:v>0.24224376382677942</c:v>
                </c:pt>
                <c:pt idx="363">
                  <c:v>0.23788379195559728</c:v>
                </c:pt>
                <c:pt idx="364">
                  <c:v>0.23707423057005722</c:v>
                </c:pt>
                <c:pt idx="365">
                  <c:v>0.236549355245121</c:v>
                </c:pt>
                <c:pt idx="366">
                  <c:v>0.23144098021301718</c:v>
                </c:pt>
                <c:pt idx="367">
                  <c:v>0.23090474904109429</c:v>
                </c:pt>
                <c:pt idx="368">
                  <c:v>0.22489824985329498</c:v>
                </c:pt>
                <c:pt idx="369">
                  <c:v>0.22298386583192231</c:v>
                </c:pt>
                <c:pt idx="370">
                  <c:v>0.21941946397697062</c:v>
                </c:pt>
                <c:pt idx="371">
                  <c:v>0.21704647726408099</c:v>
                </c:pt>
                <c:pt idx="372">
                  <c:v>0.2170201285508401</c:v>
                </c:pt>
                <c:pt idx="373">
                  <c:v>0.213864750819491</c:v>
                </c:pt>
                <c:pt idx="374">
                  <c:v>0.213296403376984</c:v>
                </c:pt>
                <c:pt idx="375">
                  <c:v>0.21234777360137</c:v>
                </c:pt>
                <c:pt idx="376">
                  <c:v>0.21130935058630629</c:v>
                </c:pt>
                <c:pt idx="377">
                  <c:v>0.209487773456246</c:v>
                </c:pt>
                <c:pt idx="378">
                  <c:v>0.2084035039485892</c:v>
                </c:pt>
                <c:pt idx="379">
                  <c:v>0.20673382166586809</c:v>
                </c:pt>
                <c:pt idx="380">
                  <c:v>0.20612645205314301</c:v>
                </c:pt>
                <c:pt idx="381">
                  <c:v>0.2037648891680465</c:v>
                </c:pt>
                <c:pt idx="382">
                  <c:v>0.20313634907867539</c:v>
                </c:pt>
                <c:pt idx="383">
                  <c:v>0.202587695977205</c:v>
                </c:pt>
                <c:pt idx="384">
                  <c:v>0.20176060816066288</c:v>
                </c:pt>
                <c:pt idx="385">
                  <c:v>0.20091866680826601</c:v>
                </c:pt>
                <c:pt idx="386">
                  <c:v>0.19994826296866999</c:v>
                </c:pt>
                <c:pt idx="387">
                  <c:v>0.19964771956555089</c:v>
                </c:pt>
                <c:pt idx="388">
                  <c:v>0.19925786310087101</c:v>
                </c:pt>
                <c:pt idx="389">
                  <c:v>0.19605576358683119</c:v>
                </c:pt>
                <c:pt idx="390">
                  <c:v>0.1943278597042177</c:v>
                </c:pt>
                <c:pt idx="391">
                  <c:v>0.19333390488212299</c:v>
                </c:pt>
                <c:pt idx="392">
                  <c:v>0.1932775899398621</c:v>
                </c:pt>
                <c:pt idx="393">
                  <c:v>0.19152899280164301</c:v>
                </c:pt>
                <c:pt idx="394">
                  <c:v>0.18849096899163398</c:v>
                </c:pt>
                <c:pt idx="395">
                  <c:v>0.187987251583391</c:v>
                </c:pt>
                <c:pt idx="396">
                  <c:v>0.18653602130746499</c:v>
                </c:pt>
                <c:pt idx="397">
                  <c:v>0.18589756527009599</c:v>
                </c:pt>
                <c:pt idx="398">
                  <c:v>0.18536041311483092</c:v>
                </c:pt>
                <c:pt idx="399">
                  <c:v>0.18416992922611791</c:v>
                </c:pt>
                <c:pt idx="400">
                  <c:v>0.18320105550049001</c:v>
                </c:pt>
                <c:pt idx="401">
                  <c:v>0.182909740627312</c:v>
                </c:pt>
                <c:pt idx="402">
                  <c:v>0.18038551729983071</c:v>
                </c:pt>
                <c:pt idx="403">
                  <c:v>0.17960931300275232</c:v>
                </c:pt>
                <c:pt idx="404">
                  <c:v>0.17648725946819299</c:v>
                </c:pt>
                <c:pt idx="405">
                  <c:v>0.17217277065238201</c:v>
                </c:pt>
                <c:pt idx="406">
                  <c:v>0.17169908677828899</c:v>
                </c:pt>
                <c:pt idx="407">
                  <c:v>0.16863921311384922</c:v>
                </c:pt>
                <c:pt idx="408">
                  <c:v>0.163256581969033</c:v>
                </c:pt>
                <c:pt idx="409">
                  <c:v>0.16261472842333499</c:v>
                </c:pt>
                <c:pt idx="410">
                  <c:v>0.16255260990680082</c:v>
                </c:pt>
                <c:pt idx="411">
                  <c:v>0.15915206418130701</c:v>
                </c:pt>
                <c:pt idx="412">
                  <c:v>0.15689731181883901</c:v>
                </c:pt>
                <c:pt idx="413">
                  <c:v>0.15514228284203629</c:v>
                </c:pt>
                <c:pt idx="414">
                  <c:v>0.14957146980283401</c:v>
                </c:pt>
                <c:pt idx="415">
                  <c:v>0.14935801878229271</c:v>
                </c:pt>
                <c:pt idx="416">
                  <c:v>0.14886614574216112</c:v>
                </c:pt>
                <c:pt idx="417">
                  <c:v>0.148765841880794</c:v>
                </c:pt>
                <c:pt idx="418">
                  <c:v>0.14497959347936501</c:v>
                </c:pt>
                <c:pt idx="419">
                  <c:v>0.14266803373354731</c:v>
                </c:pt>
                <c:pt idx="420">
                  <c:v>0.140733597669355</c:v>
                </c:pt>
                <c:pt idx="421">
                  <c:v>0.1381908196855379</c:v>
                </c:pt>
                <c:pt idx="422">
                  <c:v>0.13434926768798899</c:v>
                </c:pt>
                <c:pt idx="423">
                  <c:v>0.133284229339204</c:v>
                </c:pt>
                <c:pt idx="424">
                  <c:v>0.12849942292456801</c:v>
                </c:pt>
                <c:pt idx="425">
                  <c:v>0.126966797117326</c:v>
                </c:pt>
                <c:pt idx="426">
                  <c:v>0.12679286937901299</c:v>
                </c:pt>
                <c:pt idx="427">
                  <c:v>0.12607579115230988</c:v>
                </c:pt>
                <c:pt idx="428">
                  <c:v>0.124117824552295</c:v>
                </c:pt>
                <c:pt idx="429">
                  <c:v>0.12150718637851</c:v>
                </c:pt>
                <c:pt idx="430">
                  <c:v>0.12128868058079</c:v>
                </c:pt>
                <c:pt idx="431">
                  <c:v>0.12079109155217191</c:v>
                </c:pt>
                <c:pt idx="432">
                  <c:v>0.119344099873414</c:v>
                </c:pt>
                <c:pt idx="433">
                  <c:v>0.11862403607328011</c:v>
                </c:pt>
                <c:pt idx="434">
                  <c:v>0.11810740041798801</c:v>
                </c:pt>
                <c:pt idx="435">
                  <c:v>0.116884159656395</c:v>
                </c:pt>
                <c:pt idx="436">
                  <c:v>0.115320008325875</c:v>
                </c:pt>
                <c:pt idx="437">
                  <c:v>0.11006336695574911</c:v>
                </c:pt>
                <c:pt idx="438">
                  <c:v>0.1086057793760245</c:v>
                </c:pt>
                <c:pt idx="439">
                  <c:v>0.101236821811999</c:v>
                </c:pt>
                <c:pt idx="440">
                  <c:v>9.9870307406606101E-2</c:v>
                </c:pt>
                <c:pt idx="441">
                  <c:v>9.9580936557146102E-2</c:v>
                </c:pt>
                <c:pt idx="442">
                  <c:v>9.9402818561252299E-2</c:v>
                </c:pt>
                <c:pt idx="443">
                  <c:v>9.8717662435871295E-2</c:v>
                </c:pt>
              </c:numCache>
            </c:numRef>
          </c:xVal>
          <c:yVal>
            <c:numRef>
              <c:f>PolicyLossCDF!$C$2:$C$445</c:f>
              <c:numCache>
                <c:formatCode>General</c:formatCode>
                <c:ptCount val="444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  <c:pt idx="26">
                  <c:v>0.94799999999999995</c:v>
                </c:pt>
                <c:pt idx="27">
                  <c:v>0.94599999999999995</c:v>
                </c:pt>
                <c:pt idx="28">
                  <c:v>0.94399999999999995</c:v>
                </c:pt>
                <c:pt idx="29">
                  <c:v>0.94199999999999995</c:v>
                </c:pt>
                <c:pt idx="30">
                  <c:v>0.94</c:v>
                </c:pt>
                <c:pt idx="31">
                  <c:v>0.93799999999999994</c:v>
                </c:pt>
                <c:pt idx="32">
                  <c:v>0.93600000000000005</c:v>
                </c:pt>
                <c:pt idx="33">
                  <c:v>0.93400000000000005</c:v>
                </c:pt>
                <c:pt idx="34">
                  <c:v>0.93200000000000005</c:v>
                </c:pt>
                <c:pt idx="35">
                  <c:v>0.93</c:v>
                </c:pt>
                <c:pt idx="36">
                  <c:v>0.92800000000000005</c:v>
                </c:pt>
                <c:pt idx="37">
                  <c:v>0.92600000000000005</c:v>
                </c:pt>
                <c:pt idx="38">
                  <c:v>0.92400000000000004</c:v>
                </c:pt>
                <c:pt idx="39">
                  <c:v>0.92200000000000004</c:v>
                </c:pt>
                <c:pt idx="40">
                  <c:v>0.92</c:v>
                </c:pt>
                <c:pt idx="41">
                  <c:v>0.91800000000000004</c:v>
                </c:pt>
                <c:pt idx="42">
                  <c:v>0.91600000000000004</c:v>
                </c:pt>
                <c:pt idx="43">
                  <c:v>0.91400000000000003</c:v>
                </c:pt>
                <c:pt idx="44">
                  <c:v>0.91200000000000003</c:v>
                </c:pt>
                <c:pt idx="45">
                  <c:v>0.91</c:v>
                </c:pt>
                <c:pt idx="46">
                  <c:v>0.90800000000000003</c:v>
                </c:pt>
                <c:pt idx="47">
                  <c:v>0.90600000000000003</c:v>
                </c:pt>
                <c:pt idx="48">
                  <c:v>0.90400000000000003</c:v>
                </c:pt>
                <c:pt idx="49">
                  <c:v>0.90200000000000002</c:v>
                </c:pt>
                <c:pt idx="50">
                  <c:v>0.9</c:v>
                </c:pt>
                <c:pt idx="51">
                  <c:v>0.89800000000000002</c:v>
                </c:pt>
                <c:pt idx="52">
                  <c:v>0.89600000000000002</c:v>
                </c:pt>
                <c:pt idx="53">
                  <c:v>0.89400000000000002</c:v>
                </c:pt>
                <c:pt idx="54">
                  <c:v>0.89200000000000002</c:v>
                </c:pt>
                <c:pt idx="55">
                  <c:v>0.89</c:v>
                </c:pt>
                <c:pt idx="56">
                  <c:v>0.88800000000000001</c:v>
                </c:pt>
                <c:pt idx="57">
                  <c:v>0.88600000000000001</c:v>
                </c:pt>
                <c:pt idx="58">
                  <c:v>0.88400000000000001</c:v>
                </c:pt>
                <c:pt idx="59">
                  <c:v>0.88200000000000001</c:v>
                </c:pt>
                <c:pt idx="60">
                  <c:v>0.88</c:v>
                </c:pt>
                <c:pt idx="61">
                  <c:v>0.878</c:v>
                </c:pt>
                <c:pt idx="62">
                  <c:v>0.876</c:v>
                </c:pt>
                <c:pt idx="63">
                  <c:v>0.874</c:v>
                </c:pt>
                <c:pt idx="64">
                  <c:v>0.872</c:v>
                </c:pt>
                <c:pt idx="65">
                  <c:v>0.87</c:v>
                </c:pt>
                <c:pt idx="66">
                  <c:v>0.86799999999999999</c:v>
                </c:pt>
                <c:pt idx="67">
                  <c:v>0.86599999999999999</c:v>
                </c:pt>
                <c:pt idx="68">
                  <c:v>0.86399999999999999</c:v>
                </c:pt>
                <c:pt idx="69">
                  <c:v>0.86199999999999999</c:v>
                </c:pt>
                <c:pt idx="70">
                  <c:v>0.86</c:v>
                </c:pt>
                <c:pt idx="71">
                  <c:v>0.85799999999999998</c:v>
                </c:pt>
                <c:pt idx="72">
                  <c:v>0.85599999999999998</c:v>
                </c:pt>
                <c:pt idx="73">
                  <c:v>0.85399999999999998</c:v>
                </c:pt>
                <c:pt idx="74">
                  <c:v>0.85199999999999998</c:v>
                </c:pt>
                <c:pt idx="75">
                  <c:v>0.85</c:v>
                </c:pt>
                <c:pt idx="76">
                  <c:v>0.84799999999999998</c:v>
                </c:pt>
                <c:pt idx="77">
                  <c:v>0.84599999999999997</c:v>
                </c:pt>
                <c:pt idx="78">
                  <c:v>0.84399999999999997</c:v>
                </c:pt>
                <c:pt idx="79">
                  <c:v>0.84199999999999997</c:v>
                </c:pt>
                <c:pt idx="80">
                  <c:v>0.84</c:v>
                </c:pt>
                <c:pt idx="81">
                  <c:v>0.83799999999999997</c:v>
                </c:pt>
                <c:pt idx="82">
                  <c:v>0.83599999999999997</c:v>
                </c:pt>
                <c:pt idx="83">
                  <c:v>0.83399999999999996</c:v>
                </c:pt>
                <c:pt idx="84">
                  <c:v>0.83199999999999996</c:v>
                </c:pt>
                <c:pt idx="85">
                  <c:v>0.83</c:v>
                </c:pt>
                <c:pt idx="86">
                  <c:v>0.82799999999999996</c:v>
                </c:pt>
                <c:pt idx="87">
                  <c:v>0.82599999999999996</c:v>
                </c:pt>
                <c:pt idx="88">
                  <c:v>0.82399999999999995</c:v>
                </c:pt>
                <c:pt idx="89">
                  <c:v>0.82199999999999995</c:v>
                </c:pt>
                <c:pt idx="90">
                  <c:v>0.82</c:v>
                </c:pt>
                <c:pt idx="91">
                  <c:v>0.81799999999999995</c:v>
                </c:pt>
                <c:pt idx="92">
                  <c:v>0.81599999999999995</c:v>
                </c:pt>
                <c:pt idx="93">
                  <c:v>0.81399999999999995</c:v>
                </c:pt>
                <c:pt idx="94">
                  <c:v>0.81200000000000006</c:v>
                </c:pt>
                <c:pt idx="95">
                  <c:v>0.81</c:v>
                </c:pt>
                <c:pt idx="96">
                  <c:v>0.80800000000000005</c:v>
                </c:pt>
                <c:pt idx="97">
                  <c:v>0.80600000000000005</c:v>
                </c:pt>
                <c:pt idx="98">
                  <c:v>0.80400000000000005</c:v>
                </c:pt>
                <c:pt idx="99">
                  <c:v>0.80200000000000005</c:v>
                </c:pt>
                <c:pt idx="100">
                  <c:v>0.8</c:v>
                </c:pt>
                <c:pt idx="101">
                  <c:v>0.79800000000000004</c:v>
                </c:pt>
                <c:pt idx="102">
                  <c:v>0.79600000000000004</c:v>
                </c:pt>
                <c:pt idx="103">
                  <c:v>0.79400000000000004</c:v>
                </c:pt>
                <c:pt idx="104">
                  <c:v>0.79200000000000004</c:v>
                </c:pt>
                <c:pt idx="105">
                  <c:v>0.79</c:v>
                </c:pt>
                <c:pt idx="106">
                  <c:v>0.78800000000000003</c:v>
                </c:pt>
                <c:pt idx="107">
                  <c:v>0.78600000000000003</c:v>
                </c:pt>
                <c:pt idx="108">
                  <c:v>0.78400000000000003</c:v>
                </c:pt>
                <c:pt idx="109">
                  <c:v>0.78200000000000003</c:v>
                </c:pt>
                <c:pt idx="110">
                  <c:v>0.78</c:v>
                </c:pt>
                <c:pt idx="111">
                  <c:v>0.77800000000000002</c:v>
                </c:pt>
                <c:pt idx="112">
                  <c:v>0.77600000000000002</c:v>
                </c:pt>
                <c:pt idx="113">
                  <c:v>0.77400000000000002</c:v>
                </c:pt>
                <c:pt idx="114">
                  <c:v>0.77200000000000002</c:v>
                </c:pt>
                <c:pt idx="115">
                  <c:v>0.77</c:v>
                </c:pt>
                <c:pt idx="116">
                  <c:v>0.76800000000000002</c:v>
                </c:pt>
                <c:pt idx="117">
                  <c:v>0.76600000000000001</c:v>
                </c:pt>
                <c:pt idx="118">
                  <c:v>0.76400000000000001</c:v>
                </c:pt>
                <c:pt idx="119">
                  <c:v>0.76200000000000001</c:v>
                </c:pt>
                <c:pt idx="120">
                  <c:v>0.76</c:v>
                </c:pt>
                <c:pt idx="121">
                  <c:v>0.75800000000000001</c:v>
                </c:pt>
                <c:pt idx="122">
                  <c:v>0.75600000000000001</c:v>
                </c:pt>
                <c:pt idx="123">
                  <c:v>0.754</c:v>
                </c:pt>
                <c:pt idx="124">
                  <c:v>0.752</c:v>
                </c:pt>
                <c:pt idx="125">
                  <c:v>0.75</c:v>
                </c:pt>
                <c:pt idx="126">
                  <c:v>0.748</c:v>
                </c:pt>
                <c:pt idx="127">
                  <c:v>0.746</c:v>
                </c:pt>
                <c:pt idx="128">
                  <c:v>0.74399999999999999</c:v>
                </c:pt>
                <c:pt idx="129">
                  <c:v>0.74199999999999999</c:v>
                </c:pt>
                <c:pt idx="130">
                  <c:v>0.74</c:v>
                </c:pt>
                <c:pt idx="131">
                  <c:v>0.73799999999999999</c:v>
                </c:pt>
                <c:pt idx="132">
                  <c:v>0.73599999999999999</c:v>
                </c:pt>
                <c:pt idx="133">
                  <c:v>0.73399999999999999</c:v>
                </c:pt>
                <c:pt idx="134">
                  <c:v>0.73199999999999998</c:v>
                </c:pt>
                <c:pt idx="135">
                  <c:v>0.73</c:v>
                </c:pt>
                <c:pt idx="136">
                  <c:v>0.72799999999999998</c:v>
                </c:pt>
                <c:pt idx="137">
                  <c:v>0.72599999999999998</c:v>
                </c:pt>
                <c:pt idx="138">
                  <c:v>0.72399999999999998</c:v>
                </c:pt>
                <c:pt idx="139">
                  <c:v>0.72199999999999998</c:v>
                </c:pt>
                <c:pt idx="140">
                  <c:v>0.72</c:v>
                </c:pt>
                <c:pt idx="141">
                  <c:v>0.71799999999999997</c:v>
                </c:pt>
                <c:pt idx="142">
                  <c:v>0.71599999999999997</c:v>
                </c:pt>
                <c:pt idx="143">
                  <c:v>0.71399999999999997</c:v>
                </c:pt>
                <c:pt idx="144">
                  <c:v>0.71199999999999997</c:v>
                </c:pt>
                <c:pt idx="145">
                  <c:v>0.71</c:v>
                </c:pt>
                <c:pt idx="146">
                  <c:v>0.70799999999999996</c:v>
                </c:pt>
                <c:pt idx="147">
                  <c:v>0.70599999999999996</c:v>
                </c:pt>
                <c:pt idx="148">
                  <c:v>0.70399999999999996</c:v>
                </c:pt>
                <c:pt idx="149">
                  <c:v>0.70199999999999996</c:v>
                </c:pt>
                <c:pt idx="150">
                  <c:v>0.7</c:v>
                </c:pt>
                <c:pt idx="151">
                  <c:v>0.69799999999999995</c:v>
                </c:pt>
                <c:pt idx="152">
                  <c:v>0.69599999999999995</c:v>
                </c:pt>
                <c:pt idx="153">
                  <c:v>0.69399999999999995</c:v>
                </c:pt>
                <c:pt idx="154">
                  <c:v>0.69199999999999995</c:v>
                </c:pt>
                <c:pt idx="155">
                  <c:v>0.69</c:v>
                </c:pt>
                <c:pt idx="156">
                  <c:v>0.68799999999999994</c:v>
                </c:pt>
                <c:pt idx="157">
                  <c:v>0.68600000000000005</c:v>
                </c:pt>
                <c:pt idx="158">
                  <c:v>0.68400000000000005</c:v>
                </c:pt>
                <c:pt idx="159">
                  <c:v>0.68200000000000005</c:v>
                </c:pt>
                <c:pt idx="160">
                  <c:v>0.68</c:v>
                </c:pt>
                <c:pt idx="161">
                  <c:v>0.67800000000000005</c:v>
                </c:pt>
                <c:pt idx="162">
                  <c:v>0.67600000000000005</c:v>
                </c:pt>
                <c:pt idx="163">
                  <c:v>0.67400000000000004</c:v>
                </c:pt>
                <c:pt idx="164">
                  <c:v>0.67200000000000004</c:v>
                </c:pt>
                <c:pt idx="165">
                  <c:v>0.67</c:v>
                </c:pt>
                <c:pt idx="166">
                  <c:v>0.66800000000000004</c:v>
                </c:pt>
                <c:pt idx="167">
                  <c:v>0.66600000000000004</c:v>
                </c:pt>
                <c:pt idx="168">
                  <c:v>0.66400000000000003</c:v>
                </c:pt>
                <c:pt idx="169">
                  <c:v>0.66200000000000003</c:v>
                </c:pt>
                <c:pt idx="170">
                  <c:v>0.66</c:v>
                </c:pt>
                <c:pt idx="171">
                  <c:v>0.65800000000000003</c:v>
                </c:pt>
                <c:pt idx="172">
                  <c:v>0.65600000000000003</c:v>
                </c:pt>
                <c:pt idx="173">
                  <c:v>0.65400000000000003</c:v>
                </c:pt>
                <c:pt idx="174">
                  <c:v>0.65200000000000002</c:v>
                </c:pt>
                <c:pt idx="175">
                  <c:v>0.65</c:v>
                </c:pt>
                <c:pt idx="176">
                  <c:v>0.64800000000000002</c:v>
                </c:pt>
                <c:pt idx="177">
                  <c:v>0.64600000000000002</c:v>
                </c:pt>
                <c:pt idx="178">
                  <c:v>0.64400000000000002</c:v>
                </c:pt>
                <c:pt idx="179">
                  <c:v>0.64200000000000002</c:v>
                </c:pt>
                <c:pt idx="180">
                  <c:v>0.64</c:v>
                </c:pt>
                <c:pt idx="181">
                  <c:v>0.63800000000000001</c:v>
                </c:pt>
                <c:pt idx="182">
                  <c:v>0.63600000000000001</c:v>
                </c:pt>
                <c:pt idx="183">
                  <c:v>0.63400000000000001</c:v>
                </c:pt>
                <c:pt idx="184">
                  <c:v>0.63200000000000001</c:v>
                </c:pt>
                <c:pt idx="185">
                  <c:v>0.63</c:v>
                </c:pt>
                <c:pt idx="186">
                  <c:v>0.628</c:v>
                </c:pt>
                <c:pt idx="187">
                  <c:v>0.626</c:v>
                </c:pt>
                <c:pt idx="188">
                  <c:v>0.624</c:v>
                </c:pt>
                <c:pt idx="189">
                  <c:v>0.622</c:v>
                </c:pt>
                <c:pt idx="190">
                  <c:v>0.62</c:v>
                </c:pt>
                <c:pt idx="191">
                  <c:v>0.61799999999999999</c:v>
                </c:pt>
                <c:pt idx="192">
                  <c:v>0.61599999999999999</c:v>
                </c:pt>
                <c:pt idx="193">
                  <c:v>0.61399999999999999</c:v>
                </c:pt>
                <c:pt idx="194">
                  <c:v>0.61199999999999999</c:v>
                </c:pt>
                <c:pt idx="195">
                  <c:v>0.61</c:v>
                </c:pt>
                <c:pt idx="196">
                  <c:v>0.60799999999999998</c:v>
                </c:pt>
                <c:pt idx="197">
                  <c:v>0.60599999999999998</c:v>
                </c:pt>
                <c:pt idx="198">
                  <c:v>0.60399999999999998</c:v>
                </c:pt>
                <c:pt idx="199">
                  <c:v>0.60199999999999998</c:v>
                </c:pt>
                <c:pt idx="200">
                  <c:v>0.6</c:v>
                </c:pt>
                <c:pt idx="201">
                  <c:v>0.59799999999999998</c:v>
                </c:pt>
                <c:pt idx="202">
                  <c:v>0.59599999999999997</c:v>
                </c:pt>
                <c:pt idx="203">
                  <c:v>0.59399999999999997</c:v>
                </c:pt>
                <c:pt idx="204">
                  <c:v>0.59199999999999997</c:v>
                </c:pt>
                <c:pt idx="205">
                  <c:v>0.59</c:v>
                </c:pt>
                <c:pt idx="206">
                  <c:v>0.58799999999999997</c:v>
                </c:pt>
                <c:pt idx="207">
                  <c:v>0.58599999999999997</c:v>
                </c:pt>
                <c:pt idx="208">
                  <c:v>0.58399999999999996</c:v>
                </c:pt>
                <c:pt idx="209">
                  <c:v>0.58199999999999996</c:v>
                </c:pt>
                <c:pt idx="210">
                  <c:v>0.57999999999999996</c:v>
                </c:pt>
                <c:pt idx="211">
                  <c:v>0.57799999999999996</c:v>
                </c:pt>
                <c:pt idx="212">
                  <c:v>0.57599999999999996</c:v>
                </c:pt>
                <c:pt idx="213">
                  <c:v>0.57399999999999995</c:v>
                </c:pt>
                <c:pt idx="214">
                  <c:v>0.57199999999999995</c:v>
                </c:pt>
                <c:pt idx="215">
                  <c:v>0.56999999999999995</c:v>
                </c:pt>
                <c:pt idx="216">
                  <c:v>0.56799999999999995</c:v>
                </c:pt>
                <c:pt idx="217">
                  <c:v>0.56599999999999995</c:v>
                </c:pt>
                <c:pt idx="218">
                  <c:v>0.56399999999999995</c:v>
                </c:pt>
                <c:pt idx="219">
                  <c:v>0.56200000000000006</c:v>
                </c:pt>
                <c:pt idx="220">
                  <c:v>0.56000000000000005</c:v>
                </c:pt>
                <c:pt idx="221">
                  <c:v>0.55800000000000005</c:v>
                </c:pt>
                <c:pt idx="222">
                  <c:v>0.55600000000000005</c:v>
                </c:pt>
                <c:pt idx="223">
                  <c:v>0.55400000000000005</c:v>
                </c:pt>
                <c:pt idx="224">
                  <c:v>0.55200000000000005</c:v>
                </c:pt>
                <c:pt idx="225">
                  <c:v>0.55000000000000004</c:v>
                </c:pt>
                <c:pt idx="226">
                  <c:v>0.54800000000000004</c:v>
                </c:pt>
                <c:pt idx="227">
                  <c:v>0.54600000000000004</c:v>
                </c:pt>
                <c:pt idx="228">
                  <c:v>0.54400000000000004</c:v>
                </c:pt>
                <c:pt idx="229">
                  <c:v>0.54200000000000004</c:v>
                </c:pt>
                <c:pt idx="230">
                  <c:v>0.54</c:v>
                </c:pt>
                <c:pt idx="231">
                  <c:v>0.53800000000000003</c:v>
                </c:pt>
                <c:pt idx="232">
                  <c:v>0.53600000000000003</c:v>
                </c:pt>
                <c:pt idx="233">
                  <c:v>0.53400000000000003</c:v>
                </c:pt>
                <c:pt idx="234">
                  <c:v>0.53200000000000003</c:v>
                </c:pt>
                <c:pt idx="235">
                  <c:v>0.53</c:v>
                </c:pt>
                <c:pt idx="236">
                  <c:v>0.52800000000000002</c:v>
                </c:pt>
                <c:pt idx="237">
                  <c:v>0.52600000000000002</c:v>
                </c:pt>
                <c:pt idx="238">
                  <c:v>0.52400000000000002</c:v>
                </c:pt>
                <c:pt idx="239">
                  <c:v>0.52200000000000002</c:v>
                </c:pt>
                <c:pt idx="240">
                  <c:v>0.52</c:v>
                </c:pt>
                <c:pt idx="241">
                  <c:v>0.51800000000000002</c:v>
                </c:pt>
                <c:pt idx="242">
                  <c:v>0.51600000000000001</c:v>
                </c:pt>
                <c:pt idx="243">
                  <c:v>0.51400000000000001</c:v>
                </c:pt>
                <c:pt idx="244">
                  <c:v>0.51200000000000001</c:v>
                </c:pt>
                <c:pt idx="245">
                  <c:v>0.51</c:v>
                </c:pt>
                <c:pt idx="246">
                  <c:v>0.50800000000000001</c:v>
                </c:pt>
                <c:pt idx="247">
                  <c:v>0.50600000000000001</c:v>
                </c:pt>
                <c:pt idx="248">
                  <c:v>0.504</c:v>
                </c:pt>
                <c:pt idx="249">
                  <c:v>0.502</c:v>
                </c:pt>
                <c:pt idx="250">
                  <c:v>0.5</c:v>
                </c:pt>
                <c:pt idx="251">
                  <c:v>0.498</c:v>
                </c:pt>
                <c:pt idx="252">
                  <c:v>0.496</c:v>
                </c:pt>
                <c:pt idx="253">
                  <c:v>0.49399999999999999</c:v>
                </c:pt>
                <c:pt idx="254">
                  <c:v>0.49199999999999999</c:v>
                </c:pt>
                <c:pt idx="255">
                  <c:v>0.49</c:v>
                </c:pt>
                <c:pt idx="256">
                  <c:v>0.48799999999999999</c:v>
                </c:pt>
                <c:pt idx="257">
                  <c:v>0.48599999999999999</c:v>
                </c:pt>
                <c:pt idx="258">
                  <c:v>0.48399999999999999</c:v>
                </c:pt>
                <c:pt idx="259">
                  <c:v>0.48199999999999998</c:v>
                </c:pt>
                <c:pt idx="260">
                  <c:v>0.48</c:v>
                </c:pt>
                <c:pt idx="261">
                  <c:v>0.47799999999999998</c:v>
                </c:pt>
                <c:pt idx="262">
                  <c:v>0.47599999999999998</c:v>
                </c:pt>
                <c:pt idx="263">
                  <c:v>0.47399999999999998</c:v>
                </c:pt>
                <c:pt idx="264">
                  <c:v>0.47199999999999998</c:v>
                </c:pt>
                <c:pt idx="265">
                  <c:v>0.47</c:v>
                </c:pt>
                <c:pt idx="266">
                  <c:v>0.46800000000000003</c:v>
                </c:pt>
                <c:pt idx="267">
                  <c:v>0.46600000000000003</c:v>
                </c:pt>
                <c:pt idx="268">
                  <c:v>0.46400000000000002</c:v>
                </c:pt>
                <c:pt idx="269">
                  <c:v>0.46200000000000002</c:v>
                </c:pt>
                <c:pt idx="270">
                  <c:v>0.46</c:v>
                </c:pt>
                <c:pt idx="271">
                  <c:v>0.45800000000000002</c:v>
                </c:pt>
                <c:pt idx="272">
                  <c:v>0.45600000000000002</c:v>
                </c:pt>
                <c:pt idx="273">
                  <c:v>0.45400000000000001</c:v>
                </c:pt>
                <c:pt idx="274">
                  <c:v>0.45200000000000001</c:v>
                </c:pt>
                <c:pt idx="275">
                  <c:v>0.45</c:v>
                </c:pt>
                <c:pt idx="276">
                  <c:v>0.44800000000000001</c:v>
                </c:pt>
                <c:pt idx="277">
                  <c:v>0.44600000000000001</c:v>
                </c:pt>
                <c:pt idx="278">
                  <c:v>0.44400000000000001</c:v>
                </c:pt>
                <c:pt idx="279">
                  <c:v>0.442</c:v>
                </c:pt>
                <c:pt idx="280">
                  <c:v>0.44</c:v>
                </c:pt>
                <c:pt idx="281">
                  <c:v>0.438</c:v>
                </c:pt>
                <c:pt idx="282">
                  <c:v>0.436</c:v>
                </c:pt>
                <c:pt idx="283">
                  <c:v>0.434</c:v>
                </c:pt>
                <c:pt idx="284">
                  <c:v>0.432</c:v>
                </c:pt>
                <c:pt idx="285">
                  <c:v>0.43</c:v>
                </c:pt>
                <c:pt idx="286">
                  <c:v>0.42799999999999999</c:v>
                </c:pt>
                <c:pt idx="287">
                  <c:v>0.42599999999999999</c:v>
                </c:pt>
                <c:pt idx="288">
                  <c:v>0.42399999999999999</c:v>
                </c:pt>
                <c:pt idx="289">
                  <c:v>0.42199999999999999</c:v>
                </c:pt>
                <c:pt idx="290">
                  <c:v>0.42</c:v>
                </c:pt>
                <c:pt idx="291">
                  <c:v>0.41799999999999998</c:v>
                </c:pt>
                <c:pt idx="292">
                  <c:v>0.41599999999999998</c:v>
                </c:pt>
                <c:pt idx="293">
                  <c:v>0.41399999999999998</c:v>
                </c:pt>
                <c:pt idx="294">
                  <c:v>0.41199999999999998</c:v>
                </c:pt>
                <c:pt idx="295">
                  <c:v>0.41</c:v>
                </c:pt>
                <c:pt idx="296">
                  <c:v>0.40799999999999997</c:v>
                </c:pt>
                <c:pt idx="297">
                  <c:v>0.40600000000000003</c:v>
                </c:pt>
                <c:pt idx="298">
                  <c:v>0.40400000000000003</c:v>
                </c:pt>
                <c:pt idx="299">
                  <c:v>0.40200000000000002</c:v>
                </c:pt>
                <c:pt idx="300">
                  <c:v>0.4</c:v>
                </c:pt>
                <c:pt idx="301">
                  <c:v>0.39800000000000002</c:v>
                </c:pt>
                <c:pt idx="302">
                  <c:v>0.39600000000000002</c:v>
                </c:pt>
                <c:pt idx="303">
                  <c:v>0.39400000000000002</c:v>
                </c:pt>
                <c:pt idx="304">
                  <c:v>0.39200000000000002</c:v>
                </c:pt>
                <c:pt idx="305">
                  <c:v>0.39</c:v>
                </c:pt>
                <c:pt idx="306">
                  <c:v>0.38800000000000001</c:v>
                </c:pt>
                <c:pt idx="307">
                  <c:v>0.38600000000000001</c:v>
                </c:pt>
                <c:pt idx="308">
                  <c:v>0.38400000000000001</c:v>
                </c:pt>
                <c:pt idx="309">
                  <c:v>0.38200000000000001</c:v>
                </c:pt>
                <c:pt idx="310">
                  <c:v>0.38</c:v>
                </c:pt>
                <c:pt idx="311">
                  <c:v>0.378</c:v>
                </c:pt>
                <c:pt idx="312">
                  <c:v>0.376</c:v>
                </c:pt>
                <c:pt idx="313">
                  <c:v>0.374</c:v>
                </c:pt>
                <c:pt idx="314">
                  <c:v>0.372</c:v>
                </c:pt>
                <c:pt idx="315">
                  <c:v>0.37</c:v>
                </c:pt>
                <c:pt idx="316">
                  <c:v>0.36799999999999999</c:v>
                </c:pt>
                <c:pt idx="317">
                  <c:v>0.36599999999999999</c:v>
                </c:pt>
                <c:pt idx="318">
                  <c:v>0.36399999999999999</c:v>
                </c:pt>
                <c:pt idx="319">
                  <c:v>0.36199999999999999</c:v>
                </c:pt>
                <c:pt idx="320">
                  <c:v>0.36</c:v>
                </c:pt>
                <c:pt idx="321">
                  <c:v>0.35799999999999998</c:v>
                </c:pt>
                <c:pt idx="322">
                  <c:v>0.35599999999999998</c:v>
                </c:pt>
                <c:pt idx="323">
                  <c:v>0.35399999999999998</c:v>
                </c:pt>
                <c:pt idx="324">
                  <c:v>0.35199999999999998</c:v>
                </c:pt>
                <c:pt idx="325">
                  <c:v>0.35</c:v>
                </c:pt>
                <c:pt idx="326">
                  <c:v>0.34799999999999998</c:v>
                </c:pt>
                <c:pt idx="327">
                  <c:v>0.34599999999999997</c:v>
                </c:pt>
                <c:pt idx="328">
                  <c:v>0.34399999999999997</c:v>
                </c:pt>
                <c:pt idx="329">
                  <c:v>0.34200000000000003</c:v>
                </c:pt>
                <c:pt idx="330">
                  <c:v>0.34</c:v>
                </c:pt>
                <c:pt idx="331">
                  <c:v>0.33800000000000002</c:v>
                </c:pt>
                <c:pt idx="332">
                  <c:v>0.33600000000000002</c:v>
                </c:pt>
                <c:pt idx="333">
                  <c:v>0.33400000000000002</c:v>
                </c:pt>
                <c:pt idx="334">
                  <c:v>0.33200000000000002</c:v>
                </c:pt>
                <c:pt idx="335">
                  <c:v>0.33</c:v>
                </c:pt>
                <c:pt idx="336">
                  <c:v>0.32800000000000001</c:v>
                </c:pt>
                <c:pt idx="337">
                  <c:v>0.32600000000000001</c:v>
                </c:pt>
                <c:pt idx="338">
                  <c:v>0.32400000000000001</c:v>
                </c:pt>
                <c:pt idx="339">
                  <c:v>0.32200000000000001</c:v>
                </c:pt>
                <c:pt idx="340">
                  <c:v>0.32</c:v>
                </c:pt>
                <c:pt idx="341">
                  <c:v>0.318</c:v>
                </c:pt>
                <c:pt idx="342">
                  <c:v>0.316</c:v>
                </c:pt>
                <c:pt idx="343">
                  <c:v>0.314</c:v>
                </c:pt>
                <c:pt idx="344">
                  <c:v>0.312</c:v>
                </c:pt>
                <c:pt idx="345">
                  <c:v>0.31</c:v>
                </c:pt>
                <c:pt idx="346">
                  <c:v>0.308</c:v>
                </c:pt>
                <c:pt idx="347">
                  <c:v>0.30599999999999999</c:v>
                </c:pt>
                <c:pt idx="348">
                  <c:v>0.30399999999999999</c:v>
                </c:pt>
                <c:pt idx="349">
                  <c:v>0.30199999999999999</c:v>
                </c:pt>
                <c:pt idx="350">
                  <c:v>0.3</c:v>
                </c:pt>
                <c:pt idx="351">
                  <c:v>0.29799999999999999</c:v>
                </c:pt>
                <c:pt idx="352">
                  <c:v>0.29599999999999999</c:v>
                </c:pt>
                <c:pt idx="353">
                  <c:v>0.29399999999999998</c:v>
                </c:pt>
                <c:pt idx="354">
                  <c:v>0.29199999999999998</c:v>
                </c:pt>
                <c:pt idx="355">
                  <c:v>0.28999999999999998</c:v>
                </c:pt>
                <c:pt idx="356">
                  <c:v>0.28799999999999998</c:v>
                </c:pt>
                <c:pt idx="357">
                  <c:v>0.28599999999999998</c:v>
                </c:pt>
                <c:pt idx="358">
                  <c:v>0.28399999999999997</c:v>
                </c:pt>
                <c:pt idx="359">
                  <c:v>0.28199999999999997</c:v>
                </c:pt>
                <c:pt idx="360">
                  <c:v>0.28000000000000003</c:v>
                </c:pt>
                <c:pt idx="361">
                  <c:v>0.27800000000000002</c:v>
                </c:pt>
                <c:pt idx="362">
                  <c:v>0.27600000000000002</c:v>
                </c:pt>
                <c:pt idx="363">
                  <c:v>0.27400000000000002</c:v>
                </c:pt>
                <c:pt idx="364">
                  <c:v>0.27200000000000002</c:v>
                </c:pt>
                <c:pt idx="365">
                  <c:v>0.27</c:v>
                </c:pt>
                <c:pt idx="366">
                  <c:v>0.26800000000000002</c:v>
                </c:pt>
                <c:pt idx="367">
                  <c:v>0.26600000000000001</c:v>
                </c:pt>
                <c:pt idx="368">
                  <c:v>0.26400000000000001</c:v>
                </c:pt>
                <c:pt idx="369">
                  <c:v>0.26200000000000001</c:v>
                </c:pt>
                <c:pt idx="370">
                  <c:v>0.26</c:v>
                </c:pt>
                <c:pt idx="371">
                  <c:v>0.25800000000000001</c:v>
                </c:pt>
                <c:pt idx="372">
                  <c:v>0.25600000000000001</c:v>
                </c:pt>
                <c:pt idx="373">
                  <c:v>0.254</c:v>
                </c:pt>
                <c:pt idx="374">
                  <c:v>0.252</c:v>
                </c:pt>
                <c:pt idx="375">
                  <c:v>0.25</c:v>
                </c:pt>
                <c:pt idx="376">
                  <c:v>0.248</c:v>
                </c:pt>
                <c:pt idx="377">
                  <c:v>0.246</c:v>
                </c:pt>
                <c:pt idx="378">
                  <c:v>0.24399999999999999</c:v>
                </c:pt>
                <c:pt idx="379">
                  <c:v>0.24199999999999999</c:v>
                </c:pt>
                <c:pt idx="380">
                  <c:v>0.24</c:v>
                </c:pt>
                <c:pt idx="381">
                  <c:v>0.23799999999999999</c:v>
                </c:pt>
                <c:pt idx="382">
                  <c:v>0.23599999999999999</c:v>
                </c:pt>
                <c:pt idx="383">
                  <c:v>0.23400000000000001</c:v>
                </c:pt>
                <c:pt idx="384">
                  <c:v>0.23200000000000001</c:v>
                </c:pt>
                <c:pt idx="385">
                  <c:v>0.23</c:v>
                </c:pt>
                <c:pt idx="386">
                  <c:v>0.22800000000000001</c:v>
                </c:pt>
                <c:pt idx="387">
                  <c:v>0.22600000000000001</c:v>
                </c:pt>
                <c:pt idx="388">
                  <c:v>0.224</c:v>
                </c:pt>
                <c:pt idx="389">
                  <c:v>0.222</c:v>
                </c:pt>
                <c:pt idx="390">
                  <c:v>0.22</c:v>
                </c:pt>
                <c:pt idx="391">
                  <c:v>0.218</c:v>
                </c:pt>
                <c:pt idx="392">
                  <c:v>0.216</c:v>
                </c:pt>
                <c:pt idx="393">
                  <c:v>0.214</c:v>
                </c:pt>
                <c:pt idx="394">
                  <c:v>0.21199999999999999</c:v>
                </c:pt>
                <c:pt idx="395">
                  <c:v>0.21</c:v>
                </c:pt>
                <c:pt idx="396">
                  <c:v>0.20799999999999999</c:v>
                </c:pt>
                <c:pt idx="397">
                  <c:v>0.20599999999999999</c:v>
                </c:pt>
                <c:pt idx="398">
                  <c:v>0.20399999999999999</c:v>
                </c:pt>
                <c:pt idx="399">
                  <c:v>0.20200000000000001</c:v>
                </c:pt>
                <c:pt idx="400">
                  <c:v>0.2</c:v>
                </c:pt>
                <c:pt idx="401">
                  <c:v>0.19800000000000001</c:v>
                </c:pt>
                <c:pt idx="402">
                  <c:v>0.19600000000000001</c:v>
                </c:pt>
                <c:pt idx="403">
                  <c:v>0.19400000000000001</c:v>
                </c:pt>
                <c:pt idx="404">
                  <c:v>0.192</c:v>
                </c:pt>
                <c:pt idx="405">
                  <c:v>0.19</c:v>
                </c:pt>
                <c:pt idx="406">
                  <c:v>0.188</c:v>
                </c:pt>
                <c:pt idx="407">
                  <c:v>0.186</c:v>
                </c:pt>
                <c:pt idx="408">
                  <c:v>0.184</c:v>
                </c:pt>
                <c:pt idx="409">
                  <c:v>0.182</c:v>
                </c:pt>
                <c:pt idx="410">
                  <c:v>0.18</c:v>
                </c:pt>
                <c:pt idx="411">
                  <c:v>0.17799999999999999</c:v>
                </c:pt>
                <c:pt idx="412">
                  <c:v>0.17599999999999999</c:v>
                </c:pt>
                <c:pt idx="413">
                  <c:v>0.17399999999999999</c:v>
                </c:pt>
                <c:pt idx="414">
                  <c:v>0.17199999999999999</c:v>
                </c:pt>
                <c:pt idx="415">
                  <c:v>0.17</c:v>
                </c:pt>
                <c:pt idx="416">
                  <c:v>0.16800000000000001</c:v>
                </c:pt>
                <c:pt idx="417">
                  <c:v>0.16600000000000001</c:v>
                </c:pt>
                <c:pt idx="418">
                  <c:v>0.16400000000000001</c:v>
                </c:pt>
                <c:pt idx="419">
                  <c:v>0.16200000000000001</c:v>
                </c:pt>
                <c:pt idx="420">
                  <c:v>0.16</c:v>
                </c:pt>
                <c:pt idx="421">
                  <c:v>0.158</c:v>
                </c:pt>
                <c:pt idx="422">
                  <c:v>0.156</c:v>
                </c:pt>
                <c:pt idx="423">
                  <c:v>0.154</c:v>
                </c:pt>
                <c:pt idx="424">
                  <c:v>0.152</c:v>
                </c:pt>
                <c:pt idx="425">
                  <c:v>0.15</c:v>
                </c:pt>
                <c:pt idx="426">
                  <c:v>0.14799999999999999</c:v>
                </c:pt>
                <c:pt idx="427">
                  <c:v>0.14599999999999999</c:v>
                </c:pt>
                <c:pt idx="428">
                  <c:v>0.14399999999999999</c:v>
                </c:pt>
                <c:pt idx="429">
                  <c:v>0.14199999999999999</c:v>
                </c:pt>
                <c:pt idx="430">
                  <c:v>0.14000000000000001</c:v>
                </c:pt>
                <c:pt idx="431">
                  <c:v>0.13800000000000001</c:v>
                </c:pt>
                <c:pt idx="432">
                  <c:v>0.13600000000000001</c:v>
                </c:pt>
                <c:pt idx="433">
                  <c:v>0.13400000000000001</c:v>
                </c:pt>
                <c:pt idx="434">
                  <c:v>0.13200000000000001</c:v>
                </c:pt>
                <c:pt idx="435">
                  <c:v>0.13</c:v>
                </c:pt>
                <c:pt idx="436">
                  <c:v>0.128</c:v>
                </c:pt>
                <c:pt idx="437">
                  <c:v>0.126</c:v>
                </c:pt>
                <c:pt idx="438">
                  <c:v>0.124</c:v>
                </c:pt>
                <c:pt idx="439">
                  <c:v>0.122</c:v>
                </c:pt>
                <c:pt idx="440">
                  <c:v>0.12</c:v>
                </c:pt>
                <c:pt idx="441">
                  <c:v>0.11799999999999999</c:v>
                </c:pt>
                <c:pt idx="442">
                  <c:v>0.11600000000000001</c:v>
                </c:pt>
                <c:pt idx="443">
                  <c:v>0.114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9-9D4A-AFD0-4E3B92958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1.520569645749966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Policy 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atin typeface="+mn-lt"/>
            </a:defRPr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</a:rPr>
            <a:t>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_xlchart.v1.2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Policy-Level Loss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Policy-Level Loss</a:t>
          </a:r>
        </a:p>
      </cx:txPr>
    </cx:title>
    <cx:plotArea>
      <cx:plotAreaRegion>
        <cx:series layoutId="boxWhisker" uniqueId="{CD4FC400-A53F-6D46-866C-BE53E7E09E25}">
          <cx:tx>
            <cx:txData>
              <cx:f>_xlchart.v1.0</cx:f>
              <cx:v>TotalClaimAmount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Policy Loss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Policy Loss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203200</xdr:rowOff>
        </xdr:from>
        <xdr:to>
          <xdr:col>10</xdr:col>
          <xdr:colOff>228600</xdr:colOff>
          <xdr:row>9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6</xdr:col>
      <xdr:colOff>26504</xdr:colOff>
      <xdr:row>33</xdr:row>
      <xdr:rowOff>176697</xdr:rowOff>
    </xdr:from>
    <xdr:to>
      <xdr:col>11</xdr:col>
      <xdr:colOff>0</xdr:colOff>
      <xdr:row>47</xdr:row>
      <xdr:rowOff>136941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15068</xdr:colOff>
      <xdr:row>33</xdr:row>
      <xdr:rowOff>176697</xdr:rowOff>
    </xdr:from>
    <xdr:to>
      <xdr:col>5</xdr:col>
      <xdr:colOff>456366</xdr:colOff>
      <xdr:row>47</xdr:row>
      <xdr:rowOff>136941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268" y="7428397"/>
              <a:ext cx="3616298" cy="280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31805</xdr:colOff>
      <xdr:row>5</xdr:row>
      <xdr:rowOff>0</xdr:rowOff>
    </xdr:from>
    <xdr:to>
      <xdr:col>23</xdr:col>
      <xdr:colOff>0</xdr:colOff>
      <xdr:row>18</xdr:row>
      <xdr:rowOff>159026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B0933-BA7F-6343-B6F9-4BC46E79D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28483</xdr:colOff>
      <xdr:row>33</xdr:row>
      <xdr:rowOff>176697</xdr:rowOff>
    </xdr:from>
    <xdr:to>
      <xdr:col>17</xdr:col>
      <xdr:colOff>469780</xdr:colOff>
      <xdr:row>47</xdr:row>
      <xdr:rowOff>136940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9A69557-A0CA-2D4E-AD99-5664706DC4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55183" y="7428397"/>
              <a:ext cx="3616297" cy="28050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26504</xdr:colOff>
      <xdr:row>33</xdr:row>
      <xdr:rowOff>176697</xdr:rowOff>
    </xdr:from>
    <xdr:to>
      <xdr:col>23</xdr:col>
      <xdr:colOff>0</xdr:colOff>
      <xdr:row>47</xdr:row>
      <xdr:rowOff>136940</xdr:rowOff>
    </xdr:to>
    <xdr:graphicFrame macro="">
      <xdr:nvGraphicFramePr>
        <xdr:cNvPr id="17" name="PolicyLossCDFChart">
          <a:extLst>
            <a:ext uri="{FF2B5EF4-FFF2-40B4-BE49-F238E27FC236}">
              <a16:creationId xmlns:a16="http://schemas.microsoft.com/office/drawing/2014/main" id="{F37D6405-F7C5-ABDB-9BC3-11BD92DBA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22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8D1DAE17-128B-BAA0-80A4-C5411D3B5EFF}"/>
            </a:ext>
          </a:extLst>
        </xdr:cNvPr>
        <xdr:cNvSpPr/>
      </xdr:nvSpPr>
      <xdr:spPr>
        <a:xfrm>
          <a:off x="828261" y="4064000"/>
          <a:ext cx="9110869" cy="5256696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24</xdr:col>
      <xdr:colOff>0</xdr:colOff>
      <xdr:row>48</xdr:row>
      <xdr:rowOff>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F223D756-AAD4-FB48-97D2-9C9072073E29}"/>
            </a:ext>
          </a:extLst>
        </xdr:cNvPr>
        <xdr:cNvSpPr/>
      </xdr:nvSpPr>
      <xdr:spPr>
        <a:xfrm>
          <a:off x="9685130" y="4207565"/>
          <a:ext cx="8028609" cy="5356087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24</xdr:col>
      <xdr:colOff>0</xdr:colOff>
      <xdr:row>21</xdr:row>
      <xdr:rowOff>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6DCD97CB-33E2-4F4F-8265-86AC73E1BC52}"/>
            </a:ext>
          </a:extLst>
        </xdr:cNvPr>
        <xdr:cNvSpPr/>
      </xdr:nvSpPr>
      <xdr:spPr>
        <a:xfrm>
          <a:off x="9378462" y="207596"/>
          <a:ext cx="8059615" cy="4506058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228600</xdr:rowOff>
        </xdr:from>
        <xdr:to>
          <xdr:col>10</xdr:col>
          <xdr:colOff>228600</xdr:colOff>
          <xdr:row>13</xdr:row>
          <xdr:rowOff>38100</xdr:rowOff>
        </xdr:to>
        <xdr:sp macro="" textlink="">
          <xdr:nvSpPr>
            <xdr:cNvPr id="1044" name="generate_pdf_bt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7.782735069442" createdVersion="8" refreshedVersion="8" minRefreshableVersion="3" recordCount="500" xr:uid="{DB9A0C32-7E36-4741-8AC9-667E4E6A4B74}">
  <cacheSource type="worksheet">
    <worksheetSource name="TblPolicyLevelAggregate"/>
  </cacheSource>
  <cacheFields count="3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0" maxValue="35" count="35">
        <n v="3"/>
        <n v="1"/>
        <n v="2"/>
        <n v="4"/>
        <n v="0"/>
        <n v="5" u="1"/>
        <n v="6" u="1"/>
        <n v="8" u="1"/>
        <n v="7" u="1"/>
        <n v="12" u="1"/>
        <n v="19" u="1"/>
        <n v="15" u="1"/>
        <n v="21" u="1"/>
        <n v="16" u="1"/>
        <n v="10" u="1"/>
        <n v="20" u="1"/>
        <n v="18" u="1"/>
        <n v="14" u="1"/>
        <n v="11" u="1"/>
        <n v="13" u="1"/>
        <n v="9" u="1"/>
        <n v="17" u="1"/>
        <n v="22" u="1"/>
        <n v="24" u="1"/>
        <n v="23" u="1"/>
        <n v="25" u="1"/>
        <n v="28" u="1"/>
        <n v="27" u="1"/>
        <n v="26" u="1"/>
        <n v="29" u="1"/>
        <n v="30" u="1"/>
        <n v="32" u="1"/>
        <n v="35" u="1"/>
        <n v="34" u="1"/>
        <n v="33" u="1"/>
      </sharedItems>
    </cacheField>
    <cacheField name="TotalClaimAmount" numFmtId="0">
      <sharedItems containsSemiMixedTypes="0" containsString="0" containsNumber="1" minValue="0" maxValue="1.52056964574996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n v="1.021923238009649"/>
  </r>
  <r>
    <n v="2"/>
    <x v="1"/>
    <n v="0.119344099873414"/>
  </r>
  <r>
    <n v="3"/>
    <x v="2"/>
    <n v="0.53418260394589001"/>
  </r>
  <r>
    <n v="4"/>
    <x v="1"/>
    <n v="0.21234777360137"/>
  </r>
  <r>
    <n v="5"/>
    <x v="1"/>
    <n v="0.56229895079520897"/>
  </r>
  <r>
    <n v="6"/>
    <x v="3"/>
    <n v="1.024494607284171"/>
  </r>
  <r>
    <n v="7"/>
    <x v="2"/>
    <n v="0.27330168366207402"/>
  </r>
  <r>
    <n v="8"/>
    <x v="1"/>
    <n v="0.17217277065238201"/>
  </r>
  <r>
    <n v="9"/>
    <x v="2"/>
    <n v="0.36005995165166399"/>
  </r>
  <r>
    <n v="10"/>
    <x v="2"/>
    <n v="0.18416992922611791"/>
  </r>
  <r>
    <n v="12"/>
    <x v="2"/>
    <n v="0.251660582759413"/>
  </r>
  <r>
    <n v="13"/>
    <x v="2"/>
    <n v="0.62994892282430603"/>
  </r>
  <r>
    <n v="14"/>
    <x v="2"/>
    <n v="0.65378185263914401"/>
  </r>
  <r>
    <n v="15"/>
    <x v="0"/>
    <n v="0.2084035039485892"/>
  </r>
  <r>
    <n v="16"/>
    <x v="1"/>
    <n v="0.101236821811999"/>
  </r>
  <r>
    <n v="17"/>
    <x v="0"/>
    <n v="0.62010547776504676"/>
  </r>
  <r>
    <n v="18"/>
    <x v="3"/>
    <n v="0.64169780023053735"/>
  </r>
  <r>
    <n v="19"/>
    <x v="0"/>
    <n v="0.49116132783778776"/>
  </r>
  <r>
    <n v="20"/>
    <x v="1"/>
    <n v="0.28648376463220199"/>
  </r>
  <r>
    <n v="21"/>
    <x v="1"/>
    <n v="0.27477523794575698"/>
  </r>
  <r>
    <n v="22"/>
    <x v="2"/>
    <n v="0.52663326519401399"/>
  </r>
  <r>
    <n v="23"/>
    <x v="2"/>
    <n v="0.24224376382677942"/>
  </r>
  <r>
    <n v="25"/>
    <x v="2"/>
    <n v="0.16255260990680082"/>
  </r>
  <r>
    <n v="26"/>
    <x v="2"/>
    <n v="0.2170201285508401"/>
  </r>
  <r>
    <n v="27"/>
    <x v="2"/>
    <n v="0.74642325030508094"/>
  </r>
  <r>
    <n v="28"/>
    <x v="2"/>
    <n v="0.56843428285815401"/>
  </r>
  <r>
    <n v="29"/>
    <x v="0"/>
    <n v="0.26154221551942014"/>
  </r>
  <r>
    <n v="30"/>
    <x v="0"/>
    <n v="1.208944476719702"/>
  </r>
  <r>
    <n v="32"/>
    <x v="1"/>
    <n v="0.366351061072338"/>
  </r>
  <r>
    <n v="33"/>
    <x v="2"/>
    <n v="0.35424547268207246"/>
  </r>
  <r>
    <n v="34"/>
    <x v="1"/>
    <n v="8.1220119373863101E-2"/>
  </r>
  <r>
    <n v="35"/>
    <x v="3"/>
    <n v="0.74121850799409561"/>
  </r>
  <r>
    <n v="36"/>
    <x v="2"/>
    <n v="0.1932775899398621"/>
  </r>
  <r>
    <n v="37"/>
    <x v="1"/>
    <n v="0.38992992633411599"/>
  </r>
  <r>
    <n v="38"/>
    <x v="0"/>
    <n v="0.33917521696492781"/>
  </r>
  <r>
    <n v="39"/>
    <x v="0"/>
    <n v="0.84805563008950713"/>
  </r>
  <r>
    <n v="40"/>
    <x v="0"/>
    <n v="0.30512079652379798"/>
  </r>
  <r>
    <n v="41"/>
    <x v="0"/>
    <n v="0.62061273372888526"/>
  </r>
  <r>
    <n v="42"/>
    <x v="2"/>
    <n v="0.42638641456371396"/>
  </r>
  <r>
    <n v="43"/>
    <x v="2"/>
    <n v="0.52239072413541199"/>
  </r>
  <r>
    <n v="44"/>
    <x v="0"/>
    <n v="0.526663454433411"/>
  </r>
  <r>
    <n v="45"/>
    <x v="0"/>
    <n v="0.49287436548905089"/>
  </r>
  <r>
    <n v="46"/>
    <x v="0"/>
    <n v="0.38219005662998656"/>
  </r>
  <r>
    <n v="47"/>
    <x v="0"/>
    <n v="0.46219943032692185"/>
  </r>
  <r>
    <n v="48"/>
    <x v="2"/>
    <n v="0.33106822054906104"/>
  </r>
  <r>
    <n v="49"/>
    <x v="0"/>
    <n v="0.46838215631042701"/>
  </r>
  <r>
    <n v="50"/>
    <x v="1"/>
    <n v="0.11810740041798801"/>
  </r>
  <r>
    <n v="51"/>
    <x v="3"/>
    <n v="0.93660148873384497"/>
  </r>
  <r>
    <n v="52"/>
    <x v="2"/>
    <n v="0.27816902315058101"/>
  </r>
  <r>
    <n v="53"/>
    <x v="1"/>
    <n v="0.32665919789036602"/>
  </r>
  <r>
    <n v="54"/>
    <x v="0"/>
    <n v="0.2908493756504425"/>
  </r>
  <r>
    <n v="55"/>
    <x v="2"/>
    <n v="0.89800172316406002"/>
  </r>
  <r>
    <n v="56"/>
    <x v="0"/>
    <n v="0.53207817383789802"/>
  </r>
  <r>
    <n v="57"/>
    <x v="0"/>
    <n v="0.34202057631757221"/>
  </r>
  <r>
    <n v="58"/>
    <x v="1"/>
    <n v="0.115320008325875"/>
  </r>
  <r>
    <n v="59"/>
    <x v="1"/>
    <n v="0.29083105323700797"/>
  </r>
  <r>
    <n v="60"/>
    <x v="0"/>
    <n v="0.64947054448309294"/>
  </r>
  <r>
    <n v="61"/>
    <x v="2"/>
    <n v="0.26587834621519102"/>
  </r>
  <r>
    <n v="62"/>
    <x v="0"/>
    <n v="0.52786510295172395"/>
  </r>
  <r>
    <n v="63"/>
    <x v="2"/>
    <n v="0.26284933324646581"/>
  </r>
  <r>
    <n v="64"/>
    <x v="0"/>
    <n v="0.46511545724588998"/>
  </r>
  <r>
    <n v="65"/>
    <x v="1"/>
    <n v="0.46427333921420499"/>
  </r>
  <r>
    <n v="66"/>
    <x v="2"/>
    <n v="0.70597253662235304"/>
  </r>
  <r>
    <n v="67"/>
    <x v="1"/>
    <n v="0.163256581969033"/>
  </r>
  <r>
    <n v="68"/>
    <x v="1"/>
    <n v="2.6908286195217401E-2"/>
  </r>
  <r>
    <n v="69"/>
    <x v="1"/>
    <n v="6.4034293213933002E-2"/>
  </r>
  <r>
    <n v="70"/>
    <x v="2"/>
    <n v="0.51021378678213303"/>
  </r>
  <r>
    <n v="71"/>
    <x v="1"/>
    <n v="0.19152899280164301"/>
  </r>
  <r>
    <n v="72"/>
    <x v="2"/>
    <n v="0.14886614574216112"/>
  </r>
  <r>
    <n v="73"/>
    <x v="2"/>
    <n v="0.54126889715417592"/>
  </r>
  <r>
    <n v="74"/>
    <x v="3"/>
    <n v="0.50365090489198128"/>
  </r>
  <r>
    <n v="75"/>
    <x v="2"/>
    <n v="0.40810860591009102"/>
  </r>
  <r>
    <n v="76"/>
    <x v="0"/>
    <n v="0.5531920224387038"/>
  </r>
  <r>
    <n v="77"/>
    <x v="2"/>
    <n v="0.20176060816066288"/>
  </r>
  <r>
    <n v="78"/>
    <x v="2"/>
    <n v="0.85419181665406696"/>
  </r>
  <r>
    <n v="79"/>
    <x v="0"/>
    <n v="0.42753042749763598"/>
  </r>
  <r>
    <n v="80"/>
    <x v="0"/>
    <n v="0.42978556115993932"/>
  </r>
  <r>
    <n v="81"/>
    <x v="0"/>
    <n v="0.54288300895809749"/>
  </r>
  <r>
    <n v="82"/>
    <x v="2"/>
    <n v="0.32830510350946096"/>
  </r>
  <r>
    <n v="83"/>
    <x v="2"/>
    <n v="0.43927719232418899"/>
  </r>
  <r>
    <n v="84"/>
    <x v="1"/>
    <n v="2.03271673378351E-2"/>
  </r>
  <r>
    <n v="85"/>
    <x v="0"/>
    <n v="0.35210395583208859"/>
  </r>
  <r>
    <n v="86"/>
    <x v="2"/>
    <n v="0.1943278597042177"/>
  </r>
  <r>
    <n v="88"/>
    <x v="1"/>
    <n v="5.3216756785121597E-2"/>
  </r>
  <r>
    <n v="89"/>
    <x v="1"/>
    <n v="9.6105035165991601E-2"/>
  </r>
  <r>
    <n v="90"/>
    <x v="0"/>
    <n v="0.59882978266218279"/>
  </r>
  <r>
    <n v="91"/>
    <x v="0"/>
    <n v="0.69928856422918195"/>
  </r>
  <r>
    <n v="92"/>
    <x v="2"/>
    <n v="0.25891260761887108"/>
  </r>
  <r>
    <n v="93"/>
    <x v="0"/>
    <n v="0.4855070228853724"/>
  </r>
  <r>
    <n v="94"/>
    <x v="2"/>
    <n v="0.71584328834385202"/>
  </r>
  <r>
    <n v="95"/>
    <x v="0"/>
    <n v="0.53568145395591749"/>
  </r>
  <r>
    <n v="96"/>
    <x v="0"/>
    <n v="0.91030191742791755"/>
  </r>
  <r>
    <n v="97"/>
    <x v="1"/>
    <n v="0.29011624659534502"/>
  </r>
  <r>
    <n v="98"/>
    <x v="0"/>
    <n v="0.82235731336228191"/>
  </r>
  <r>
    <n v="99"/>
    <x v="2"/>
    <n v="0.25067951329239369"/>
  </r>
  <r>
    <n v="100"/>
    <x v="2"/>
    <n v="0.20673382166586809"/>
  </r>
  <r>
    <n v="101"/>
    <x v="2"/>
    <n v="0.92813835423971591"/>
  </r>
  <r>
    <n v="102"/>
    <x v="0"/>
    <n v="0.53761513279480044"/>
  </r>
  <r>
    <n v="103"/>
    <x v="2"/>
    <n v="0.24641349535129559"/>
  </r>
  <r>
    <n v="104"/>
    <x v="1"/>
    <n v="0.41651107107027802"/>
  </r>
  <r>
    <n v="105"/>
    <x v="2"/>
    <n v="0.307474827433947"/>
  </r>
  <r>
    <n v="106"/>
    <x v="1"/>
    <n v="5.8351847051244202E-2"/>
  </r>
  <r>
    <n v="107"/>
    <x v="1"/>
    <n v="0.28342516569255499"/>
  </r>
  <r>
    <n v="108"/>
    <x v="2"/>
    <n v="0.21130935058630629"/>
  </r>
  <r>
    <n v="109"/>
    <x v="2"/>
    <n v="0.71726161870600702"/>
  </r>
  <r>
    <n v="110"/>
    <x v="0"/>
    <n v="0.38480574576646631"/>
  </r>
  <r>
    <n v="111"/>
    <x v="1"/>
    <n v="0.202587695977205"/>
  </r>
  <r>
    <n v="112"/>
    <x v="0"/>
    <n v="0.61649139830200239"/>
  </r>
  <r>
    <n v="113"/>
    <x v="3"/>
    <n v="0.63214744118754806"/>
  </r>
  <r>
    <n v="114"/>
    <x v="1"/>
    <n v="0.26226986206662001"/>
  </r>
  <r>
    <n v="115"/>
    <x v="2"/>
    <n v="0.6626783954848966"/>
  </r>
  <r>
    <n v="116"/>
    <x v="0"/>
    <n v="0.8466166700336667"/>
  </r>
  <r>
    <n v="117"/>
    <x v="2"/>
    <n v="0.3801249295913483"/>
  </r>
  <r>
    <n v="118"/>
    <x v="1"/>
    <n v="6.1097398103100997E-2"/>
  </r>
  <r>
    <n v="119"/>
    <x v="2"/>
    <n v="0.62234573430347195"/>
  </r>
  <r>
    <n v="120"/>
    <x v="2"/>
    <n v="0.209487773456246"/>
  </r>
  <r>
    <n v="121"/>
    <x v="2"/>
    <n v="0.583261951207249"/>
  </r>
  <r>
    <n v="122"/>
    <x v="0"/>
    <n v="0.22298386583192231"/>
  </r>
  <r>
    <n v="123"/>
    <x v="0"/>
    <n v="1.04701081991981"/>
  </r>
  <r>
    <n v="124"/>
    <x v="0"/>
    <n v="0.63599496637684805"/>
  </r>
  <r>
    <n v="125"/>
    <x v="0"/>
    <n v="0.81180946927388997"/>
  </r>
  <r>
    <n v="127"/>
    <x v="0"/>
    <n v="0.4392221172749281"/>
  </r>
  <r>
    <n v="128"/>
    <x v="0"/>
    <n v="0.42096342430954958"/>
  </r>
  <r>
    <n v="129"/>
    <x v="0"/>
    <n v="0.27635914136024947"/>
  </r>
  <r>
    <n v="130"/>
    <x v="2"/>
    <n v="0.398295744259479"/>
  </r>
  <r>
    <n v="131"/>
    <x v="2"/>
    <n v="0.76604080040965405"/>
  </r>
  <r>
    <n v="132"/>
    <x v="1"/>
    <n v="0.16261472842333499"/>
  </r>
  <r>
    <n v="133"/>
    <x v="2"/>
    <n v="0.40426560845233195"/>
  </r>
  <r>
    <n v="134"/>
    <x v="2"/>
    <n v="0.50563979218893251"/>
  </r>
  <r>
    <n v="135"/>
    <x v="2"/>
    <n v="0.65331674794712702"/>
  </r>
  <r>
    <n v="136"/>
    <x v="2"/>
    <n v="0.61604385121918703"/>
  </r>
  <r>
    <n v="137"/>
    <x v="1"/>
    <n v="0.124117824552295"/>
  </r>
  <r>
    <n v="138"/>
    <x v="1"/>
    <n v="8.7803656041641198E-2"/>
  </r>
  <r>
    <n v="140"/>
    <x v="2"/>
    <n v="0.12079109155217191"/>
  </r>
  <r>
    <n v="141"/>
    <x v="0"/>
    <n v="0.48939238827686204"/>
  </r>
  <r>
    <n v="142"/>
    <x v="2"/>
    <n v="0.61494378695055296"/>
  </r>
  <r>
    <n v="143"/>
    <x v="3"/>
    <n v="0.6393272600084583"/>
  </r>
  <r>
    <n v="144"/>
    <x v="0"/>
    <n v="0.57930494760972551"/>
  </r>
  <r>
    <n v="145"/>
    <x v="1"/>
    <n v="2.5244603520247901E-2"/>
  </r>
  <r>
    <n v="146"/>
    <x v="0"/>
    <n v="0.85425774215878592"/>
  </r>
  <r>
    <n v="147"/>
    <x v="0"/>
    <n v="0.35212582675761084"/>
  </r>
  <r>
    <n v="148"/>
    <x v="3"/>
    <n v="0.59700012662868374"/>
  </r>
  <r>
    <n v="149"/>
    <x v="0"/>
    <n v="0.54291161095093954"/>
  </r>
  <r>
    <n v="150"/>
    <x v="2"/>
    <n v="0.23707423057005722"/>
  </r>
  <r>
    <n v="151"/>
    <x v="1"/>
    <n v="0.309761017203663"/>
  </r>
  <r>
    <n v="152"/>
    <x v="2"/>
    <n v="0.58622516706809102"/>
  </r>
  <r>
    <n v="153"/>
    <x v="2"/>
    <n v="0.19605576358683119"/>
  </r>
  <r>
    <n v="154"/>
    <x v="0"/>
    <n v="0.84487164170399986"/>
  </r>
  <r>
    <n v="155"/>
    <x v="0"/>
    <n v="1.423527370391702"/>
  </r>
  <r>
    <n v="156"/>
    <x v="2"/>
    <n v="0.2461069955656604"/>
  </r>
  <r>
    <n v="157"/>
    <x v="2"/>
    <n v="0.38080470942411193"/>
  </r>
  <r>
    <n v="158"/>
    <x v="0"/>
    <n v="0.66473124322219312"/>
  </r>
  <r>
    <n v="159"/>
    <x v="2"/>
    <n v="0.33322578788018387"/>
  </r>
  <r>
    <n v="160"/>
    <x v="0"/>
    <n v="0.24797628155419849"/>
  </r>
  <r>
    <n v="161"/>
    <x v="2"/>
    <n v="8.7781324178071302E-2"/>
  </r>
  <r>
    <n v="162"/>
    <x v="0"/>
    <n v="0.31363429826096523"/>
  </r>
  <r>
    <n v="163"/>
    <x v="2"/>
    <n v="0.67983281820649499"/>
  </r>
  <r>
    <n v="164"/>
    <x v="0"/>
    <n v="0.53893735268272636"/>
  </r>
  <r>
    <n v="165"/>
    <x v="0"/>
    <n v="0.57256952473798506"/>
  </r>
  <r>
    <n v="166"/>
    <x v="2"/>
    <n v="0.32588476754481499"/>
  </r>
  <r>
    <n v="167"/>
    <x v="2"/>
    <n v="0.213864750819491"/>
  </r>
  <r>
    <n v="168"/>
    <x v="0"/>
    <n v="0.76579376196299354"/>
  </r>
  <r>
    <n v="169"/>
    <x v="2"/>
    <n v="0.25858667288827897"/>
  </r>
  <r>
    <n v="170"/>
    <x v="0"/>
    <n v="0.3250604293877557"/>
  </r>
  <r>
    <n v="171"/>
    <x v="2"/>
    <n v="0.36576490371189413"/>
  </r>
  <r>
    <n v="172"/>
    <x v="0"/>
    <n v="0.52280127588087655"/>
  </r>
  <r>
    <n v="173"/>
    <x v="1"/>
    <n v="0.12150718637851"/>
  </r>
  <r>
    <n v="174"/>
    <x v="1"/>
    <n v="5.7223226766352699E-2"/>
  </r>
  <r>
    <n v="175"/>
    <x v="2"/>
    <n v="0.28859511498004198"/>
  </r>
  <r>
    <n v="176"/>
    <x v="2"/>
    <n v="0.12607579115230988"/>
  </r>
  <r>
    <n v="177"/>
    <x v="0"/>
    <n v="0.71279346919962339"/>
  </r>
  <r>
    <n v="178"/>
    <x v="2"/>
    <n v="0.55065524402686705"/>
  </r>
  <r>
    <n v="179"/>
    <x v="1"/>
    <n v="8.3137919278832399E-3"/>
  </r>
  <r>
    <n v="180"/>
    <x v="2"/>
    <n v="0.24523476652224202"/>
  </r>
  <r>
    <n v="181"/>
    <x v="1"/>
    <n v="5.5979664048979201E-2"/>
  </r>
  <r>
    <n v="182"/>
    <x v="0"/>
    <n v="0.64060084762382496"/>
  </r>
  <r>
    <n v="183"/>
    <x v="2"/>
    <n v="0.6513992522717249"/>
  </r>
  <r>
    <n v="184"/>
    <x v="0"/>
    <n v="0.59696354450967604"/>
  </r>
  <r>
    <n v="185"/>
    <x v="2"/>
    <n v="0.48805075171818502"/>
  </r>
  <r>
    <n v="186"/>
    <x v="2"/>
    <n v="0.18536041311483092"/>
  </r>
  <r>
    <n v="187"/>
    <x v="0"/>
    <n v="0.63987229403766155"/>
  </r>
  <r>
    <n v="188"/>
    <x v="2"/>
    <n v="0.3990618748277473"/>
  </r>
  <r>
    <n v="189"/>
    <x v="1"/>
    <n v="0.28542715051864198"/>
  </r>
  <r>
    <n v="190"/>
    <x v="1"/>
    <n v="0.148765841880794"/>
  </r>
  <r>
    <n v="191"/>
    <x v="0"/>
    <n v="0.64046926944611071"/>
  </r>
  <r>
    <n v="192"/>
    <x v="0"/>
    <n v="0.41081047466616899"/>
  </r>
  <r>
    <n v="194"/>
    <x v="2"/>
    <n v="0.28401911253351603"/>
  </r>
  <r>
    <n v="195"/>
    <x v="1"/>
    <n v="8.0704650938914393E-2"/>
  </r>
  <r>
    <n v="196"/>
    <x v="2"/>
    <n v="0.41668710700329548"/>
  </r>
  <r>
    <n v="197"/>
    <x v="2"/>
    <n v="0.34480004716505203"/>
  </r>
  <r>
    <n v="198"/>
    <x v="2"/>
    <n v="0.47328687360440402"/>
  </r>
  <r>
    <n v="199"/>
    <x v="0"/>
    <n v="0.4420438154054408"/>
  </r>
  <r>
    <n v="200"/>
    <x v="2"/>
    <n v="0.37885176468588772"/>
  </r>
  <r>
    <n v="201"/>
    <x v="0"/>
    <n v="0.32581259508937804"/>
  </r>
  <r>
    <n v="203"/>
    <x v="2"/>
    <n v="0.48868177590998296"/>
  </r>
  <r>
    <n v="204"/>
    <x v="2"/>
    <n v="0.14935801878229271"/>
  </r>
  <r>
    <n v="205"/>
    <x v="2"/>
    <n v="0.30694955525209622"/>
  </r>
  <r>
    <n v="206"/>
    <x v="1"/>
    <n v="4.74081726235989E-2"/>
  </r>
  <r>
    <n v="207"/>
    <x v="0"/>
    <n v="0.75866218067088198"/>
  </r>
  <r>
    <n v="208"/>
    <x v="0"/>
    <n v="0.31197106929569951"/>
  </r>
  <r>
    <n v="209"/>
    <x v="0"/>
    <n v="0.54156488860448926"/>
  </r>
  <r>
    <n v="210"/>
    <x v="0"/>
    <n v="0.83151209582852004"/>
  </r>
  <r>
    <n v="211"/>
    <x v="2"/>
    <n v="0.18849096899163398"/>
  </r>
  <r>
    <n v="212"/>
    <x v="0"/>
    <n v="0.28928902965234715"/>
  </r>
  <r>
    <n v="213"/>
    <x v="0"/>
    <n v="0.58140963822159508"/>
  </r>
  <r>
    <n v="214"/>
    <x v="2"/>
    <n v="0.94097583018173803"/>
  </r>
  <r>
    <n v="215"/>
    <x v="3"/>
    <n v="0.52531983050426401"/>
  </r>
  <r>
    <n v="216"/>
    <x v="2"/>
    <n v="0.2770681541525048"/>
  </r>
  <r>
    <n v="217"/>
    <x v="0"/>
    <n v="0.37364829199611971"/>
  </r>
  <r>
    <n v="218"/>
    <x v="2"/>
    <n v="0.23090474904109429"/>
  </r>
  <r>
    <n v="219"/>
    <x v="1"/>
    <n v="0.270631229472859"/>
  </r>
  <r>
    <n v="220"/>
    <x v="1"/>
    <n v="0.17648725946819299"/>
  </r>
  <r>
    <n v="221"/>
    <x v="0"/>
    <n v="0.70151065811045699"/>
  </r>
  <r>
    <n v="223"/>
    <x v="2"/>
    <n v="0.68081015233687103"/>
  </r>
  <r>
    <n v="224"/>
    <x v="2"/>
    <n v="0.67876048392900901"/>
  </r>
  <r>
    <n v="225"/>
    <x v="3"/>
    <n v="0.74695648377215895"/>
  </r>
  <r>
    <n v="226"/>
    <x v="2"/>
    <n v="0.67337083655482499"/>
  </r>
  <r>
    <n v="227"/>
    <x v="2"/>
    <n v="0.496288803653746"/>
  </r>
  <r>
    <n v="228"/>
    <x v="2"/>
    <n v="0.25995163401928567"/>
  </r>
  <r>
    <n v="229"/>
    <x v="2"/>
    <n v="0.12679286937901299"/>
  </r>
  <r>
    <n v="230"/>
    <x v="1"/>
    <n v="0.116884159656395"/>
  </r>
  <r>
    <n v="231"/>
    <x v="2"/>
    <n v="0.78147919468924798"/>
  </r>
  <r>
    <n v="232"/>
    <x v="2"/>
    <n v="0.11006336695574911"/>
  </r>
  <r>
    <n v="233"/>
    <x v="2"/>
    <n v="0.35482787556724904"/>
  </r>
  <r>
    <n v="234"/>
    <x v="3"/>
    <n v="0.6393689895553466"/>
  </r>
  <r>
    <n v="235"/>
    <x v="0"/>
    <n v="0.39878189529201541"/>
  </r>
  <r>
    <n v="236"/>
    <x v="2"/>
    <n v="0.51837917588412397"/>
  </r>
  <r>
    <n v="237"/>
    <x v="0"/>
    <n v="0.72500075590138402"/>
  </r>
  <r>
    <n v="238"/>
    <x v="1"/>
    <n v="0.19333390488212299"/>
  </r>
  <r>
    <n v="239"/>
    <x v="0"/>
    <n v="0.4946489449298524"/>
  </r>
  <r>
    <n v="240"/>
    <x v="1"/>
    <n v="0.140733597669355"/>
  </r>
  <r>
    <n v="241"/>
    <x v="2"/>
    <n v="0.37887366511410642"/>
  </r>
  <r>
    <n v="242"/>
    <x v="2"/>
    <n v="0.60425876100013398"/>
  </r>
  <r>
    <n v="243"/>
    <x v="0"/>
    <n v="1.5205696457499669"/>
  </r>
  <r>
    <n v="244"/>
    <x v="2"/>
    <n v="0.62210020438254898"/>
  </r>
  <r>
    <n v="245"/>
    <x v="0"/>
    <n v="0.7573711020642"/>
  </r>
  <r>
    <n v="246"/>
    <x v="2"/>
    <n v="0.61800974800826503"/>
  </r>
  <r>
    <n v="247"/>
    <x v="2"/>
    <n v="0.35313665636406599"/>
  </r>
  <r>
    <n v="250"/>
    <x v="2"/>
    <n v="0.49838210151534296"/>
  </r>
  <r>
    <n v="251"/>
    <x v="0"/>
    <n v="0.41594340093869303"/>
  </r>
  <r>
    <n v="252"/>
    <x v="0"/>
    <n v="0.64394933786901909"/>
  </r>
  <r>
    <n v="253"/>
    <x v="2"/>
    <n v="0.54799894821271999"/>
  </r>
  <r>
    <n v="254"/>
    <x v="0"/>
    <n v="0.28862617673479529"/>
  </r>
  <r>
    <n v="255"/>
    <x v="2"/>
    <n v="9.8717662435871295E-2"/>
  </r>
  <r>
    <n v="256"/>
    <x v="1"/>
    <n v="0.17169908677828899"/>
  </r>
  <r>
    <n v="257"/>
    <x v="0"/>
    <n v="0.673957236842472"/>
  </r>
  <r>
    <n v="258"/>
    <x v="2"/>
    <n v="0.46352773784566803"/>
  </r>
  <r>
    <n v="259"/>
    <x v="2"/>
    <n v="0.31083373283704696"/>
  </r>
  <r>
    <n v="260"/>
    <x v="1"/>
    <n v="0.37627743055712098"/>
  </r>
  <r>
    <n v="261"/>
    <x v="1"/>
    <n v="0.26717829288029099"/>
  </r>
  <r>
    <n v="262"/>
    <x v="1"/>
    <n v="9.0290606979493704E-2"/>
  </r>
  <r>
    <n v="263"/>
    <x v="2"/>
    <n v="0.17960931300275232"/>
  </r>
  <r>
    <n v="264"/>
    <x v="1"/>
    <n v="1.1696701302718601E-2"/>
  </r>
  <r>
    <n v="265"/>
    <x v="2"/>
    <n v="0.35422004002245"/>
  </r>
  <r>
    <n v="266"/>
    <x v="2"/>
    <n v="0.36456464374056602"/>
  </r>
  <r>
    <n v="267"/>
    <x v="0"/>
    <n v="0.30465879880320329"/>
  </r>
  <r>
    <n v="268"/>
    <x v="0"/>
    <n v="1.328292063027829"/>
  </r>
  <r>
    <n v="269"/>
    <x v="3"/>
    <n v="0.57959451313107091"/>
  </r>
  <r>
    <n v="270"/>
    <x v="2"/>
    <n v="0.25230457359087449"/>
  </r>
  <r>
    <n v="271"/>
    <x v="1"/>
    <n v="0.182909740627312"/>
  </r>
  <r>
    <n v="272"/>
    <x v="3"/>
    <n v="0.53325844488391694"/>
  </r>
  <r>
    <n v="273"/>
    <x v="3"/>
    <n v="0.73734989145247587"/>
  </r>
  <r>
    <n v="274"/>
    <x v="0"/>
    <n v="0.84209346678479835"/>
  </r>
  <r>
    <n v="275"/>
    <x v="1"/>
    <n v="0.82411373616204697"/>
  </r>
  <r>
    <n v="276"/>
    <x v="2"/>
    <n v="0.32279800151310711"/>
  </r>
  <r>
    <n v="278"/>
    <x v="2"/>
    <n v="0.28497426308286389"/>
  </r>
  <r>
    <n v="279"/>
    <x v="3"/>
    <n v="0.64037159887585293"/>
  </r>
  <r>
    <n v="280"/>
    <x v="2"/>
    <n v="0.56836448894980296"/>
  </r>
  <r>
    <n v="281"/>
    <x v="1"/>
    <n v="0.25336230987698399"/>
  </r>
  <r>
    <n v="282"/>
    <x v="0"/>
    <n v="0.49647200248056544"/>
  </r>
  <r>
    <n v="283"/>
    <x v="2"/>
    <n v="0.236549355245121"/>
  </r>
  <r>
    <n v="284"/>
    <x v="0"/>
    <n v="0.92217574448360595"/>
  </r>
  <r>
    <n v="285"/>
    <x v="3"/>
    <n v="0.409530251120448"/>
  </r>
  <r>
    <n v="286"/>
    <x v="2"/>
    <n v="0.2037648891680465"/>
  </r>
  <r>
    <n v="287"/>
    <x v="3"/>
    <n v="0.99781685013348964"/>
  </r>
  <r>
    <n v="288"/>
    <x v="0"/>
    <n v="0.87610512625171422"/>
  </r>
  <r>
    <n v="289"/>
    <x v="3"/>
    <n v="0.61311949925743847"/>
  </r>
  <r>
    <n v="290"/>
    <x v="2"/>
    <n v="0.11862403607328011"/>
  </r>
  <r>
    <n v="291"/>
    <x v="0"/>
    <n v="0.68520991140709997"/>
  </r>
  <r>
    <n v="292"/>
    <x v="0"/>
    <n v="0.63179412838573301"/>
  </r>
  <r>
    <n v="293"/>
    <x v="3"/>
    <n v="0.86845285414497209"/>
  </r>
  <r>
    <n v="294"/>
    <x v="1"/>
    <n v="2.1495257316331898E-2"/>
  </r>
  <r>
    <n v="295"/>
    <x v="1"/>
    <n v="0.26222676163081099"/>
  </r>
  <r>
    <n v="296"/>
    <x v="1"/>
    <n v="0.187987251583391"/>
  </r>
  <r>
    <n v="298"/>
    <x v="0"/>
    <n v="0.88559606019897197"/>
  </r>
  <r>
    <n v="299"/>
    <x v="0"/>
    <n v="0.78291149308458197"/>
  </r>
  <r>
    <n v="300"/>
    <x v="1"/>
    <n v="0.26480122684993801"/>
  </r>
  <r>
    <n v="301"/>
    <x v="1"/>
    <n v="6.1633401820854403E-2"/>
  </r>
  <r>
    <n v="302"/>
    <x v="3"/>
    <n v="1.252993673542022"/>
  </r>
  <r>
    <n v="303"/>
    <x v="1"/>
    <n v="0.28097194013579502"/>
  </r>
  <r>
    <n v="304"/>
    <x v="2"/>
    <n v="0.52606449504497566"/>
  </r>
  <r>
    <n v="305"/>
    <x v="2"/>
    <n v="0.71785341593872798"/>
  </r>
  <r>
    <n v="306"/>
    <x v="2"/>
    <n v="0.1086057793760245"/>
  </r>
  <r>
    <n v="307"/>
    <x v="0"/>
    <n v="0.4840035057581405"/>
  </r>
  <r>
    <n v="308"/>
    <x v="3"/>
    <n v="1.1423715316546299"/>
  </r>
  <r>
    <n v="309"/>
    <x v="2"/>
    <n v="0.26507731657856748"/>
  </r>
  <r>
    <n v="310"/>
    <x v="2"/>
    <n v="0.29887356418324301"/>
  </r>
  <r>
    <n v="311"/>
    <x v="2"/>
    <n v="0.31854306806438404"/>
  </r>
  <r>
    <n v="312"/>
    <x v="2"/>
    <n v="0.18038551729983071"/>
  </r>
  <r>
    <n v="313"/>
    <x v="2"/>
    <n v="0.38436223959838001"/>
  </r>
  <r>
    <n v="314"/>
    <x v="3"/>
    <n v="0.53326093521478612"/>
  </r>
  <r>
    <n v="315"/>
    <x v="0"/>
    <n v="0.80703523774311003"/>
  </r>
  <r>
    <n v="316"/>
    <x v="1"/>
    <n v="0.14497959347936501"/>
  </r>
  <r>
    <n v="317"/>
    <x v="1"/>
    <n v="8.0602358092400697E-3"/>
  </r>
  <r>
    <n v="318"/>
    <x v="0"/>
    <n v="0.78835268900986155"/>
  </r>
  <r>
    <n v="319"/>
    <x v="0"/>
    <n v="0.65559127158288066"/>
  </r>
  <r>
    <n v="320"/>
    <x v="1"/>
    <n v="0.25280326249962398"/>
  </r>
  <r>
    <n v="321"/>
    <x v="1"/>
    <n v="0.14957146980283401"/>
  </r>
  <r>
    <n v="322"/>
    <x v="0"/>
    <n v="0.30993222983454288"/>
  </r>
  <r>
    <n v="323"/>
    <x v="0"/>
    <n v="0.38747067918363148"/>
  </r>
  <r>
    <n v="324"/>
    <x v="2"/>
    <n v="0.750170458065894"/>
  </r>
  <r>
    <n v="325"/>
    <x v="0"/>
    <n v="0.68573895373555827"/>
  </r>
  <r>
    <n v="326"/>
    <x v="3"/>
    <n v="1.504188092727857"/>
  </r>
  <r>
    <n v="328"/>
    <x v="3"/>
    <n v="0.88787909746868698"/>
  </r>
  <r>
    <n v="329"/>
    <x v="0"/>
    <n v="0.39616298375162906"/>
  </r>
  <r>
    <n v="330"/>
    <x v="1"/>
    <n v="0.33703937703320602"/>
  </r>
  <r>
    <n v="331"/>
    <x v="2"/>
    <n v="7.7982323282860602E-2"/>
  </r>
  <r>
    <n v="332"/>
    <x v="0"/>
    <n v="0.45557555054539972"/>
  </r>
  <r>
    <n v="333"/>
    <x v="2"/>
    <n v="0.41043339828126102"/>
  </r>
  <r>
    <n v="334"/>
    <x v="1"/>
    <n v="0.126966797117326"/>
  </r>
  <r>
    <n v="335"/>
    <x v="0"/>
    <n v="0.61098905150762861"/>
  </r>
  <r>
    <n v="336"/>
    <x v="2"/>
    <n v="7.3369851716293705E-2"/>
  </r>
  <r>
    <n v="337"/>
    <x v="2"/>
    <n v="0.34538321188723936"/>
  </r>
  <r>
    <n v="338"/>
    <x v="2"/>
    <n v="0.34698656146744072"/>
  </r>
  <r>
    <n v="339"/>
    <x v="2"/>
    <n v="0.8590043683558839"/>
  </r>
  <r>
    <n v="341"/>
    <x v="2"/>
    <n v="0.39916287105863901"/>
  </r>
  <r>
    <n v="342"/>
    <x v="0"/>
    <n v="0.46571373116370995"/>
  </r>
  <r>
    <n v="343"/>
    <x v="2"/>
    <n v="0.4606612244667751"/>
  </r>
  <r>
    <n v="344"/>
    <x v="0"/>
    <n v="0.61409611197531022"/>
  </r>
  <r>
    <n v="345"/>
    <x v="2"/>
    <n v="0.34786521623622801"/>
  </r>
  <r>
    <n v="346"/>
    <x v="0"/>
    <n v="0.80689831867488593"/>
  </r>
  <r>
    <n v="348"/>
    <x v="2"/>
    <n v="0.339662147402856"/>
  </r>
  <r>
    <n v="349"/>
    <x v="0"/>
    <n v="0.56971707007380801"/>
  </r>
  <r>
    <n v="350"/>
    <x v="2"/>
    <n v="0.41130642851518801"/>
  </r>
  <r>
    <n v="351"/>
    <x v="0"/>
    <n v="0.424117197750981"/>
  </r>
  <r>
    <n v="353"/>
    <x v="2"/>
    <n v="0.19964771956555089"/>
  </r>
  <r>
    <n v="354"/>
    <x v="0"/>
    <n v="0.42156436807340408"/>
  </r>
  <r>
    <n v="355"/>
    <x v="2"/>
    <n v="9.4307484916407308E-2"/>
  </r>
  <r>
    <n v="357"/>
    <x v="2"/>
    <n v="0.25806209708335903"/>
  </r>
  <r>
    <n v="358"/>
    <x v="2"/>
    <n v="0.49128985421287497"/>
  </r>
  <r>
    <n v="359"/>
    <x v="0"/>
    <n v="0.47011565094490404"/>
  </r>
  <r>
    <n v="360"/>
    <x v="1"/>
    <n v="0.19925786310087101"/>
  </r>
  <r>
    <n v="361"/>
    <x v="0"/>
    <n v="0.4382667915140897"/>
  </r>
  <r>
    <n v="362"/>
    <x v="0"/>
    <n v="0.47899953913334903"/>
  </r>
  <r>
    <n v="363"/>
    <x v="1"/>
    <n v="0.13434926768798899"/>
  </r>
  <r>
    <n v="364"/>
    <x v="0"/>
    <n v="0.27719569021598589"/>
  </r>
  <r>
    <n v="365"/>
    <x v="0"/>
    <n v="0.32571057440998818"/>
  </r>
  <r>
    <n v="366"/>
    <x v="1"/>
    <n v="0.133284229339204"/>
  </r>
  <r>
    <n v="367"/>
    <x v="0"/>
    <n v="0.38520853861323889"/>
  </r>
  <r>
    <n v="368"/>
    <x v="3"/>
    <n v="0.37075709478378127"/>
  </r>
  <r>
    <n v="369"/>
    <x v="2"/>
    <n v="0.30948632734326997"/>
  </r>
  <r>
    <n v="370"/>
    <x v="2"/>
    <n v="0.43680670500263169"/>
  </r>
  <r>
    <n v="371"/>
    <x v="2"/>
    <n v="0.296625854262064"/>
  </r>
  <r>
    <n v="372"/>
    <x v="0"/>
    <n v="0.35335469932857266"/>
  </r>
  <r>
    <n v="373"/>
    <x v="1"/>
    <n v="0.20091866680826601"/>
  </r>
  <r>
    <n v="374"/>
    <x v="2"/>
    <n v="0.57812536885955657"/>
  </r>
  <r>
    <n v="375"/>
    <x v="2"/>
    <n v="0.43976077402444003"/>
  </r>
  <r>
    <n v="377"/>
    <x v="1"/>
    <n v="0.15689731181883901"/>
  </r>
  <r>
    <n v="378"/>
    <x v="0"/>
    <n v="0.40543344060147801"/>
  </r>
  <r>
    <n v="379"/>
    <x v="0"/>
    <n v="0.599100992259055"/>
  </r>
  <r>
    <n v="381"/>
    <x v="2"/>
    <n v="0.39202543571686804"/>
  </r>
  <r>
    <n v="382"/>
    <x v="1"/>
    <n v="0.213296403376984"/>
  </r>
  <r>
    <n v="383"/>
    <x v="0"/>
    <n v="0.84996076002860199"/>
  </r>
  <r>
    <n v="384"/>
    <x v="1"/>
    <n v="0.33932585102914897"/>
  </r>
  <r>
    <n v="385"/>
    <x v="2"/>
    <n v="0.3393775494324095"/>
  </r>
  <r>
    <n v="386"/>
    <x v="1"/>
    <n v="0.63437632147206002"/>
  </r>
  <r>
    <n v="387"/>
    <x v="0"/>
    <n v="0.56458172343719604"/>
  </r>
  <r>
    <n v="388"/>
    <x v="0"/>
    <n v="0.30006332789388201"/>
  </r>
  <r>
    <n v="389"/>
    <x v="0"/>
    <n v="0.66069603616302475"/>
  </r>
  <r>
    <n v="390"/>
    <x v="0"/>
    <n v="0.83651048815156503"/>
  </r>
  <r>
    <n v="392"/>
    <x v="0"/>
    <n v="0.29760248141042883"/>
  </r>
  <r>
    <n v="393"/>
    <x v="2"/>
    <n v="0.14266803373354731"/>
  </r>
  <r>
    <n v="394"/>
    <x v="1"/>
    <n v="0.12128868058079"/>
  </r>
  <r>
    <n v="395"/>
    <x v="0"/>
    <n v="0.64623183258111905"/>
  </r>
  <r>
    <n v="396"/>
    <x v="0"/>
    <n v="0.39758412078555938"/>
  </r>
  <r>
    <n v="397"/>
    <x v="0"/>
    <n v="0.38478049042989027"/>
  </r>
  <r>
    <n v="398"/>
    <x v="0"/>
    <n v="0.46246340035384698"/>
  </r>
  <r>
    <n v="399"/>
    <x v="0"/>
    <n v="0.78016360766441384"/>
  </r>
  <r>
    <n v="402"/>
    <x v="0"/>
    <n v="0.60505785419512226"/>
  </r>
  <r>
    <n v="403"/>
    <x v="1"/>
    <n v="0.30928498322617198"/>
  </r>
  <r>
    <n v="404"/>
    <x v="2"/>
    <n v="0.34450961261469804"/>
  </r>
  <r>
    <n v="405"/>
    <x v="2"/>
    <n v="0.30469191421744801"/>
  </r>
  <r>
    <n v="406"/>
    <x v="2"/>
    <n v="0.29828975123196433"/>
  </r>
  <r>
    <n v="407"/>
    <x v="2"/>
    <n v="0.48498115098085176"/>
  </r>
  <r>
    <n v="408"/>
    <x v="3"/>
    <n v="1.3866702178757229"/>
  </r>
  <r>
    <n v="409"/>
    <x v="0"/>
    <n v="0.29191958891547753"/>
  </r>
  <r>
    <n v="410"/>
    <x v="2"/>
    <n v="0.12849942292456801"/>
  </r>
  <r>
    <n v="411"/>
    <x v="0"/>
    <n v="0.33902818095481113"/>
  </r>
  <r>
    <n v="412"/>
    <x v="1"/>
    <n v="0.18653602130746499"/>
  </r>
  <r>
    <n v="413"/>
    <x v="0"/>
    <n v="0.31959785983462952"/>
  </r>
  <r>
    <n v="414"/>
    <x v="2"/>
    <n v="0.44349604936148201"/>
  </r>
  <r>
    <n v="415"/>
    <x v="0"/>
    <n v="0.35339431004908439"/>
  </r>
  <r>
    <n v="416"/>
    <x v="0"/>
    <n v="0.81734473865642299"/>
  </r>
  <r>
    <n v="417"/>
    <x v="1"/>
    <n v="9.9402818561252299E-2"/>
  </r>
  <r>
    <n v="418"/>
    <x v="0"/>
    <n v="0.61312209285914143"/>
  </r>
  <r>
    <n v="419"/>
    <x v="2"/>
    <n v="0.85055678560336401"/>
  </r>
  <r>
    <n v="420"/>
    <x v="3"/>
    <n v="0.51523715638086176"/>
  </r>
  <r>
    <n v="421"/>
    <x v="2"/>
    <n v="0.87490409772285904"/>
  </r>
  <r>
    <n v="422"/>
    <x v="2"/>
    <n v="0.37490440815568399"/>
  </r>
  <r>
    <n v="423"/>
    <x v="2"/>
    <n v="0.47712793815299204"/>
  </r>
  <r>
    <n v="424"/>
    <x v="0"/>
    <n v="0.5247535087778108"/>
  </r>
  <r>
    <n v="425"/>
    <x v="1"/>
    <n v="4.0655198771845202E-2"/>
  </r>
  <r>
    <n v="426"/>
    <x v="2"/>
    <n v="0.90131191227256702"/>
  </r>
  <r>
    <n v="427"/>
    <x v="0"/>
    <n v="0.44791954818148483"/>
  </r>
  <r>
    <n v="428"/>
    <x v="2"/>
    <n v="0.284256700361116"/>
  </r>
  <r>
    <n v="429"/>
    <x v="0"/>
    <n v="0.41143145557658783"/>
  </r>
  <r>
    <n v="430"/>
    <x v="1"/>
    <n v="7.7815501759205902E-2"/>
  </r>
  <r>
    <n v="431"/>
    <x v="1"/>
    <n v="0.242334112542687"/>
  </r>
  <r>
    <n v="432"/>
    <x v="2"/>
    <n v="0.18589756527009599"/>
  </r>
  <r>
    <n v="433"/>
    <x v="0"/>
    <n v="0.50515328033418694"/>
  </r>
  <r>
    <n v="435"/>
    <x v="0"/>
    <n v="0.70476353172709705"/>
  </r>
  <r>
    <n v="436"/>
    <x v="2"/>
    <n v="0.360560753279692"/>
  </r>
  <r>
    <n v="437"/>
    <x v="0"/>
    <n v="0.53622704143624889"/>
  </r>
  <r>
    <n v="438"/>
    <x v="2"/>
    <n v="0.53432549827514708"/>
  </r>
  <r>
    <n v="439"/>
    <x v="0"/>
    <n v="0.21941946397697062"/>
  </r>
  <r>
    <n v="440"/>
    <x v="0"/>
    <n v="0.37764552702479298"/>
  </r>
  <r>
    <n v="441"/>
    <x v="0"/>
    <n v="0.72586583992410902"/>
  </r>
  <r>
    <n v="442"/>
    <x v="2"/>
    <n v="0.23144098021301718"/>
  </r>
  <r>
    <n v="443"/>
    <x v="2"/>
    <n v="0.25936976796455352"/>
  </r>
  <r>
    <n v="444"/>
    <x v="0"/>
    <n v="0.3095817256442791"/>
  </r>
  <r>
    <n v="445"/>
    <x v="1"/>
    <n v="0.30076193149040598"/>
  </r>
  <r>
    <n v="446"/>
    <x v="2"/>
    <n v="0.6008471973548235"/>
  </r>
  <r>
    <n v="447"/>
    <x v="1"/>
    <n v="0.20612645205314301"/>
  </r>
  <r>
    <n v="448"/>
    <x v="0"/>
    <n v="0.75129365125375902"/>
  </r>
  <r>
    <n v="449"/>
    <x v="0"/>
    <n v="0.83812871683005752"/>
  </r>
  <r>
    <n v="450"/>
    <x v="2"/>
    <n v="9.9870307406606101E-2"/>
  </r>
  <r>
    <n v="451"/>
    <x v="2"/>
    <n v="0.25530736887437139"/>
  </r>
  <r>
    <n v="452"/>
    <x v="0"/>
    <n v="0.42044421238487883"/>
  </r>
  <r>
    <n v="453"/>
    <x v="0"/>
    <n v="0.90057092311680997"/>
  </r>
  <r>
    <n v="454"/>
    <x v="3"/>
    <n v="0.80315177633396662"/>
  </r>
  <r>
    <n v="455"/>
    <x v="0"/>
    <n v="0.69053180087943367"/>
  </r>
  <r>
    <n v="456"/>
    <x v="1"/>
    <n v="0.19994826296866999"/>
  </r>
  <r>
    <n v="457"/>
    <x v="1"/>
    <n v="9.9580936557146102E-2"/>
  </r>
  <r>
    <n v="458"/>
    <x v="1"/>
    <n v="0.304171886925581"/>
  </r>
  <r>
    <n v="459"/>
    <x v="0"/>
    <n v="0.35563622176011389"/>
  </r>
  <r>
    <n v="460"/>
    <x v="0"/>
    <n v="0.51181596712104205"/>
  </r>
  <r>
    <n v="462"/>
    <x v="2"/>
    <n v="0.1381908196855379"/>
  </r>
  <r>
    <n v="463"/>
    <x v="2"/>
    <n v="0.70591868415905601"/>
  </r>
  <r>
    <n v="464"/>
    <x v="0"/>
    <n v="1.0262475278698659"/>
  </r>
  <r>
    <n v="465"/>
    <x v="2"/>
    <n v="0.16863921311384922"/>
  </r>
  <r>
    <n v="466"/>
    <x v="0"/>
    <n v="0.30266636914997852"/>
  </r>
  <r>
    <n v="467"/>
    <x v="0"/>
    <n v="0.60792479095591201"/>
  </r>
  <r>
    <n v="468"/>
    <x v="2"/>
    <n v="0.15514228284203629"/>
  </r>
  <r>
    <n v="469"/>
    <x v="0"/>
    <n v="0.45137536385824573"/>
  </r>
  <r>
    <n v="470"/>
    <x v="1"/>
    <n v="0.21704647726408099"/>
  </r>
  <r>
    <n v="471"/>
    <x v="0"/>
    <n v="0.32551078355588398"/>
  </r>
  <r>
    <n v="472"/>
    <x v="1"/>
    <n v="4.72128236364271E-2"/>
  </r>
  <r>
    <n v="473"/>
    <x v="2"/>
    <n v="0.58772362614379903"/>
  </r>
  <r>
    <n v="474"/>
    <x v="1"/>
    <n v="0.18320105550049001"/>
  </r>
  <r>
    <n v="475"/>
    <x v="2"/>
    <n v="0.40798919613485801"/>
  </r>
  <r>
    <n v="476"/>
    <x v="2"/>
    <n v="0.46562175692185803"/>
  </r>
  <r>
    <n v="477"/>
    <x v="2"/>
    <n v="0.54821622900635103"/>
  </r>
  <r>
    <n v="478"/>
    <x v="3"/>
    <n v="0.23788379195559728"/>
  </r>
  <r>
    <n v="479"/>
    <x v="0"/>
    <n v="0.53173076684930953"/>
  </r>
  <r>
    <n v="480"/>
    <x v="2"/>
    <n v="0.34754941833566372"/>
  </r>
  <r>
    <n v="481"/>
    <x v="0"/>
    <n v="0.76269522466054096"/>
  </r>
  <r>
    <n v="482"/>
    <x v="1"/>
    <n v="8.8992199025072494E-2"/>
  </r>
  <r>
    <n v="483"/>
    <x v="0"/>
    <n v="0.35856428478526836"/>
  </r>
  <r>
    <n v="484"/>
    <x v="2"/>
    <n v="0.68099357773037217"/>
  </r>
  <r>
    <n v="485"/>
    <x v="1"/>
    <n v="0.41012184604528801"/>
  </r>
  <r>
    <n v="486"/>
    <x v="0"/>
    <n v="0.82809521125943852"/>
  </r>
  <r>
    <n v="487"/>
    <x v="0"/>
    <n v="0.36114500653383513"/>
  </r>
  <r>
    <n v="488"/>
    <x v="2"/>
    <n v="0.22489824985329498"/>
  </r>
  <r>
    <n v="489"/>
    <x v="2"/>
    <n v="0.28567964772018395"/>
  </r>
  <r>
    <n v="490"/>
    <x v="1"/>
    <n v="0.15915206418130701"/>
  </r>
  <r>
    <n v="492"/>
    <x v="3"/>
    <n v="1.3381187526315728"/>
  </r>
  <r>
    <n v="493"/>
    <x v="2"/>
    <n v="0.20313634907867539"/>
  </r>
  <r>
    <n v="494"/>
    <x v="2"/>
    <n v="0.28873232022503598"/>
  </r>
  <r>
    <n v="495"/>
    <x v="0"/>
    <n v="0.60205508382180706"/>
  </r>
  <r>
    <n v="497"/>
    <x v="0"/>
    <n v="0.72054495608612201"/>
  </r>
  <r>
    <n v="498"/>
    <x v="3"/>
    <n v="0.58384345733563703"/>
  </r>
  <r>
    <n v="499"/>
    <x v="2"/>
    <n v="0.50491169346815801"/>
  </r>
  <r>
    <n v="500"/>
    <x v="1"/>
    <n v="7.4066375877259893E-2"/>
  </r>
  <r>
    <n v="11"/>
    <x v="4"/>
    <n v="0"/>
  </r>
  <r>
    <n v="24"/>
    <x v="4"/>
    <n v="0"/>
  </r>
  <r>
    <n v="31"/>
    <x v="4"/>
    <n v="0"/>
  </r>
  <r>
    <n v="87"/>
    <x v="4"/>
    <n v="0"/>
  </r>
  <r>
    <n v="126"/>
    <x v="4"/>
    <n v="0"/>
  </r>
  <r>
    <n v="139"/>
    <x v="4"/>
    <n v="0"/>
  </r>
  <r>
    <n v="193"/>
    <x v="4"/>
    <n v="0"/>
  </r>
  <r>
    <n v="202"/>
    <x v="4"/>
    <n v="0"/>
  </r>
  <r>
    <n v="222"/>
    <x v="4"/>
    <n v="0"/>
  </r>
  <r>
    <n v="248"/>
    <x v="4"/>
    <n v="0"/>
  </r>
  <r>
    <n v="249"/>
    <x v="4"/>
    <n v="0"/>
  </r>
  <r>
    <n v="277"/>
    <x v="4"/>
    <n v="0"/>
  </r>
  <r>
    <n v="297"/>
    <x v="4"/>
    <n v="0"/>
  </r>
  <r>
    <n v="327"/>
    <x v="4"/>
    <n v="0"/>
  </r>
  <r>
    <n v="340"/>
    <x v="4"/>
    <n v="0"/>
  </r>
  <r>
    <n v="347"/>
    <x v="4"/>
    <n v="0"/>
  </r>
  <r>
    <n v="352"/>
    <x v="4"/>
    <n v="0"/>
  </r>
  <r>
    <n v="356"/>
    <x v="4"/>
    <n v="0"/>
  </r>
  <r>
    <n v="376"/>
    <x v="4"/>
    <n v="0"/>
  </r>
  <r>
    <n v="380"/>
    <x v="4"/>
    <n v="0"/>
  </r>
  <r>
    <n v="391"/>
    <x v="4"/>
    <n v="0"/>
  </r>
  <r>
    <n v="400"/>
    <x v="4"/>
    <n v="0"/>
  </r>
  <r>
    <n v="401"/>
    <x v="4"/>
    <n v="0"/>
  </r>
  <r>
    <n v="434"/>
    <x v="4"/>
    <n v="0"/>
  </r>
  <r>
    <n v="461"/>
    <x v="4"/>
    <n v="0"/>
  </r>
  <r>
    <n v="491"/>
    <x v="4"/>
    <n v="0"/>
  </r>
  <r>
    <n v="496"/>
    <x v="4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83489-326C-0D4E-98D3-9DD4B64DA6C6}" name="ClaimFrequencyDistribution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9" rowHeaderCaption="ClaimCount">
  <location ref="G4:H10" firstHeaderRow="1" firstDataRow="1" firstDataCol="1"/>
  <pivotFields count="3">
    <pivotField dataField="1" showAll="0"/>
    <pivotField axis="axisRow" showAll="0">
      <items count="36">
        <item x="4"/>
        <item x="1"/>
        <item x="2"/>
        <item x="0"/>
        <item x="3"/>
        <item m="1" x="7"/>
        <item m="1" x="20"/>
        <item m="1" x="17"/>
        <item m="1" x="14"/>
        <item m="1" x="11"/>
        <item m="1" x="18"/>
        <item m="1" x="5"/>
        <item m="1" x="19"/>
        <item m="1" x="8"/>
        <item m="1" x="6"/>
        <item m="1" x="9"/>
        <item m="1" x="13"/>
        <item m="1" x="21"/>
        <item m="1" x="16"/>
        <item m="1" x="15"/>
        <item m="1" x="10"/>
        <item m="1" x="22"/>
        <item m="1" x="12"/>
        <item m="1" x="25"/>
        <item m="1" x="27"/>
        <item m="1" x="24"/>
        <item m="1" x="23"/>
        <item m="1" x="28"/>
        <item m="1" x="29"/>
        <item m="1" x="26"/>
        <item m="1" x="30"/>
        <item m="1" x="31"/>
        <item m="1" x="32"/>
        <item m="1" x="33"/>
        <item m="1" x="34"/>
        <item t="default"/>
      </items>
    </pivotField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NumberOfPolicies" fld="0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7">
    <queryTableFields count="3">
      <queryTableField id="1" name="PolicyID" tableColumnId="1"/>
      <queryTableField id="5" name="ClaimCount" tableColumnId="5"/>
      <queryTableField id="6" name="TotalClaimAm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ADE995-C071-3048-BEAA-4B3D5BDAC48B}" name="Table1" displayName="Table1" ref="C12:G13" totalsRowShown="0" headerRowDxfId="19" dataDxfId="18">
  <autoFilter ref="C12:G13" xr:uid="{39ADE995-C071-3048-BEAA-4B3D5BDAC4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F6FC60E-0885-1C4D-AE8F-6F88C4EDF7D2}" name="Distribution" dataDxfId="17"/>
    <tableColumn id="2" xr3:uid="{7A4CA58E-3D3F-344C-8CA6-9B018C99B905}" name="alpha" dataDxfId="16"/>
    <tableColumn id="3" xr3:uid="{BBFCFCE8-5220-FB48-AB68-4AB2B2980070}" name="theta" dataDxfId="15"/>
    <tableColumn id="4" xr3:uid="{6B4EA9C3-276F-B149-A226-02669DFF1507}" name="mu" dataDxfId="14"/>
    <tableColumn id="5" xr3:uid="{823BC13A-DE0E-F54E-AB4B-C02DF0C471AB}" name="sigma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D4B616-023E-6142-92C7-F801192610CB}" name="Table2" displayName="Table2" ref="C8:F9" totalsRowShown="0" headerRowDxfId="12" dataDxfId="11">
  <autoFilter ref="C8:F9" xr:uid="{D3D4B616-023E-6142-92C7-F801192610CB}">
    <filterColumn colId="0" hiddenButton="1"/>
    <filterColumn colId="1" hiddenButton="1"/>
    <filterColumn colId="2" hiddenButton="1"/>
    <filterColumn colId="3" hiddenButton="1"/>
  </autoFilter>
  <tableColumns count="4">
    <tableColumn id="1" xr3:uid="{4B3D08E4-E2FD-244F-8194-C553D6C728B6}" name="Distribution" dataDxfId="10"/>
    <tableColumn id="2" xr3:uid="{7CFF1423-B657-194C-A88D-9928997125D7}" name="lambda" dataDxfId="9"/>
    <tableColumn id="3" xr3:uid="{A2F8E966-51E7-5C42-85DC-404DC9EAE218}" name="p" dataDxfId="8"/>
    <tableColumn id="4" xr3:uid="{21B240FC-4FAC-B542-8377-3BE98D34D662}" name="trials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8" totalsRowShown="0" headerRowCellStyle="Normal">
  <autoFilter ref="A4:C8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LevelAggregate" displayName="TblPolicyLevelAggregate" ref="A1:C501" tableType="queryTable" totalsRowShown="0">
  <autoFilter ref="A1:C501" xr:uid="{6FD60C7A-11CB-D64A-9178-3665ED20C177}"/>
  <tableColumns count="3">
    <tableColumn id="1" xr3:uid="{5DE5B291-796D-7045-BFD1-5A9B4FB90FEE}" uniqueName="1" name="PolicyID" queryTableFieldId="1"/>
    <tableColumn id="5" xr3:uid="{8847E856-0F77-8A48-B37D-4CF5AF451F69}" uniqueName="5" name="ClaimCount" queryTableFieldId="5"/>
    <tableColumn id="2" xr3:uid="{8C80CA43-B24B-2640-9405-11039249EA3E}" uniqueName="2" name="TotalClaimAmou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1080" tableType="queryTable" totalsRowShown="0">
  <autoFilter ref="A1:F1080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>
    <pageSetUpPr fitToPage="1"/>
  </sheetPr>
  <dimension ref="C3:W33"/>
  <sheetViews>
    <sheetView showGridLines="0" tabSelected="1" zoomScale="75" zoomScaleNormal="100" zoomScalePageLayoutView="71" workbookViewId="0">
      <selection activeCell="K8" sqref="K8"/>
    </sheetView>
  </sheetViews>
  <sheetFormatPr baseColWidth="10" defaultRowHeight="16" x14ac:dyDescent="0.2"/>
  <cols>
    <col min="1" max="2" width="3.83203125" style="8" customWidth="1"/>
    <col min="3" max="3" width="13.5" style="8" customWidth="1"/>
    <col min="4" max="4" width="17.33203125" style="8" bestFit="1" customWidth="1"/>
    <col min="5" max="5" width="10.83203125" style="8" customWidth="1"/>
    <col min="6" max="6" width="11.1640625" style="8" customWidth="1"/>
    <col min="7" max="7" width="16.1640625" style="8" bestFit="1" customWidth="1"/>
    <col min="8" max="8" width="10.83203125" style="8" customWidth="1"/>
    <col min="9" max="9" width="10.83203125" style="8"/>
    <col min="10" max="10" width="10.83203125" style="8" customWidth="1"/>
    <col min="11" max="11" width="16.1640625" style="8" bestFit="1" customWidth="1"/>
    <col min="12" max="14" width="3.83203125" style="8" customWidth="1"/>
    <col min="15" max="15" width="13.5" style="8" customWidth="1"/>
    <col min="16" max="16" width="17.33203125" style="8" bestFit="1" customWidth="1"/>
    <col min="17" max="17" width="10.83203125" style="8"/>
    <col min="18" max="18" width="11.1640625" style="8" customWidth="1"/>
    <col min="19" max="19" width="10.83203125" style="8" customWidth="1"/>
    <col min="20" max="20" width="16.1640625" style="8" bestFit="1" customWidth="1"/>
    <col min="21" max="21" width="10.83203125" style="8"/>
    <col min="22" max="22" width="11.1640625" style="8" customWidth="1"/>
    <col min="23" max="23" width="16.1640625" style="8" bestFit="1" customWidth="1"/>
    <col min="24" max="25" width="3.83203125" style="8" customWidth="1"/>
    <col min="26" max="27" width="10.83203125" style="8"/>
    <col min="28" max="29" width="10.83203125" style="8" customWidth="1"/>
    <col min="30" max="31" width="10.83203125" style="8"/>
    <col min="32" max="32" width="10.83203125" style="8" customWidth="1"/>
    <col min="33" max="33" width="10.83203125" style="8"/>
    <col min="34" max="35" width="10.83203125" style="8" customWidth="1"/>
    <col min="36" max="16384" width="10.83203125" style="8"/>
  </cols>
  <sheetData>
    <row r="3" spans="3:23" ht="27" x14ac:dyDescent="0.35">
      <c r="C3" s="36"/>
      <c r="D3" s="36"/>
      <c r="E3" s="36"/>
      <c r="F3" s="36"/>
      <c r="G3" s="36"/>
      <c r="H3" s="36"/>
      <c r="I3" s="36"/>
      <c r="J3" s="36"/>
      <c r="K3"/>
      <c r="L3" s="7"/>
      <c r="M3" s="7"/>
      <c r="O3" s="34" t="s">
        <v>41</v>
      </c>
      <c r="P3" s="34"/>
      <c r="Q3" s="34"/>
      <c r="R3" s="34"/>
      <c r="S3" s="34"/>
      <c r="T3" s="34"/>
      <c r="U3" s="34"/>
      <c r="V3" s="34"/>
      <c r="W3" s="34"/>
    </row>
    <row r="6" spans="3:23" ht="19" x14ac:dyDescent="0.25">
      <c r="O6" s="35" t="s">
        <v>16</v>
      </c>
      <c r="P6" s="35"/>
      <c r="Q6" s="9"/>
    </row>
    <row r="7" spans="3:23" ht="19" x14ac:dyDescent="0.25">
      <c r="C7" s="24" t="s">
        <v>41</v>
      </c>
      <c r="O7" s="18" t="s">
        <v>17</v>
      </c>
      <c r="P7" s="28">
        <f>AVERAGE(TblPolicyLevelAggregate[ClaimCount])</f>
        <v>2.1579999999999999</v>
      </c>
    </row>
    <row r="8" spans="3:23" x14ac:dyDescent="0.2">
      <c r="C8" s="8" t="s">
        <v>3</v>
      </c>
      <c r="D8" s="8" t="s">
        <v>4</v>
      </c>
      <c r="E8" s="8" t="s">
        <v>5</v>
      </c>
      <c r="F8" s="8" t="s">
        <v>15</v>
      </c>
      <c r="H8" s="26"/>
      <c r="O8" s="16" t="s">
        <v>44</v>
      </c>
      <c r="P8" s="29">
        <f>MEDIAN(TblPolicyLevelAggregate[ClaimCount])</f>
        <v>2</v>
      </c>
    </row>
    <row r="9" spans="3:23" x14ac:dyDescent="0.2">
      <c r="C9" t="s">
        <v>620</v>
      </c>
      <c r="D9" s="8">
        <v>2</v>
      </c>
      <c r="E9" s="8">
        <v>0.54</v>
      </c>
      <c r="F9" s="8">
        <v>4</v>
      </c>
      <c r="O9" s="30" t="s">
        <v>51</v>
      </c>
      <c r="P9" s="28">
        <f>_xlfn.STDEV.S(TblPolicyLevelAggregate[ClaimCount])</f>
        <v>0.97926191992522171</v>
      </c>
    </row>
    <row r="10" spans="3:23" x14ac:dyDescent="0.2">
      <c r="O10" s="16" t="s">
        <v>30</v>
      </c>
      <c r="P10" s="32">
        <f>MIN(TblPolicyLevelAggregate[ClaimCount])</f>
        <v>0</v>
      </c>
    </row>
    <row r="11" spans="3:23" ht="19" x14ac:dyDescent="0.25">
      <c r="C11" s="24" t="s">
        <v>42</v>
      </c>
      <c r="O11" s="18" t="s">
        <v>31</v>
      </c>
      <c r="P11" s="33">
        <f>MAX(TblPolicyLevelAggregate[ClaimCount])</f>
        <v>4</v>
      </c>
    </row>
    <row r="12" spans="3:23" x14ac:dyDescent="0.2">
      <c r="C12" s="8" t="s">
        <v>3</v>
      </c>
      <c r="D12" s="8" t="s">
        <v>6</v>
      </c>
      <c r="E12" s="8" t="s">
        <v>7</v>
      </c>
      <c r="F12" s="8" t="s">
        <v>8</v>
      </c>
      <c r="G12" s="8" t="s">
        <v>9</v>
      </c>
      <c r="J12" s="27"/>
      <c r="O12" s="31" t="s">
        <v>53</v>
      </c>
      <c r="P12" s="32">
        <f>COUNTIF(TblPolicyLevelAggregate[ClaimCount], "=0")</f>
        <v>27</v>
      </c>
    </row>
    <row r="13" spans="3:23" x14ac:dyDescent="0.2">
      <c r="C13" s="8" t="s">
        <v>54</v>
      </c>
      <c r="D13" s="8">
        <v>2</v>
      </c>
      <c r="E13" s="8">
        <v>10</v>
      </c>
      <c r="F13" s="8">
        <v>10</v>
      </c>
      <c r="G13" s="8">
        <v>3</v>
      </c>
      <c r="O13" s="18" t="s">
        <v>32</v>
      </c>
      <c r="P13" s="33">
        <f>COUNT(claimSimResults[PolicyID])</f>
        <v>1079</v>
      </c>
    </row>
    <row r="15" spans="3:23" x14ac:dyDescent="0.2">
      <c r="O15" s="11" t="s">
        <v>49</v>
      </c>
      <c r="P15" s="11" t="s">
        <v>48</v>
      </c>
    </row>
    <row r="16" spans="3:23" x14ac:dyDescent="0.2">
      <c r="O16" s="12">
        <v>25</v>
      </c>
      <c r="P16" s="16">
        <f>_xlfn.PERCENTILE.EXC(TblPolicyLevelAggregate[ClaimCount], O16/100)</f>
        <v>2</v>
      </c>
    </row>
    <row r="17" spans="3:23" ht="19" x14ac:dyDescent="0.25">
      <c r="C17" s="25" t="s">
        <v>55</v>
      </c>
      <c r="O17" s="14">
        <v>50</v>
      </c>
      <c r="P17" s="18">
        <f>_xlfn.PERCENTILE.EXC(TblPolicyLevelAggregate[ClaimCount], O17/100)</f>
        <v>2</v>
      </c>
    </row>
    <row r="18" spans="3:23" ht="19" x14ac:dyDescent="0.25">
      <c r="C18" s="25" t="s">
        <v>61</v>
      </c>
      <c r="O18" s="12">
        <v>75</v>
      </c>
      <c r="P18" s="16">
        <f>_xlfn.PERCENTILE.EXC(TblPolicyLevelAggregate[ClaimCount], O18/100)</f>
        <v>3</v>
      </c>
    </row>
    <row r="19" spans="3:23" ht="19" x14ac:dyDescent="0.25">
      <c r="C19" s="25" t="s">
        <v>56</v>
      </c>
      <c r="O19" s="14">
        <v>90</v>
      </c>
      <c r="P19" s="18">
        <f>_xlfn.PERCENTILE.EXC(TblPolicyLevelAggregate[ClaimCount], O19/100)</f>
        <v>3</v>
      </c>
    </row>
    <row r="20" spans="3:23" x14ac:dyDescent="0.2">
      <c r="O20" s="12">
        <v>99</v>
      </c>
      <c r="P20" s="16">
        <f>_xlfn.PERCENTILE.EXC(TblPolicyLevelAggregate[ClaimCount], O20/100)</f>
        <v>4</v>
      </c>
    </row>
    <row r="21" spans="3:23" x14ac:dyDescent="0.2">
      <c r="O21" s="7"/>
    </row>
    <row r="22" spans="3:23" x14ac:dyDescent="0.2">
      <c r="O22" s="7"/>
    </row>
    <row r="24" spans="3:23" ht="27" x14ac:dyDescent="0.35">
      <c r="C24" s="34" t="s">
        <v>42</v>
      </c>
      <c r="D24" s="34"/>
      <c r="E24" s="34"/>
      <c r="F24" s="34"/>
      <c r="G24" s="34"/>
      <c r="H24" s="34"/>
      <c r="I24" s="34"/>
      <c r="J24" s="34"/>
      <c r="K24" s="34"/>
      <c r="L24" s="7"/>
      <c r="M24" s="7"/>
      <c r="O24" s="34" t="s">
        <v>50</v>
      </c>
      <c r="P24" s="34"/>
      <c r="Q24" s="34"/>
      <c r="R24" s="34"/>
      <c r="S24" s="34"/>
      <c r="T24" s="34"/>
      <c r="U24" s="34"/>
      <c r="V24" s="34"/>
      <c r="W24" s="34"/>
    </row>
    <row r="27" spans="3:23" ht="19" x14ac:dyDescent="0.25">
      <c r="C27" s="35" t="s">
        <v>16</v>
      </c>
      <c r="D27" s="35"/>
      <c r="F27" s="35" t="s">
        <v>33</v>
      </c>
      <c r="G27" s="35"/>
      <c r="H27" s="35"/>
      <c r="O27" s="35" t="s">
        <v>16</v>
      </c>
      <c r="P27" s="35"/>
      <c r="R27" s="35" t="s">
        <v>57</v>
      </c>
      <c r="S27" s="35"/>
      <c r="T27" s="35"/>
    </row>
    <row r="28" spans="3:23" x14ac:dyDescent="0.2">
      <c r="C28" s="18" t="s">
        <v>17</v>
      </c>
      <c r="D28" s="19">
        <f>AVERAGE(claimSimResults[ValidClaimAmount])</f>
        <v>0.19250588398198348</v>
      </c>
      <c r="F28" s="11" t="s">
        <v>47</v>
      </c>
      <c r="G28" s="11" t="s">
        <v>45</v>
      </c>
      <c r="H28" s="11" t="s">
        <v>46</v>
      </c>
      <c r="J28" s="11" t="s">
        <v>49</v>
      </c>
      <c r="K28" s="11" t="s">
        <v>45</v>
      </c>
      <c r="O28" s="18" t="s">
        <v>17</v>
      </c>
      <c r="P28" s="19">
        <f>AVERAGE(TblPolicyLevelAggregate[TotalClaimAmount])</f>
        <v>0.41542769763312065</v>
      </c>
      <c r="R28" s="11" t="s">
        <v>47</v>
      </c>
      <c r="S28" s="11" t="s">
        <v>48</v>
      </c>
      <c r="T28" s="11" t="s">
        <v>36</v>
      </c>
      <c r="V28" s="11" t="s">
        <v>49</v>
      </c>
      <c r="W28" s="11" t="s">
        <v>36</v>
      </c>
    </row>
    <row r="29" spans="3:23" x14ac:dyDescent="0.2">
      <c r="C29" s="16" t="s">
        <v>44</v>
      </c>
      <c r="D29" s="23">
        <f>MEDIAN(claimSimResults[ValidClaimAmount])</f>
        <v>0.16111859401763701</v>
      </c>
      <c r="F29" s="12" cm="1">
        <f t="array" ref="F29:H33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243</v>
      </c>
      <c r="G29" s="17">
        <v>1.3216959996089399</v>
      </c>
      <c r="H29" s="20">
        <v>45430</v>
      </c>
      <c r="J29" s="12">
        <v>25</v>
      </c>
      <c r="K29" s="17">
        <f>_xlfn.PERCENTILE.EXC(claimSimResults[ValidClaimAmount], J29/100)</f>
        <v>9.2651953989203298E-2</v>
      </c>
      <c r="L29" s="10"/>
      <c r="M29" s="10"/>
      <c r="O29" s="31" t="s">
        <v>52</v>
      </c>
      <c r="P29" s="23">
        <f>_xlfn.STDEV.S(TblPolicyLevelAggregate[TotalClaimAmount])</f>
        <v>0.27477541113351839</v>
      </c>
      <c r="R29" s="12" cm="1">
        <f t="array" ref="R29:T33">INDEX(_xlfn._xlws.SORT(TblPolicyLevelAggregate[], 3, -1), _xlfn.SEQUENCE(5), {1,2,3})</f>
        <v>243</v>
      </c>
      <c r="S29" s="12">
        <v>3</v>
      </c>
      <c r="T29" s="13">
        <v>1.5205696457499669</v>
      </c>
      <c r="V29" s="12">
        <v>25</v>
      </c>
      <c r="W29" s="13">
        <f>_xlfn.PERCENTILE.EXC(TblPolicyLevelAggregate[TotalClaimAmount], V29/100)</f>
        <v>0.21258493104527348</v>
      </c>
    </row>
    <row r="30" spans="3:23" x14ac:dyDescent="0.2">
      <c r="C30" s="30" t="s">
        <v>52</v>
      </c>
      <c r="D30" s="19">
        <f>_xlfn.STDEV.S(claimSimResults[ValidClaimAmount])</f>
        <v>0.14188555995266869</v>
      </c>
      <c r="F30" s="14">
        <v>214</v>
      </c>
      <c r="G30" s="19">
        <v>0.82479703234787705</v>
      </c>
      <c r="H30" s="21">
        <v>45445</v>
      </c>
      <c r="J30" s="14">
        <v>50</v>
      </c>
      <c r="K30" s="19">
        <f>_xlfn.PERCENTILE.EXC(claimSimResults[ValidClaimAmount], J30/100)</f>
        <v>0.16111859401763701</v>
      </c>
      <c r="L30" s="10"/>
      <c r="M30" s="10"/>
      <c r="O30" s="18" t="s">
        <v>30</v>
      </c>
      <c r="P30" s="22">
        <f>MIN(TblPolicyLevelAggregate[TotalClaimAmount])</f>
        <v>0</v>
      </c>
      <c r="R30" s="14">
        <v>326</v>
      </c>
      <c r="S30" s="14">
        <v>4</v>
      </c>
      <c r="T30" s="15">
        <v>1.504188092727857</v>
      </c>
      <c r="V30" s="14">
        <v>50</v>
      </c>
      <c r="W30" s="15">
        <f>_xlfn.PERCENTILE.EXC(TblPolicyLevelAggregate[TotalClaimAmount], V30/100)</f>
        <v>0.37559091935640249</v>
      </c>
    </row>
    <row r="31" spans="3:23" x14ac:dyDescent="0.2">
      <c r="C31" s="16" t="s">
        <v>30</v>
      </c>
      <c r="D31" s="23">
        <f>MIN(claimSimResults[ValidClaimAmount])</f>
        <v>5.0945552467504601E-3</v>
      </c>
      <c r="F31" s="12">
        <v>275</v>
      </c>
      <c r="G31" s="17">
        <v>0.82411373616204697</v>
      </c>
      <c r="H31" s="20">
        <v>45335</v>
      </c>
      <c r="J31" s="12">
        <v>75</v>
      </c>
      <c r="K31" s="17">
        <f>_xlfn.PERCENTILE.EXC(claimSimResults[ValidClaimAmount], J31/100)</f>
        <v>0.259458804763194</v>
      </c>
      <c r="L31" s="10"/>
      <c r="M31" s="10"/>
      <c r="O31" s="16" t="s">
        <v>31</v>
      </c>
      <c r="P31" s="23">
        <f>MAX(TblPolicyLevelAggregate[TotalClaimAmount])</f>
        <v>1.5205696457499669</v>
      </c>
      <c r="R31" s="12">
        <v>155</v>
      </c>
      <c r="S31" s="12">
        <v>3</v>
      </c>
      <c r="T31" s="13">
        <v>1.423527370391702</v>
      </c>
      <c r="V31" s="12">
        <v>75</v>
      </c>
      <c r="W31" s="13">
        <f>_xlfn.PERCENTILE.EXC(TblPolicyLevelAggregate[TotalClaimAmount], V31/100)</f>
        <v>0.59699098109893178</v>
      </c>
    </row>
    <row r="32" spans="3:23" x14ac:dyDescent="0.2">
      <c r="C32" s="18" t="s">
        <v>31</v>
      </c>
      <c r="D32" s="19">
        <f>MAX(claimSimResults[ValidClaimAmount])</f>
        <v>1.3216959996089399</v>
      </c>
      <c r="F32" s="14">
        <v>101</v>
      </c>
      <c r="G32" s="19">
        <v>0.80117047458104595</v>
      </c>
      <c r="H32" s="21">
        <v>45547</v>
      </c>
      <c r="J32" s="14">
        <v>90</v>
      </c>
      <c r="K32" s="19">
        <f>_xlfn.PERCENTILE.EXC(claimSimResults[ValidClaimAmount], J32/100)</f>
        <v>0.38026875706553898</v>
      </c>
      <c r="L32" s="10"/>
      <c r="M32" s="10"/>
      <c r="O32" s="18" t="s">
        <v>32</v>
      </c>
      <c r="P32" s="18">
        <f>SUM(TblPolicyLevelAggregate[ClaimCount])</f>
        <v>1079</v>
      </c>
      <c r="R32" s="14">
        <v>408</v>
      </c>
      <c r="S32" s="14">
        <v>4</v>
      </c>
      <c r="T32" s="15">
        <v>1.3866702178757229</v>
      </c>
      <c r="V32" s="14">
        <v>90</v>
      </c>
      <c r="W32" s="15">
        <f>_xlfn.PERCENTILE.EXC(TblPolicyLevelAggregate[TotalClaimAmount], V32/100)</f>
        <v>0.7813476359867646</v>
      </c>
    </row>
    <row r="33" spans="3:23" x14ac:dyDescent="0.2">
      <c r="C33" s="16" t="s">
        <v>43</v>
      </c>
      <c r="D33" s="23">
        <f>SUM(claimSimResults[ValidClaimAmount])</f>
        <v>207.71384881656019</v>
      </c>
      <c r="F33" s="12">
        <v>419</v>
      </c>
      <c r="G33" s="17">
        <v>0.74845850284328697</v>
      </c>
      <c r="H33" s="20">
        <v>45381</v>
      </c>
      <c r="J33" s="12">
        <v>99</v>
      </c>
      <c r="K33" s="17">
        <f>_xlfn.PERCENTILE.EXC(claimSimResults[ValidClaimAmount], J33/100)</f>
        <v>0.66935513777770328</v>
      </c>
      <c r="L33" s="10"/>
      <c r="M33" s="10"/>
      <c r="O33" s="16" t="s">
        <v>43</v>
      </c>
      <c r="P33" s="23">
        <f>SUM(TblPolicyLevelAggregate[TotalClaimAmount])</f>
        <v>207.71384881656033</v>
      </c>
      <c r="R33" s="12">
        <v>492</v>
      </c>
      <c r="S33" s="12">
        <v>4</v>
      </c>
      <c r="T33" s="13">
        <v>1.3381187526315728</v>
      </c>
      <c r="V33" s="12">
        <v>99</v>
      </c>
      <c r="W33" s="13">
        <f>_xlfn.PERCENTILE.EXC(TblPolicyLevelAggregate[TotalClaimAmount], V33/100)</f>
        <v>1.3380204857355353</v>
      </c>
    </row>
  </sheetData>
  <mergeCells count="9">
    <mergeCell ref="O24:W24"/>
    <mergeCell ref="O3:W3"/>
    <mergeCell ref="C24:K24"/>
    <mergeCell ref="C27:D27"/>
    <mergeCell ref="F27:H27"/>
    <mergeCell ref="O27:P27"/>
    <mergeCell ref="R27:T27"/>
    <mergeCell ref="O6:P6"/>
    <mergeCell ref="C3:J3"/>
  </mergeCells>
  <conditionalFormatting sqref="D8:D9">
    <cfRule type="expression" dxfId="6" priority="4" stopIfTrue="1">
      <formula>$C$9&lt;&gt;"Poisson"</formula>
    </cfRule>
  </conditionalFormatting>
  <conditionalFormatting sqref="E8:F9">
    <cfRule type="expression" dxfId="5" priority="3">
      <formula>$C$9&lt;&gt;"Binomial"</formula>
    </cfRule>
  </conditionalFormatting>
  <conditionalFormatting sqref="D12:E13">
    <cfRule type="expression" dxfId="4" priority="2">
      <formula>$C$13&lt;&gt;"Gamma"</formula>
    </cfRule>
  </conditionalFormatting>
  <conditionalFormatting sqref="F12:G13">
    <cfRule type="expression" dxfId="3" priority="1">
      <formula>$C$13&lt;&gt;"Lognormal"</formula>
    </cfRule>
  </conditionalFormatting>
  <dataValidations count="3">
    <dataValidation type="list" showInputMessage="1" showErrorMessage="1" promptTitle="Poisson by default" sqref="C9" xr:uid="{D1411DE7-65CB-C84B-88A4-5928A841D417}">
      <formula1>"Poisson,Binomial"</formula1>
    </dataValidation>
    <dataValidation type="list" showInputMessage="1" showErrorMessage="1" promptTitle="Poisson by default" sqref="C13" xr:uid="{BC5627C4-B098-D145-8BA5-B12B31C0A91B}">
      <formula1>"Gamma,Lognormal"</formula1>
    </dataValidation>
    <dataValidation type="decimal" allowBlank="1" showInputMessage="1" showErrorMessage="1" sqref="J29:J33 V29:V33 O16:O23" xr:uid="{0830D58D-9A76-A548-BD30-8712FA863F92}">
      <formula1>1</formula1>
      <formula2>99</formula2>
    </dataValidation>
  </dataValidations>
  <printOptions horizontalCentered="1" verticalCentered="1"/>
  <pageMargins left="0.25" right="0.25" top="0.75" bottom="0.75" header="0.3" footer="0.3"/>
  <pageSetup scale="46" fitToHeight="0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8</xdr:col>
                    <xdr:colOff>50800</xdr:colOff>
                    <xdr:row>6</xdr:row>
                    <xdr:rowOff>203200</xdr:rowOff>
                  </from>
                  <to>
                    <xdr:col>10</xdr:col>
                    <xdr:colOff>228600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generate_pdf_btn">
              <controlPr defaultSize="0" print="0" autoFill="0" autoPict="0" macro="[0]!ExportDashboardToPDF">
                <anchor moveWithCells="1" sizeWithCells="1">
                  <from>
                    <xdr:col>8</xdr:col>
                    <xdr:colOff>50800</xdr:colOff>
                    <xdr:row>10</xdr:row>
                    <xdr:rowOff>228600</xdr:rowOff>
                  </from>
                  <to>
                    <xdr:col>10</xdr:col>
                    <xdr:colOff>228600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8"/>
  <sheetViews>
    <sheetView workbookViewId="0">
      <selection activeCell="B8" sqref="B8"/>
    </sheetView>
  </sheetViews>
  <sheetFormatPr baseColWidth="10" defaultRowHeight="16" x14ac:dyDescent="0.2"/>
  <cols>
    <col min="1" max="1" width="26.1640625" customWidth="1"/>
    <col min="2" max="2" width="68.33203125" bestFit="1" customWidth="1"/>
    <col min="3" max="3" width="72.1640625" customWidth="1"/>
  </cols>
  <sheetData>
    <row r="4" spans="1:3" x14ac:dyDescent="0.2">
      <c r="A4" t="s">
        <v>12</v>
      </c>
      <c r="B4" t="s">
        <v>13</v>
      </c>
      <c r="C4" t="s">
        <v>14</v>
      </c>
    </row>
    <row r="5" spans="1:3" x14ac:dyDescent="0.2">
      <c r="A5" s="3" t="s">
        <v>10</v>
      </c>
      <c r="B5" s="3" t="s">
        <v>11</v>
      </c>
      <c r="C5" s="3" t="s">
        <v>24</v>
      </c>
    </row>
    <row r="6" spans="1:3" x14ac:dyDescent="0.2">
      <c r="A6" t="s">
        <v>18</v>
      </c>
      <c r="B6">
        <v>500</v>
      </c>
      <c r="C6" t="s">
        <v>58</v>
      </c>
    </row>
    <row r="7" spans="1:3" x14ac:dyDescent="0.2">
      <c r="A7" t="s">
        <v>19</v>
      </c>
      <c r="B7">
        <v>1000000</v>
      </c>
      <c r="C7" t="s">
        <v>20</v>
      </c>
    </row>
    <row r="8" spans="1:3" x14ac:dyDescent="0.2">
      <c r="A8" t="s">
        <v>59</v>
      </c>
      <c r="B8" t="str" cm="1">
        <f t="array" aca="1" ref="B8" ca="1">_xlfn.LET(_xlpm.filepath, CELL("filename"), _xlpm.directory, LEFT(_xlpm.filepath, FIND("[", _xlpm.filepath) -1), _xlpm.directory) &amp; "data/claimSimResults.csv"</f>
        <v>/Users/bergtho/Desktop/portfolio/claimsSim/data/claimSimResults.csv</v>
      </c>
      <c r="C8" t="s">
        <v>60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K501"/>
  <sheetViews>
    <sheetView workbookViewId="0">
      <selection activeCell="H11" sqref="H11"/>
    </sheetView>
  </sheetViews>
  <sheetFormatPr baseColWidth="10" defaultRowHeight="16" x14ac:dyDescent="0.2"/>
  <cols>
    <col min="1" max="1" width="10.5" customWidth="1"/>
    <col min="2" max="2" width="13.6640625" customWidth="1"/>
    <col min="3" max="3" width="19.33203125" customWidth="1"/>
    <col min="4" max="4" width="12.6640625" customWidth="1"/>
    <col min="5" max="5" width="19.5" customWidth="1"/>
    <col min="6" max="6" width="10.5" customWidth="1"/>
    <col min="7" max="7" width="13.6640625" customWidth="1"/>
    <col min="8" max="8" width="16.6640625" customWidth="1"/>
    <col min="9" max="10" width="13" customWidth="1"/>
    <col min="11" max="11" width="15.33203125" customWidth="1"/>
  </cols>
  <sheetData>
    <row r="1" spans="1:11" x14ac:dyDescent="0.2">
      <c r="A1" t="s">
        <v>0</v>
      </c>
      <c r="B1" t="s">
        <v>26</v>
      </c>
      <c r="C1" t="s">
        <v>34</v>
      </c>
    </row>
    <row r="2" spans="1:11" x14ac:dyDescent="0.2">
      <c r="A2">
        <v>1</v>
      </c>
      <c r="B2">
        <v>3</v>
      </c>
      <c r="C2">
        <v>1.021923238009649</v>
      </c>
    </row>
    <row r="3" spans="1:11" x14ac:dyDescent="0.2">
      <c r="A3">
        <v>2</v>
      </c>
      <c r="B3">
        <v>1</v>
      </c>
      <c r="C3">
        <v>0.119344099873414</v>
      </c>
      <c r="J3" s="4"/>
      <c r="K3" s="4"/>
    </row>
    <row r="4" spans="1:11" x14ac:dyDescent="0.2">
      <c r="A4">
        <v>3</v>
      </c>
      <c r="B4">
        <v>2</v>
      </c>
      <c r="C4">
        <v>0.53418260394589001</v>
      </c>
      <c r="G4" s="5" t="s">
        <v>26</v>
      </c>
      <c r="H4" t="s">
        <v>27</v>
      </c>
      <c r="J4" s="4"/>
      <c r="K4" s="4"/>
    </row>
    <row r="5" spans="1:11" x14ac:dyDescent="0.2">
      <c r="A5">
        <v>4</v>
      </c>
      <c r="B5">
        <v>1</v>
      </c>
      <c r="C5">
        <v>0.21234777360137</v>
      </c>
      <c r="G5" s="6">
        <v>0</v>
      </c>
      <c r="H5" s="37">
        <v>27</v>
      </c>
      <c r="J5" s="4"/>
      <c r="K5" s="4"/>
    </row>
    <row r="6" spans="1:11" x14ac:dyDescent="0.2">
      <c r="A6">
        <v>5</v>
      </c>
      <c r="B6">
        <v>1</v>
      </c>
      <c r="C6">
        <v>0.56229895079520897</v>
      </c>
      <c r="G6" s="6">
        <v>1</v>
      </c>
      <c r="H6" s="37">
        <v>94</v>
      </c>
      <c r="J6" s="4"/>
      <c r="K6" s="4"/>
    </row>
    <row r="7" spans="1:11" x14ac:dyDescent="0.2">
      <c r="A7">
        <v>6</v>
      </c>
      <c r="B7">
        <v>4</v>
      </c>
      <c r="C7">
        <v>1.024494607284171</v>
      </c>
      <c r="G7" s="6">
        <v>2</v>
      </c>
      <c r="H7" s="37">
        <v>183</v>
      </c>
    </row>
    <row r="8" spans="1:11" x14ac:dyDescent="0.2">
      <c r="A8">
        <v>7</v>
      </c>
      <c r="B8">
        <v>2</v>
      </c>
      <c r="C8">
        <v>0.27330168366207402</v>
      </c>
      <c r="G8" s="6">
        <v>3</v>
      </c>
      <c r="H8" s="37">
        <v>165</v>
      </c>
    </row>
    <row r="9" spans="1:11" x14ac:dyDescent="0.2">
      <c r="A9">
        <v>8</v>
      </c>
      <c r="B9">
        <v>1</v>
      </c>
      <c r="C9">
        <v>0.17217277065238201</v>
      </c>
      <c r="G9" s="6">
        <v>4</v>
      </c>
      <c r="H9" s="37">
        <v>31</v>
      </c>
    </row>
    <row r="10" spans="1:11" x14ac:dyDescent="0.2">
      <c r="A10">
        <v>9</v>
      </c>
      <c r="B10">
        <v>2</v>
      </c>
      <c r="C10">
        <v>0.36005995165166399</v>
      </c>
      <c r="G10" s="6" t="s">
        <v>25</v>
      </c>
      <c r="H10" s="37">
        <v>500</v>
      </c>
    </row>
    <row r="11" spans="1:11" x14ac:dyDescent="0.2">
      <c r="A11">
        <v>10</v>
      </c>
      <c r="B11">
        <v>2</v>
      </c>
      <c r="C11">
        <v>0.18416992922611791</v>
      </c>
    </row>
    <row r="12" spans="1:11" x14ac:dyDescent="0.2">
      <c r="A12">
        <v>12</v>
      </c>
      <c r="B12">
        <v>2</v>
      </c>
      <c r="C12">
        <v>0.251660582759413</v>
      </c>
    </row>
    <row r="13" spans="1:11" x14ac:dyDescent="0.2">
      <c r="A13">
        <v>13</v>
      </c>
      <c r="B13">
        <v>2</v>
      </c>
      <c r="C13">
        <v>0.62994892282430603</v>
      </c>
    </row>
    <row r="14" spans="1:11" x14ac:dyDescent="0.2">
      <c r="A14">
        <v>14</v>
      </c>
      <c r="B14">
        <v>2</v>
      </c>
      <c r="C14">
        <v>0.65378185263914401</v>
      </c>
    </row>
    <row r="15" spans="1:11" x14ac:dyDescent="0.2">
      <c r="A15">
        <v>15</v>
      </c>
      <c r="B15">
        <v>3</v>
      </c>
      <c r="C15">
        <v>0.2084035039485892</v>
      </c>
    </row>
    <row r="16" spans="1:11" x14ac:dyDescent="0.2">
      <c r="A16">
        <v>16</v>
      </c>
      <c r="B16">
        <v>1</v>
      </c>
      <c r="C16">
        <v>0.101236821811999</v>
      </c>
    </row>
    <row r="17" spans="1:3" x14ac:dyDescent="0.2">
      <c r="A17">
        <v>17</v>
      </c>
      <c r="B17">
        <v>3</v>
      </c>
      <c r="C17">
        <v>0.62010547776504676</v>
      </c>
    </row>
    <row r="18" spans="1:3" x14ac:dyDescent="0.2">
      <c r="A18">
        <v>18</v>
      </c>
      <c r="B18">
        <v>4</v>
      </c>
      <c r="C18">
        <v>0.64169780023053735</v>
      </c>
    </row>
    <row r="19" spans="1:3" x14ac:dyDescent="0.2">
      <c r="A19">
        <v>19</v>
      </c>
      <c r="B19">
        <v>3</v>
      </c>
      <c r="C19">
        <v>0.49116132783778776</v>
      </c>
    </row>
    <row r="20" spans="1:3" x14ac:dyDescent="0.2">
      <c r="A20">
        <v>20</v>
      </c>
      <c r="B20">
        <v>1</v>
      </c>
      <c r="C20">
        <v>0.28648376463220199</v>
      </c>
    </row>
    <row r="21" spans="1:3" x14ac:dyDescent="0.2">
      <c r="A21">
        <v>21</v>
      </c>
      <c r="B21">
        <v>1</v>
      </c>
      <c r="C21">
        <v>0.27477523794575698</v>
      </c>
    </row>
    <row r="22" spans="1:3" x14ac:dyDescent="0.2">
      <c r="A22">
        <v>22</v>
      </c>
      <c r="B22">
        <v>2</v>
      </c>
      <c r="C22">
        <v>0.52663326519401399</v>
      </c>
    </row>
    <row r="23" spans="1:3" x14ac:dyDescent="0.2">
      <c r="A23">
        <v>23</v>
      </c>
      <c r="B23">
        <v>2</v>
      </c>
      <c r="C23">
        <v>0.24224376382677942</v>
      </c>
    </row>
    <row r="24" spans="1:3" x14ac:dyDescent="0.2">
      <c r="A24">
        <v>25</v>
      </c>
      <c r="B24">
        <v>2</v>
      </c>
      <c r="C24">
        <v>0.16255260990680082</v>
      </c>
    </row>
    <row r="25" spans="1:3" x14ac:dyDescent="0.2">
      <c r="A25">
        <v>26</v>
      </c>
      <c r="B25">
        <v>2</v>
      </c>
      <c r="C25">
        <v>0.2170201285508401</v>
      </c>
    </row>
    <row r="26" spans="1:3" x14ac:dyDescent="0.2">
      <c r="A26">
        <v>27</v>
      </c>
      <c r="B26">
        <v>2</v>
      </c>
      <c r="C26">
        <v>0.74642325030508094</v>
      </c>
    </row>
    <row r="27" spans="1:3" x14ac:dyDescent="0.2">
      <c r="A27">
        <v>28</v>
      </c>
      <c r="B27">
        <v>2</v>
      </c>
      <c r="C27">
        <v>0.56843428285815401</v>
      </c>
    </row>
    <row r="28" spans="1:3" x14ac:dyDescent="0.2">
      <c r="A28">
        <v>29</v>
      </c>
      <c r="B28">
        <v>3</v>
      </c>
      <c r="C28">
        <v>0.26154221551942014</v>
      </c>
    </row>
    <row r="29" spans="1:3" x14ac:dyDescent="0.2">
      <c r="A29">
        <v>30</v>
      </c>
      <c r="B29">
        <v>3</v>
      </c>
      <c r="C29">
        <v>1.208944476719702</v>
      </c>
    </row>
    <row r="30" spans="1:3" x14ac:dyDescent="0.2">
      <c r="A30">
        <v>32</v>
      </c>
      <c r="B30">
        <v>1</v>
      </c>
      <c r="C30">
        <v>0.366351061072338</v>
      </c>
    </row>
    <row r="31" spans="1:3" x14ac:dyDescent="0.2">
      <c r="A31">
        <v>33</v>
      </c>
      <c r="B31">
        <v>2</v>
      </c>
      <c r="C31">
        <v>0.35424547268207246</v>
      </c>
    </row>
    <row r="32" spans="1:3" x14ac:dyDescent="0.2">
      <c r="A32">
        <v>34</v>
      </c>
      <c r="B32">
        <v>1</v>
      </c>
      <c r="C32">
        <v>8.1220119373863101E-2</v>
      </c>
    </row>
    <row r="33" spans="1:3" x14ac:dyDescent="0.2">
      <c r="A33">
        <v>35</v>
      </c>
      <c r="B33">
        <v>4</v>
      </c>
      <c r="C33">
        <v>0.74121850799409561</v>
      </c>
    </row>
    <row r="34" spans="1:3" x14ac:dyDescent="0.2">
      <c r="A34">
        <v>36</v>
      </c>
      <c r="B34">
        <v>2</v>
      </c>
      <c r="C34">
        <v>0.1932775899398621</v>
      </c>
    </row>
    <row r="35" spans="1:3" x14ac:dyDescent="0.2">
      <c r="A35">
        <v>37</v>
      </c>
      <c r="B35">
        <v>1</v>
      </c>
      <c r="C35">
        <v>0.38992992633411599</v>
      </c>
    </row>
    <row r="36" spans="1:3" x14ac:dyDescent="0.2">
      <c r="A36">
        <v>38</v>
      </c>
      <c r="B36">
        <v>3</v>
      </c>
      <c r="C36">
        <v>0.33917521696492781</v>
      </c>
    </row>
    <row r="37" spans="1:3" x14ac:dyDescent="0.2">
      <c r="A37">
        <v>39</v>
      </c>
      <c r="B37">
        <v>3</v>
      </c>
      <c r="C37">
        <v>0.84805563008950713</v>
      </c>
    </row>
    <row r="38" spans="1:3" x14ac:dyDescent="0.2">
      <c r="A38">
        <v>40</v>
      </c>
      <c r="B38">
        <v>3</v>
      </c>
      <c r="C38">
        <v>0.30512079652379798</v>
      </c>
    </row>
    <row r="39" spans="1:3" x14ac:dyDescent="0.2">
      <c r="A39">
        <v>41</v>
      </c>
      <c r="B39">
        <v>3</v>
      </c>
      <c r="C39">
        <v>0.62061273372888526</v>
      </c>
    </row>
    <row r="40" spans="1:3" x14ac:dyDescent="0.2">
      <c r="A40">
        <v>42</v>
      </c>
      <c r="B40">
        <v>2</v>
      </c>
      <c r="C40">
        <v>0.42638641456371396</v>
      </c>
    </row>
    <row r="41" spans="1:3" x14ac:dyDescent="0.2">
      <c r="A41">
        <v>43</v>
      </c>
      <c r="B41">
        <v>2</v>
      </c>
      <c r="C41">
        <v>0.52239072413541199</v>
      </c>
    </row>
    <row r="42" spans="1:3" x14ac:dyDescent="0.2">
      <c r="A42">
        <v>44</v>
      </c>
      <c r="B42">
        <v>3</v>
      </c>
      <c r="C42">
        <v>0.526663454433411</v>
      </c>
    </row>
    <row r="43" spans="1:3" x14ac:dyDescent="0.2">
      <c r="A43">
        <v>45</v>
      </c>
      <c r="B43">
        <v>3</v>
      </c>
      <c r="C43">
        <v>0.49287436548905089</v>
      </c>
    </row>
    <row r="44" spans="1:3" x14ac:dyDescent="0.2">
      <c r="A44">
        <v>46</v>
      </c>
      <c r="B44">
        <v>3</v>
      </c>
      <c r="C44">
        <v>0.38219005662998656</v>
      </c>
    </row>
    <row r="45" spans="1:3" x14ac:dyDescent="0.2">
      <c r="A45">
        <v>47</v>
      </c>
      <c r="B45">
        <v>3</v>
      </c>
      <c r="C45">
        <v>0.46219943032692185</v>
      </c>
    </row>
    <row r="46" spans="1:3" x14ac:dyDescent="0.2">
      <c r="A46">
        <v>48</v>
      </c>
      <c r="B46">
        <v>2</v>
      </c>
      <c r="C46">
        <v>0.33106822054906104</v>
      </c>
    </row>
    <row r="47" spans="1:3" x14ac:dyDescent="0.2">
      <c r="A47">
        <v>49</v>
      </c>
      <c r="B47">
        <v>3</v>
      </c>
      <c r="C47">
        <v>0.46838215631042701</v>
      </c>
    </row>
    <row r="48" spans="1:3" x14ac:dyDescent="0.2">
      <c r="A48">
        <v>50</v>
      </c>
      <c r="B48">
        <v>1</v>
      </c>
      <c r="C48">
        <v>0.11810740041798801</v>
      </c>
    </row>
    <row r="49" spans="1:3" x14ac:dyDescent="0.2">
      <c r="A49">
        <v>51</v>
      </c>
      <c r="B49">
        <v>4</v>
      </c>
      <c r="C49">
        <v>0.93660148873384497</v>
      </c>
    </row>
    <row r="50" spans="1:3" x14ac:dyDescent="0.2">
      <c r="A50">
        <v>52</v>
      </c>
      <c r="B50">
        <v>2</v>
      </c>
      <c r="C50">
        <v>0.27816902315058101</v>
      </c>
    </row>
    <row r="51" spans="1:3" x14ac:dyDescent="0.2">
      <c r="A51">
        <v>53</v>
      </c>
      <c r="B51">
        <v>1</v>
      </c>
      <c r="C51">
        <v>0.32665919789036602</v>
      </c>
    </row>
    <row r="52" spans="1:3" x14ac:dyDescent="0.2">
      <c r="A52">
        <v>54</v>
      </c>
      <c r="B52">
        <v>3</v>
      </c>
      <c r="C52">
        <v>0.2908493756504425</v>
      </c>
    </row>
    <row r="53" spans="1:3" x14ac:dyDescent="0.2">
      <c r="A53">
        <v>55</v>
      </c>
      <c r="B53">
        <v>2</v>
      </c>
      <c r="C53">
        <v>0.89800172316406002</v>
      </c>
    </row>
    <row r="54" spans="1:3" x14ac:dyDescent="0.2">
      <c r="A54">
        <v>56</v>
      </c>
      <c r="B54">
        <v>3</v>
      </c>
      <c r="C54">
        <v>0.53207817383789802</v>
      </c>
    </row>
    <row r="55" spans="1:3" x14ac:dyDescent="0.2">
      <c r="A55">
        <v>57</v>
      </c>
      <c r="B55">
        <v>3</v>
      </c>
      <c r="C55">
        <v>0.34202057631757221</v>
      </c>
    </row>
    <row r="56" spans="1:3" x14ac:dyDescent="0.2">
      <c r="A56">
        <v>58</v>
      </c>
      <c r="B56">
        <v>1</v>
      </c>
      <c r="C56">
        <v>0.115320008325875</v>
      </c>
    </row>
    <row r="57" spans="1:3" x14ac:dyDescent="0.2">
      <c r="A57">
        <v>59</v>
      </c>
      <c r="B57">
        <v>1</v>
      </c>
      <c r="C57">
        <v>0.29083105323700797</v>
      </c>
    </row>
    <row r="58" spans="1:3" x14ac:dyDescent="0.2">
      <c r="A58">
        <v>60</v>
      </c>
      <c r="B58">
        <v>3</v>
      </c>
      <c r="C58">
        <v>0.64947054448309294</v>
      </c>
    </row>
    <row r="59" spans="1:3" x14ac:dyDescent="0.2">
      <c r="A59">
        <v>61</v>
      </c>
      <c r="B59">
        <v>2</v>
      </c>
      <c r="C59">
        <v>0.26587834621519102</v>
      </c>
    </row>
    <row r="60" spans="1:3" x14ac:dyDescent="0.2">
      <c r="A60">
        <v>62</v>
      </c>
      <c r="B60">
        <v>3</v>
      </c>
      <c r="C60">
        <v>0.52786510295172395</v>
      </c>
    </row>
    <row r="61" spans="1:3" x14ac:dyDescent="0.2">
      <c r="A61">
        <v>63</v>
      </c>
      <c r="B61">
        <v>2</v>
      </c>
      <c r="C61">
        <v>0.26284933324646581</v>
      </c>
    </row>
    <row r="62" spans="1:3" x14ac:dyDescent="0.2">
      <c r="A62">
        <v>64</v>
      </c>
      <c r="B62">
        <v>3</v>
      </c>
      <c r="C62">
        <v>0.46511545724588998</v>
      </c>
    </row>
    <row r="63" spans="1:3" x14ac:dyDescent="0.2">
      <c r="A63">
        <v>65</v>
      </c>
      <c r="B63">
        <v>1</v>
      </c>
      <c r="C63">
        <v>0.46427333921420499</v>
      </c>
    </row>
    <row r="64" spans="1:3" x14ac:dyDescent="0.2">
      <c r="A64">
        <v>66</v>
      </c>
      <c r="B64">
        <v>2</v>
      </c>
      <c r="C64">
        <v>0.70597253662235304</v>
      </c>
    </row>
    <row r="65" spans="1:3" x14ac:dyDescent="0.2">
      <c r="A65">
        <v>67</v>
      </c>
      <c r="B65">
        <v>1</v>
      </c>
      <c r="C65">
        <v>0.163256581969033</v>
      </c>
    </row>
    <row r="66" spans="1:3" x14ac:dyDescent="0.2">
      <c r="A66">
        <v>68</v>
      </c>
      <c r="B66">
        <v>1</v>
      </c>
      <c r="C66">
        <v>2.6908286195217401E-2</v>
      </c>
    </row>
    <row r="67" spans="1:3" x14ac:dyDescent="0.2">
      <c r="A67">
        <v>69</v>
      </c>
      <c r="B67">
        <v>1</v>
      </c>
      <c r="C67">
        <v>6.4034293213933002E-2</v>
      </c>
    </row>
    <row r="68" spans="1:3" x14ac:dyDescent="0.2">
      <c r="A68">
        <v>70</v>
      </c>
      <c r="B68">
        <v>2</v>
      </c>
      <c r="C68">
        <v>0.51021378678213303</v>
      </c>
    </row>
    <row r="69" spans="1:3" x14ac:dyDescent="0.2">
      <c r="A69">
        <v>71</v>
      </c>
      <c r="B69">
        <v>1</v>
      </c>
      <c r="C69">
        <v>0.19152899280164301</v>
      </c>
    </row>
    <row r="70" spans="1:3" x14ac:dyDescent="0.2">
      <c r="A70">
        <v>72</v>
      </c>
      <c r="B70">
        <v>2</v>
      </c>
      <c r="C70">
        <v>0.14886614574216112</v>
      </c>
    </row>
    <row r="71" spans="1:3" x14ac:dyDescent="0.2">
      <c r="A71">
        <v>73</v>
      </c>
      <c r="B71">
        <v>2</v>
      </c>
      <c r="C71">
        <v>0.54126889715417592</v>
      </c>
    </row>
    <row r="72" spans="1:3" x14ac:dyDescent="0.2">
      <c r="A72">
        <v>74</v>
      </c>
      <c r="B72">
        <v>4</v>
      </c>
      <c r="C72">
        <v>0.50365090489198128</v>
      </c>
    </row>
    <row r="73" spans="1:3" x14ac:dyDescent="0.2">
      <c r="A73">
        <v>75</v>
      </c>
      <c r="B73">
        <v>2</v>
      </c>
      <c r="C73">
        <v>0.40810860591009102</v>
      </c>
    </row>
    <row r="74" spans="1:3" x14ac:dyDescent="0.2">
      <c r="A74">
        <v>76</v>
      </c>
      <c r="B74">
        <v>3</v>
      </c>
      <c r="C74">
        <v>0.5531920224387038</v>
      </c>
    </row>
    <row r="75" spans="1:3" x14ac:dyDescent="0.2">
      <c r="A75">
        <v>77</v>
      </c>
      <c r="B75">
        <v>2</v>
      </c>
      <c r="C75">
        <v>0.20176060816066288</v>
      </c>
    </row>
    <row r="76" spans="1:3" x14ac:dyDescent="0.2">
      <c r="A76">
        <v>78</v>
      </c>
      <c r="B76">
        <v>2</v>
      </c>
      <c r="C76">
        <v>0.85419181665406696</v>
      </c>
    </row>
    <row r="77" spans="1:3" x14ac:dyDescent="0.2">
      <c r="A77">
        <v>79</v>
      </c>
      <c r="B77">
        <v>3</v>
      </c>
      <c r="C77">
        <v>0.42753042749763598</v>
      </c>
    </row>
    <row r="78" spans="1:3" x14ac:dyDescent="0.2">
      <c r="A78">
        <v>80</v>
      </c>
      <c r="B78">
        <v>3</v>
      </c>
      <c r="C78">
        <v>0.42978556115993932</v>
      </c>
    </row>
    <row r="79" spans="1:3" x14ac:dyDescent="0.2">
      <c r="A79">
        <v>81</v>
      </c>
      <c r="B79">
        <v>3</v>
      </c>
      <c r="C79">
        <v>0.54288300895809749</v>
      </c>
    </row>
    <row r="80" spans="1:3" x14ac:dyDescent="0.2">
      <c r="A80">
        <v>82</v>
      </c>
      <c r="B80">
        <v>2</v>
      </c>
      <c r="C80">
        <v>0.32830510350946096</v>
      </c>
    </row>
    <row r="81" spans="1:3" x14ac:dyDescent="0.2">
      <c r="A81">
        <v>83</v>
      </c>
      <c r="B81">
        <v>2</v>
      </c>
      <c r="C81">
        <v>0.43927719232418899</v>
      </c>
    </row>
    <row r="82" spans="1:3" x14ac:dyDescent="0.2">
      <c r="A82">
        <v>84</v>
      </c>
      <c r="B82">
        <v>1</v>
      </c>
      <c r="C82">
        <v>2.03271673378351E-2</v>
      </c>
    </row>
    <row r="83" spans="1:3" x14ac:dyDescent="0.2">
      <c r="A83">
        <v>85</v>
      </c>
      <c r="B83">
        <v>3</v>
      </c>
      <c r="C83">
        <v>0.35210395583208859</v>
      </c>
    </row>
    <row r="84" spans="1:3" x14ac:dyDescent="0.2">
      <c r="A84">
        <v>86</v>
      </c>
      <c r="B84">
        <v>2</v>
      </c>
      <c r="C84">
        <v>0.1943278597042177</v>
      </c>
    </row>
    <row r="85" spans="1:3" x14ac:dyDescent="0.2">
      <c r="A85">
        <v>88</v>
      </c>
      <c r="B85">
        <v>1</v>
      </c>
      <c r="C85">
        <v>5.3216756785121597E-2</v>
      </c>
    </row>
    <row r="86" spans="1:3" x14ac:dyDescent="0.2">
      <c r="A86">
        <v>89</v>
      </c>
      <c r="B86">
        <v>1</v>
      </c>
      <c r="C86">
        <v>9.6105035165991601E-2</v>
      </c>
    </row>
    <row r="87" spans="1:3" x14ac:dyDescent="0.2">
      <c r="A87">
        <v>90</v>
      </c>
      <c r="B87">
        <v>3</v>
      </c>
      <c r="C87">
        <v>0.59882978266218279</v>
      </c>
    </row>
    <row r="88" spans="1:3" x14ac:dyDescent="0.2">
      <c r="A88">
        <v>91</v>
      </c>
      <c r="B88">
        <v>3</v>
      </c>
      <c r="C88">
        <v>0.69928856422918195</v>
      </c>
    </row>
    <row r="89" spans="1:3" x14ac:dyDescent="0.2">
      <c r="A89">
        <v>92</v>
      </c>
      <c r="B89">
        <v>2</v>
      </c>
      <c r="C89">
        <v>0.25891260761887108</v>
      </c>
    </row>
    <row r="90" spans="1:3" x14ac:dyDescent="0.2">
      <c r="A90">
        <v>93</v>
      </c>
      <c r="B90">
        <v>3</v>
      </c>
      <c r="C90">
        <v>0.4855070228853724</v>
      </c>
    </row>
    <row r="91" spans="1:3" x14ac:dyDescent="0.2">
      <c r="A91">
        <v>94</v>
      </c>
      <c r="B91">
        <v>2</v>
      </c>
      <c r="C91">
        <v>0.71584328834385202</v>
      </c>
    </row>
    <row r="92" spans="1:3" x14ac:dyDescent="0.2">
      <c r="A92">
        <v>95</v>
      </c>
      <c r="B92">
        <v>3</v>
      </c>
      <c r="C92">
        <v>0.53568145395591749</v>
      </c>
    </row>
    <row r="93" spans="1:3" x14ac:dyDescent="0.2">
      <c r="A93">
        <v>96</v>
      </c>
      <c r="B93">
        <v>3</v>
      </c>
      <c r="C93">
        <v>0.91030191742791755</v>
      </c>
    </row>
    <row r="94" spans="1:3" x14ac:dyDescent="0.2">
      <c r="A94">
        <v>97</v>
      </c>
      <c r="B94">
        <v>1</v>
      </c>
      <c r="C94">
        <v>0.29011624659534502</v>
      </c>
    </row>
    <row r="95" spans="1:3" x14ac:dyDescent="0.2">
      <c r="A95">
        <v>98</v>
      </c>
      <c r="B95">
        <v>3</v>
      </c>
      <c r="C95">
        <v>0.82235731336228191</v>
      </c>
    </row>
    <row r="96" spans="1:3" x14ac:dyDescent="0.2">
      <c r="A96">
        <v>99</v>
      </c>
      <c r="B96">
        <v>2</v>
      </c>
      <c r="C96">
        <v>0.25067951329239369</v>
      </c>
    </row>
    <row r="97" spans="1:3" x14ac:dyDescent="0.2">
      <c r="A97">
        <v>100</v>
      </c>
      <c r="B97">
        <v>2</v>
      </c>
      <c r="C97">
        <v>0.20673382166586809</v>
      </c>
    </row>
    <row r="98" spans="1:3" x14ac:dyDescent="0.2">
      <c r="A98">
        <v>101</v>
      </c>
      <c r="B98">
        <v>2</v>
      </c>
      <c r="C98">
        <v>0.92813835423971591</v>
      </c>
    </row>
    <row r="99" spans="1:3" x14ac:dyDescent="0.2">
      <c r="A99">
        <v>102</v>
      </c>
      <c r="B99">
        <v>3</v>
      </c>
      <c r="C99">
        <v>0.53761513279480044</v>
      </c>
    </row>
    <row r="100" spans="1:3" x14ac:dyDescent="0.2">
      <c r="A100">
        <v>103</v>
      </c>
      <c r="B100">
        <v>2</v>
      </c>
      <c r="C100">
        <v>0.24641349535129559</v>
      </c>
    </row>
    <row r="101" spans="1:3" x14ac:dyDescent="0.2">
      <c r="A101">
        <v>104</v>
      </c>
      <c r="B101">
        <v>1</v>
      </c>
      <c r="C101">
        <v>0.41651107107027802</v>
      </c>
    </row>
    <row r="102" spans="1:3" x14ac:dyDescent="0.2">
      <c r="A102">
        <v>105</v>
      </c>
      <c r="B102">
        <v>2</v>
      </c>
      <c r="C102">
        <v>0.307474827433947</v>
      </c>
    </row>
    <row r="103" spans="1:3" x14ac:dyDescent="0.2">
      <c r="A103">
        <v>106</v>
      </c>
      <c r="B103">
        <v>1</v>
      </c>
      <c r="C103">
        <v>5.8351847051244202E-2</v>
      </c>
    </row>
    <row r="104" spans="1:3" x14ac:dyDescent="0.2">
      <c r="A104">
        <v>107</v>
      </c>
      <c r="B104">
        <v>1</v>
      </c>
      <c r="C104">
        <v>0.28342516569255499</v>
      </c>
    </row>
    <row r="105" spans="1:3" x14ac:dyDescent="0.2">
      <c r="A105">
        <v>108</v>
      </c>
      <c r="B105">
        <v>2</v>
      </c>
      <c r="C105">
        <v>0.21130935058630629</v>
      </c>
    </row>
    <row r="106" spans="1:3" x14ac:dyDescent="0.2">
      <c r="A106">
        <v>109</v>
      </c>
      <c r="B106">
        <v>2</v>
      </c>
      <c r="C106">
        <v>0.71726161870600702</v>
      </c>
    </row>
    <row r="107" spans="1:3" x14ac:dyDescent="0.2">
      <c r="A107">
        <v>110</v>
      </c>
      <c r="B107">
        <v>3</v>
      </c>
      <c r="C107">
        <v>0.38480574576646631</v>
      </c>
    </row>
    <row r="108" spans="1:3" x14ac:dyDescent="0.2">
      <c r="A108">
        <v>111</v>
      </c>
      <c r="B108">
        <v>1</v>
      </c>
      <c r="C108">
        <v>0.202587695977205</v>
      </c>
    </row>
    <row r="109" spans="1:3" x14ac:dyDescent="0.2">
      <c r="A109">
        <v>112</v>
      </c>
      <c r="B109">
        <v>3</v>
      </c>
      <c r="C109">
        <v>0.61649139830200239</v>
      </c>
    </row>
    <row r="110" spans="1:3" x14ac:dyDescent="0.2">
      <c r="A110">
        <v>113</v>
      </c>
      <c r="B110">
        <v>4</v>
      </c>
      <c r="C110">
        <v>0.63214744118754806</v>
      </c>
    </row>
    <row r="111" spans="1:3" x14ac:dyDescent="0.2">
      <c r="A111">
        <v>114</v>
      </c>
      <c r="B111">
        <v>1</v>
      </c>
      <c r="C111">
        <v>0.26226986206662001</v>
      </c>
    </row>
    <row r="112" spans="1:3" x14ac:dyDescent="0.2">
      <c r="A112">
        <v>115</v>
      </c>
      <c r="B112">
        <v>2</v>
      </c>
      <c r="C112">
        <v>0.6626783954848966</v>
      </c>
    </row>
    <row r="113" spans="1:3" x14ac:dyDescent="0.2">
      <c r="A113">
        <v>116</v>
      </c>
      <c r="B113">
        <v>3</v>
      </c>
      <c r="C113">
        <v>0.8466166700336667</v>
      </c>
    </row>
    <row r="114" spans="1:3" x14ac:dyDescent="0.2">
      <c r="A114">
        <v>117</v>
      </c>
      <c r="B114">
        <v>2</v>
      </c>
      <c r="C114">
        <v>0.3801249295913483</v>
      </c>
    </row>
    <row r="115" spans="1:3" x14ac:dyDescent="0.2">
      <c r="A115">
        <v>118</v>
      </c>
      <c r="B115">
        <v>1</v>
      </c>
      <c r="C115">
        <v>6.1097398103100997E-2</v>
      </c>
    </row>
    <row r="116" spans="1:3" x14ac:dyDescent="0.2">
      <c r="A116">
        <v>119</v>
      </c>
      <c r="B116">
        <v>2</v>
      </c>
      <c r="C116">
        <v>0.62234573430347195</v>
      </c>
    </row>
    <row r="117" spans="1:3" x14ac:dyDescent="0.2">
      <c r="A117">
        <v>120</v>
      </c>
      <c r="B117">
        <v>2</v>
      </c>
      <c r="C117">
        <v>0.209487773456246</v>
      </c>
    </row>
    <row r="118" spans="1:3" x14ac:dyDescent="0.2">
      <c r="A118">
        <v>121</v>
      </c>
      <c r="B118">
        <v>2</v>
      </c>
      <c r="C118">
        <v>0.583261951207249</v>
      </c>
    </row>
    <row r="119" spans="1:3" x14ac:dyDescent="0.2">
      <c r="A119">
        <v>122</v>
      </c>
      <c r="B119">
        <v>3</v>
      </c>
      <c r="C119">
        <v>0.22298386583192231</v>
      </c>
    </row>
    <row r="120" spans="1:3" x14ac:dyDescent="0.2">
      <c r="A120">
        <v>123</v>
      </c>
      <c r="B120">
        <v>3</v>
      </c>
      <c r="C120">
        <v>1.04701081991981</v>
      </c>
    </row>
    <row r="121" spans="1:3" x14ac:dyDescent="0.2">
      <c r="A121">
        <v>124</v>
      </c>
      <c r="B121">
        <v>3</v>
      </c>
      <c r="C121">
        <v>0.63599496637684805</v>
      </c>
    </row>
    <row r="122" spans="1:3" x14ac:dyDescent="0.2">
      <c r="A122">
        <v>125</v>
      </c>
      <c r="B122">
        <v>3</v>
      </c>
      <c r="C122">
        <v>0.81180946927388997</v>
      </c>
    </row>
    <row r="123" spans="1:3" x14ac:dyDescent="0.2">
      <c r="A123">
        <v>127</v>
      </c>
      <c r="B123">
        <v>3</v>
      </c>
      <c r="C123">
        <v>0.4392221172749281</v>
      </c>
    </row>
    <row r="124" spans="1:3" x14ac:dyDescent="0.2">
      <c r="A124">
        <v>128</v>
      </c>
      <c r="B124">
        <v>3</v>
      </c>
      <c r="C124">
        <v>0.42096342430954958</v>
      </c>
    </row>
    <row r="125" spans="1:3" x14ac:dyDescent="0.2">
      <c r="A125">
        <v>129</v>
      </c>
      <c r="B125">
        <v>3</v>
      </c>
      <c r="C125">
        <v>0.27635914136024947</v>
      </c>
    </row>
    <row r="126" spans="1:3" x14ac:dyDescent="0.2">
      <c r="A126">
        <v>130</v>
      </c>
      <c r="B126">
        <v>2</v>
      </c>
      <c r="C126">
        <v>0.398295744259479</v>
      </c>
    </row>
    <row r="127" spans="1:3" x14ac:dyDescent="0.2">
      <c r="A127">
        <v>131</v>
      </c>
      <c r="B127">
        <v>2</v>
      </c>
      <c r="C127">
        <v>0.76604080040965405</v>
      </c>
    </row>
    <row r="128" spans="1:3" x14ac:dyDescent="0.2">
      <c r="A128">
        <v>132</v>
      </c>
      <c r="B128">
        <v>1</v>
      </c>
      <c r="C128">
        <v>0.16261472842333499</v>
      </c>
    </row>
    <row r="129" spans="1:3" x14ac:dyDescent="0.2">
      <c r="A129">
        <v>133</v>
      </c>
      <c r="B129">
        <v>2</v>
      </c>
      <c r="C129">
        <v>0.40426560845233195</v>
      </c>
    </row>
    <row r="130" spans="1:3" x14ac:dyDescent="0.2">
      <c r="A130">
        <v>134</v>
      </c>
      <c r="B130">
        <v>2</v>
      </c>
      <c r="C130">
        <v>0.50563979218893251</v>
      </c>
    </row>
    <row r="131" spans="1:3" x14ac:dyDescent="0.2">
      <c r="A131">
        <v>135</v>
      </c>
      <c r="B131">
        <v>2</v>
      </c>
      <c r="C131">
        <v>0.65331674794712702</v>
      </c>
    </row>
    <row r="132" spans="1:3" x14ac:dyDescent="0.2">
      <c r="A132">
        <v>136</v>
      </c>
      <c r="B132">
        <v>2</v>
      </c>
      <c r="C132">
        <v>0.61604385121918703</v>
      </c>
    </row>
    <row r="133" spans="1:3" x14ac:dyDescent="0.2">
      <c r="A133">
        <v>137</v>
      </c>
      <c r="B133">
        <v>1</v>
      </c>
      <c r="C133">
        <v>0.124117824552295</v>
      </c>
    </row>
    <row r="134" spans="1:3" x14ac:dyDescent="0.2">
      <c r="A134">
        <v>138</v>
      </c>
      <c r="B134">
        <v>1</v>
      </c>
      <c r="C134">
        <v>8.7803656041641198E-2</v>
      </c>
    </row>
    <row r="135" spans="1:3" x14ac:dyDescent="0.2">
      <c r="A135">
        <v>140</v>
      </c>
      <c r="B135">
        <v>2</v>
      </c>
      <c r="C135">
        <v>0.12079109155217191</v>
      </c>
    </row>
    <row r="136" spans="1:3" x14ac:dyDescent="0.2">
      <c r="A136">
        <v>141</v>
      </c>
      <c r="B136">
        <v>3</v>
      </c>
      <c r="C136">
        <v>0.48939238827686204</v>
      </c>
    </row>
    <row r="137" spans="1:3" x14ac:dyDescent="0.2">
      <c r="A137">
        <v>142</v>
      </c>
      <c r="B137">
        <v>2</v>
      </c>
      <c r="C137">
        <v>0.61494378695055296</v>
      </c>
    </row>
    <row r="138" spans="1:3" x14ac:dyDescent="0.2">
      <c r="A138">
        <v>143</v>
      </c>
      <c r="B138">
        <v>4</v>
      </c>
      <c r="C138">
        <v>0.6393272600084583</v>
      </c>
    </row>
    <row r="139" spans="1:3" x14ac:dyDescent="0.2">
      <c r="A139">
        <v>144</v>
      </c>
      <c r="B139">
        <v>3</v>
      </c>
      <c r="C139">
        <v>0.57930494760972551</v>
      </c>
    </row>
    <row r="140" spans="1:3" x14ac:dyDescent="0.2">
      <c r="A140">
        <v>145</v>
      </c>
      <c r="B140">
        <v>1</v>
      </c>
      <c r="C140">
        <v>2.5244603520247901E-2</v>
      </c>
    </row>
    <row r="141" spans="1:3" x14ac:dyDescent="0.2">
      <c r="A141">
        <v>146</v>
      </c>
      <c r="B141">
        <v>3</v>
      </c>
      <c r="C141">
        <v>0.85425774215878592</v>
      </c>
    </row>
    <row r="142" spans="1:3" x14ac:dyDescent="0.2">
      <c r="A142">
        <v>147</v>
      </c>
      <c r="B142">
        <v>3</v>
      </c>
      <c r="C142">
        <v>0.35212582675761084</v>
      </c>
    </row>
    <row r="143" spans="1:3" x14ac:dyDescent="0.2">
      <c r="A143">
        <v>148</v>
      </c>
      <c r="B143">
        <v>4</v>
      </c>
      <c r="C143">
        <v>0.59700012662868374</v>
      </c>
    </row>
    <row r="144" spans="1:3" x14ac:dyDescent="0.2">
      <c r="A144">
        <v>149</v>
      </c>
      <c r="B144">
        <v>3</v>
      </c>
      <c r="C144">
        <v>0.54291161095093954</v>
      </c>
    </row>
    <row r="145" spans="1:3" x14ac:dyDescent="0.2">
      <c r="A145">
        <v>150</v>
      </c>
      <c r="B145">
        <v>2</v>
      </c>
      <c r="C145">
        <v>0.23707423057005722</v>
      </c>
    </row>
    <row r="146" spans="1:3" x14ac:dyDescent="0.2">
      <c r="A146">
        <v>151</v>
      </c>
      <c r="B146">
        <v>1</v>
      </c>
      <c r="C146">
        <v>0.309761017203663</v>
      </c>
    </row>
    <row r="147" spans="1:3" x14ac:dyDescent="0.2">
      <c r="A147">
        <v>152</v>
      </c>
      <c r="B147">
        <v>2</v>
      </c>
      <c r="C147">
        <v>0.58622516706809102</v>
      </c>
    </row>
    <row r="148" spans="1:3" x14ac:dyDescent="0.2">
      <c r="A148">
        <v>153</v>
      </c>
      <c r="B148">
        <v>2</v>
      </c>
      <c r="C148">
        <v>0.19605576358683119</v>
      </c>
    </row>
    <row r="149" spans="1:3" x14ac:dyDescent="0.2">
      <c r="A149">
        <v>154</v>
      </c>
      <c r="B149">
        <v>3</v>
      </c>
      <c r="C149">
        <v>0.84487164170399986</v>
      </c>
    </row>
    <row r="150" spans="1:3" x14ac:dyDescent="0.2">
      <c r="A150">
        <v>155</v>
      </c>
      <c r="B150">
        <v>3</v>
      </c>
      <c r="C150">
        <v>1.423527370391702</v>
      </c>
    </row>
    <row r="151" spans="1:3" x14ac:dyDescent="0.2">
      <c r="A151">
        <v>156</v>
      </c>
      <c r="B151">
        <v>2</v>
      </c>
      <c r="C151">
        <v>0.2461069955656604</v>
      </c>
    </row>
    <row r="152" spans="1:3" x14ac:dyDescent="0.2">
      <c r="A152">
        <v>157</v>
      </c>
      <c r="B152">
        <v>2</v>
      </c>
      <c r="C152">
        <v>0.38080470942411193</v>
      </c>
    </row>
    <row r="153" spans="1:3" x14ac:dyDescent="0.2">
      <c r="A153">
        <v>158</v>
      </c>
      <c r="B153">
        <v>3</v>
      </c>
      <c r="C153">
        <v>0.66473124322219312</v>
      </c>
    </row>
    <row r="154" spans="1:3" x14ac:dyDescent="0.2">
      <c r="A154">
        <v>159</v>
      </c>
      <c r="B154">
        <v>2</v>
      </c>
      <c r="C154">
        <v>0.33322578788018387</v>
      </c>
    </row>
    <row r="155" spans="1:3" x14ac:dyDescent="0.2">
      <c r="A155">
        <v>160</v>
      </c>
      <c r="B155">
        <v>3</v>
      </c>
      <c r="C155">
        <v>0.24797628155419849</v>
      </c>
    </row>
    <row r="156" spans="1:3" x14ac:dyDescent="0.2">
      <c r="A156">
        <v>161</v>
      </c>
      <c r="B156">
        <v>2</v>
      </c>
      <c r="C156">
        <v>8.7781324178071302E-2</v>
      </c>
    </row>
    <row r="157" spans="1:3" x14ac:dyDescent="0.2">
      <c r="A157">
        <v>162</v>
      </c>
      <c r="B157">
        <v>3</v>
      </c>
      <c r="C157">
        <v>0.31363429826096523</v>
      </c>
    </row>
    <row r="158" spans="1:3" x14ac:dyDescent="0.2">
      <c r="A158">
        <v>163</v>
      </c>
      <c r="B158">
        <v>2</v>
      </c>
      <c r="C158">
        <v>0.67983281820649499</v>
      </c>
    </row>
    <row r="159" spans="1:3" x14ac:dyDescent="0.2">
      <c r="A159">
        <v>164</v>
      </c>
      <c r="B159">
        <v>3</v>
      </c>
      <c r="C159">
        <v>0.53893735268272636</v>
      </c>
    </row>
    <row r="160" spans="1:3" x14ac:dyDescent="0.2">
      <c r="A160">
        <v>165</v>
      </c>
      <c r="B160">
        <v>3</v>
      </c>
      <c r="C160">
        <v>0.57256952473798506</v>
      </c>
    </row>
    <row r="161" spans="1:3" x14ac:dyDescent="0.2">
      <c r="A161">
        <v>166</v>
      </c>
      <c r="B161">
        <v>2</v>
      </c>
      <c r="C161">
        <v>0.32588476754481499</v>
      </c>
    </row>
    <row r="162" spans="1:3" x14ac:dyDescent="0.2">
      <c r="A162">
        <v>167</v>
      </c>
      <c r="B162">
        <v>2</v>
      </c>
      <c r="C162">
        <v>0.213864750819491</v>
      </c>
    </row>
    <row r="163" spans="1:3" x14ac:dyDescent="0.2">
      <c r="A163">
        <v>168</v>
      </c>
      <c r="B163">
        <v>3</v>
      </c>
      <c r="C163">
        <v>0.76579376196299354</v>
      </c>
    </row>
    <row r="164" spans="1:3" x14ac:dyDescent="0.2">
      <c r="A164">
        <v>169</v>
      </c>
      <c r="B164">
        <v>2</v>
      </c>
      <c r="C164">
        <v>0.25858667288827897</v>
      </c>
    </row>
    <row r="165" spans="1:3" x14ac:dyDescent="0.2">
      <c r="A165">
        <v>170</v>
      </c>
      <c r="B165">
        <v>3</v>
      </c>
      <c r="C165">
        <v>0.3250604293877557</v>
      </c>
    </row>
    <row r="166" spans="1:3" x14ac:dyDescent="0.2">
      <c r="A166">
        <v>171</v>
      </c>
      <c r="B166">
        <v>2</v>
      </c>
      <c r="C166">
        <v>0.36576490371189413</v>
      </c>
    </row>
    <row r="167" spans="1:3" x14ac:dyDescent="0.2">
      <c r="A167">
        <v>172</v>
      </c>
      <c r="B167">
        <v>3</v>
      </c>
      <c r="C167">
        <v>0.52280127588087655</v>
      </c>
    </row>
    <row r="168" spans="1:3" x14ac:dyDescent="0.2">
      <c r="A168">
        <v>173</v>
      </c>
      <c r="B168">
        <v>1</v>
      </c>
      <c r="C168">
        <v>0.12150718637851</v>
      </c>
    </row>
    <row r="169" spans="1:3" x14ac:dyDescent="0.2">
      <c r="A169">
        <v>174</v>
      </c>
      <c r="B169">
        <v>1</v>
      </c>
      <c r="C169">
        <v>5.7223226766352699E-2</v>
      </c>
    </row>
    <row r="170" spans="1:3" x14ac:dyDescent="0.2">
      <c r="A170">
        <v>175</v>
      </c>
      <c r="B170">
        <v>2</v>
      </c>
      <c r="C170">
        <v>0.28859511498004198</v>
      </c>
    </row>
    <row r="171" spans="1:3" x14ac:dyDescent="0.2">
      <c r="A171">
        <v>176</v>
      </c>
      <c r="B171">
        <v>2</v>
      </c>
      <c r="C171">
        <v>0.12607579115230988</v>
      </c>
    </row>
    <row r="172" spans="1:3" x14ac:dyDescent="0.2">
      <c r="A172">
        <v>177</v>
      </c>
      <c r="B172">
        <v>3</v>
      </c>
      <c r="C172">
        <v>0.71279346919962339</v>
      </c>
    </row>
    <row r="173" spans="1:3" x14ac:dyDescent="0.2">
      <c r="A173">
        <v>178</v>
      </c>
      <c r="B173">
        <v>2</v>
      </c>
      <c r="C173">
        <v>0.55065524402686705</v>
      </c>
    </row>
    <row r="174" spans="1:3" x14ac:dyDescent="0.2">
      <c r="A174">
        <v>179</v>
      </c>
      <c r="B174">
        <v>1</v>
      </c>
      <c r="C174">
        <v>8.3137919278832399E-3</v>
      </c>
    </row>
    <row r="175" spans="1:3" x14ac:dyDescent="0.2">
      <c r="A175">
        <v>180</v>
      </c>
      <c r="B175">
        <v>2</v>
      </c>
      <c r="C175">
        <v>0.24523476652224202</v>
      </c>
    </row>
    <row r="176" spans="1:3" x14ac:dyDescent="0.2">
      <c r="A176">
        <v>181</v>
      </c>
      <c r="B176">
        <v>1</v>
      </c>
      <c r="C176">
        <v>5.5979664048979201E-2</v>
      </c>
    </row>
    <row r="177" spans="1:3" x14ac:dyDescent="0.2">
      <c r="A177">
        <v>182</v>
      </c>
      <c r="B177">
        <v>3</v>
      </c>
      <c r="C177">
        <v>0.64060084762382496</v>
      </c>
    </row>
    <row r="178" spans="1:3" x14ac:dyDescent="0.2">
      <c r="A178">
        <v>183</v>
      </c>
      <c r="B178">
        <v>2</v>
      </c>
      <c r="C178">
        <v>0.6513992522717249</v>
      </c>
    </row>
    <row r="179" spans="1:3" x14ac:dyDescent="0.2">
      <c r="A179">
        <v>184</v>
      </c>
      <c r="B179">
        <v>3</v>
      </c>
      <c r="C179">
        <v>0.59696354450967604</v>
      </c>
    </row>
    <row r="180" spans="1:3" x14ac:dyDescent="0.2">
      <c r="A180">
        <v>185</v>
      </c>
      <c r="B180">
        <v>2</v>
      </c>
      <c r="C180">
        <v>0.48805075171818502</v>
      </c>
    </row>
    <row r="181" spans="1:3" x14ac:dyDescent="0.2">
      <c r="A181">
        <v>186</v>
      </c>
      <c r="B181">
        <v>2</v>
      </c>
      <c r="C181">
        <v>0.18536041311483092</v>
      </c>
    </row>
    <row r="182" spans="1:3" x14ac:dyDescent="0.2">
      <c r="A182">
        <v>187</v>
      </c>
      <c r="B182">
        <v>3</v>
      </c>
      <c r="C182">
        <v>0.63987229403766155</v>
      </c>
    </row>
    <row r="183" spans="1:3" x14ac:dyDescent="0.2">
      <c r="A183">
        <v>188</v>
      </c>
      <c r="B183">
        <v>2</v>
      </c>
      <c r="C183">
        <v>0.3990618748277473</v>
      </c>
    </row>
    <row r="184" spans="1:3" x14ac:dyDescent="0.2">
      <c r="A184">
        <v>189</v>
      </c>
      <c r="B184">
        <v>1</v>
      </c>
      <c r="C184">
        <v>0.28542715051864198</v>
      </c>
    </row>
    <row r="185" spans="1:3" x14ac:dyDescent="0.2">
      <c r="A185">
        <v>190</v>
      </c>
      <c r="B185">
        <v>1</v>
      </c>
      <c r="C185">
        <v>0.148765841880794</v>
      </c>
    </row>
    <row r="186" spans="1:3" x14ac:dyDescent="0.2">
      <c r="A186">
        <v>191</v>
      </c>
      <c r="B186">
        <v>3</v>
      </c>
      <c r="C186">
        <v>0.64046926944611071</v>
      </c>
    </row>
    <row r="187" spans="1:3" x14ac:dyDescent="0.2">
      <c r="A187">
        <v>192</v>
      </c>
      <c r="B187">
        <v>3</v>
      </c>
      <c r="C187">
        <v>0.41081047466616899</v>
      </c>
    </row>
    <row r="188" spans="1:3" x14ac:dyDescent="0.2">
      <c r="A188">
        <v>194</v>
      </c>
      <c r="B188">
        <v>2</v>
      </c>
      <c r="C188">
        <v>0.28401911253351603</v>
      </c>
    </row>
    <row r="189" spans="1:3" x14ac:dyDescent="0.2">
      <c r="A189">
        <v>195</v>
      </c>
      <c r="B189">
        <v>1</v>
      </c>
      <c r="C189">
        <v>8.0704650938914393E-2</v>
      </c>
    </row>
    <row r="190" spans="1:3" x14ac:dyDescent="0.2">
      <c r="A190">
        <v>196</v>
      </c>
      <c r="B190">
        <v>2</v>
      </c>
      <c r="C190">
        <v>0.41668710700329548</v>
      </c>
    </row>
    <row r="191" spans="1:3" x14ac:dyDescent="0.2">
      <c r="A191">
        <v>197</v>
      </c>
      <c r="B191">
        <v>2</v>
      </c>
      <c r="C191">
        <v>0.34480004716505203</v>
      </c>
    </row>
    <row r="192" spans="1:3" x14ac:dyDescent="0.2">
      <c r="A192">
        <v>198</v>
      </c>
      <c r="B192">
        <v>2</v>
      </c>
      <c r="C192">
        <v>0.47328687360440402</v>
      </c>
    </row>
    <row r="193" spans="1:3" x14ac:dyDescent="0.2">
      <c r="A193">
        <v>199</v>
      </c>
      <c r="B193">
        <v>3</v>
      </c>
      <c r="C193">
        <v>0.4420438154054408</v>
      </c>
    </row>
    <row r="194" spans="1:3" x14ac:dyDescent="0.2">
      <c r="A194">
        <v>200</v>
      </c>
      <c r="B194">
        <v>2</v>
      </c>
      <c r="C194">
        <v>0.37885176468588772</v>
      </c>
    </row>
    <row r="195" spans="1:3" x14ac:dyDescent="0.2">
      <c r="A195">
        <v>201</v>
      </c>
      <c r="B195">
        <v>3</v>
      </c>
      <c r="C195">
        <v>0.32581259508937804</v>
      </c>
    </row>
    <row r="196" spans="1:3" x14ac:dyDescent="0.2">
      <c r="A196">
        <v>203</v>
      </c>
      <c r="B196">
        <v>2</v>
      </c>
      <c r="C196">
        <v>0.48868177590998296</v>
      </c>
    </row>
    <row r="197" spans="1:3" x14ac:dyDescent="0.2">
      <c r="A197">
        <v>204</v>
      </c>
      <c r="B197">
        <v>2</v>
      </c>
      <c r="C197">
        <v>0.14935801878229271</v>
      </c>
    </row>
    <row r="198" spans="1:3" x14ac:dyDescent="0.2">
      <c r="A198">
        <v>205</v>
      </c>
      <c r="B198">
        <v>2</v>
      </c>
      <c r="C198">
        <v>0.30694955525209622</v>
      </c>
    </row>
    <row r="199" spans="1:3" x14ac:dyDescent="0.2">
      <c r="A199">
        <v>206</v>
      </c>
      <c r="B199">
        <v>1</v>
      </c>
      <c r="C199">
        <v>4.74081726235989E-2</v>
      </c>
    </row>
    <row r="200" spans="1:3" x14ac:dyDescent="0.2">
      <c r="A200">
        <v>207</v>
      </c>
      <c r="B200">
        <v>3</v>
      </c>
      <c r="C200">
        <v>0.75866218067088198</v>
      </c>
    </row>
    <row r="201" spans="1:3" x14ac:dyDescent="0.2">
      <c r="A201">
        <v>208</v>
      </c>
      <c r="B201">
        <v>3</v>
      </c>
      <c r="C201">
        <v>0.31197106929569951</v>
      </c>
    </row>
    <row r="202" spans="1:3" x14ac:dyDescent="0.2">
      <c r="A202">
        <v>209</v>
      </c>
      <c r="B202">
        <v>3</v>
      </c>
      <c r="C202">
        <v>0.54156488860448926</v>
      </c>
    </row>
    <row r="203" spans="1:3" x14ac:dyDescent="0.2">
      <c r="A203">
        <v>210</v>
      </c>
      <c r="B203">
        <v>3</v>
      </c>
      <c r="C203">
        <v>0.83151209582852004</v>
      </c>
    </row>
    <row r="204" spans="1:3" x14ac:dyDescent="0.2">
      <c r="A204">
        <v>211</v>
      </c>
      <c r="B204">
        <v>2</v>
      </c>
      <c r="C204">
        <v>0.18849096899163398</v>
      </c>
    </row>
    <row r="205" spans="1:3" x14ac:dyDescent="0.2">
      <c r="A205">
        <v>212</v>
      </c>
      <c r="B205">
        <v>3</v>
      </c>
      <c r="C205">
        <v>0.28928902965234715</v>
      </c>
    </row>
    <row r="206" spans="1:3" x14ac:dyDescent="0.2">
      <c r="A206">
        <v>213</v>
      </c>
      <c r="B206">
        <v>3</v>
      </c>
      <c r="C206">
        <v>0.58140963822159508</v>
      </c>
    </row>
    <row r="207" spans="1:3" x14ac:dyDescent="0.2">
      <c r="A207">
        <v>214</v>
      </c>
      <c r="B207">
        <v>2</v>
      </c>
      <c r="C207">
        <v>0.94097583018173803</v>
      </c>
    </row>
    <row r="208" spans="1:3" x14ac:dyDescent="0.2">
      <c r="A208">
        <v>215</v>
      </c>
      <c r="B208">
        <v>4</v>
      </c>
      <c r="C208">
        <v>0.52531983050426401</v>
      </c>
    </row>
    <row r="209" spans="1:3" x14ac:dyDescent="0.2">
      <c r="A209">
        <v>216</v>
      </c>
      <c r="B209">
        <v>2</v>
      </c>
      <c r="C209">
        <v>0.2770681541525048</v>
      </c>
    </row>
    <row r="210" spans="1:3" x14ac:dyDescent="0.2">
      <c r="A210">
        <v>217</v>
      </c>
      <c r="B210">
        <v>3</v>
      </c>
      <c r="C210">
        <v>0.37364829199611971</v>
      </c>
    </row>
    <row r="211" spans="1:3" x14ac:dyDescent="0.2">
      <c r="A211">
        <v>218</v>
      </c>
      <c r="B211">
        <v>2</v>
      </c>
      <c r="C211">
        <v>0.23090474904109429</v>
      </c>
    </row>
    <row r="212" spans="1:3" x14ac:dyDescent="0.2">
      <c r="A212">
        <v>219</v>
      </c>
      <c r="B212">
        <v>1</v>
      </c>
      <c r="C212">
        <v>0.270631229472859</v>
      </c>
    </row>
    <row r="213" spans="1:3" x14ac:dyDescent="0.2">
      <c r="A213">
        <v>220</v>
      </c>
      <c r="B213">
        <v>1</v>
      </c>
      <c r="C213">
        <v>0.17648725946819299</v>
      </c>
    </row>
    <row r="214" spans="1:3" x14ac:dyDescent="0.2">
      <c r="A214">
        <v>221</v>
      </c>
      <c r="B214">
        <v>3</v>
      </c>
      <c r="C214">
        <v>0.70151065811045699</v>
      </c>
    </row>
    <row r="215" spans="1:3" x14ac:dyDescent="0.2">
      <c r="A215">
        <v>223</v>
      </c>
      <c r="B215">
        <v>2</v>
      </c>
      <c r="C215">
        <v>0.68081015233687103</v>
      </c>
    </row>
    <row r="216" spans="1:3" x14ac:dyDescent="0.2">
      <c r="A216">
        <v>224</v>
      </c>
      <c r="B216">
        <v>2</v>
      </c>
      <c r="C216">
        <v>0.67876048392900901</v>
      </c>
    </row>
    <row r="217" spans="1:3" x14ac:dyDescent="0.2">
      <c r="A217">
        <v>225</v>
      </c>
      <c r="B217">
        <v>4</v>
      </c>
      <c r="C217">
        <v>0.74695648377215895</v>
      </c>
    </row>
    <row r="218" spans="1:3" x14ac:dyDescent="0.2">
      <c r="A218">
        <v>226</v>
      </c>
      <c r="B218">
        <v>2</v>
      </c>
      <c r="C218">
        <v>0.67337083655482499</v>
      </c>
    </row>
    <row r="219" spans="1:3" x14ac:dyDescent="0.2">
      <c r="A219">
        <v>227</v>
      </c>
      <c r="B219">
        <v>2</v>
      </c>
      <c r="C219">
        <v>0.496288803653746</v>
      </c>
    </row>
    <row r="220" spans="1:3" x14ac:dyDescent="0.2">
      <c r="A220">
        <v>228</v>
      </c>
      <c r="B220">
        <v>2</v>
      </c>
      <c r="C220">
        <v>0.25995163401928567</v>
      </c>
    </row>
    <row r="221" spans="1:3" x14ac:dyDescent="0.2">
      <c r="A221">
        <v>229</v>
      </c>
      <c r="B221">
        <v>2</v>
      </c>
      <c r="C221">
        <v>0.12679286937901299</v>
      </c>
    </row>
    <row r="222" spans="1:3" x14ac:dyDescent="0.2">
      <c r="A222">
        <v>230</v>
      </c>
      <c r="B222">
        <v>1</v>
      </c>
      <c r="C222">
        <v>0.116884159656395</v>
      </c>
    </row>
    <row r="223" spans="1:3" x14ac:dyDescent="0.2">
      <c r="A223">
        <v>231</v>
      </c>
      <c r="B223">
        <v>2</v>
      </c>
      <c r="C223">
        <v>0.78147919468924798</v>
      </c>
    </row>
    <row r="224" spans="1:3" x14ac:dyDescent="0.2">
      <c r="A224">
        <v>232</v>
      </c>
      <c r="B224">
        <v>2</v>
      </c>
      <c r="C224">
        <v>0.11006336695574911</v>
      </c>
    </row>
    <row r="225" spans="1:3" x14ac:dyDescent="0.2">
      <c r="A225">
        <v>233</v>
      </c>
      <c r="B225">
        <v>2</v>
      </c>
      <c r="C225">
        <v>0.35482787556724904</v>
      </c>
    </row>
    <row r="226" spans="1:3" x14ac:dyDescent="0.2">
      <c r="A226">
        <v>234</v>
      </c>
      <c r="B226">
        <v>4</v>
      </c>
      <c r="C226">
        <v>0.6393689895553466</v>
      </c>
    </row>
    <row r="227" spans="1:3" x14ac:dyDescent="0.2">
      <c r="A227">
        <v>235</v>
      </c>
      <c r="B227">
        <v>3</v>
      </c>
      <c r="C227">
        <v>0.39878189529201541</v>
      </c>
    </row>
    <row r="228" spans="1:3" x14ac:dyDescent="0.2">
      <c r="A228">
        <v>236</v>
      </c>
      <c r="B228">
        <v>2</v>
      </c>
      <c r="C228">
        <v>0.51837917588412397</v>
      </c>
    </row>
    <row r="229" spans="1:3" x14ac:dyDescent="0.2">
      <c r="A229">
        <v>237</v>
      </c>
      <c r="B229">
        <v>3</v>
      </c>
      <c r="C229">
        <v>0.72500075590138402</v>
      </c>
    </row>
    <row r="230" spans="1:3" x14ac:dyDescent="0.2">
      <c r="A230">
        <v>238</v>
      </c>
      <c r="B230">
        <v>1</v>
      </c>
      <c r="C230">
        <v>0.19333390488212299</v>
      </c>
    </row>
    <row r="231" spans="1:3" x14ac:dyDescent="0.2">
      <c r="A231">
        <v>239</v>
      </c>
      <c r="B231">
        <v>3</v>
      </c>
      <c r="C231">
        <v>0.4946489449298524</v>
      </c>
    </row>
    <row r="232" spans="1:3" x14ac:dyDescent="0.2">
      <c r="A232">
        <v>240</v>
      </c>
      <c r="B232">
        <v>1</v>
      </c>
      <c r="C232">
        <v>0.140733597669355</v>
      </c>
    </row>
    <row r="233" spans="1:3" x14ac:dyDescent="0.2">
      <c r="A233">
        <v>241</v>
      </c>
      <c r="B233">
        <v>2</v>
      </c>
      <c r="C233">
        <v>0.37887366511410642</v>
      </c>
    </row>
    <row r="234" spans="1:3" x14ac:dyDescent="0.2">
      <c r="A234">
        <v>242</v>
      </c>
      <c r="B234">
        <v>2</v>
      </c>
      <c r="C234">
        <v>0.60425876100013398</v>
      </c>
    </row>
    <row r="235" spans="1:3" x14ac:dyDescent="0.2">
      <c r="A235">
        <v>243</v>
      </c>
      <c r="B235">
        <v>3</v>
      </c>
      <c r="C235">
        <v>1.5205696457499669</v>
      </c>
    </row>
    <row r="236" spans="1:3" x14ac:dyDescent="0.2">
      <c r="A236">
        <v>244</v>
      </c>
      <c r="B236">
        <v>2</v>
      </c>
      <c r="C236">
        <v>0.62210020438254898</v>
      </c>
    </row>
    <row r="237" spans="1:3" x14ac:dyDescent="0.2">
      <c r="A237">
        <v>245</v>
      </c>
      <c r="B237">
        <v>3</v>
      </c>
      <c r="C237">
        <v>0.7573711020642</v>
      </c>
    </row>
    <row r="238" spans="1:3" x14ac:dyDescent="0.2">
      <c r="A238">
        <v>246</v>
      </c>
      <c r="B238">
        <v>2</v>
      </c>
      <c r="C238">
        <v>0.61800974800826503</v>
      </c>
    </row>
    <row r="239" spans="1:3" x14ac:dyDescent="0.2">
      <c r="A239">
        <v>247</v>
      </c>
      <c r="B239">
        <v>2</v>
      </c>
      <c r="C239">
        <v>0.35313665636406599</v>
      </c>
    </row>
    <row r="240" spans="1:3" x14ac:dyDescent="0.2">
      <c r="A240">
        <v>250</v>
      </c>
      <c r="B240">
        <v>2</v>
      </c>
      <c r="C240">
        <v>0.49838210151534296</v>
      </c>
    </row>
    <row r="241" spans="1:3" x14ac:dyDescent="0.2">
      <c r="A241">
        <v>251</v>
      </c>
      <c r="B241">
        <v>3</v>
      </c>
      <c r="C241">
        <v>0.41594340093869303</v>
      </c>
    </row>
    <row r="242" spans="1:3" x14ac:dyDescent="0.2">
      <c r="A242">
        <v>252</v>
      </c>
      <c r="B242">
        <v>3</v>
      </c>
      <c r="C242">
        <v>0.64394933786901909</v>
      </c>
    </row>
    <row r="243" spans="1:3" x14ac:dyDescent="0.2">
      <c r="A243">
        <v>253</v>
      </c>
      <c r="B243">
        <v>2</v>
      </c>
      <c r="C243">
        <v>0.54799894821271999</v>
      </c>
    </row>
    <row r="244" spans="1:3" x14ac:dyDescent="0.2">
      <c r="A244">
        <v>254</v>
      </c>
      <c r="B244">
        <v>3</v>
      </c>
      <c r="C244">
        <v>0.28862617673479529</v>
      </c>
    </row>
    <row r="245" spans="1:3" x14ac:dyDescent="0.2">
      <c r="A245">
        <v>255</v>
      </c>
      <c r="B245">
        <v>2</v>
      </c>
      <c r="C245">
        <v>9.8717662435871295E-2</v>
      </c>
    </row>
    <row r="246" spans="1:3" x14ac:dyDescent="0.2">
      <c r="A246">
        <v>256</v>
      </c>
      <c r="B246">
        <v>1</v>
      </c>
      <c r="C246">
        <v>0.17169908677828899</v>
      </c>
    </row>
    <row r="247" spans="1:3" x14ac:dyDescent="0.2">
      <c r="A247">
        <v>257</v>
      </c>
      <c r="B247">
        <v>3</v>
      </c>
      <c r="C247">
        <v>0.673957236842472</v>
      </c>
    </row>
    <row r="248" spans="1:3" x14ac:dyDescent="0.2">
      <c r="A248">
        <v>258</v>
      </c>
      <c r="B248">
        <v>2</v>
      </c>
      <c r="C248">
        <v>0.46352773784566803</v>
      </c>
    </row>
    <row r="249" spans="1:3" x14ac:dyDescent="0.2">
      <c r="A249">
        <v>259</v>
      </c>
      <c r="B249">
        <v>2</v>
      </c>
      <c r="C249">
        <v>0.31083373283704696</v>
      </c>
    </row>
    <row r="250" spans="1:3" x14ac:dyDescent="0.2">
      <c r="A250">
        <v>260</v>
      </c>
      <c r="B250">
        <v>1</v>
      </c>
      <c r="C250">
        <v>0.37627743055712098</v>
      </c>
    </row>
    <row r="251" spans="1:3" x14ac:dyDescent="0.2">
      <c r="A251">
        <v>261</v>
      </c>
      <c r="B251">
        <v>1</v>
      </c>
      <c r="C251">
        <v>0.26717829288029099</v>
      </c>
    </row>
    <row r="252" spans="1:3" x14ac:dyDescent="0.2">
      <c r="A252">
        <v>262</v>
      </c>
      <c r="B252">
        <v>1</v>
      </c>
      <c r="C252">
        <v>9.0290606979493704E-2</v>
      </c>
    </row>
    <row r="253" spans="1:3" x14ac:dyDescent="0.2">
      <c r="A253">
        <v>263</v>
      </c>
      <c r="B253">
        <v>2</v>
      </c>
      <c r="C253">
        <v>0.17960931300275232</v>
      </c>
    </row>
    <row r="254" spans="1:3" x14ac:dyDescent="0.2">
      <c r="A254">
        <v>264</v>
      </c>
      <c r="B254">
        <v>1</v>
      </c>
      <c r="C254">
        <v>1.1696701302718601E-2</v>
      </c>
    </row>
    <row r="255" spans="1:3" x14ac:dyDescent="0.2">
      <c r="A255">
        <v>265</v>
      </c>
      <c r="B255">
        <v>2</v>
      </c>
      <c r="C255">
        <v>0.35422004002245</v>
      </c>
    </row>
    <row r="256" spans="1:3" x14ac:dyDescent="0.2">
      <c r="A256">
        <v>266</v>
      </c>
      <c r="B256">
        <v>2</v>
      </c>
      <c r="C256">
        <v>0.36456464374056602</v>
      </c>
    </row>
    <row r="257" spans="1:3" x14ac:dyDescent="0.2">
      <c r="A257">
        <v>267</v>
      </c>
      <c r="B257">
        <v>3</v>
      </c>
      <c r="C257">
        <v>0.30465879880320329</v>
      </c>
    </row>
    <row r="258" spans="1:3" x14ac:dyDescent="0.2">
      <c r="A258">
        <v>268</v>
      </c>
      <c r="B258">
        <v>3</v>
      </c>
      <c r="C258">
        <v>1.328292063027829</v>
      </c>
    </row>
    <row r="259" spans="1:3" x14ac:dyDescent="0.2">
      <c r="A259">
        <v>269</v>
      </c>
      <c r="B259">
        <v>4</v>
      </c>
      <c r="C259">
        <v>0.57959451313107091</v>
      </c>
    </row>
    <row r="260" spans="1:3" x14ac:dyDescent="0.2">
      <c r="A260">
        <v>270</v>
      </c>
      <c r="B260">
        <v>2</v>
      </c>
      <c r="C260">
        <v>0.25230457359087449</v>
      </c>
    </row>
    <row r="261" spans="1:3" x14ac:dyDescent="0.2">
      <c r="A261">
        <v>271</v>
      </c>
      <c r="B261">
        <v>1</v>
      </c>
      <c r="C261">
        <v>0.182909740627312</v>
      </c>
    </row>
    <row r="262" spans="1:3" x14ac:dyDescent="0.2">
      <c r="A262">
        <v>272</v>
      </c>
      <c r="B262">
        <v>4</v>
      </c>
      <c r="C262">
        <v>0.53325844488391694</v>
      </c>
    </row>
    <row r="263" spans="1:3" x14ac:dyDescent="0.2">
      <c r="A263">
        <v>273</v>
      </c>
      <c r="B263">
        <v>4</v>
      </c>
      <c r="C263">
        <v>0.73734989145247587</v>
      </c>
    </row>
    <row r="264" spans="1:3" x14ac:dyDescent="0.2">
      <c r="A264">
        <v>274</v>
      </c>
      <c r="B264">
        <v>3</v>
      </c>
      <c r="C264">
        <v>0.84209346678479835</v>
      </c>
    </row>
    <row r="265" spans="1:3" x14ac:dyDescent="0.2">
      <c r="A265">
        <v>275</v>
      </c>
      <c r="B265">
        <v>1</v>
      </c>
      <c r="C265">
        <v>0.82411373616204697</v>
      </c>
    </row>
    <row r="266" spans="1:3" x14ac:dyDescent="0.2">
      <c r="A266">
        <v>276</v>
      </c>
      <c r="B266">
        <v>2</v>
      </c>
      <c r="C266">
        <v>0.32279800151310711</v>
      </c>
    </row>
    <row r="267" spans="1:3" x14ac:dyDescent="0.2">
      <c r="A267">
        <v>278</v>
      </c>
      <c r="B267">
        <v>2</v>
      </c>
      <c r="C267">
        <v>0.28497426308286389</v>
      </c>
    </row>
    <row r="268" spans="1:3" x14ac:dyDescent="0.2">
      <c r="A268">
        <v>279</v>
      </c>
      <c r="B268">
        <v>4</v>
      </c>
      <c r="C268">
        <v>0.64037159887585293</v>
      </c>
    </row>
    <row r="269" spans="1:3" x14ac:dyDescent="0.2">
      <c r="A269">
        <v>280</v>
      </c>
      <c r="B269">
        <v>2</v>
      </c>
      <c r="C269">
        <v>0.56836448894980296</v>
      </c>
    </row>
    <row r="270" spans="1:3" x14ac:dyDescent="0.2">
      <c r="A270">
        <v>281</v>
      </c>
      <c r="B270">
        <v>1</v>
      </c>
      <c r="C270">
        <v>0.25336230987698399</v>
      </c>
    </row>
    <row r="271" spans="1:3" x14ac:dyDescent="0.2">
      <c r="A271">
        <v>282</v>
      </c>
      <c r="B271">
        <v>3</v>
      </c>
      <c r="C271">
        <v>0.49647200248056544</v>
      </c>
    </row>
    <row r="272" spans="1:3" x14ac:dyDescent="0.2">
      <c r="A272">
        <v>283</v>
      </c>
      <c r="B272">
        <v>2</v>
      </c>
      <c r="C272">
        <v>0.236549355245121</v>
      </c>
    </row>
    <row r="273" spans="1:3" x14ac:dyDescent="0.2">
      <c r="A273">
        <v>284</v>
      </c>
      <c r="B273">
        <v>3</v>
      </c>
      <c r="C273">
        <v>0.92217574448360595</v>
      </c>
    </row>
    <row r="274" spans="1:3" x14ac:dyDescent="0.2">
      <c r="A274">
        <v>285</v>
      </c>
      <c r="B274">
        <v>4</v>
      </c>
      <c r="C274">
        <v>0.409530251120448</v>
      </c>
    </row>
    <row r="275" spans="1:3" x14ac:dyDescent="0.2">
      <c r="A275">
        <v>286</v>
      </c>
      <c r="B275">
        <v>2</v>
      </c>
      <c r="C275">
        <v>0.2037648891680465</v>
      </c>
    </row>
    <row r="276" spans="1:3" x14ac:dyDescent="0.2">
      <c r="A276">
        <v>287</v>
      </c>
      <c r="B276">
        <v>4</v>
      </c>
      <c r="C276">
        <v>0.99781685013348964</v>
      </c>
    </row>
    <row r="277" spans="1:3" x14ac:dyDescent="0.2">
      <c r="A277">
        <v>288</v>
      </c>
      <c r="B277">
        <v>3</v>
      </c>
      <c r="C277">
        <v>0.87610512625171422</v>
      </c>
    </row>
    <row r="278" spans="1:3" x14ac:dyDescent="0.2">
      <c r="A278">
        <v>289</v>
      </c>
      <c r="B278">
        <v>4</v>
      </c>
      <c r="C278">
        <v>0.61311949925743847</v>
      </c>
    </row>
    <row r="279" spans="1:3" x14ac:dyDescent="0.2">
      <c r="A279">
        <v>290</v>
      </c>
      <c r="B279">
        <v>2</v>
      </c>
      <c r="C279">
        <v>0.11862403607328011</v>
      </c>
    </row>
    <row r="280" spans="1:3" x14ac:dyDescent="0.2">
      <c r="A280">
        <v>291</v>
      </c>
      <c r="B280">
        <v>3</v>
      </c>
      <c r="C280">
        <v>0.68520991140709997</v>
      </c>
    </row>
    <row r="281" spans="1:3" x14ac:dyDescent="0.2">
      <c r="A281">
        <v>292</v>
      </c>
      <c r="B281">
        <v>3</v>
      </c>
      <c r="C281">
        <v>0.63179412838573301</v>
      </c>
    </row>
    <row r="282" spans="1:3" x14ac:dyDescent="0.2">
      <c r="A282">
        <v>293</v>
      </c>
      <c r="B282">
        <v>4</v>
      </c>
      <c r="C282">
        <v>0.86845285414497209</v>
      </c>
    </row>
    <row r="283" spans="1:3" x14ac:dyDescent="0.2">
      <c r="A283">
        <v>294</v>
      </c>
      <c r="B283">
        <v>1</v>
      </c>
      <c r="C283">
        <v>2.1495257316331898E-2</v>
      </c>
    </row>
    <row r="284" spans="1:3" x14ac:dyDescent="0.2">
      <c r="A284">
        <v>295</v>
      </c>
      <c r="B284">
        <v>1</v>
      </c>
      <c r="C284">
        <v>0.26222676163081099</v>
      </c>
    </row>
    <row r="285" spans="1:3" x14ac:dyDescent="0.2">
      <c r="A285">
        <v>296</v>
      </c>
      <c r="B285">
        <v>1</v>
      </c>
      <c r="C285">
        <v>0.187987251583391</v>
      </c>
    </row>
    <row r="286" spans="1:3" x14ac:dyDescent="0.2">
      <c r="A286">
        <v>298</v>
      </c>
      <c r="B286">
        <v>3</v>
      </c>
      <c r="C286">
        <v>0.88559606019897197</v>
      </c>
    </row>
    <row r="287" spans="1:3" x14ac:dyDescent="0.2">
      <c r="A287">
        <v>299</v>
      </c>
      <c r="B287">
        <v>3</v>
      </c>
      <c r="C287">
        <v>0.78291149308458197</v>
      </c>
    </row>
    <row r="288" spans="1:3" x14ac:dyDescent="0.2">
      <c r="A288">
        <v>300</v>
      </c>
      <c r="B288">
        <v>1</v>
      </c>
      <c r="C288">
        <v>0.26480122684993801</v>
      </c>
    </row>
    <row r="289" spans="1:3" x14ac:dyDescent="0.2">
      <c r="A289">
        <v>301</v>
      </c>
      <c r="B289">
        <v>1</v>
      </c>
      <c r="C289">
        <v>6.1633401820854403E-2</v>
      </c>
    </row>
    <row r="290" spans="1:3" x14ac:dyDescent="0.2">
      <c r="A290">
        <v>302</v>
      </c>
      <c r="B290">
        <v>4</v>
      </c>
      <c r="C290">
        <v>1.252993673542022</v>
      </c>
    </row>
    <row r="291" spans="1:3" x14ac:dyDescent="0.2">
      <c r="A291">
        <v>303</v>
      </c>
      <c r="B291">
        <v>1</v>
      </c>
      <c r="C291">
        <v>0.28097194013579502</v>
      </c>
    </row>
    <row r="292" spans="1:3" x14ac:dyDescent="0.2">
      <c r="A292">
        <v>304</v>
      </c>
      <c r="B292">
        <v>2</v>
      </c>
      <c r="C292">
        <v>0.52606449504497566</v>
      </c>
    </row>
    <row r="293" spans="1:3" x14ac:dyDescent="0.2">
      <c r="A293">
        <v>305</v>
      </c>
      <c r="B293">
        <v>2</v>
      </c>
      <c r="C293">
        <v>0.71785341593872798</v>
      </c>
    </row>
    <row r="294" spans="1:3" x14ac:dyDescent="0.2">
      <c r="A294">
        <v>306</v>
      </c>
      <c r="B294">
        <v>2</v>
      </c>
      <c r="C294">
        <v>0.1086057793760245</v>
      </c>
    </row>
    <row r="295" spans="1:3" x14ac:dyDescent="0.2">
      <c r="A295">
        <v>307</v>
      </c>
      <c r="B295">
        <v>3</v>
      </c>
      <c r="C295">
        <v>0.4840035057581405</v>
      </c>
    </row>
    <row r="296" spans="1:3" x14ac:dyDescent="0.2">
      <c r="A296">
        <v>308</v>
      </c>
      <c r="B296">
        <v>4</v>
      </c>
      <c r="C296">
        <v>1.1423715316546299</v>
      </c>
    </row>
    <row r="297" spans="1:3" x14ac:dyDescent="0.2">
      <c r="A297">
        <v>309</v>
      </c>
      <c r="B297">
        <v>2</v>
      </c>
      <c r="C297">
        <v>0.26507731657856748</v>
      </c>
    </row>
    <row r="298" spans="1:3" x14ac:dyDescent="0.2">
      <c r="A298">
        <v>310</v>
      </c>
      <c r="B298">
        <v>2</v>
      </c>
      <c r="C298">
        <v>0.29887356418324301</v>
      </c>
    </row>
    <row r="299" spans="1:3" x14ac:dyDescent="0.2">
      <c r="A299">
        <v>311</v>
      </c>
      <c r="B299">
        <v>2</v>
      </c>
      <c r="C299">
        <v>0.31854306806438404</v>
      </c>
    </row>
    <row r="300" spans="1:3" x14ac:dyDescent="0.2">
      <c r="A300">
        <v>312</v>
      </c>
      <c r="B300">
        <v>2</v>
      </c>
      <c r="C300">
        <v>0.18038551729983071</v>
      </c>
    </row>
    <row r="301" spans="1:3" x14ac:dyDescent="0.2">
      <c r="A301">
        <v>313</v>
      </c>
      <c r="B301">
        <v>2</v>
      </c>
      <c r="C301">
        <v>0.38436223959838001</v>
      </c>
    </row>
    <row r="302" spans="1:3" x14ac:dyDescent="0.2">
      <c r="A302">
        <v>314</v>
      </c>
      <c r="B302">
        <v>4</v>
      </c>
      <c r="C302">
        <v>0.53326093521478612</v>
      </c>
    </row>
    <row r="303" spans="1:3" x14ac:dyDescent="0.2">
      <c r="A303">
        <v>315</v>
      </c>
      <c r="B303">
        <v>3</v>
      </c>
      <c r="C303">
        <v>0.80703523774311003</v>
      </c>
    </row>
    <row r="304" spans="1:3" x14ac:dyDescent="0.2">
      <c r="A304">
        <v>316</v>
      </c>
      <c r="B304">
        <v>1</v>
      </c>
      <c r="C304">
        <v>0.14497959347936501</v>
      </c>
    </row>
    <row r="305" spans="1:3" x14ac:dyDescent="0.2">
      <c r="A305">
        <v>317</v>
      </c>
      <c r="B305">
        <v>1</v>
      </c>
      <c r="C305">
        <v>8.0602358092400697E-3</v>
      </c>
    </row>
    <row r="306" spans="1:3" x14ac:dyDescent="0.2">
      <c r="A306">
        <v>318</v>
      </c>
      <c r="B306">
        <v>3</v>
      </c>
      <c r="C306">
        <v>0.78835268900986155</v>
      </c>
    </row>
    <row r="307" spans="1:3" x14ac:dyDescent="0.2">
      <c r="A307">
        <v>319</v>
      </c>
      <c r="B307">
        <v>3</v>
      </c>
      <c r="C307">
        <v>0.65559127158288066</v>
      </c>
    </row>
    <row r="308" spans="1:3" x14ac:dyDescent="0.2">
      <c r="A308">
        <v>320</v>
      </c>
      <c r="B308">
        <v>1</v>
      </c>
      <c r="C308">
        <v>0.25280326249962398</v>
      </c>
    </row>
    <row r="309" spans="1:3" x14ac:dyDescent="0.2">
      <c r="A309">
        <v>321</v>
      </c>
      <c r="B309">
        <v>1</v>
      </c>
      <c r="C309">
        <v>0.14957146980283401</v>
      </c>
    </row>
    <row r="310" spans="1:3" x14ac:dyDescent="0.2">
      <c r="A310">
        <v>322</v>
      </c>
      <c r="B310">
        <v>3</v>
      </c>
      <c r="C310">
        <v>0.30993222983454288</v>
      </c>
    </row>
    <row r="311" spans="1:3" x14ac:dyDescent="0.2">
      <c r="A311">
        <v>323</v>
      </c>
      <c r="B311">
        <v>3</v>
      </c>
      <c r="C311">
        <v>0.38747067918363148</v>
      </c>
    </row>
    <row r="312" spans="1:3" x14ac:dyDescent="0.2">
      <c r="A312">
        <v>324</v>
      </c>
      <c r="B312">
        <v>2</v>
      </c>
      <c r="C312">
        <v>0.750170458065894</v>
      </c>
    </row>
    <row r="313" spans="1:3" x14ac:dyDescent="0.2">
      <c r="A313">
        <v>325</v>
      </c>
      <c r="B313">
        <v>3</v>
      </c>
      <c r="C313">
        <v>0.68573895373555827</v>
      </c>
    </row>
    <row r="314" spans="1:3" x14ac:dyDescent="0.2">
      <c r="A314">
        <v>326</v>
      </c>
      <c r="B314">
        <v>4</v>
      </c>
      <c r="C314">
        <v>1.504188092727857</v>
      </c>
    </row>
    <row r="315" spans="1:3" x14ac:dyDescent="0.2">
      <c r="A315">
        <v>328</v>
      </c>
      <c r="B315">
        <v>4</v>
      </c>
      <c r="C315">
        <v>0.88787909746868698</v>
      </c>
    </row>
    <row r="316" spans="1:3" x14ac:dyDescent="0.2">
      <c r="A316">
        <v>329</v>
      </c>
      <c r="B316">
        <v>3</v>
      </c>
      <c r="C316">
        <v>0.39616298375162906</v>
      </c>
    </row>
    <row r="317" spans="1:3" x14ac:dyDescent="0.2">
      <c r="A317">
        <v>330</v>
      </c>
      <c r="B317">
        <v>1</v>
      </c>
      <c r="C317">
        <v>0.33703937703320602</v>
      </c>
    </row>
    <row r="318" spans="1:3" x14ac:dyDescent="0.2">
      <c r="A318">
        <v>331</v>
      </c>
      <c r="B318">
        <v>2</v>
      </c>
      <c r="C318">
        <v>7.7982323282860602E-2</v>
      </c>
    </row>
    <row r="319" spans="1:3" x14ac:dyDescent="0.2">
      <c r="A319">
        <v>332</v>
      </c>
      <c r="B319">
        <v>3</v>
      </c>
      <c r="C319">
        <v>0.45557555054539972</v>
      </c>
    </row>
    <row r="320" spans="1:3" x14ac:dyDescent="0.2">
      <c r="A320">
        <v>333</v>
      </c>
      <c r="B320">
        <v>2</v>
      </c>
      <c r="C320">
        <v>0.41043339828126102</v>
      </c>
    </row>
    <row r="321" spans="1:3" x14ac:dyDescent="0.2">
      <c r="A321">
        <v>334</v>
      </c>
      <c r="B321">
        <v>1</v>
      </c>
      <c r="C321">
        <v>0.126966797117326</v>
      </c>
    </row>
    <row r="322" spans="1:3" x14ac:dyDescent="0.2">
      <c r="A322">
        <v>335</v>
      </c>
      <c r="B322">
        <v>3</v>
      </c>
      <c r="C322">
        <v>0.61098905150762861</v>
      </c>
    </row>
    <row r="323" spans="1:3" x14ac:dyDescent="0.2">
      <c r="A323">
        <v>336</v>
      </c>
      <c r="B323">
        <v>2</v>
      </c>
      <c r="C323">
        <v>7.3369851716293705E-2</v>
      </c>
    </row>
    <row r="324" spans="1:3" x14ac:dyDescent="0.2">
      <c r="A324">
        <v>337</v>
      </c>
      <c r="B324">
        <v>2</v>
      </c>
      <c r="C324">
        <v>0.34538321188723936</v>
      </c>
    </row>
    <row r="325" spans="1:3" x14ac:dyDescent="0.2">
      <c r="A325">
        <v>338</v>
      </c>
      <c r="B325">
        <v>2</v>
      </c>
      <c r="C325">
        <v>0.34698656146744072</v>
      </c>
    </row>
    <row r="326" spans="1:3" x14ac:dyDescent="0.2">
      <c r="A326">
        <v>339</v>
      </c>
      <c r="B326">
        <v>2</v>
      </c>
      <c r="C326">
        <v>0.8590043683558839</v>
      </c>
    </row>
    <row r="327" spans="1:3" x14ac:dyDescent="0.2">
      <c r="A327">
        <v>341</v>
      </c>
      <c r="B327">
        <v>2</v>
      </c>
      <c r="C327">
        <v>0.39916287105863901</v>
      </c>
    </row>
    <row r="328" spans="1:3" x14ac:dyDescent="0.2">
      <c r="A328">
        <v>342</v>
      </c>
      <c r="B328">
        <v>3</v>
      </c>
      <c r="C328">
        <v>0.46571373116370995</v>
      </c>
    </row>
    <row r="329" spans="1:3" x14ac:dyDescent="0.2">
      <c r="A329">
        <v>343</v>
      </c>
      <c r="B329">
        <v>2</v>
      </c>
      <c r="C329">
        <v>0.4606612244667751</v>
      </c>
    </row>
    <row r="330" spans="1:3" x14ac:dyDescent="0.2">
      <c r="A330">
        <v>344</v>
      </c>
      <c r="B330">
        <v>3</v>
      </c>
      <c r="C330">
        <v>0.61409611197531022</v>
      </c>
    </row>
    <row r="331" spans="1:3" x14ac:dyDescent="0.2">
      <c r="A331">
        <v>345</v>
      </c>
      <c r="B331">
        <v>2</v>
      </c>
      <c r="C331">
        <v>0.34786521623622801</v>
      </c>
    </row>
    <row r="332" spans="1:3" x14ac:dyDescent="0.2">
      <c r="A332">
        <v>346</v>
      </c>
      <c r="B332">
        <v>3</v>
      </c>
      <c r="C332">
        <v>0.80689831867488593</v>
      </c>
    </row>
    <row r="333" spans="1:3" x14ac:dyDescent="0.2">
      <c r="A333">
        <v>348</v>
      </c>
      <c r="B333">
        <v>2</v>
      </c>
      <c r="C333">
        <v>0.339662147402856</v>
      </c>
    </row>
    <row r="334" spans="1:3" x14ac:dyDescent="0.2">
      <c r="A334">
        <v>349</v>
      </c>
      <c r="B334">
        <v>3</v>
      </c>
      <c r="C334">
        <v>0.56971707007380801</v>
      </c>
    </row>
    <row r="335" spans="1:3" x14ac:dyDescent="0.2">
      <c r="A335">
        <v>350</v>
      </c>
      <c r="B335">
        <v>2</v>
      </c>
      <c r="C335">
        <v>0.41130642851518801</v>
      </c>
    </row>
    <row r="336" spans="1:3" x14ac:dyDescent="0.2">
      <c r="A336">
        <v>351</v>
      </c>
      <c r="B336">
        <v>3</v>
      </c>
      <c r="C336">
        <v>0.424117197750981</v>
      </c>
    </row>
    <row r="337" spans="1:3" x14ac:dyDescent="0.2">
      <c r="A337">
        <v>353</v>
      </c>
      <c r="B337">
        <v>2</v>
      </c>
      <c r="C337">
        <v>0.19964771956555089</v>
      </c>
    </row>
    <row r="338" spans="1:3" x14ac:dyDescent="0.2">
      <c r="A338">
        <v>354</v>
      </c>
      <c r="B338">
        <v>3</v>
      </c>
      <c r="C338">
        <v>0.42156436807340408</v>
      </c>
    </row>
    <row r="339" spans="1:3" x14ac:dyDescent="0.2">
      <c r="A339">
        <v>355</v>
      </c>
      <c r="B339">
        <v>2</v>
      </c>
      <c r="C339">
        <v>9.4307484916407308E-2</v>
      </c>
    </row>
    <row r="340" spans="1:3" x14ac:dyDescent="0.2">
      <c r="A340">
        <v>357</v>
      </c>
      <c r="B340">
        <v>2</v>
      </c>
      <c r="C340">
        <v>0.25806209708335903</v>
      </c>
    </row>
    <row r="341" spans="1:3" x14ac:dyDescent="0.2">
      <c r="A341">
        <v>358</v>
      </c>
      <c r="B341">
        <v>2</v>
      </c>
      <c r="C341">
        <v>0.49128985421287497</v>
      </c>
    </row>
    <row r="342" spans="1:3" x14ac:dyDescent="0.2">
      <c r="A342">
        <v>359</v>
      </c>
      <c r="B342">
        <v>3</v>
      </c>
      <c r="C342">
        <v>0.47011565094490404</v>
      </c>
    </row>
    <row r="343" spans="1:3" x14ac:dyDescent="0.2">
      <c r="A343">
        <v>360</v>
      </c>
      <c r="B343">
        <v>1</v>
      </c>
      <c r="C343">
        <v>0.19925786310087101</v>
      </c>
    </row>
    <row r="344" spans="1:3" x14ac:dyDescent="0.2">
      <c r="A344">
        <v>361</v>
      </c>
      <c r="B344">
        <v>3</v>
      </c>
      <c r="C344">
        <v>0.4382667915140897</v>
      </c>
    </row>
    <row r="345" spans="1:3" x14ac:dyDescent="0.2">
      <c r="A345">
        <v>362</v>
      </c>
      <c r="B345">
        <v>3</v>
      </c>
      <c r="C345">
        <v>0.47899953913334903</v>
      </c>
    </row>
    <row r="346" spans="1:3" x14ac:dyDescent="0.2">
      <c r="A346">
        <v>363</v>
      </c>
      <c r="B346">
        <v>1</v>
      </c>
      <c r="C346">
        <v>0.13434926768798899</v>
      </c>
    </row>
    <row r="347" spans="1:3" x14ac:dyDescent="0.2">
      <c r="A347">
        <v>364</v>
      </c>
      <c r="B347">
        <v>3</v>
      </c>
      <c r="C347">
        <v>0.27719569021598589</v>
      </c>
    </row>
    <row r="348" spans="1:3" x14ac:dyDescent="0.2">
      <c r="A348">
        <v>365</v>
      </c>
      <c r="B348">
        <v>3</v>
      </c>
      <c r="C348">
        <v>0.32571057440998818</v>
      </c>
    </row>
    <row r="349" spans="1:3" x14ac:dyDescent="0.2">
      <c r="A349">
        <v>366</v>
      </c>
      <c r="B349">
        <v>1</v>
      </c>
      <c r="C349">
        <v>0.133284229339204</v>
      </c>
    </row>
    <row r="350" spans="1:3" x14ac:dyDescent="0.2">
      <c r="A350">
        <v>367</v>
      </c>
      <c r="B350">
        <v>3</v>
      </c>
      <c r="C350">
        <v>0.38520853861323889</v>
      </c>
    </row>
    <row r="351" spans="1:3" x14ac:dyDescent="0.2">
      <c r="A351">
        <v>368</v>
      </c>
      <c r="B351">
        <v>4</v>
      </c>
      <c r="C351">
        <v>0.37075709478378127</v>
      </c>
    </row>
    <row r="352" spans="1:3" x14ac:dyDescent="0.2">
      <c r="A352">
        <v>369</v>
      </c>
      <c r="B352">
        <v>2</v>
      </c>
      <c r="C352">
        <v>0.30948632734326997</v>
      </c>
    </row>
    <row r="353" spans="1:3" x14ac:dyDescent="0.2">
      <c r="A353">
        <v>370</v>
      </c>
      <c r="B353">
        <v>2</v>
      </c>
      <c r="C353">
        <v>0.43680670500263169</v>
      </c>
    </row>
    <row r="354" spans="1:3" x14ac:dyDescent="0.2">
      <c r="A354">
        <v>371</v>
      </c>
      <c r="B354">
        <v>2</v>
      </c>
      <c r="C354">
        <v>0.296625854262064</v>
      </c>
    </row>
    <row r="355" spans="1:3" x14ac:dyDescent="0.2">
      <c r="A355">
        <v>372</v>
      </c>
      <c r="B355">
        <v>3</v>
      </c>
      <c r="C355">
        <v>0.35335469932857266</v>
      </c>
    </row>
    <row r="356" spans="1:3" x14ac:dyDescent="0.2">
      <c r="A356">
        <v>373</v>
      </c>
      <c r="B356">
        <v>1</v>
      </c>
      <c r="C356">
        <v>0.20091866680826601</v>
      </c>
    </row>
    <row r="357" spans="1:3" x14ac:dyDescent="0.2">
      <c r="A357">
        <v>374</v>
      </c>
      <c r="B357">
        <v>2</v>
      </c>
      <c r="C357">
        <v>0.57812536885955657</v>
      </c>
    </row>
    <row r="358" spans="1:3" x14ac:dyDescent="0.2">
      <c r="A358">
        <v>375</v>
      </c>
      <c r="B358">
        <v>2</v>
      </c>
      <c r="C358">
        <v>0.43976077402444003</v>
      </c>
    </row>
    <row r="359" spans="1:3" x14ac:dyDescent="0.2">
      <c r="A359">
        <v>377</v>
      </c>
      <c r="B359">
        <v>1</v>
      </c>
      <c r="C359">
        <v>0.15689731181883901</v>
      </c>
    </row>
    <row r="360" spans="1:3" x14ac:dyDescent="0.2">
      <c r="A360">
        <v>378</v>
      </c>
      <c r="B360">
        <v>3</v>
      </c>
      <c r="C360">
        <v>0.40543344060147801</v>
      </c>
    </row>
    <row r="361" spans="1:3" x14ac:dyDescent="0.2">
      <c r="A361">
        <v>379</v>
      </c>
      <c r="B361">
        <v>3</v>
      </c>
      <c r="C361">
        <v>0.599100992259055</v>
      </c>
    </row>
    <row r="362" spans="1:3" x14ac:dyDescent="0.2">
      <c r="A362">
        <v>381</v>
      </c>
      <c r="B362">
        <v>2</v>
      </c>
      <c r="C362">
        <v>0.39202543571686804</v>
      </c>
    </row>
    <row r="363" spans="1:3" x14ac:dyDescent="0.2">
      <c r="A363">
        <v>382</v>
      </c>
      <c r="B363">
        <v>1</v>
      </c>
      <c r="C363">
        <v>0.213296403376984</v>
      </c>
    </row>
    <row r="364" spans="1:3" x14ac:dyDescent="0.2">
      <c r="A364">
        <v>383</v>
      </c>
      <c r="B364">
        <v>3</v>
      </c>
      <c r="C364">
        <v>0.84996076002860199</v>
      </c>
    </row>
    <row r="365" spans="1:3" x14ac:dyDescent="0.2">
      <c r="A365">
        <v>384</v>
      </c>
      <c r="B365">
        <v>1</v>
      </c>
      <c r="C365">
        <v>0.33932585102914897</v>
      </c>
    </row>
    <row r="366" spans="1:3" x14ac:dyDescent="0.2">
      <c r="A366">
        <v>385</v>
      </c>
      <c r="B366">
        <v>2</v>
      </c>
      <c r="C366">
        <v>0.3393775494324095</v>
      </c>
    </row>
    <row r="367" spans="1:3" x14ac:dyDescent="0.2">
      <c r="A367">
        <v>386</v>
      </c>
      <c r="B367">
        <v>1</v>
      </c>
      <c r="C367">
        <v>0.63437632147206002</v>
      </c>
    </row>
    <row r="368" spans="1:3" x14ac:dyDescent="0.2">
      <c r="A368">
        <v>387</v>
      </c>
      <c r="B368">
        <v>3</v>
      </c>
      <c r="C368">
        <v>0.56458172343719604</v>
      </c>
    </row>
    <row r="369" spans="1:3" x14ac:dyDescent="0.2">
      <c r="A369">
        <v>388</v>
      </c>
      <c r="B369">
        <v>3</v>
      </c>
      <c r="C369">
        <v>0.30006332789388201</v>
      </c>
    </row>
    <row r="370" spans="1:3" x14ac:dyDescent="0.2">
      <c r="A370">
        <v>389</v>
      </c>
      <c r="B370">
        <v>3</v>
      </c>
      <c r="C370">
        <v>0.66069603616302475</v>
      </c>
    </row>
    <row r="371" spans="1:3" x14ac:dyDescent="0.2">
      <c r="A371">
        <v>390</v>
      </c>
      <c r="B371">
        <v>3</v>
      </c>
      <c r="C371">
        <v>0.83651048815156503</v>
      </c>
    </row>
    <row r="372" spans="1:3" x14ac:dyDescent="0.2">
      <c r="A372">
        <v>392</v>
      </c>
      <c r="B372">
        <v>3</v>
      </c>
      <c r="C372">
        <v>0.29760248141042883</v>
      </c>
    </row>
    <row r="373" spans="1:3" x14ac:dyDescent="0.2">
      <c r="A373">
        <v>393</v>
      </c>
      <c r="B373">
        <v>2</v>
      </c>
      <c r="C373">
        <v>0.14266803373354731</v>
      </c>
    </row>
    <row r="374" spans="1:3" x14ac:dyDescent="0.2">
      <c r="A374">
        <v>394</v>
      </c>
      <c r="B374">
        <v>1</v>
      </c>
      <c r="C374">
        <v>0.12128868058079</v>
      </c>
    </row>
    <row r="375" spans="1:3" x14ac:dyDescent="0.2">
      <c r="A375">
        <v>395</v>
      </c>
      <c r="B375">
        <v>3</v>
      </c>
      <c r="C375">
        <v>0.64623183258111905</v>
      </c>
    </row>
    <row r="376" spans="1:3" x14ac:dyDescent="0.2">
      <c r="A376">
        <v>396</v>
      </c>
      <c r="B376">
        <v>3</v>
      </c>
      <c r="C376">
        <v>0.39758412078555938</v>
      </c>
    </row>
    <row r="377" spans="1:3" x14ac:dyDescent="0.2">
      <c r="A377">
        <v>397</v>
      </c>
      <c r="B377">
        <v>3</v>
      </c>
      <c r="C377">
        <v>0.38478049042989027</v>
      </c>
    </row>
    <row r="378" spans="1:3" x14ac:dyDescent="0.2">
      <c r="A378">
        <v>398</v>
      </c>
      <c r="B378">
        <v>3</v>
      </c>
      <c r="C378">
        <v>0.46246340035384698</v>
      </c>
    </row>
    <row r="379" spans="1:3" x14ac:dyDescent="0.2">
      <c r="A379">
        <v>399</v>
      </c>
      <c r="B379">
        <v>3</v>
      </c>
      <c r="C379">
        <v>0.78016360766441384</v>
      </c>
    </row>
    <row r="380" spans="1:3" x14ac:dyDescent="0.2">
      <c r="A380">
        <v>402</v>
      </c>
      <c r="B380">
        <v>3</v>
      </c>
      <c r="C380">
        <v>0.60505785419512226</v>
      </c>
    </row>
    <row r="381" spans="1:3" x14ac:dyDescent="0.2">
      <c r="A381">
        <v>403</v>
      </c>
      <c r="B381">
        <v>1</v>
      </c>
      <c r="C381">
        <v>0.30928498322617198</v>
      </c>
    </row>
    <row r="382" spans="1:3" x14ac:dyDescent="0.2">
      <c r="A382">
        <v>404</v>
      </c>
      <c r="B382">
        <v>2</v>
      </c>
      <c r="C382">
        <v>0.34450961261469804</v>
      </c>
    </row>
    <row r="383" spans="1:3" x14ac:dyDescent="0.2">
      <c r="A383">
        <v>405</v>
      </c>
      <c r="B383">
        <v>2</v>
      </c>
      <c r="C383">
        <v>0.30469191421744801</v>
      </c>
    </row>
    <row r="384" spans="1:3" x14ac:dyDescent="0.2">
      <c r="A384">
        <v>406</v>
      </c>
      <c r="B384">
        <v>2</v>
      </c>
      <c r="C384">
        <v>0.29828975123196433</v>
      </c>
    </row>
    <row r="385" spans="1:3" x14ac:dyDescent="0.2">
      <c r="A385">
        <v>407</v>
      </c>
      <c r="B385">
        <v>2</v>
      </c>
      <c r="C385">
        <v>0.48498115098085176</v>
      </c>
    </row>
    <row r="386" spans="1:3" x14ac:dyDescent="0.2">
      <c r="A386">
        <v>408</v>
      </c>
      <c r="B386">
        <v>4</v>
      </c>
      <c r="C386">
        <v>1.3866702178757229</v>
      </c>
    </row>
    <row r="387" spans="1:3" x14ac:dyDescent="0.2">
      <c r="A387">
        <v>409</v>
      </c>
      <c r="B387">
        <v>3</v>
      </c>
      <c r="C387">
        <v>0.29191958891547753</v>
      </c>
    </row>
    <row r="388" spans="1:3" x14ac:dyDescent="0.2">
      <c r="A388">
        <v>410</v>
      </c>
      <c r="B388">
        <v>2</v>
      </c>
      <c r="C388">
        <v>0.12849942292456801</v>
      </c>
    </row>
    <row r="389" spans="1:3" x14ac:dyDescent="0.2">
      <c r="A389">
        <v>411</v>
      </c>
      <c r="B389">
        <v>3</v>
      </c>
      <c r="C389">
        <v>0.33902818095481113</v>
      </c>
    </row>
    <row r="390" spans="1:3" x14ac:dyDescent="0.2">
      <c r="A390">
        <v>412</v>
      </c>
      <c r="B390">
        <v>1</v>
      </c>
      <c r="C390">
        <v>0.18653602130746499</v>
      </c>
    </row>
    <row r="391" spans="1:3" x14ac:dyDescent="0.2">
      <c r="A391">
        <v>413</v>
      </c>
      <c r="B391">
        <v>3</v>
      </c>
      <c r="C391">
        <v>0.31959785983462952</v>
      </c>
    </row>
    <row r="392" spans="1:3" x14ac:dyDescent="0.2">
      <c r="A392">
        <v>414</v>
      </c>
      <c r="B392">
        <v>2</v>
      </c>
      <c r="C392">
        <v>0.44349604936148201</v>
      </c>
    </row>
    <row r="393" spans="1:3" x14ac:dyDescent="0.2">
      <c r="A393">
        <v>415</v>
      </c>
      <c r="B393">
        <v>3</v>
      </c>
      <c r="C393">
        <v>0.35339431004908439</v>
      </c>
    </row>
    <row r="394" spans="1:3" x14ac:dyDescent="0.2">
      <c r="A394">
        <v>416</v>
      </c>
      <c r="B394">
        <v>3</v>
      </c>
      <c r="C394">
        <v>0.81734473865642299</v>
      </c>
    </row>
    <row r="395" spans="1:3" x14ac:dyDescent="0.2">
      <c r="A395">
        <v>417</v>
      </c>
      <c r="B395">
        <v>1</v>
      </c>
      <c r="C395">
        <v>9.9402818561252299E-2</v>
      </c>
    </row>
    <row r="396" spans="1:3" x14ac:dyDescent="0.2">
      <c r="A396">
        <v>418</v>
      </c>
      <c r="B396">
        <v>3</v>
      </c>
      <c r="C396">
        <v>0.61312209285914143</v>
      </c>
    </row>
    <row r="397" spans="1:3" x14ac:dyDescent="0.2">
      <c r="A397">
        <v>419</v>
      </c>
      <c r="B397">
        <v>2</v>
      </c>
      <c r="C397">
        <v>0.85055678560336401</v>
      </c>
    </row>
    <row r="398" spans="1:3" x14ac:dyDescent="0.2">
      <c r="A398">
        <v>420</v>
      </c>
      <c r="B398">
        <v>4</v>
      </c>
      <c r="C398">
        <v>0.51523715638086176</v>
      </c>
    </row>
    <row r="399" spans="1:3" x14ac:dyDescent="0.2">
      <c r="A399">
        <v>421</v>
      </c>
      <c r="B399">
        <v>2</v>
      </c>
      <c r="C399">
        <v>0.87490409772285904</v>
      </c>
    </row>
    <row r="400" spans="1:3" x14ac:dyDescent="0.2">
      <c r="A400">
        <v>422</v>
      </c>
      <c r="B400">
        <v>2</v>
      </c>
      <c r="C400">
        <v>0.37490440815568399</v>
      </c>
    </row>
    <row r="401" spans="1:3" x14ac:dyDescent="0.2">
      <c r="A401">
        <v>423</v>
      </c>
      <c r="B401">
        <v>2</v>
      </c>
      <c r="C401">
        <v>0.47712793815299204</v>
      </c>
    </row>
    <row r="402" spans="1:3" x14ac:dyDescent="0.2">
      <c r="A402">
        <v>424</v>
      </c>
      <c r="B402">
        <v>3</v>
      </c>
      <c r="C402">
        <v>0.5247535087778108</v>
      </c>
    </row>
    <row r="403" spans="1:3" x14ac:dyDescent="0.2">
      <c r="A403">
        <v>425</v>
      </c>
      <c r="B403">
        <v>1</v>
      </c>
      <c r="C403">
        <v>4.0655198771845202E-2</v>
      </c>
    </row>
    <row r="404" spans="1:3" x14ac:dyDescent="0.2">
      <c r="A404">
        <v>426</v>
      </c>
      <c r="B404">
        <v>2</v>
      </c>
      <c r="C404">
        <v>0.90131191227256702</v>
      </c>
    </row>
    <row r="405" spans="1:3" x14ac:dyDescent="0.2">
      <c r="A405">
        <v>427</v>
      </c>
      <c r="B405">
        <v>3</v>
      </c>
      <c r="C405">
        <v>0.44791954818148483</v>
      </c>
    </row>
    <row r="406" spans="1:3" x14ac:dyDescent="0.2">
      <c r="A406">
        <v>428</v>
      </c>
      <c r="B406">
        <v>2</v>
      </c>
      <c r="C406">
        <v>0.284256700361116</v>
      </c>
    </row>
    <row r="407" spans="1:3" x14ac:dyDescent="0.2">
      <c r="A407">
        <v>429</v>
      </c>
      <c r="B407">
        <v>3</v>
      </c>
      <c r="C407">
        <v>0.41143145557658783</v>
      </c>
    </row>
    <row r="408" spans="1:3" x14ac:dyDescent="0.2">
      <c r="A408">
        <v>430</v>
      </c>
      <c r="B408">
        <v>1</v>
      </c>
      <c r="C408">
        <v>7.7815501759205902E-2</v>
      </c>
    </row>
    <row r="409" spans="1:3" x14ac:dyDescent="0.2">
      <c r="A409">
        <v>431</v>
      </c>
      <c r="B409">
        <v>1</v>
      </c>
      <c r="C409">
        <v>0.242334112542687</v>
      </c>
    </row>
    <row r="410" spans="1:3" x14ac:dyDescent="0.2">
      <c r="A410">
        <v>432</v>
      </c>
      <c r="B410">
        <v>2</v>
      </c>
      <c r="C410">
        <v>0.18589756527009599</v>
      </c>
    </row>
    <row r="411" spans="1:3" x14ac:dyDescent="0.2">
      <c r="A411">
        <v>433</v>
      </c>
      <c r="B411">
        <v>3</v>
      </c>
      <c r="C411">
        <v>0.50515328033418694</v>
      </c>
    </row>
    <row r="412" spans="1:3" x14ac:dyDescent="0.2">
      <c r="A412">
        <v>435</v>
      </c>
      <c r="B412">
        <v>3</v>
      </c>
      <c r="C412">
        <v>0.70476353172709705</v>
      </c>
    </row>
    <row r="413" spans="1:3" x14ac:dyDescent="0.2">
      <c r="A413">
        <v>436</v>
      </c>
      <c r="B413">
        <v>2</v>
      </c>
      <c r="C413">
        <v>0.360560753279692</v>
      </c>
    </row>
    <row r="414" spans="1:3" x14ac:dyDescent="0.2">
      <c r="A414">
        <v>437</v>
      </c>
      <c r="B414">
        <v>3</v>
      </c>
      <c r="C414">
        <v>0.53622704143624889</v>
      </c>
    </row>
    <row r="415" spans="1:3" x14ac:dyDescent="0.2">
      <c r="A415">
        <v>438</v>
      </c>
      <c r="B415">
        <v>2</v>
      </c>
      <c r="C415">
        <v>0.53432549827514708</v>
      </c>
    </row>
    <row r="416" spans="1:3" x14ac:dyDescent="0.2">
      <c r="A416">
        <v>439</v>
      </c>
      <c r="B416">
        <v>3</v>
      </c>
      <c r="C416">
        <v>0.21941946397697062</v>
      </c>
    </row>
    <row r="417" spans="1:3" x14ac:dyDescent="0.2">
      <c r="A417">
        <v>440</v>
      </c>
      <c r="B417">
        <v>3</v>
      </c>
      <c r="C417">
        <v>0.37764552702479298</v>
      </c>
    </row>
    <row r="418" spans="1:3" x14ac:dyDescent="0.2">
      <c r="A418">
        <v>441</v>
      </c>
      <c r="B418">
        <v>3</v>
      </c>
      <c r="C418">
        <v>0.72586583992410902</v>
      </c>
    </row>
    <row r="419" spans="1:3" x14ac:dyDescent="0.2">
      <c r="A419">
        <v>442</v>
      </c>
      <c r="B419">
        <v>2</v>
      </c>
      <c r="C419">
        <v>0.23144098021301718</v>
      </c>
    </row>
    <row r="420" spans="1:3" x14ac:dyDescent="0.2">
      <c r="A420">
        <v>443</v>
      </c>
      <c r="B420">
        <v>2</v>
      </c>
      <c r="C420">
        <v>0.25936976796455352</v>
      </c>
    </row>
    <row r="421" spans="1:3" x14ac:dyDescent="0.2">
      <c r="A421">
        <v>444</v>
      </c>
      <c r="B421">
        <v>3</v>
      </c>
      <c r="C421">
        <v>0.3095817256442791</v>
      </c>
    </row>
    <row r="422" spans="1:3" x14ac:dyDescent="0.2">
      <c r="A422">
        <v>445</v>
      </c>
      <c r="B422">
        <v>1</v>
      </c>
      <c r="C422">
        <v>0.30076193149040598</v>
      </c>
    </row>
    <row r="423" spans="1:3" x14ac:dyDescent="0.2">
      <c r="A423">
        <v>446</v>
      </c>
      <c r="B423">
        <v>2</v>
      </c>
      <c r="C423">
        <v>0.6008471973548235</v>
      </c>
    </row>
    <row r="424" spans="1:3" x14ac:dyDescent="0.2">
      <c r="A424">
        <v>447</v>
      </c>
      <c r="B424">
        <v>1</v>
      </c>
      <c r="C424">
        <v>0.20612645205314301</v>
      </c>
    </row>
    <row r="425" spans="1:3" x14ac:dyDescent="0.2">
      <c r="A425">
        <v>448</v>
      </c>
      <c r="B425">
        <v>3</v>
      </c>
      <c r="C425">
        <v>0.75129365125375902</v>
      </c>
    </row>
    <row r="426" spans="1:3" x14ac:dyDescent="0.2">
      <c r="A426">
        <v>449</v>
      </c>
      <c r="B426">
        <v>3</v>
      </c>
      <c r="C426">
        <v>0.83812871683005752</v>
      </c>
    </row>
    <row r="427" spans="1:3" x14ac:dyDescent="0.2">
      <c r="A427">
        <v>450</v>
      </c>
      <c r="B427">
        <v>2</v>
      </c>
      <c r="C427">
        <v>9.9870307406606101E-2</v>
      </c>
    </row>
    <row r="428" spans="1:3" x14ac:dyDescent="0.2">
      <c r="A428">
        <v>451</v>
      </c>
      <c r="B428">
        <v>2</v>
      </c>
      <c r="C428">
        <v>0.25530736887437139</v>
      </c>
    </row>
    <row r="429" spans="1:3" x14ac:dyDescent="0.2">
      <c r="A429">
        <v>452</v>
      </c>
      <c r="B429">
        <v>3</v>
      </c>
      <c r="C429">
        <v>0.42044421238487883</v>
      </c>
    </row>
    <row r="430" spans="1:3" x14ac:dyDescent="0.2">
      <c r="A430">
        <v>453</v>
      </c>
      <c r="B430">
        <v>3</v>
      </c>
      <c r="C430">
        <v>0.90057092311680997</v>
      </c>
    </row>
    <row r="431" spans="1:3" x14ac:dyDescent="0.2">
      <c r="A431">
        <v>454</v>
      </c>
      <c r="B431">
        <v>4</v>
      </c>
      <c r="C431">
        <v>0.80315177633396662</v>
      </c>
    </row>
    <row r="432" spans="1:3" x14ac:dyDescent="0.2">
      <c r="A432">
        <v>455</v>
      </c>
      <c r="B432">
        <v>3</v>
      </c>
      <c r="C432">
        <v>0.69053180087943367</v>
      </c>
    </row>
    <row r="433" spans="1:3" x14ac:dyDescent="0.2">
      <c r="A433">
        <v>456</v>
      </c>
      <c r="B433">
        <v>1</v>
      </c>
      <c r="C433">
        <v>0.19994826296866999</v>
      </c>
    </row>
    <row r="434" spans="1:3" x14ac:dyDescent="0.2">
      <c r="A434">
        <v>457</v>
      </c>
      <c r="B434">
        <v>1</v>
      </c>
      <c r="C434">
        <v>9.9580936557146102E-2</v>
      </c>
    </row>
    <row r="435" spans="1:3" x14ac:dyDescent="0.2">
      <c r="A435">
        <v>458</v>
      </c>
      <c r="B435">
        <v>1</v>
      </c>
      <c r="C435">
        <v>0.304171886925581</v>
      </c>
    </row>
    <row r="436" spans="1:3" x14ac:dyDescent="0.2">
      <c r="A436">
        <v>459</v>
      </c>
      <c r="B436">
        <v>3</v>
      </c>
      <c r="C436">
        <v>0.35563622176011389</v>
      </c>
    </row>
    <row r="437" spans="1:3" x14ac:dyDescent="0.2">
      <c r="A437">
        <v>460</v>
      </c>
      <c r="B437">
        <v>3</v>
      </c>
      <c r="C437">
        <v>0.51181596712104205</v>
      </c>
    </row>
    <row r="438" spans="1:3" x14ac:dyDescent="0.2">
      <c r="A438">
        <v>462</v>
      </c>
      <c r="B438">
        <v>2</v>
      </c>
      <c r="C438">
        <v>0.1381908196855379</v>
      </c>
    </row>
    <row r="439" spans="1:3" x14ac:dyDescent="0.2">
      <c r="A439">
        <v>463</v>
      </c>
      <c r="B439">
        <v>2</v>
      </c>
      <c r="C439">
        <v>0.70591868415905601</v>
      </c>
    </row>
    <row r="440" spans="1:3" x14ac:dyDescent="0.2">
      <c r="A440">
        <v>464</v>
      </c>
      <c r="B440">
        <v>3</v>
      </c>
      <c r="C440">
        <v>1.0262475278698659</v>
      </c>
    </row>
    <row r="441" spans="1:3" x14ac:dyDescent="0.2">
      <c r="A441">
        <v>465</v>
      </c>
      <c r="B441">
        <v>2</v>
      </c>
      <c r="C441">
        <v>0.16863921311384922</v>
      </c>
    </row>
    <row r="442" spans="1:3" x14ac:dyDescent="0.2">
      <c r="A442">
        <v>466</v>
      </c>
      <c r="B442">
        <v>3</v>
      </c>
      <c r="C442">
        <v>0.30266636914997852</v>
      </c>
    </row>
    <row r="443" spans="1:3" x14ac:dyDescent="0.2">
      <c r="A443">
        <v>467</v>
      </c>
      <c r="B443">
        <v>3</v>
      </c>
      <c r="C443">
        <v>0.60792479095591201</v>
      </c>
    </row>
    <row r="444" spans="1:3" x14ac:dyDescent="0.2">
      <c r="A444">
        <v>468</v>
      </c>
      <c r="B444">
        <v>2</v>
      </c>
      <c r="C444">
        <v>0.15514228284203629</v>
      </c>
    </row>
    <row r="445" spans="1:3" x14ac:dyDescent="0.2">
      <c r="A445">
        <v>469</v>
      </c>
      <c r="B445">
        <v>3</v>
      </c>
      <c r="C445">
        <v>0.45137536385824573</v>
      </c>
    </row>
    <row r="446" spans="1:3" x14ac:dyDescent="0.2">
      <c r="A446">
        <v>470</v>
      </c>
      <c r="B446">
        <v>1</v>
      </c>
      <c r="C446">
        <v>0.21704647726408099</v>
      </c>
    </row>
    <row r="447" spans="1:3" x14ac:dyDescent="0.2">
      <c r="A447">
        <v>471</v>
      </c>
      <c r="B447">
        <v>3</v>
      </c>
      <c r="C447">
        <v>0.32551078355588398</v>
      </c>
    </row>
    <row r="448" spans="1:3" x14ac:dyDescent="0.2">
      <c r="A448">
        <v>472</v>
      </c>
      <c r="B448">
        <v>1</v>
      </c>
      <c r="C448">
        <v>4.72128236364271E-2</v>
      </c>
    </row>
    <row r="449" spans="1:3" x14ac:dyDescent="0.2">
      <c r="A449">
        <v>473</v>
      </c>
      <c r="B449">
        <v>2</v>
      </c>
      <c r="C449">
        <v>0.58772362614379903</v>
      </c>
    </row>
    <row r="450" spans="1:3" x14ac:dyDescent="0.2">
      <c r="A450">
        <v>474</v>
      </c>
      <c r="B450">
        <v>1</v>
      </c>
      <c r="C450">
        <v>0.18320105550049001</v>
      </c>
    </row>
    <row r="451" spans="1:3" x14ac:dyDescent="0.2">
      <c r="A451">
        <v>475</v>
      </c>
      <c r="B451">
        <v>2</v>
      </c>
      <c r="C451">
        <v>0.40798919613485801</v>
      </c>
    </row>
    <row r="452" spans="1:3" x14ac:dyDescent="0.2">
      <c r="A452">
        <v>476</v>
      </c>
      <c r="B452">
        <v>2</v>
      </c>
      <c r="C452">
        <v>0.46562175692185803</v>
      </c>
    </row>
    <row r="453" spans="1:3" x14ac:dyDescent="0.2">
      <c r="A453">
        <v>477</v>
      </c>
      <c r="B453">
        <v>2</v>
      </c>
      <c r="C453">
        <v>0.54821622900635103</v>
      </c>
    </row>
    <row r="454" spans="1:3" x14ac:dyDescent="0.2">
      <c r="A454">
        <v>478</v>
      </c>
      <c r="B454">
        <v>4</v>
      </c>
      <c r="C454">
        <v>0.23788379195559728</v>
      </c>
    </row>
    <row r="455" spans="1:3" x14ac:dyDescent="0.2">
      <c r="A455">
        <v>479</v>
      </c>
      <c r="B455">
        <v>3</v>
      </c>
      <c r="C455">
        <v>0.53173076684930953</v>
      </c>
    </row>
    <row r="456" spans="1:3" x14ac:dyDescent="0.2">
      <c r="A456">
        <v>480</v>
      </c>
      <c r="B456">
        <v>2</v>
      </c>
      <c r="C456">
        <v>0.34754941833566372</v>
      </c>
    </row>
    <row r="457" spans="1:3" x14ac:dyDescent="0.2">
      <c r="A457">
        <v>481</v>
      </c>
      <c r="B457">
        <v>3</v>
      </c>
      <c r="C457">
        <v>0.76269522466054096</v>
      </c>
    </row>
    <row r="458" spans="1:3" x14ac:dyDescent="0.2">
      <c r="A458">
        <v>482</v>
      </c>
      <c r="B458">
        <v>1</v>
      </c>
      <c r="C458">
        <v>8.8992199025072494E-2</v>
      </c>
    </row>
    <row r="459" spans="1:3" x14ac:dyDescent="0.2">
      <c r="A459">
        <v>483</v>
      </c>
      <c r="B459">
        <v>3</v>
      </c>
      <c r="C459">
        <v>0.35856428478526836</v>
      </c>
    </row>
    <row r="460" spans="1:3" x14ac:dyDescent="0.2">
      <c r="A460">
        <v>484</v>
      </c>
      <c r="B460">
        <v>2</v>
      </c>
      <c r="C460">
        <v>0.68099357773037217</v>
      </c>
    </row>
    <row r="461" spans="1:3" x14ac:dyDescent="0.2">
      <c r="A461">
        <v>485</v>
      </c>
      <c r="B461">
        <v>1</v>
      </c>
      <c r="C461">
        <v>0.41012184604528801</v>
      </c>
    </row>
    <row r="462" spans="1:3" x14ac:dyDescent="0.2">
      <c r="A462">
        <v>486</v>
      </c>
      <c r="B462">
        <v>3</v>
      </c>
      <c r="C462">
        <v>0.82809521125943852</v>
      </c>
    </row>
    <row r="463" spans="1:3" x14ac:dyDescent="0.2">
      <c r="A463">
        <v>487</v>
      </c>
      <c r="B463">
        <v>3</v>
      </c>
      <c r="C463">
        <v>0.36114500653383513</v>
      </c>
    </row>
    <row r="464" spans="1:3" x14ac:dyDescent="0.2">
      <c r="A464">
        <v>488</v>
      </c>
      <c r="B464">
        <v>2</v>
      </c>
      <c r="C464">
        <v>0.22489824985329498</v>
      </c>
    </row>
    <row r="465" spans="1:3" x14ac:dyDescent="0.2">
      <c r="A465">
        <v>489</v>
      </c>
      <c r="B465">
        <v>2</v>
      </c>
      <c r="C465">
        <v>0.28567964772018395</v>
      </c>
    </row>
    <row r="466" spans="1:3" x14ac:dyDescent="0.2">
      <c r="A466">
        <v>490</v>
      </c>
      <c r="B466">
        <v>1</v>
      </c>
      <c r="C466">
        <v>0.15915206418130701</v>
      </c>
    </row>
    <row r="467" spans="1:3" x14ac:dyDescent="0.2">
      <c r="A467">
        <v>492</v>
      </c>
      <c r="B467">
        <v>4</v>
      </c>
      <c r="C467">
        <v>1.3381187526315728</v>
      </c>
    </row>
    <row r="468" spans="1:3" x14ac:dyDescent="0.2">
      <c r="A468">
        <v>493</v>
      </c>
      <c r="B468">
        <v>2</v>
      </c>
      <c r="C468">
        <v>0.20313634907867539</v>
      </c>
    </row>
    <row r="469" spans="1:3" x14ac:dyDescent="0.2">
      <c r="A469">
        <v>494</v>
      </c>
      <c r="B469">
        <v>2</v>
      </c>
      <c r="C469">
        <v>0.28873232022503598</v>
      </c>
    </row>
    <row r="470" spans="1:3" x14ac:dyDescent="0.2">
      <c r="A470">
        <v>495</v>
      </c>
      <c r="B470">
        <v>3</v>
      </c>
      <c r="C470">
        <v>0.60205508382180706</v>
      </c>
    </row>
    <row r="471" spans="1:3" x14ac:dyDescent="0.2">
      <c r="A471">
        <v>497</v>
      </c>
      <c r="B471">
        <v>3</v>
      </c>
      <c r="C471">
        <v>0.72054495608612201</v>
      </c>
    </row>
    <row r="472" spans="1:3" x14ac:dyDescent="0.2">
      <c r="A472">
        <v>498</v>
      </c>
      <c r="B472">
        <v>4</v>
      </c>
      <c r="C472">
        <v>0.58384345733563703</v>
      </c>
    </row>
    <row r="473" spans="1:3" x14ac:dyDescent="0.2">
      <c r="A473">
        <v>499</v>
      </c>
      <c r="B473">
        <v>2</v>
      </c>
      <c r="C473">
        <v>0.50491169346815801</v>
      </c>
    </row>
    <row r="474" spans="1:3" x14ac:dyDescent="0.2">
      <c r="A474">
        <v>500</v>
      </c>
      <c r="B474">
        <v>1</v>
      </c>
      <c r="C474">
        <v>7.4066375877259893E-2</v>
      </c>
    </row>
    <row r="475" spans="1:3" x14ac:dyDescent="0.2">
      <c r="A475">
        <v>11</v>
      </c>
      <c r="B475">
        <v>0</v>
      </c>
      <c r="C475">
        <v>0</v>
      </c>
    </row>
    <row r="476" spans="1:3" x14ac:dyDescent="0.2">
      <c r="A476">
        <v>24</v>
      </c>
      <c r="B476">
        <v>0</v>
      </c>
      <c r="C476">
        <v>0</v>
      </c>
    </row>
    <row r="477" spans="1:3" x14ac:dyDescent="0.2">
      <c r="A477">
        <v>31</v>
      </c>
      <c r="B477">
        <v>0</v>
      </c>
      <c r="C477">
        <v>0</v>
      </c>
    </row>
    <row r="478" spans="1:3" x14ac:dyDescent="0.2">
      <c r="A478">
        <v>87</v>
      </c>
      <c r="B478">
        <v>0</v>
      </c>
      <c r="C478">
        <v>0</v>
      </c>
    </row>
    <row r="479" spans="1:3" x14ac:dyDescent="0.2">
      <c r="A479">
        <v>126</v>
      </c>
      <c r="B479">
        <v>0</v>
      </c>
      <c r="C479">
        <v>0</v>
      </c>
    </row>
    <row r="480" spans="1:3" x14ac:dyDescent="0.2">
      <c r="A480">
        <v>139</v>
      </c>
      <c r="B480">
        <v>0</v>
      </c>
      <c r="C480">
        <v>0</v>
      </c>
    </row>
    <row r="481" spans="1:3" x14ac:dyDescent="0.2">
      <c r="A481">
        <v>193</v>
      </c>
      <c r="B481">
        <v>0</v>
      </c>
      <c r="C481">
        <v>0</v>
      </c>
    </row>
    <row r="482" spans="1:3" x14ac:dyDescent="0.2">
      <c r="A482">
        <v>202</v>
      </c>
      <c r="B482">
        <v>0</v>
      </c>
      <c r="C482">
        <v>0</v>
      </c>
    </row>
    <row r="483" spans="1:3" x14ac:dyDescent="0.2">
      <c r="A483">
        <v>222</v>
      </c>
      <c r="B483">
        <v>0</v>
      </c>
      <c r="C483">
        <v>0</v>
      </c>
    </row>
    <row r="484" spans="1:3" x14ac:dyDescent="0.2">
      <c r="A484">
        <v>248</v>
      </c>
      <c r="B484">
        <v>0</v>
      </c>
      <c r="C484">
        <v>0</v>
      </c>
    </row>
    <row r="485" spans="1:3" x14ac:dyDescent="0.2">
      <c r="A485">
        <v>249</v>
      </c>
      <c r="B485">
        <v>0</v>
      </c>
      <c r="C485">
        <v>0</v>
      </c>
    </row>
    <row r="486" spans="1:3" x14ac:dyDescent="0.2">
      <c r="A486">
        <v>277</v>
      </c>
      <c r="B486">
        <v>0</v>
      </c>
      <c r="C486">
        <v>0</v>
      </c>
    </row>
    <row r="487" spans="1:3" x14ac:dyDescent="0.2">
      <c r="A487">
        <v>297</v>
      </c>
      <c r="B487">
        <v>0</v>
      </c>
      <c r="C487">
        <v>0</v>
      </c>
    </row>
    <row r="488" spans="1:3" x14ac:dyDescent="0.2">
      <c r="A488">
        <v>327</v>
      </c>
      <c r="B488">
        <v>0</v>
      </c>
      <c r="C488">
        <v>0</v>
      </c>
    </row>
    <row r="489" spans="1:3" x14ac:dyDescent="0.2">
      <c r="A489">
        <v>340</v>
      </c>
      <c r="B489">
        <v>0</v>
      </c>
      <c r="C489">
        <v>0</v>
      </c>
    </row>
    <row r="490" spans="1:3" x14ac:dyDescent="0.2">
      <c r="A490">
        <v>347</v>
      </c>
      <c r="B490">
        <v>0</v>
      </c>
      <c r="C490">
        <v>0</v>
      </c>
    </row>
    <row r="491" spans="1:3" x14ac:dyDescent="0.2">
      <c r="A491">
        <v>352</v>
      </c>
      <c r="B491">
        <v>0</v>
      </c>
      <c r="C491">
        <v>0</v>
      </c>
    </row>
    <row r="492" spans="1:3" x14ac:dyDescent="0.2">
      <c r="A492">
        <v>356</v>
      </c>
      <c r="B492">
        <v>0</v>
      </c>
      <c r="C492">
        <v>0</v>
      </c>
    </row>
    <row r="493" spans="1:3" x14ac:dyDescent="0.2">
      <c r="A493">
        <v>376</v>
      </c>
      <c r="B493">
        <v>0</v>
      </c>
      <c r="C493">
        <v>0</v>
      </c>
    </row>
    <row r="494" spans="1:3" x14ac:dyDescent="0.2">
      <c r="A494">
        <v>380</v>
      </c>
      <c r="B494">
        <v>0</v>
      </c>
      <c r="C494">
        <v>0</v>
      </c>
    </row>
    <row r="495" spans="1:3" x14ac:dyDescent="0.2">
      <c r="A495">
        <v>391</v>
      </c>
      <c r="B495">
        <v>0</v>
      </c>
      <c r="C495">
        <v>0</v>
      </c>
    </row>
    <row r="496" spans="1:3" x14ac:dyDescent="0.2">
      <c r="A496">
        <v>400</v>
      </c>
      <c r="B496">
        <v>0</v>
      </c>
      <c r="C496">
        <v>0</v>
      </c>
    </row>
    <row r="497" spans="1:3" x14ac:dyDescent="0.2">
      <c r="A497">
        <v>401</v>
      </c>
      <c r="B497">
        <v>0</v>
      </c>
      <c r="C497">
        <v>0</v>
      </c>
    </row>
    <row r="498" spans="1:3" x14ac:dyDescent="0.2">
      <c r="A498">
        <v>434</v>
      </c>
      <c r="B498">
        <v>0</v>
      </c>
      <c r="C498">
        <v>0</v>
      </c>
    </row>
    <row r="499" spans="1:3" x14ac:dyDescent="0.2">
      <c r="A499">
        <v>461</v>
      </c>
      <c r="B499">
        <v>0</v>
      </c>
      <c r="C499">
        <v>0</v>
      </c>
    </row>
    <row r="500" spans="1:3" x14ac:dyDescent="0.2">
      <c r="A500">
        <v>491</v>
      </c>
      <c r="B500">
        <v>0</v>
      </c>
      <c r="C500">
        <v>0</v>
      </c>
    </row>
    <row r="501" spans="1:3" x14ac:dyDescent="0.2">
      <c r="A501">
        <v>496</v>
      </c>
      <c r="B501">
        <v>0</v>
      </c>
      <c r="C501">
        <v>0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P1080"/>
  <sheetViews>
    <sheetView topLeftCell="D1" workbookViewId="0">
      <selection activeCell="H11" sqref="H11"/>
    </sheetView>
  </sheetViews>
  <sheetFormatPr baseColWidth="10" defaultRowHeight="16" x14ac:dyDescent="0.2"/>
  <cols>
    <col min="1" max="1" width="10.5" customWidth="1"/>
    <col min="2" max="2" width="19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10.5" customWidth="1"/>
    <col min="11" max="11" width="15.83203125" customWidth="1"/>
    <col min="12" max="12" width="16.83203125" customWidth="1"/>
    <col min="13" max="13" width="23.1640625" customWidth="1"/>
    <col min="19" max="19" width="13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23</v>
      </c>
      <c r="E1" t="s">
        <v>21</v>
      </c>
      <c r="F1" t="s">
        <v>22</v>
      </c>
    </row>
    <row r="2" spans="1:6" x14ac:dyDescent="0.2">
      <c r="A2">
        <v>1</v>
      </c>
      <c r="B2" s="37" t="s">
        <v>62</v>
      </c>
      <c r="C2" s="1">
        <v>45539</v>
      </c>
      <c r="D2" s="37" t="s">
        <v>62</v>
      </c>
      <c r="E2">
        <v>0.107525168854414</v>
      </c>
      <c r="F2">
        <v>0.107525168854414</v>
      </c>
    </row>
    <row r="3" spans="1:6" x14ac:dyDescent="0.2">
      <c r="A3">
        <v>1</v>
      </c>
      <c r="B3" s="37" t="s">
        <v>63</v>
      </c>
      <c r="C3" s="1">
        <v>45580</v>
      </c>
      <c r="D3" s="37" t="s">
        <v>63</v>
      </c>
      <c r="E3">
        <v>0.50474076993594896</v>
      </c>
      <c r="F3">
        <v>0.50474076993594896</v>
      </c>
    </row>
    <row r="4" spans="1:6" x14ac:dyDescent="0.2">
      <c r="A4">
        <v>1</v>
      </c>
      <c r="B4" s="37" t="s">
        <v>621</v>
      </c>
      <c r="C4" s="1">
        <v>45339</v>
      </c>
      <c r="D4" s="37" t="s">
        <v>621</v>
      </c>
      <c r="E4">
        <v>0.40965729921928601</v>
      </c>
      <c r="F4">
        <v>0.40965729921928601</v>
      </c>
    </row>
    <row r="5" spans="1:6" x14ac:dyDescent="0.2">
      <c r="A5">
        <v>2</v>
      </c>
      <c r="B5" s="37" t="s">
        <v>622</v>
      </c>
      <c r="C5" s="1">
        <v>45399</v>
      </c>
      <c r="D5" s="37" t="s">
        <v>622</v>
      </c>
      <c r="E5">
        <v>0.119344099873414</v>
      </c>
      <c r="F5">
        <v>0.119344099873414</v>
      </c>
    </row>
    <row r="6" spans="1:6" x14ac:dyDescent="0.2">
      <c r="A6">
        <v>3</v>
      </c>
      <c r="B6" s="37" t="s">
        <v>623</v>
      </c>
      <c r="C6" s="1">
        <v>45639</v>
      </c>
      <c r="D6" s="37" t="s">
        <v>623</v>
      </c>
      <c r="E6">
        <v>0.25424479023332103</v>
      </c>
      <c r="F6">
        <v>0.25424479023332103</v>
      </c>
    </row>
    <row r="7" spans="1:6" x14ac:dyDescent="0.2">
      <c r="A7">
        <v>3</v>
      </c>
      <c r="B7" s="37" t="s">
        <v>64</v>
      </c>
      <c r="C7" s="1">
        <v>45500</v>
      </c>
      <c r="D7" s="37" t="s">
        <v>64</v>
      </c>
      <c r="E7">
        <v>0.27993781371256898</v>
      </c>
      <c r="F7">
        <v>0.27993781371256898</v>
      </c>
    </row>
    <row r="8" spans="1:6" x14ac:dyDescent="0.2">
      <c r="A8">
        <v>4</v>
      </c>
      <c r="B8" s="37" t="s">
        <v>624</v>
      </c>
      <c r="C8" s="1">
        <v>45428</v>
      </c>
      <c r="D8" s="37" t="s">
        <v>624</v>
      </c>
      <c r="E8">
        <v>0.21234777360137</v>
      </c>
      <c r="F8">
        <v>0.21234777360137</v>
      </c>
    </row>
    <row r="9" spans="1:6" x14ac:dyDescent="0.2">
      <c r="A9">
        <v>5</v>
      </c>
      <c r="B9" s="37" t="s">
        <v>287</v>
      </c>
      <c r="C9" s="1">
        <v>45399</v>
      </c>
      <c r="D9" s="37" t="s">
        <v>287</v>
      </c>
      <c r="E9">
        <v>0.56229895079520897</v>
      </c>
      <c r="F9">
        <v>0.56229895079520897</v>
      </c>
    </row>
    <row r="10" spans="1:6" x14ac:dyDescent="0.2">
      <c r="A10">
        <v>6</v>
      </c>
      <c r="B10" s="37" t="s">
        <v>625</v>
      </c>
      <c r="C10" s="1">
        <v>45364</v>
      </c>
      <c r="D10" s="37" t="s">
        <v>625</v>
      </c>
      <c r="E10">
        <v>0.215879849984219</v>
      </c>
      <c r="F10">
        <v>0.215879849984219</v>
      </c>
    </row>
    <row r="11" spans="1:6" x14ac:dyDescent="0.2">
      <c r="A11">
        <v>6</v>
      </c>
      <c r="B11" s="37" t="s">
        <v>626</v>
      </c>
      <c r="C11" s="1">
        <v>45558</v>
      </c>
      <c r="D11" s="37" t="s">
        <v>626</v>
      </c>
      <c r="E11">
        <v>0.28081623089803898</v>
      </c>
      <c r="F11">
        <v>0.28081623089803898</v>
      </c>
    </row>
    <row r="12" spans="1:6" x14ac:dyDescent="0.2">
      <c r="A12">
        <v>6</v>
      </c>
      <c r="B12" s="37" t="s">
        <v>439</v>
      </c>
      <c r="C12" s="1">
        <v>45553</v>
      </c>
      <c r="D12" s="37" t="s">
        <v>439</v>
      </c>
      <c r="E12">
        <v>0.23867974850613799</v>
      </c>
      <c r="F12">
        <v>0.23867974850613799</v>
      </c>
    </row>
    <row r="13" spans="1:6" x14ac:dyDescent="0.2">
      <c r="A13">
        <v>6</v>
      </c>
      <c r="B13" s="37" t="s">
        <v>440</v>
      </c>
      <c r="C13" s="1">
        <v>45515</v>
      </c>
      <c r="D13" s="37" t="s">
        <v>440</v>
      </c>
      <c r="E13">
        <v>0.289118777895775</v>
      </c>
      <c r="F13">
        <v>0.289118777895775</v>
      </c>
    </row>
    <row r="14" spans="1:6" x14ac:dyDescent="0.2">
      <c r="A14">
        <v>7</v>
      </c>
      <c r="B14" s="37" t="s">
        <v>288</v>
      </c>
      <c r="C14" s="1">
        <v>45446</v>
      </c>
      <c r="D14" s="37" t="s">
        <v>288</v>
      </c>
      <c r="E14">
        <v>0.245517431291979</v>
      </c>
      <c r="F14">
        <v>0.245517431291979</v>
      </c>
    </row>
    <row r="15" spans="1:6" x14ac:dyDescent="0.2">
      <c r="A15">
        <v>7</v>
      </c>
      <c r="B15" s="37" t="s">
        <v>289</v>
      </c>
      <c r="C15" s="1">
        <v>45410</v>
      </c>
      <c r="D15" s="37" t="s">
        <v>289</v>
      </c>
      <c r="E15">
        <v>2.7784252370094999E-2</v>
      </c>
      <c r="F15">
        <v>2.7784252370094999E-2</v>
      </c>
    </row>
    <row r="16" spans="1:6" x14ac:dyDescent="0.2">
      <c r="A16">
        <v>8</v>
      </c>
      <c r="B16" s="37" t="s">
        <v>627</v>
      </c>
      <c r="C16" s="1">
        <v>45358</v>
      </c>
      <c r="D16" s="37" t="s">
        <v>627</v>
      </c>
      <c r="E16">
        <v>0.17217277065238201</v>
      </c>
      <c r="F16">
        <v>0.17217277065238201</v>
      </c>
    </row>
    <row r="17" spans="1:16" x14ac:dyDescent="0.2">
      <c r="A17">
        <v>9</v>
      </c>
      <c r="B17" s="37" t="s">
        <v>628</v>
      </c>
      <c r="C17" s="1">
        <v>45346</v>
      </c>
      <c r="D17" s="37" t="s">
        <v>628</v>
      </c>
      <c r="E17">
        <v>0.20702267441542799</v>
      </c>
      <c r="F17">
        <v>0.20702267441542799</v>
      </c>
    </row>
    <row r="18" spans="1:16" x14ac:dyDescent="0.2">
      <c r="A18">
        <v>9</v>
      </c>
      <c r="B18" s="37" t="s">
        <v>629</v>
      </c>
      <c r="C18" s="1">
        <v>45531</v>
      </c>
      <c r="D18" s="37" t="s">
        <v>629</v>
      </c>
      <c r="E18">
        <v>0.153037277236236</v>
      </c>
      <c r="F18">
        <v>0.153037277236236</v>
      </c>
    </row>
    <row r="19" spans="1:16" x14ac:dyDescent="0.2">
      <c r="A19">
        <v>10</v>
      </c>
      <c r="B19" s="37" t="s">
        <v>441</v>
      </c>
      <c r="C19" s="1">
        <v>45444</v>
      </c>
      <c r="D19" s="37" t="s">
        <v>441</v>
      </c>
      <c r="E19">
        <v>6.4941206139427901E-2</v>
      </c>
      <c r="F19">
        <v>6.4941206139427901E-2</v>
      </c>
    </row>
    <row r="20" spans="1:16" x14ac:dyDescent="0.2">
      <c r="A20">
        <v>10</v>
      </c>
      <c r="B20" s="37" t="s">
        <v>65</v>
      </c>
      <c r="C20" s="1">
        <v>45391</v>
      </c>
      <c r="D20" s="37" t="s">
        <v>65</v>
      </c>
      <c r="E20">
        <v>0.11922872308669</v>
      </c>
      <c r="F20">
        <v>0.11922872308669</v>
      </c>
    </row>
    <row r="21" spans="1:16" x14ac:dyDescent="0.2">
      <c r="A21">
        <v>12</v>
      </c>
      <c r="B21" s="37" t="s">
        <v>442</v>
      </c>
      <c r="C21" s="1">
        <v>45532</v>
      </c>
      <c r="D21" s="37" t="s">
        <v>442</v>
      </c>
      <c r="E21">
        <v>0.12728908886415599</v>
      </c>
      <c r="F21">
        <v>0.12728908886415599</v>
      </c>
    </row>
    <row r="22" spans="1:16" x14ac:dyDescent="0.2">
      <c r="A22">
        <v>12</v>
      </c>
      <c r="B22" s="37" t="s">
        <v>443</v>
      </c>
      <c r="C22" s="1">
        <v>45315</v>
      </c>
      <c r="D22" s="37" t="s">
        <v>443</v>
      </c>
      <c r="E22">
        <v>0.12437149389525699</v>
      </c>
      <c r="F22">
        <v>0.12437149389525699</v>
      </c>
    </row>
    <row r="23" spans="1:16" x14ac:dyDescent="0.2">
      <c r="A23">
        <v>13</v>
      </c>
      <c r="B23" s="37" t="s">
        <v>444</v>
      </c>
      <c r="C23" s="1">
        <v>45328</v>
      </c>
      <c r="D23" s="37" t="s">
        <v>444</v>
      </c>
      <c r="E23">
        <v>0.30689272094112202</v>
      </c>
      <c r="F23">
        <v>0.30689272094112202</v>
      </c>
    </row>
    <row r="24" spans="1:16" x14ac:dyDescent="0.2">
      <c r="A24">
        <v>13</v>
      </c>
      <c r="B24" s="37" t="s">
        <v>630</v>
      </c>
      <c r="C24" s="1">
        <v>45465</v>
      </c>
      <c r="D24" s="37" t="s">
        <v>630</v>
      </c>
      <c r="E24">
        <v>0.32305620188318401</v>
      </c>
      <c r="F24">
        <v>0.32305620188318401</v>
      </c>
      <c r="P24" t="s">
        <v>35</v>
      </c>
    </row>
    <row r="25" spans="1:16" x14ac:dyDescent="0.2">
      <c r="A25">
        <v>14</v>
      </c>
      <c r="B25" s="37" t="s">
        <v>631</v>
      </c>
      <c r="C25" s="1">
        <v>45310</v>
      </c>
      <c r="D25" s="37" t="s">
        <v>631</v>
      </c>
      <c r="E25">
        <v>0.49550147252566301</v>
      </c>
      <c r="F25">
        <v>0.49550147252566301</v>
      </c>
    </row>
    <row r="26" spans="1:16" x14ac:dyDescent="0.2">
      <c r="A26">
        <v>14</v>
      </c>
      <c r="B26" s="37" t="s">
        <v>632</v>
      </c>
      <c r="C26" s="1">
        <v>45491</v>
      </c>
      <c r="D26" s="37" t="s">
        <v>632</v>
      </c>
      <c r="E26">
        <v>0.158280380113481</v>
      </c>
      <c r="F26">
        <v>0.158280380113481</v>
      </c>
    </row>
    <row r="27" spans="1:16" x14ac:dyDescent="0.2">
      <c r="A27">
        <v>15</v>
      </c>
      <c r="B27" s="37" t="s">
        <v>633</v>
      </c>
      <c r="C27" s="1">
        <v>45430</v>
      </c>
      <c r="D27" s="37" t="s">
        <v>633</v>
      </c>
      <c r="E27">
        <v>3.0172338031601201E-2</v>
      </c>
      <c r="F27">
        <v>3.0172338031601201E-2</v>
      </c>
    </row>
    <row r="28" spans="1:16" x14ac:dyDescent="0.2">
      <c r="A28">
        <v>15</v>
      </c>
      <c r="B28" s="37" t="s">
        <v>634</v>
      </c>
      <c r="C28" s="1">
        <v>45590</v>
      </c>
      <c r="D28" s="37" t="s">
        <v>634</v>
      </c>
      <c r="E28">
        <v>0.103040801317809</v>
      </c>
      <c r="F28">
        <v>0.103040801317809</v>
      </c>
    </row>
    <row r="29" spans="1:16" x14ac:dyDescent="0.2">
      <c r="A29">
        <v>15</v>
      </c>
      <c r="B29" s="37" t="s">
        <v>66</v>
      </c>
      <c r="C29" s="1">
        <v>45449</v>
      </c>
      <c r="D29" s="37" t="s">
        <v>66</v>
      </c>
      <c r="E29">
        <v>7.5190364599178994E-2</v>
      </c>
      <c r="F29">
        <v>7.5190364599178994E-2</v>
      </c>
    </row>
    <row r="30" spans="1:16" x14ac:dyDescent="0.2">
      <c r="A30">
        <v>16</v>
      </c>
      <c r="B30" s="37" t="s">
        <v>635</v>
      </c>
      <c r="C30" s="1">
        <v>45480</v>
      </c>
      <c r="D30" s="37" t="s">
        <v>635</v>
      </c>
      <c r="E30">
        <v>0.101236821811999</v>
      </c>
      <c r="F30">
        <v>0.101236821811999</v>
      </c>
    </row>
    <row r="31" spans="1:16" x14ac:dyDescent="0.2">
      <c r="A31">
        <v>17</v>
      </c>
      <c r="B31" s="37" t="s">
        <v>67</v>
      </c>
      <c r="C31" s="1">
        <v>45535</v>
      </c>
      <c r="D31" s="37" t="s">
        <v>67</v>
      </c>
      <c r="E31">
        <v>0.31550517923447902</v>
      </c>
      <c r="F31">
        <v>0.31550517923447902</v>
      </c>
    </row>
    <row r="32" spans="1:16" x14ac:dyDescent="0.2">
      <c r="A32">
        <v>17</v>
      </c>
      <c r="B32" s="37" t="s">
        <v>68</v>
      </c>
      <c r="C32" s="1">
        <v>45297</v>
      </c>
      <c r="D32" s="37" t="s">
        <v>68</v>
      </c>
      <c r="E32">
        <v>0.234271970780042</v>
      </c>
      <c r="F32">
        <v>0.234271970780042</v>
      </c>
    </row>
    <row r="33" spans="1:6" x14ac:dyDescent="0.2">
      <c r="A33">
        <v>17</v>
      </c>
      <c r="B33" s="37" t="s">
        <v>69</v>
      </c>
      <c r="C33" s="1">
        <v>45419</v>
      </c>
      <c r="D33" s="37" t="s">
        <v>69</v>
      </c>
      <c r="E33">
        <v>7.0328327750525804E-2</v>
      </c>
      <c r="F33">
        <v>7.0328327750525804E-2</v>
      </c>
    </row>
    <row r="34" spans="1:6" x14ac:dyDescent="0.2">
      <c r="A34">
        <v>18</v>
      </c>
      <c r="B34" s="37" t="s">
        <v>290</v>
      </c>
      <c r="C34" s="1">
        <v>45594</v>
      </c>
      <c r="D34" s="37" t="s">
        <v>290</v>
      </c>
      <c r="E34">
        <v>0.336281941993194</v>
      </c>
      <c r="F34">
        <v>0.336281941993194</v>
      </c>
    </row>
    <row r="35" spans="1:6" x14ac:dyDescent="0.2">
      <c r="A35">
        <v>18</v>
      </c>
      <c r="B35" s="37" t="s">
        <v>291</v>
      </c>
      <c r="C35" s="1">
        <v>45439</v>
      </c>
      <c r="D35" s="37" t="s">
        <v>291</v>
      </c>
      <c r="E35">
        <v>3.0842220579841401E-2</v>
      </c>
      <c r="F35">
        <v>3.0842220579841401E-2</v>
      </c>
    </row>
    <row r="36" spans="1:6" x14ac:dyDescent="0.2">
      <c r="A36">
        <v>18</v>
      </c>
      <c r="B36" s="37" t="s">
        <v>70</v>
      </c>
      <c r="C36" s="1">
        <v>45481</v>
      </c>
      <c r="D36" s="37" t="s">
        <v>70</v>
      </c>
      <c r="E36">
        <v>2.9144557068867E-2</v>
      </c>
      <c r="F36">
        <v>2.9144557068867E-2</v>
      </c>
    </row>
    <row r="37" spans="1:6" x14ac:dyDescent="0.2">
      <c r="A37">
        <v>18</v>
      </c>
      <c r="B37" s="37" t="s">
        <v>71</v>
      </c>
      <c r="C37" s="1">
        <v>45403</v>
      </c>
      <c r="D37" s="37" t="s">
        <v>71</v>
      </c>
      <c r="E37">
        <v>0.245429080588635</v>
      </c>
      <c r="F37">
        <v>0.245429080588635</v>
      </c>
    </row>
    <row r="38" spans="1:6" x14ac:dyDescent="0.2">
      <c r="A38">
        <v>19</v>
      </c>
      <c r="B38" s="37" t="s">
        <v>636</v>
      </c>
      <c r="C38" s="1">
        <v>45596</v>
      </c>
      <c r="D38" s="37" t="s">
        <v>636</v>
      </c>
      <c r="E38">
        <v>0.150894178708181</v>
      </c>
      <c r="F38">
        <v>0.150894178708181</v>
      </c>
    </row>
    <row r="39" spans="1:6" x14ac:dyDescent="0.2">
      <c r="A39">
        <v>19</v>
      </c>
      <c r="B39" s="37" t="s">
        <v>637</v>
      </c>
      <c r="C39" s="1">
        <v>45352</v>
      </c>
      <c r="D39" s="37" t="s">
        <v>637</v>
      </c>
      <c r="E39">
        <v>0.30051061168562399</v>
      </c>
      <c r="F39">
        <v>0.30051061168562399</v>
      </c>
    </row>
    <row r="40" spans="1:6" x14ac:dyDescent="0.2">
      <c r="A40">
        <v>19</v>
      </c>
      <c r="B40" s="37" t="s">
        <v>638</v>
      </c>
      <c r="C40" s="1">
        <v>45399</v>
      </c>
      <c r="D40" s="37" t="s">
        <v>638</v>
      </c>
      <c r="E40">
        <v>3.9756537443982803E-2</v>
      </c>
      <c r="F40">
        <v>3.9756537443982803E-2</v>
      </c>
    </row>
    <row r="41" spans="1:6" x14ac:dyDescent="0.2">
      <c r="A41">
        <v>20</v>
      </c>
      <c r="B41" s="37" t="s">
        <v>292</v>
      </c>
      <c r="C41" s="1">
        <v>45379</v>
      </c>
      <c r="D41" s="37" t="s">
        <v>292</v>
      </c>
      <c r="E41">
        <v>0.28648376463220199</v>
      </c>
      <c r="F41">
        <v>0.28648376463220199</v>
      </c>
    </row>
    <row r="42" spans="1:6" x14ac:dyDescent="0.2">
      <c r="A42">
        <v>21</v>
      </c>
      <c r="B42" s="37" t="s">
        <v>639</v>
      </c>
      <c r="C42" s="1">
        <v>45477</v>
      </c>
      <c r="D42" s="37" t="s">
        <v>639</v>
      </c>
      <c r="E42">
        <v>0.27477523794575698</v>
      </c>
      <c r="F42">
        <v>0.27477523794575698</v>
      </c>
    </row>
    <row r="43" spans="1:6" x14ac:dyDescent="0.2">
      <c r="A43">
        <v>22</v>
      </c>
      <c r="B43" s="37" t="s">
        <v>293</v>
      </c>
      <c r="C43" s="1">
        <v>45537</v>
      </c>
      <c r="D43" s="37" t="s">
        <v>293</v>
      </c>
      <c r="E43">
        <v>0.23618729052010601</v>
      </c>
      <c r="F43">
        <v>0.23618729052010601</v>
      </c>
    </row>
    <row r="44" spans="1:6" x14ac:dyDescent="0.2">
      <c r="A44">
        <v>22</v>
      </c>
      <c r="B44" s="37" t="s">
        <v>294</v>
      </c>
      <c r="C44" s="1">
        <v>45469</v>
      </c>
      <c r="D44" s="37" t="s">
        <v>294</v>
      </c>
      <c r="E44">
        <v>0.29044597467390798</v>
      </c>
      <c r="F44">
        <v>0.29044597467390798</v>
      </c>
    </row>
    <row r="45" spans="1:6" x14ac:dyDescent="0.2">
      <c r="A45">
        <v>23</v>
      </c>
      <c r="B45" s="37" t="s">
        <v>640</v>
      </c>
      <c r="C45" s="1">
        <v>45453</v>
      </c>
      <c r="D45" s="37" t="s">
        <v>640</v>
      </c>
      <c r="E45">
        <v>7.9832018408424396E-2</v>
      </c>
      <c r="F45">
        <v>7.9832018408424396E-2</v>
      </c>
    </row>
    <row r="46" spans="1:6" x14ac:dyDescent="0.2">
      <c r="A46">
        <v>23</v>
      </c>
      <c r="B46" s="37" t="s">
        <v>295</v>
      </c>
      <c r="C46" s="1">
        <v>45613</v>
      </c>
      <c r="D46" s="37" t="s">
        <v>295</v>
      </c>
      <c r="E46">
        <v>0.16241174541835501</v>
      </c>
      <c r="F46">
        <v>0.16241174541835501</v>
      </c>
    </row>
    <row r="47" spans="1:6" x14ac:dyDescent="0.2">
      <c r="A47">
        <v>25</v>
      </c>
      <c r="B47" s="37" t="s">
        <v>641</v>
      </c>
      <c r="C47" s="1">
        <v>45490</v>
      </c>
      <c r="D47" s="37" t="s">
        <v>641</v>
      </c>
      <c r="E47">
        <v>5.4426042562297799E-2</v>
      </c>
      <c r="F47">
        <v>5.4426042562297799E-2</v>
      </c>
    </row>
    <row r="48" spans="1:6" x14ac:dyDescent="0.2">
      <c r="A48">
        <v>25</v>
      </c>
      <c r="B48" s="37" t="s">
        <v>642</v>
      </c>
      <c r="C48" s="1">
        <v>45386</v>
      </c>
      <c r="D48" s="37" t="s">
        <v>642</v>
      </c>
      <c r="E48">
        <v>0.108126567344503</v>
      </c>
      <c r="F48">
        <v>0.108126567344503</v>
      </c>
    </row>
    <row r="49" spans="1:6" x14ac:dyDescent="0.2">
      <c r="A49">
        <v>26</v>
      </c>
      <c r="B49" s="37" t="s">
        <v>72</v>
      </c>
      <c r="C49" s="1">
        <v>45475</v>
      </c>
      <c r="D49" s="37" t="s">
        <v>72</v>
      </c>
      <c r="E49">
        <v>6.0550355028792101E-2</v>
      </c>
      <c r="F49">
        <v>6.0550355028792101E-2</v>
      </c>
    </row>
    <row r="50" spans="1:6" x14ac:dyDescent="0.2">
      <c r="A50">
        <v>26</v>
      </c>
      <c r="B50" s="37" t="s">
        <v>73</v>
      </c>
      <c r="C50" s="1">
        <v>45452</v>
      </c>
      <c r="D50" s="37" t="s">
        <v>73</v>
      </c>
      <c r="E50">
        <v>0.15646977352204799</v>
      </c>
      <c r="F50">
        <v>0.15646977352204799</v>
      </c>
    </row>
    <row r="51" spans="1:6" x14ac:dyDescent="0.2">
      <c r="A51">
        <v>27</v>
      </c>
      <c r="B51" s="37" t="s">
        <v>296</v>
      </c>
      <c r="C51" s="1">
        <v>45593</v>
      </c>
      <c r="D51" s="37" t="s">
        <v>296</v>
      </c>
      <c r="E51">
        <v>0.116175307791655</v>
      </c>
      <c r="F51">
        <v>0.116175307791655</v>
      </c>
    </row>
    <row r="52" spans="1:6" x14ac:dyDescent="0.2">
      <c r="A52">
        <v>27</v>
      </c>
      <c r="B52" s="37" t="s">
        <v>74</v>
      </c>
      <c r="C52" s="1">
        <v>45315</v>
      </c>
      <c r="D52" s="37" t="s">
        <v>74</v>
      </c>
      <c r="E52">
        <v>0.63024794251342597</v>
      </c>
      <c r="F52">
        <v>0.63024794251342597</v>
      </c>
    </row>
    <row r="53" spans="1:6" x14ac:dyDescent="0.2">
      <c r="A53">
        <v>28</v>
      </c>
      <c r="B53" s="37" t="s">
        <v>643</v>
      </c>
      <c r="C53" s="1">
        <v>45515</v>
      </c>
      <c r="D53" s="37" t="s">
        <v>643</v>
      </c>
      <c r="E53">
        <v>0.32137380306899299</v>
      </c>
      <c r="F53">
        <v>0.32137380306899299</v>
      </c>
    </row>
    <row r="54" spans="1:6" x14ac:dyDescent="0.2">
      <c r="A54">
        <v>28</v>
      </c>
      <c r="B54" s="37" t="s">
        <v>644</v>
      </c>
      <c r="C54" s="1">
        <v>45564</v>
      </c>
      <c r="D54" s="37" t="s">
        <v>644</v>
      </c>
      <c r="E54">
        <v>0.24706047978916101</v>
      </c>
      <c r="F54">
        <v>0.24706047978916101</v>
      </c>
    </row>
    <row r="55" spans="1:6" x14ac:dyDescent="0.2">
      <c r="A55">
        <v>29</v>
      </c>
      <c r="B55" s="37" t="s">
        <v>645</v>
      </c>
      <c r="C55" s="1">
        <v>45592</v>
      </c>
      <c r="D55" s="37" t="s">
        <v>645</v>
      </c>
      <c r="E55">
        <v>5.0945552467504601E-3</v>
      </c>
      <c r="F55">
        <v>5.0945552467504601E-3</v>
      </c>
    </row>
    <row r="56" spans="1:6" x14ac:dyDescent="0.2">
      <c r="A56">
        <v>29</v>
      </c>
      <c r="B56" s="37" t="s">
        <v>646</v>
      </c>
      <c r="C56" s="1">
        <v>45427</v>
      </c>
      <c r="D56" s="37" t="s">
        <v>646</v>
      </c>
      <c r="E56">
        <v>0.19989117555222399</v>
      </c>
      <c r="F56">
        <v>0.19989117555222399</v>
      </c>
    </row>
    <row r="57" spans="1:6" x14ac:dyDescent="0.2">
      <c r="A57">
        <v>29</v>
      </c>
      <c r="B57" s="37" t="s">
        <v>647</v>
      </c>
      <c r="C57" s="1">
        <v>45370</v>
      </c>
      <c r="D57" s="37" t="s">
        <v>647</v>
      </c>
      <c r="E57">
        <v>5.65564847204457E-2</v>
      </c>
      <c r="F57">
        <v>5.65564847204457E-2</v>
      </c>
    </row>
    <row r="58" spans="1:6" x14ac:dyDescent="0.2">
      <c r="A58">
        <v>30</v>
      </c>
      <c r="B58" s="37" t="s">
        <v>648</v>
      </c>
      <c r="C58" s="1">
        <v>45625</v>
      </c>
      <c r="D58" s="37" t="s">
        <v>648</v>
      </c>
      <c r="E58">
        <v>0.59201291312631399</v>
      </c>
      <c r="F58">
        <v>0.59201291312631399</v>
      </c>
    </row>
    <row r="59" spans="1:6" x14ac:dyDescent="0.2">
      <c r="A59">
        <v>30</v>
      </c>
      <c r="B59" s="37" t="s">
        <v>649</v>
      </c>
      <c r="C59" s="1">
        <v>45509</v>
      </c>
      <c r="D59" s="37" t="s">
        <v>649</v>
      </c>
      <c r="E59">
        <v>0.444768804888307</v>
      </c>
      <c r="F59">
        <v>0.444768804888307</v>
      </c>
    </row>
    <row r="60" spans="1:6" x14ac:dyDescent="0.2">
      <c r="A60">
        <v>30</v>
      </c>
      <c r="B60" s="37" t="s">
        <v>445</v>
      </c>
      <c r="C60" s="1">
        <v>45619</v>
      </c>
      <c r="D60" s="37" t="s">
        <v>445</v>
      </c>
      <c r="E60">
        <v>0.17216275870508099</v>
      </c>
      <c r="F60">
        <v>0.17216275870508099</v>
      </c>
    </row>
    <row r="61" spans="1:6" x14ac:dyDescent="0.2">
      <c r="A61">
        <v>32</v>
      </c>
      <c r="B61" s="37" t="s">
        <v>650</v>
      </c>
      <c r="C61" s="1">
        <v>45555</v>
      </c>
      <c r="D61" s="37" t="s">
        <v>650</v>
      </c>
      <c r="E61">
        <v>0.366351061072338</v>
      </c>
      <c r="F61">
        <v>0.366351061072338</v>
      </c>
    </row>
    <row r="62" spans="1:6" x14ac:dyDescent="0.2">
      <c r="A62">
        <v>33</v>
      </c>
      <c r="B62" s="37" t="s">
        <v>75</v>
      </c>
      <c r="C62" s="1">
        <v>45459</v>
      </c>
      <c r="D62" s="37" t="s">
        <v>75</v>
      </c>
      <c r="E62">
        <v>0.27526244490775098</v>
      </c>
      <c r="F62">
        <v>0.27526244490775098</v>
      </c>
    </row>
    <row r="63" spans="1:6" x14ac:dyDescent="0.2">
      <c r="A63">
        <v>33</v>
      </c>
      <c r="B63" s="37" t="s">
        <v>76</v>
      </c>
      <c r="C63" s="1">
        <v>45549</v>
      </c>
      <c r="D63" s="37" t="s">
        <v>76</v>
      </c>
      <c r="E63">
        <v>7.8983027774321493E-2</v>
      </c>
      <c r="F63">
        <v>7.8983027774321493E-2</v>
      </c>
    </row>
    <row r="64" spans="1:6" x14ac:dyDescent="0.2">
      <c r="A64">
        <v>34</v>
      </c>
      <c r="B64" s="37" t="s">
        <v>297</v>
      </c>
      <c r="C64" s="1">
        <v>45320</v>
      </c>
      <c r="D64" s="37" t="s">
        <v>297</v>
      </c>
      <c r="E64">
        <v>8.1220119373863101E-2</v>
      </c>
      <c r="F64">
        <v>8.1220119373863101E-2</v>
      </c>
    </row>
    <row r="65" spans="1:6" x14ac:dyDescent="0.2">
      <c r="A65">
        <v>35</v>
      </c>
      <c r="B65" s="37" t="s">
        <v>651</v>
      </c>
      <c r="C65" s="1">
        <v>45432</v>
      </c>
      <c r="D65" s="37" t="s">
        <v>651</v>
      </c>
      <c r="E65">
        <v>6.5610982627530595E-2</v>
      </c>
      <c r="F65">
        <v>6.5610982627530595E-2</v>
      </c>
    </row>
    <row r="66" spans="1:6" x14ac:dyDescent="0.2">
      <c r="A66">
        <v>35</v>
      </c>
      <c r="B66" s="37" t="s">
        <v>446</v>
      </c>
      <c r="C66" s="1">
        <v>45429</v>
      </c>
      <c r="D66" s="37" t="s">
        <v>446</v>
      </c>
      <c r="E66">
        <v>0.36546880511642099</v>
      </c>
      <c r="F66">
        <v>0.36546880511642099</v>
      </c>
    </row>
    <row r="67" spans="1:6" x14ac:dyDescent="0.2">
      <c r="A67">
        <v>35</v>
      </c>
      <c r="B67" s="37" t="s">
        <v>447</v>
      </c>
      <c r="C67" s="1">
        <v>45385</v>
      </c>
      <c r="D67" s="37" t="s">
        <v>447</v>
      </c>
      <c r="E67">
        <v>0.16336718244578299</v>
      </c>
      <c r="F67">
        <v>0.16336718244578299</v>
      </c>
    </row>
    <row r="68" spans="1:6" x14ac:dyDescent="0.2">
      <c r="A68">
        <v>35</v>
      </c>
      <c r="B68" s="37" t="s">
        <v>448</v>
      </c>
      <c r="C68" s="1">
        <v>45418</v>
      </c>
      <c r="D68" s="37" t="s">
        <v>448</v>
      </c>
      <c r="E68">
        <v>0.146771537804361</v>
      </c>
      <c r="F68">
        <v>0.146771537804361</v>
      </c>
    </row>
    <row r="69" spans="1:6" x14ac:dyDescent="0.2">
      <c r="A69">
        <v>36</v>
      </c>
      <c r="B69" s="37" t="s">
        <v>652</v>
      </c>
      <c r="C69" s="1">
        <v>45374</v>
      </c>
      <c r="D69" s="37" t="s">
        <v>652</v>
      </c>
      <c r="E69">
        <v>0.11094542415193</v>
      </c>
      <c r="F69">
        <v>0.11094542415193</v>
      </c>
    </row>
    <row r="70" spans="1:6" x14ac:dyDescent="0.2">
      <c r="A70">
        <v>36</v>
      </c>
      <c r="B70" s="37" t="s">
        <v>653</v>
      </c>
      <c r="C70" s="1">
        <v>45526</v>
      </c>
      <c r="D70" s="37" t="s">
        <v>653</v>
      </c>
      <c r="E70">
        <v>8.2332165787932093E-2</v>
      </c>
      <c r="F70">
        <v>8.2332165787932093E-2</v>
      </c>
    </row>
    <row r="71" spans="1:6" x14ac:dyDescent="0.2">
      <c r="A71">
        <v>37</v>
      </c>
      <c r="B71" s="37" t="s">
        <v>77</v>
      </c>
      <c r="C71" s="1">
        <v>45534</v>
      </c>
      <c r="D71" s="37" t="s">
        <v>77</v>
      </c>
      <c r="E71">
        <v>0.38992992633411599</v>
      </c>
      <c r="F71">
        <v>0.38992992633411599</v>
      </c>
    </row>
    <row r="72" spans="1:6" x14ac:dyDescent="0.2">
      <c r="A72">
        <v>38</v>
      </c>
      <c r="B72" s="37" t="s">
        <v>654</v>
      </c>
      <c r="C72" s="1">
        <v>45533</v>
      </c>
      <c r="D72" s="37" t="s">
        <v>654</v>
      </c>
      <c r="E72">
        <v>1.29836538554638E-2</v>
      </c>
      <c r="F72">
        <v>1.29836538554638E-2</v>
      </c>
    </row>
    <row r="73" spans="1:6" x14ac:dyDescent="0.2">
      <c r="A73">
        <v>38</v>
      </c>
      <c r="B73" s="37" t="s">
        <v>655</v>
      </c>
      <c r="C73" s="1">
        <v>45557</v>
      </c>
      <c r="D73" s="37" t="s">
        <v>655</v>
      </c>
      <c r="E73">
        <v>0.22022463668789299</v>
      </c>
      <c r="F73">
        <v>0.22022463668789299</v>
      </c>
    </row>
    <row r="74" spans="1:6" x14ac:dyDescent="0.2">
      <c r="A74">
        <v>38</v>
      </c>
      <c r="B74" s="37" t="s">
        <v>656</v>
      </c>
      <c r="C74" s="1">
        <v>45355</v>
      </c>
      <c r="D74" s="37" t="s">
        <v>656</v>
      </c>
      <c r="E74">
        <v>0.105966926421571</v>
      </c>
      <c r="F74">
        <v>0.105966926421571</v>
      </c>
    </row>
    <row r="75" spans="1:6" x14ac:dyDescent="0.2">
      <c r="A75">
        <v>39</v>
      </c>
      <c r="B75" s="37" t="s">
        <v>657</v>
      </c>
      <c r="C75" s="1">
        <v>45457</v>
      </c>
      <c r="D75" s="37" t="s">
        <v>657</v>
      </c>
      <c r="E75">
        <v>0.25446466956986902</v>
      </c>
      <c r="F75">
        <v>0.25446466956986902</v>
      </c>
    </row>
    <row r="76" spans="1:6" x14ac:dyDescent="0.2">
      <c r="A76">
        <v>39</v>
      </c>
      <c r="B76" s="37" t="s">
        <v>298</v>
      </c>
      <c r="C76" s="1">
        <v>45308</v>
      </c>
      <c r="D76" s="37" t="s">
        <v>298</v>
      </c>
      <c r="E76">
        <v>0.43550514016862502</v>
      </c>
      <c r="F76">
        <v>0.43550514016862502</v>
      </c>
    </row>
    <row r="77" spans="1:6" x14ac:dyDescent="0.2">
      <c r="A77">
        <v>39</v>
      </c>
      <c r="B77" s="37" t="s">
        <v>78</v>
      </c>
      <c r="C77" s="1">
        <v>45520</v>
      </c>
      <c r="D77" s="37" t="s">
        <v>78</v>
      </c>
      <c r="E77">
        <v>0.15808582035101301</v>
      </c>
      <c r="F77">
        <v>0.15808582035101301</v>
      </c>
    </row>
    <row r="78" spans="1:6" x14ac:dyDescent="0.2">
      <c r="A78">
        <v>40</v>
      </c>
      <c r="B78" s="37" t="s">
        <v>658</v>
      </c>
      <c r="C78" s="1">
        <v>45518</v>
      </c>
      <c r="D78" s="37" t="s">
        <v>658</v>
      </c>
      <c r="E78">
        <v>3.1727232123632002E-2</v>
      </c>
      <c r="F78">
        <v>3.1727232123632002E-2</v>
      </c>
    </row>
    <row r="79" spans="1:6" x14ac:dyDescent="0.2">
      <c r="A79">
        <v>40</v>
      </c>
      <c r="B79" s="37" t="s">
        <v>659</v>
      </c>
      <c r="C79" s="1">
        <v>45613</v>
      </c>
      <c r="D79" s="37" t="s">
        <v>659</v>
      </c>
      <c r="E79">
        <v>0.104241398015173</v>
      </c>
      <c r="F79">
        <v>0.104241398015173</v>
      </c>
    </row>
    <row r="80" spans="1:6" x14ac:dyDescent="0.2">
      <c r="A80">
        <v>40</v>
      </c>
      <c r="B80" s="37" t="s">
        <v>660</v>
      </c>
      <c r="C80" s="1">
        <v>45617</v>
      </c>
      <c r="D80" s="37" t="s">
        <v>660</v>
      </c>
      <c r="E80">
        <v>0.169152166384993</v>
      </c>
      <c r="F80">
        <v>0.169152166384993</v>
      </c>
    </row>
    <row r="81" spans="1:6" x14ac:dyDescent="0.2">
      <c r="A81">
        <v>41</v>
      </c>
      <c r="B81" s="37" t="s">
        <v>661</v>
      </c>
      <c r="C81" s="1">
        <v>45403</v>
      </c>
      <c r="D81" s="37" t="s">
        <v>661</v>
      </c>
      <c r="E81">
        <v>0.44761159140213502</v>
      </c>
      <c r="F81">
        <v>0.44761159140213502</v>
      </c>
    </row>
    <row r="82" spans="1:6" x14ac:dyDescent="0.2">
      <c r="A82">
        <v>41</v>
      </c>
      <c r="B82" s="37" t="s">
        <v>299</v>
      </c>
      <c r="C82" s="1">
        <v>45384</v>
      </c>
      <c r="D82" s="37" t="s">
        <v>299</v>
      </c>
      <c r="E82">
        <v>2.0485996501535202E-2</v>
      </c>
      <c r="F82">
        <v>2.0485996501535202E-2</v>
      </c>
    </row>
    <row r="83" spans="1:6" x14ac:dyDescent="0.2">
      <c r="A83">
        <v>41</v>
      </c>
      <c r="B83" s="37" t="s">
        <v>300</v>
      </c>
      <c r="C83" s="1">
        <v>45568</v>
      </c>
      <c r="D83" s="37" t="s">
        <v>300</v>
      </c>
      <c r="E83">
        <v>0.152515145825215</v>
      </c>
      <c r="F83">
        <v>0.152515145825215</v>
      </c>
    </row>
    <row r="84" spans="1:6" x14ac:dyDescent="0.2">
      <c r="A84">
        <v>42</v>
      </c>
      <c r="B84" s="37" t="s">
        <v>662</v>
      </c>
      <c r="C84" s="1">
        <v>45396</v>
      </c>
      <c r="D84" s="37" t="s">
        <v>662</v>
      </c>
      <c r="E84">
        <v>0.14342977394026099</v>
      </c>
      <c r="F84">
        <v>0.14342977394026099</v>
      </c>
    </row>
    <row r="85" spans="1:6" x14ac:dyDescent="0.2">
      <c r="A85">
        <v>42</v>
      </c>
      <c r="B85" s="37" t="s">
        <v>663</v>
      </c>
      <c r="C85" s="1">
        <v>45462</v>
      </c>
      <c r="D85" s="37" t="s">
        <v>663</v>
      </c>
      <c r="E85">
        <v>0.28295664062345299</v>
      </c>
      <c r="F85">
        <v>0.28295664062345299</v>
      </c>
    </row>
    <row r="86" spans="1:6" x14ac:dyDescent="0.2">
      <c r="A86">
        <v>43</v>
      </c>
      <c r="B86" s="37" t="s">
        <v>664</v>
      </c>
      <c r="C86" s="1">
        <v>45341</v>
      </c>
      <c r="D86" s="37" t="s">
        <v>664</v>
      </c>
      <c r="E86">
        <v>0.41542000447231398</v>
      </c>
      <c r="F86">
        <v>0.41542000447231398</v>
      </c>
    </row>
    <row r="87" spans="1:6" x14ac:dyDescent="0.2">
      <c r="A87">
        <v>43</v>
      </c>
      <c r="B87" s="37" t="s">
        <v>665</v>
      </c>
      <c r="C87" s="1">
        <v>45430</v>
      </c>
      <c r="D87" s="37" t="s">
        <v>665</v>
      </c>
      <c r="E87">
        <v>0.106970719663098</v>
      </c>
      <c r="F87">
        <v>0.106970719663098</v>
      </c>
    </row>
    <row r="88" spans="1:6" x14ac:dyDescent="0.2">
      <c r="A88">
        <v>44</v>
      </c>
      <c r="B88" s="37" t="s">
        <v>449</v>
      </c>
      <c r="C88" s="1">
        <v>45412</v>
      </c>
      <c r="D88" s="37" t="s">
        <v>449</v>
      </c>
      <c r="E88">
        <v>0.35035859162384397</v>
      </c>
      <c r="F88">
        <v>0.35035859162384397</v>
      </c>
    </row>
    <row r="89" spans="1:6" x14ac:dyDescent="0.2">
      <c r="A89">
        <v>44</v>
      </c>
      <c r="B89" s="37" t="s">
        <v>450</v>
      </c>
      <c r="C89" s="1">
        <v>45405</v>
      </c>
      <c r="D89" s="37" t="s">
        <v>450</v>
      </c>
      <c r="E89">
        <v>4.6205861488646E-2</v>
      </c>
      <c r="F89">
        <v>4.6205861488646E-2</v>
      </c>
    </row>
    <row r="90" spans="1:6" x14ac:dyDescent="0.2">
      <c r="A90">
        <v>44</v>
      </c>
      <c r="B90" s="37" t="s">
        <v>451</v>
      </c>
      <c r="C90" s="1">
        <v>45486</v>
      </c>
      <c r="D90" s="37" t="s">
        <v>451</v>
      </c>
      <c r="E90">
        <v>0.130099001320921</v>
      </c>
      <c r="F90">
        <v>0.130099001320921</v>
      </c>
    </row>
    <row r="91" spans="1:6" x14ac:dyDescent="0.2">
      <c r="A91">
        <v>45</v>
      </c>
      <c r="B91" s="37" t="s">
        <v>666</v>
      </c>
      <c r="C91" s="1">
        <v>45414</v>
      </c>
      <c r="D91" s="37" t="s">
        <v>666</v>
      </c>
      <c r="E91">
        <v>0.28936897239685799</v>
      </c>
      <c r="F91">
        <v>0.28936897239685799</v>
      </c>
    </row>
    <row r="92" spans="1:6" x14ac:dyDescent="0.2">
      <c r="A92">
        <v>45</v>
      </c>
      <c r="B92" s="37" t="s">
        <v>667</v>
      </c>
      <c r="C92" s="1">
        <v>45553</v>
      </c>
      <c r="D92" s="37" t="s">
        <v>667</v>
      </c>
      <c r="E92">
        <v>0.118165035765738</v>
      </c>
      <c r="F92">
        <v>0.118165035765738</v>
      </c>
    </row>
    <row r="93" spans="1:6" x14ac:dyDescent="0.2">
      <c r="A93">
        <v>45</v>
      </c>
      <c r="B93" s="37" t="s">
        <v>668</v>
      </c>
      <c r="C93" s="1">
        <v>45378</v>
      </c>
      <c r="D93" s="37" t="s">
        <v>668</v>
      </c>
      <c r="E93">
        <v>8.5340357326454896E-2</v>
      </c>
      <c r="F93">
        <v>8.5340357326454896E-2</v>
      </c>
    </row>
    <row r="94" spans="1:6" x14ac:dyDescent="0.2">
      <c r="A94">
        <v>46</v>
      </c>
      <c r="B94" s="37" t="s">
        <v>669</v>
      </c>
      <c r="C94" s="1">
        <v>45525</v>
      </c>
      <c r="D94" s="37" t="s">
        <v>669</v>
      </c>
      <c r="E94">
        <v>0.25608817485359597</v>
      </c>
      <c r="F94">
        <v>0.25608817485359597</v>
      </c>
    </row>
    <row r="95" spans="1:6" x14ac:dyDescent="0.2">
      <c r="A95">
        <v>46</v>
      </c>
      <c r="B95" s="37" t="s">
        <v>301</v>
      </c>
      <c r="C95" s="1">
        <v>45308</v>
      </c>
      <c r="D95" s="37" t="s">
        <v>301</v>
      </c>
      <c r="E95">
        <v>2.21051932679046E-2</v>
      </c>
      <c r="F95">
        <v>2.21051932679046E-2</v>
      </c>
    </row>
    <row r="96" spans="1:6" x14ac:dyDescent="0.2">
      <c r="A96">
        <v>46</v>
      </c>
      <c r="B96" s="37" t="s">
        <v>452</v>
      </c>
      <c r="C96" s="1">
        <v>45618</v>
      </c>
      <c r="D96" s="37" t="s">
        <v>452</v>
      </c>
      <c r="E96">
        <v>0.10399668850848599</v>
      </c>
      <c r="F96">
        <v>0.10399668850848599</v>
      </c>
    </row>
    <row r="97" spans="1:6" x14ac:dyDescent="0.2">
      <c r="A97">
        <v>47</v>
      </c>
      <c r="B97" s="37" t="s">
        <v>79</v>
      </c>
      <c r="C97" s="1">
        <v>45509</v>
      </c>
      <c r="D97" s="37" t="s">
        <v>79</v>
      </c>
      <c r="E97">
        <v>0.197664038337339</v>
      </c>
      <c r="F97">
        <v>0.197664038337339</v>
      </c>
    </row>
    <row r="98" spans="1:6" x14ac:dyDescent="0.2">
      <c r="A98">
        <v>47</v>
      </c>
      <c r="B98" s="37" t="s">
        <v>670</v>
      </c>
      <c r="C98" s="1">
        <v>45446</v>
      </c>
      <c r="D98" s="37" t="s">
        <v>670</v>
      </c>
      <c r="E98">
        <v>8.6894172255472801E-2</v>
      </c>
      <c r="F98">
        <v>8.6894172255472801E-2</v>
      </c>
    </row>
    <row r="99" spans="1:6" x14ac:dyDescent="0.2">
      <c r="A99">
        <v>47</v>
      </c>
      <c r="B99" s="37" t="s">
        <v>80</v>
      </c>
      <c r="C99" s="1">
        <v>45500</v>
      </c>
      <c r="D99" s="37" t="s">
        <v>80</v>
      </c>
      <c r="E99">
        <v>0.17764121973411001</v>
      </c>
      <c r="F99">
        <v>0.17764121973411001</v>
      </c>
    </row>
    <row r="100" spans="1:6" x14ac:dyDescent="0.2">
      <c r="A100">
        <v>48</v>
      </c>
      <c r="B100" s="37" t="s">
        <v>453</v>
      </c>
      <c r="C100" s="1">
        <v>45638</v>
      </c>
      <c r="D100" s="37" t="s">
        <v>453</v>
      </c>
      <c r="E100">
        <v>0.16747497099819</v>
      </c>
      <c r="F100">
        <v>0.16747497099819</v>
      </c>
    </row>
    <row r="101" spans="1:6" x14ac:dyDescent="0.2">
      <c r="A101">
        <v>48</v>
      </c>
      <c r="B101" s="37" t="s">
        <v>454</v>
      </c>
      <c r="C101" s="1">
        <v>45589</v>
      </c>
      <c r="D101" s="37" t="s">
        <v>454</v>
      </c>
      <c r="E101">
        <v>0.16359324955087101</v>
      </c>
      <c r="F101">
        <v>0.16359324955087101</v>
      </c>
    </row>
    <row r="102" spans="1:6" x14ac:dyDescent="0.2">
      <c r="A102">
        <v>49</v>
      </c>
      <c r="B102" s="37" t="s">
        <v>671</v>
      </c>
      <c r="C102" s="1">
        <v>45538</v>
      </c>
      <c r="D102" s="37" t="s">
        <v>671</v>
      </c>
      <c r="E102">
        <v>0.165133452626157</v>
      </c>
      <c r="F102">
        <v>0.165133452626157</v>
      </c>
    </row>
    <row r="103" spans="1:6" x14ac:dyDescent="0.2">
      <c r="A103">
        <v>49</v>
      </c>
      <c r="B103" s="37" t="s">
        <v>672</v>
      </c>
      <c r="C103" s="1">
        <v>45309</v>
      </c>
      <c r="D103" s="37" t="s">
        <v>672</v>
      </c>
      <c r="E103">
        <v>0.16891001003363701</v>
      </c>
      <c r="F103">
        <v>0.16891001003363701</v>
      </c>
    </row>
    <row r="104" spans="1:6" x14ac:dyDescent="0.2">
      <c r="A104">
        <v>49</v>
      </c>
      <c r="B104" s="37" t="s">
        <v>302</v>
      </c>
      <c r="C104" s="1">
        <v>45655</v>
      </c>
      <c r="D104" s="37" t="s">
        <v>302</v>
      </c>
      <c r="E104">
        <v>0.134338693650633</v>
      </c>
      <c r="F104">
        <v>0.134338693650633</v>
      </c>
    </row>
    <row r="105" spans="1:6" x14ac:dyDescent="0.2">
      <c r="A105">
        <v>50</v>
      </c>
      <c r="B105" s="37" t="s">
        <v>673</v>
      </c>
      <c r="C105" s="1">
        <v>45320</v>
      </c>
      <c r="D105" s="37" t="s">
        <v>673</v>
      </c>
      <c r="E105">
        <v>0.11810740041798801</v>
      </c>
      <c r="F105">
        <v>0.11810740041798801</v>
      </c>
    </row>
    <row r="106" spans="1:6" x14ac:dyDescent="0.2">
      <c r="A106">
        <v>51</v>
      </c>
      <c r="B106" s="37" t="s">
        <v>455</v>
      </c>
      <c r="C106" s="1">
        <v>45609</v>
      </c>
      <c r="D106" s="37" t="s">
        <v>455</v>
      </c>
      <c r="E106">
        <v>0.22493006103539601</v>
      </c>
      <c r="F106">
        <v>0.22493006103539601</v>
      </c>
    </row>
    <row r="107" spans="1:6" x14ac:dyDescent="0.2">
      <c r="A107">
        <v>51</v>
      </c>
      <c r="B107" s="37" t="s">
        <v>456</v>
      </c>
      <c r="C107" s="1">
        <v>45355</v>
      </c>
      <c r="D107" s="37" t="s">
        <v>456</v>
      </c>
      <c r="E107">
        <v>0.33969541023509098</v>
      </c>
      <c r="F107">
        <v>0.33969541023509098</v>
      </c>
    </row>
    <row r="108" spans="1:6" x14ac:dyDescent="0.2">
      <c r="A108">
        <v>51</v>
      </c>
      <c r="B108" s="37" t="s">
        <v>674</v>
      </c>
      <c r="C108" s="1">
        <v>45368</v>
      </c>
      <c r="D108" s="37" t="s">
        <v>674</v>
      </c>
      <c r="E108">
        <v>0.167519644064719</v>
      </c>
      <c r="F108">
        <v>0.167519644064719</v>
      </c>
    </row>
    <row r="109" spans="1:6" x14ac:dyDescent="0.2">
      <c r="A109">
        <v>51</v>
      </c>
      <c r="B109" s="37" t="s">
        <v>675</v>
      </c>
      <c r="C109" s="1">
        <v>45398</v>
      </c>
      <c r="D109" s="37" t="s">
        <v>675</v>
      </c>
      <c r="E109">
        <v>0.20445637339863901</v>
      </c>
      <c r="F109">
        <v>0.20445637339863901</v>
      </c>
    </row>
    <row r="110" spans="1:6" x14ac:dyDescent="0.2">
      <c r="A110">
        <v>52</v>
      </c>
      <c r="B110" s="37" t="s">
        <v>676</v>
      </c>
      <c r="C110" s="1">
        <v>45646</v>
      </c>
      <c r="D110" s="37" t="s">
        <v>676</v>
      </c>
      <c r="E110">
        <v>0.112083595339382</v>
      </c>
      <c r="F110">
        <v>0.112083595339382</v>
      </c>
    </row>
    <row r="111" spans="1:6" x14ac:dyDescent="0.2">
      <c r="A111">
        <v>52</v>
      </c>
      <c r="B111" s="37" t="s">
        <v>457</v>
      </c>
      <c r="C111" s="1">
        <v>45630</v>
      </c>
      <c r="D111" s="37" t="s">
        <v>457</v>
      </c>
      <c r="E111">
        <v>0.166085427811199</v>
      </c>
      <c r="F111">
        <v>0.166085427811199</v>
      </c>
    </row>
    <row r="112" spans="1:6" x14ac:dyDescent="0.2">
      <c r="A112">
        <v>53</v>
      </c>
      <c r="B112" s="37" t="s">
        <v>458</v>
      </c>
      <c r="C112" s="1">
        <v>45549</v>
      </c>
      <c r="D112" s="37" t="s">
        <v>458</v>
      </c>
      <c r="E112">
        <v>0.32665919789036602</v>
      </c>
      <c r="F112">
        <v>0.32665919789036602</v>
      </c>
    </row>
    <row r="113" spans="1:6" x14ac:dyDescent="0.2">
      <c r="A113">
        <v>54</v>
      </c>
      <c r="B113" s="37" t="s">
        <v>303</v>
      </c>
      <c r="C113" s="1">
        <v>45434</v>
      </c>
      <c r="D113" s="37" t="s">
        <v>303</v>
      </c>
      <c r="E113">
        <v>8.4725817672871906E-2</v>
      </c>
      <c r="F113">
        <v>8.4725817672871906E-2</v>
      </c>
    </row>
    <row r="114" spans="1:6" x14ac:dyDescent="0.2">
      <c r="A114">
        <v>54</v>
      </c>
      <c r="B114" s="37" t="s">
        <v>304</v>
      </c>
      <c r="C114" s="1">
        <v>45525</v>
      </c>
      <c r="D114" s="37" t="s">
        <v>304</v>
      </c>
      <c r="E114">
        <v>0.108035336039424</v>
      </c>
      <c r="F114">
        <v>0.108035336039424</v>
      </c>
    </row>
    <row r="115" spans="1:6" x14ac:dyDescent="0.2">
      <c r="A115">
        <v>54</v>
      </c>
      <c r="B115" s="37" t="s">
        <v>305</v>
      </c>
      <c r="C115" s="1">
        <v>45394</v>
      </c>
      <c r="D115" s="37" t="s">
        <v>305</v>
      </c>
      <c r="E115">
        <v>9.8088221938146605E-2</v>
      </c>
      <c r="F115">
        <v>9.8088221938146605E-2</v>
      </c>
    </row>
    <row r="116" spans="1:6" x14ac:dyDescent="0.2">
      <c r="A116">
        <v>55</v>
      </c>
      <c r="B116" s="37" t="s">
        <v>677</v>
      </c>
      <c r="C116" s="1">
        <v>45572</v>
      </c>
      <c r="D116" s="37" t="s">
        <v>677</v>
      </c>
      <c r="E116">
        <v>0.50105841588789501</v>
      </c>
      <c r="F116">
        <v>0.50105841588789501</v>
      </c>
    </row>
    <row r="117" spans="1:6" x14ac:dyDescent="0.2">
      <c r="A117">
        <v>55</v>
      </c>
      <c r="B117" s="37" t="s">
        <v>678</v>
      </c>
      <c r="C117" s="1">
        <v>45421</v>
      </c>
      <c r="D117" s="37" t="s">
        <v>678</v>
      </c>
      <c r="E117">
        <v>0.396943307276165</v>
      </c>
      <c r="F117">
        <v>0.396943307276165</v>
      </c>
    </row>
    <row r="118" spans="1:6" x14ac:dyDescent="0.2">
      <c r="A118">
        <v>56</v>
      </c>
      <c r="B118" s="37" t="s">
        <v>306</v>
      </c>
      <c r="C118" s="1">
        <v>45639</v>
      </c>
      <c r="D118" s="37" t="s">
        <v>306</v>
      </c>
      <c r="E118">
        <v>0.28717661525388799</v>
      </c>
      <c r="F118">
        <v>0.28717661525388799</v>
      </c>
    </row>
    <row r="119" spans="1:6" x14ac:dyDescent="0.2">
      <c r="A119">
        <v>56</v>
      </c>
      <c r="B119" s="37" t="s">
        <v>307</v>
      </c>
      <c r="C119" s="1">
        <v>45358</v>
      </c>
      <c r="D119" s="37" t="s">
        <v>307</v>
      </c>
      <c r="E119">
        <v>0.118088636540411</v>
      </c>
      <c r="F119">
        <v>0.118088636540411</v>
      </c>
    </row>
    <row r="120" spans="1:6" x14ac:dyDescent="0.2">
      <c r="A120">
        <v>56</v>
      </c>
      <c r="B120" s="37" t="s">
        <v>679</v>
      </c>
      <c r="C120" s="1">
        <v>45657</v>
      </c>
      <c r="D120" s="37" t="s">
        <v>679</v>
      </c>
      <c r="E120">
        <v>0.12681292204359901</v>
      </c>
      <c r="F120">
        <v>0.12681292204359901</v>
      </c>
    </row>
    <row r="121" spans="1:6" x14ac:dyDescent="0.2">
      <c r="A121">
        <v>57</v>
      </c>
      <c r="B121" s="37" t="s">
        <v>680</v>
      </c>
      <c r="C121" s="1">
        <v>45635</v>
      </c>
      <c r="D121" s="37" t="s">
        <v>680</v>
      </c>
      <c r="E121">
        <v>1.9270675416609099E-2</v>
      </c>
      <c r="F121">
        <v>1.9270675416609099E-2</v>
      </c>
    </row>
    <row r="122" spans="1:6" x14ac:dyDescent="0.2">
      <c r="A122">
        <v>57</v>
      </c>
      <c r="B122" s="37" t="s">
        <v>681</v>
      </c>
      <c r="C122" s="1">
        <v>45459</v>
      </c>
      <c r="D122" s="37" t="s">
        <v>681</v>
      </c>
      <c r="E122">
        <v>3.9897108398648101E-2</v>
      </c>
      <c r="F122">
        <v>3.9897108398648101E-2</v>
      </c>
    </row>
    <row r="123" spans="1:6" x14ac:dyDescent="0.2">
      <c r="A123">
        <v>57</v>
      </c>
      <c r="B123" s="37" t="s">
        <v>81</v>
      </c>
      <c r="C123" s="1">
        <v>45452</v>
      </c>
      <c r="D123" s="37" t="s">
        <v>81</v>
      </c>
      <c r="E123">
        <v>0.28285279250231499</v>
      </c>
      <c r="F123">
        <v>0.28285279250231499</v>
      </c>
    </row>
    <row r="124" spans="1:6" x14ac:dyDescent="0.2">
      <c r="A124">
        <v>58</v>
      </c>
      <c r="B124" s="37" t="s">
        <v>682</v>
      </c>
      <c r="C124" s="1">
        <v>45412</v>
      </c>
      <c r="D124" s="37" t="s">
        <v>682</v>
      </c>
      <c r="E124">
        <v>0.115320008325875</v>
      </c>
      <c r="F124">
        <v>0.115320008325875</v>
      </c>
    </row>
    <row r="125" spans="1:6" x14ac:dyDescent="0.2">
      <c r="A125">
        <v>59</v>
      </c>
      <c r="B125" s="37" t="s">
        <v>459</v>
      </c>
      <c r="C125" s="1">
        <v>45444</v>
      </c>
      <c r="D125" s="37" t="s">
        <v>459</v>
      </c>
      <c r="E125">
        <v>0.29083105323700797</v>
      </c>
      <c r="F125">
        <v>0.29083105323700797</v>
      </c>
    </row>
    <row r="126" spans="1:6" x14ac:dyDescent="0.2">
      <c r="A126">
        <v>60</v>
      </c>
      <c r="B126" s="37" t="s">
        <v>683</v>
      </c>
      <c r="C126" s="1">
        <v>45643</v>
      </c>
      <c r="D126" s="37" t="s">
        <v>683</v>
      </c>
      <c r="E126">
        <v>0.42682193059753099</v>
      </c>
      <c r="F126">
        <v>0.42682193059753099</v>
      </c>
    </row>
    <row r="127" spans="1:6" x14ac:dyDescent="0.2">
      <c r="A127">
        <v>60</v>
      </c>
      <c r="B127" s="37" t="s">
        <v>684</v>
      </c>
      <c r="C127" s="1">
        <v>45612</v>
      </c>
      <c r="D127" s="37" t="s">
        <v>684</v>
      </c>
      <c r="E127">
        <v>0.122177283364791</v>
      </c>
      <c r="F127">
        <v>0.122177283364791</v>
      </c>
    </row>
    <row r="128" spans="1:6" x14ac:dyDescent="0.2">
      <c r="A128">
        <v>60</v>
      </c>
      <c r="B128" s="37" t="s">
        <v>685</v>
      </c>
      <c r="C128" s="1">
        <v>45641</v>
      </c>
      <c r="D128" s="37" t="s">
        <v>685</v>
      </c>
      <c r="E128">
        <v>0.10047133052077099</v>
      </c>
      <c r="F128">
        <v>0.10047133052077099</v>
      </c>
    </row>
    <row r="129" spans="1:6" x14ac:dyDescent="0.2">
      <c r="A129">
        <v>61</v>
      </c>
      <c r="B129" s="37" t="s">
        <v>460</v>
      </c>
      <c r="C129" s="1">
        <v>45347</v>
      </c>
      <c r="D129" s="37" t="s">
        <v>460</v>
      </c>
      <c r="E129">
        <v>0.112664703960091</v>
      </c>
      <c r="F129">
        <v>0.112664703960091</v>
      </c>
    </row>
    <row r="130" spans="1:6" x14ac:dyDescent="0.2">
      <c r="A130">
        <v>61</v>
      </c>
      <c r="B130" s="37" t="s">
        <v>686</v>
      </c>
      <c r="C130" s="1">
        <v>45569</v>
      </c>
      <c r="D130" s="37" t="s">
        <v>686</v>
      </c>
      <c r="E130">
        <v>0.15321364225510001</v>
      </c>
      <c r="F130">
        <v>0.15321364225510001</v>
      </c>
    </row>
    <row r="131" spans="1:6" x14ac:dyDescent="0.2">
      <c r="A131">
        <v>62</v>
      </c>
      <c r="B131" s="37" t="s">
        <v>461</v>
      </c>
      <c r="C131" s="1">
        <v>45365</v>
      </c>
      <c r="D131" s="37" t="s">
        <v>461</v>
      </c>
      <c r="E131">
        <v>0.13772703346682899</v>
      </c>
      <c r="F131">
        <v>0.13772703346682899</v>
      </c>
    </row>
    <row r="132" spans="1:6" x14ac:dyDescent="0.2">
      <c r="A132">
        <v>62</v>
      </c>
      <c r="B132" s="37" t="s">
        <v>308</v>
      </c>
      <c r="C132" s="1">
        <v>45377</v>
      </c>
      <c r="D132" s="37" t="s">
        <v>308</v>
      </c>
      <c r="E132">
        <v>0.189785995056896</v>
      </c>
      <c r="F132">
        <v>0.189785995056896</v>
      </c>
    </row>
    <row r="133" spans="1:6" x14ac:dyDescent="0.2">
      <c r="A133">
        <v>62</v>
      </c>
      <c r="B133" s="37" t="s">
        <v>309</v>
      </c>
      <c r="C133" s="1">
        <v>45308</v>
      </c>
      <c r="D133" s="37" t="s">
        <v>309</v>
      </c>
      <c r="E133">
        <v>0.20035207442799899</v>
      </c>
      <c r="F133">
        <v>0.20035207442799899</v>
      </c>
    </row>
    <row r="134" spans="1:6" x14ac:dyDescent="0.2">
      <c r="A134">
        <v>63</v>
      </c>
      <c r="B134" s="37" t="s">
        <v>687</v>
      </c>
      <c r="C134" s="1">
        <v>45476</v>
      </c>
      <c r="D134" s="37" t="s">
        <v>687</v>
      </c>
      <c r="E134">
        <v>0.195208355964721</v>
      </c>
      <c r="F134">
        <v>0.195208355964721</v>
      </c>
    </row>
    <row r="135" spans="1:6" x14ac:dyDescent="0.2">
      <c r="A135">
        <v>63</v>
      </c>
      <c r="B135" s="37" t="s">
        <v>688</v>
      </c>
      <c r="C135" s="1">
        <v>45435</v>
      </c>
      <c r="D135" s="37" t="s">
        <v>688</v>
      </c>
      <c r="E135">
        <v>6.7640977281744799E-2</v>
      </c>
      <c r="F135">
        <v>6.7640977281744799E-2</v>
      </c>
    </row>
    <row r="136" spans="1:6" x14ac:dyDescent="0.2">
      <c r="A136">
        <v>64</v>
      </c>
      <c r="B136" s="37" t="s">
        <v>689</v>
      </c>
      <c r="C136" s="1">
        <v>45327</v>
      </c>
      <c r="D136" s="37" t="s">
        <v>689</v>
      </c>
      <c r="E136">
        <v>0.117033918499273</v>
      </c>
      <c r="F136">
        <v>0.117033918499273</v>
      </c>
    </row>
    <row r="137" spans="1:6" x14ac:dyDescent="0.2">
      <c r="A137">
        <v>64</v>
      </c>
      <c r="B137" s="37" t="s">
        <v>462</v>
      </c>
      <c r="C137" s="1">
        <v>45466</v>
      </c>
      <c r="D137" s="37" t="s">
        <v>462</v>
      </c>
      <c r="E137">
        <v>0.180639025379218</v>
      </c>
      <c r="F137">
        <v>0.180639025379218</v>
      </c>
    </row>
    <row r="138" spans="1:6" x14ac:dyDescent="0.2">
      <c r="A138">
        <v>64</v>
      </c>
      <c r="B138" s="37" t="s">
        <v>690</v>
      </c>
      <c r="C138" s="1">
        <v>45319</v>
      </c>
      <c r="D138" s="37" t="s">
        <v>690</v>
      </c>
      <c r="E138">
        <v>0.16744251336739899</v>
      </c>
      <c r="F138">
        <v>0.16744251336739899</v>
      </c>
    </row>
    <row r="139" spans="1:6" x14ac:dyDescent="0.2">
      <c r="A139">
        <v>65</v>
      </c>
      <c r="B139" s="37" t="s">
        <v>691</v>
      </c>
      <c r="C139" s="1">
        <v>45591</v>
      </c>
      <c r="D139" s="37" t="s">
        <v>691</v>
      </c>
      <c r="E139">
        <v>0.46427333921420499</v>
      </c>
      <c r="F139">
        <v>0.46427333921420499</v>
      </c>
    </row>
    <row r="140" spans="1:6" x14ac:dyDescent="0.2">
      <c r="A140">
        <v>66</v>
      </c>
      <c r="B140" s="37" t="s">
        <v>463</v>
      </c>
      <c r="C140" s="1">
        <v>45384</v>
      </c>
      <c r="D140" s="37" t="s">
        <v>463</v>
      </c>
      <c r="E140">
        <v>0.146669390727966</v>
      </c>
      <c r="F140">
        <v>0.146669390727966</v>
      </c>
    </row>
    <row r="141" spans="1:6" x14ac:dyDescent="0.2">
      <c r="A141">
        <v>66</v>
      </c>
      <c r="B141" s="37" t="s">
        <v>82</v>
      </c>
      <c r="C141" s="1">
        <v>45560</v>
      </c>
      <c r="D141" s="37" t="s">
        <v>82</v>
      </c>
      <c r="E141">
        <v>0.55930314589438701</v>
      </c>
      <c r="F141">
        <v>0.55930314589438701</v>
      </c>
    </row>
    <row r="142" spans="1:6" x14ac:dyDescent="0.2">
      <c r="A142">
        <v>67</v>
      </c>
      <c r="B142" s="37" t="s">
        <v>310</v>
      </c>
      <c r="C142" s="1">
        <v>45296</v>
      </c>
      <c r="D142" s="37" t="s">
        <v>310</v>
      </c>
      <c r="E142">
        <v>0.163256581969033</v>
      </c>
      <c r="F142">
        <v>0.163256581969033</v>
      </c>
    </row>
    <row r="143" spans="1:6" x14ac:dyDescent="0.2">
      <c r="A143">
        <v>68</v>
      </c>
      <c r="B143" s="37" t="s">
        <v>464</v>
      </c>
      <c r="C143" s="1">
        <v>45639</v>
      </c>
      <c r="D143" s="37" t="s">
        <v>464</v>
      </c>
      <c r="E143">
        <v>2.6908286195217401E-2</v>
      </c>
      <c r="F143">
        <v>2.6908286195217401E-2</v>
      </c>
    </row>
    <row r="144" spans="1:6" x14ac:dyDescent="0.2">
      <c r="A144">
        <v>69</v>
      </c>
      <c r="B144" s="37" t="s">
        <v>311</v>
      </c>
      <c r="C144" s="1">
        <v>45443</v>
      </c>
      <c r="D144" s="37" t="s">
        <v>311</v>
      </c>
      <c r="E144">
        <v>6.4034293213933002E-2</v>
      </c>
      <c r="F144">
        <v>6.4034293213933002E-2</v>
      </c>
    </row>
    <row r="145" spans="1:6" x14ac:dyDescent="0.2">
      <c r="A145">
        <v>70</v>
      </c>
      <c r="B145" s="37" t="s">
        <v>83</v>
      </c>
      <c r="C145" s="1">
        <v>45316</v>
      </c>
      <c r="D145" s="37" t="s">
        <v>83</v>
      </c>
      <c r="E145">
        <v>0.333954826617548</v>
      </c>
      <c r="F145">
        <v>0.333954826617548</v>
      </c>
    </row>
    <row r="146" spans="1:6" x14ac:dyDescent="0.2">
      <c r="A146">
        <v>70</v>
      </c>
      <c r="B146" s="37" t="s">
        <v>84</v>
      </c>
      <c r="C146" s="1">
        <v>45385</v>
      </c>
      <c r="D146" s="37" t="s">
        <v>84</v>
      </c>
      <c r="E146">
        <v>0.176258960164585</v>
      </c>
      <c r="F146">
        <v>0.176258960164585</v>
      </c>
    </row>
    <row r="147" spans="1:6" x14ac:dyDescent="0.2">
      <c r="A147">
        <v>71</v>
      </c>
      <c r="B147" s="37" t="s">
        <v>312</v>
      </c>
      <c r="C147" s="1">
        <v>45584</v>
      </c>
      <c r="D147" s="37" t="s">
        <v>312</v>
      </c>
      <c r="E147">
        <v>0.19152899280164301</v>
      </c>
      <c r="F147">
        <v>0.19152899280164301</v>
      </c>
    </row>
    <row r="148" spans="1:6" x14ac:dyDescent="0.2">
      <c r="A148">
        <v>72</v>
      </c>
      <c r="B148" s="37" t="s">
        <v>465</v>
      </c>
      <c r="C148" s="1">
        <v>45482</v>
      </c>
      <c r="D148" s="37" t="s">
        <v>465</v>
      </c>
      <c r="E148">
        <v>8.6910807692016506E-2</v>
      </c>
      <c r="F148">
        <v>8.6910807692016506E-2</v>
      </c>
    </row>
    <row r="149" spans="1:6" x14ac:dyDescent="0.2">
      <c r="A149">
        <v>72</v>
      </c>
      <c r="B149" s="37" t="s">
        <v>466</v>
      </c>
      <c r="C149" s="1">
        <v>45634</v>
      </c>
      <c r="D149" s="37" t="s">
        <v>466</v>
      </c>
      <c r="E149">
        <v>6.1955338050144602E-2</v>
      </c>
      <c r="F149">
        <v>6.1955338050144602E-2</v>
      </c>
    </row>
    <row r="150" spans="1:6" x14ac:dyDescent="0.2">
      <c r="A150">
        <v>73</v>
      </c>
      <c r="B150" s="37" t="s">
        <v>692</v>
      </c>
      <c r="C150" s="1">
        <v>45506</v>
      </c>
      <c r="D150" s="37" t="s">
        <v>692</v>
      </c>
      <c r="E150">
        <v>0.37016251074628698</v>
      </c>
      <c r="F150">
        <v>0.37016251074628698</v>
      </c>
    </row>
    <row r="151" spans="1:6" x14ac:dyDescent="0.2">
      <c r="A151">
        <v>73</v>
      </c>
      <c r="B151" s="37" t="s">
        <v>693</v>
      </c>
      <c r="C151" s="1">
        <v>45394</v>
      </c>
      <c r="D151" s="37" t="s">
        <v>693</v>
      </c>
      <c r="E151">
        <v>0.171106386407889</v>
      </c>
      <c r="F151">
        <v>0.171106386407889</v>
      </c>
    </row>
    <row r="152" spans="1:6" x14ac:dyDescent="0.2">
      <c r="A152">
        <v>74</v>
      </c>
      <c r="B152" s="37" t="s">
        <v>313</v>
      </c>
      <c r="C152" s="1">
        <v>45477</v>
      </c>
      <c r="D152" s="37" t="s">
        <v>313</v>
      </c>
      <c r="E152">
        <v>6.5229974302028204E-2</v>
      </c>
      <c r="F152">
        <v>6.5229974302028204E-2</v>
      </c>
    </row>
    <row r="153" spans="1:6" x14ac:dyDescent="0.2">
      <c r="A153">
        <v>74</v>
      </c>
      <c r="B153" s="37" t="s">
        <v>314</v>
      </c>
      <c r="C153" s="1">
        <v>45577</v>
      </c>
      <c r="D153" s="37" t="s">
        <v>314</v>
      </c>
      <c r="E153">
        <v>0.24700767987112099</v>
      </c>
      <c r="F153">
        <v>0.24700767987112099</v>
      </c>
    </row>
    <row r="154" spans="1:6" x14ac:dyDescent="0.2">
      <c r="A154">
        <v>74</v>
      </c>
      <c r="B154" s="37" t="s">
        <v>315</v>
      </c>
      <c r="C154" s="1">
        <v>45508</v>
      </c>
      <c r="D154" s="37" t="s">
        <v>315</v>
      </c>
      <c r="E154">
        <v>8.5972001254873101E-2</v>
      </c>
      <c r="F154">
        <v>8.5972001254873101E-2</v>
      </c>
    </row>
    <row r="155" spans="1:6" x14ac:dyDescent="0.2">
      <c r="A155">
        <v>74</v>
      </c>
      <c r="B155" s="37" t="s">
        <v>85</v>
      </c>
      <c r="C155" s="1">
        <v>45617</v>
      </c>
      <c r="D155" s="37" t="s">
        <v>85</v>
      </c>
      <c r="E155">
        <v>0.105441249463959</v>
      </c>
      <c r="F155">
        <v>0.105441249463959</v>
      </c>
    </row>
    <row r="156" spans="1:6" x14ac:dyDescent="0.2">
      <c r="A156">
        <v>75</v>
      </c>
      <c r="B156" s="37" t="s">
        <v>694</v>
      </c>
      <c r="C156" s="1">
        <v>45406</v>
      </c>
      <c r="D156" s="37" t="s">
        <v>694</v>
      </c>
      <c r="E156">
        <v>0.23604729801031701</v>
      </c>
      <c r="F156">
        <v>0.23604729801031701</v>
      </c>
    </row>
    <row r="157" spans="1:6" x14ac:dyDescent="0.2">
      <c r="A157">
        <v>75</v>
      </c>
      <c r="B157" s="37" t="s">
        <v>695</v>
      </c>
      <c r="C157" s="1">
        <v>45529</v>
      </c>
      <c r="D157" s="37" t="s">
        <v>695</v>
      </c>
      <c r="E157">
        <v>0.172061307899774</v>
      </c>
      <c r="F157">
        <v>0.172061307899774</v>
      </c>
    </row>
    <row r="158" spans="1:6" x14ac:dyDescent="0.2">
      <c r="A158">
        <v>76</v>
      </c>
      <c r="B158" s="37" t="s">
        <v>696</v>
      </c>
      <c r="C158" s="1">
        <v>45452</v>
      </c>
      <c r="D158" s="37" t="s">
        <v>696</v>
      </c>
      <c r="E158">
        <v>0.29417623476446098</v>
      </c>
      <c r="F158">
        <v>0.29417623476446098</v>
      </c>
    </row>
    <row r="159" spans="1:6" x14ac:dyDescent="0.2">
      <c r="A159">
        <v>76</v>
      </c>
      <c r="B159" s="37" t="s">
        <v>697</v>
      </c>
      <c r="C159" s="1">
        <v>45455</v>
      </c>
      <c r="D159" s="37" t="s">
        <v>697</v>
      </c>
      <c r="E159">
        <v>0.16745420489969001</v>
      </c>
      <c r="F159">
        <v>0.16745420489969001</v>
      </c>
    </row>
    <row r="160" spans="1:6" x14ac:dyDescent="0.2">
      <c r="A160">
        <v>76</v>
      </c>
      <c r="B160" s="37" t="s">
        <v>698</v>
      </c>
      <c r="C160" s="1">
        <v>45406</v>
      </c>
      <c r="D160" s="37" t="s">
        <v>698</v>
      </c>
      <c r="E160">
        <v>9.1561582774552799E-2</v>
      </c>
      <c r="F160">
        <v>9.1561582774552799E-2</v>
      </c>
    </row>
    <row r="161" spans="1:6" x14ac:dyDescent="0.2">
      <c r="A161">
        <v>77</v>
      </c>
      <c r="B161" s="37" t="s">
        <v>699</v>
      </c>
      <c r="C161" s="1">
        <v>45385</v>
      </c>
      <c r="D161" s="37" t="s">
        <v>699</v>
      </c>
      <c r="E161">
        <v>3.66112413068619E-2</v>
      </c>
      <c r="F161">
        <v>3.66112413068619E-2</v>
      </c>
    </row>
    <row r="162" spans="1:6" x14ac:dyDescent="0.2">
      <c r="A162">
        <v>77</v>
      </c>
      <c r="B162" s="37" t="s">
        <v>214</v>
      </c>
      <c r="C162" s="1">
        <v>45410</v>
      </c>
      <c r="D162" s="37" t="s">
        <v>214</v>
      </c>
      <c r="E162">
        <v>0.16514936685380099</v>
      </c>
      <c r="F162">
        <v>0.16514936685380099</v>
      </c>
    </row>
    <row r="163" spans="1:6" x14ac:dyDescent="0.2">
      <c r="A163">
        <v>78</v>
      </c>
      <c r="B163" s="37" t="s">
        <v>467</v>
      </c>
      <c r="C163" s="1">
        <v>45573</v>
      </c>
      <c r="D163" s="37" t="s">
        <v>467</v>
      </c>
      <c r="E163">
        <v>0.36672331791566898</v>
      </c>
      <c r="F163">
        <v>0.36672331791566898</v>
      </c>
    </row>
    <row r="164" spans="1:6" x14ac:dyDescent="0.2">
      <c r="A164">
        <v>78</v>
      </c>
      <c r="B164" s="37" t="s">
        <v>468</v>
      </c>
      <c r="C164" s="1">
        <v>45583</v>
      </c>
      <c r="D164" s="37" t="s">
        <v>468</v>
      </c>
      <c r="E164">
        <v>0.48746849873839798</v>
      </c>
      <c r="F164">
        <v>0.48746849873839798</v>
      </c>
    </row>
    <row r="165" spans="1:6" x14ac:dyDescent="0.2">
      <c r="A165">
        <v>79</v>
      </c>
      <c r="B165" s="37" t="s">
        <v>700</v>
      </c>
      <c r="C165" s="1">
        <v>45302</v>
      </c>
      <c r="D165" s="37" t="s">
        <v>700</v>
      </c>
      <c r="E165">
        <v>0.19766801158729999</v>
      </c>
      <c r="F165">
        <v>0.19766801158729999</v>
      </c>
    </row>
    <row r="166" spans="1:6" x14ac:dyDescent="0.2">
      <c r="A166">
        <v>79</v>
      </c>
      <c r="B166" s="37" t="s">
        <v>86</v>
      </c>
      <c r="C166" s="1">
        <v>45521</v>
      </c>
      <c r="D166" s="37" t="s">
        <v>86</v>
      </c>
      <c r="E166">
        <v>9.8284953209316003E-2</v>
      </c>
      <c r="F166">
        <v>9.8284953209316003E-2</v>
      </c>
    </row>
    <row r="167" spans="1:6" x14ac:dyDescent="0.2">
      <c r="A167">
        <v>79</v>
      </c>
      <c r="B167" s="37" t="s">
        <v>87</v>
      </c>
      <c r="C167" s="1">
        <v>45643</v>
      </c>
      <c r="D167" s="37" t="s">
        <v>87</v>
      </c>
      <c r="E167">
        <v>0.13157746270102</v>
      </c>
      <c r="F167">
        <v>0.13157746270102</v>
      </c>
    </row>
    <row r="168" spans="1:6" x14ac:dyDescent="0.2">
      <c r="A168">
        <v>80</v>
      </c>
      <c r="B168" s="37" t="s">
        <v>701</v>
      </c>
      <c r="C168" s="1">
        <v>45534</v>
      </c>
      <c r="D168" s="37" t="s">
        <v>701</v>
      </c>
      <c r="E168">
        <v>0.13692279650544301</v>
      </c>
      <c r="F168">
        <v>0.13692279650544301</v>
      </c>
    </row>
    <row r="169" spans="1:6" x14ac:dyDescent="0.2">
      <c r="A169">
        <v>80</v>
      </c>
      <c r="B169" s="37" t="s">
        <v>702</v>
      </c>
      <c r="C169" s="1">
        <v>45387</v>
      </c>
      <c r="D169" s="37" t="s">
        <v>702</v>
      </c>
      <c r="E169">
        <v>0.20268248106271</v>
      </c>
      <c r="F169">
        <v>0.20268248106271</v>
      </c>
    </row>
    <row r="170" spans="1:6" x14ac:dyDescent="0.2">
      <c r="A170">
        <v>80</v>
      </c>
      <c r="B170" s="37" t="s">
        <v>469</v>
      </c>
      <c r="C170" s="1">
        <v>45609</v>
      </c>
      <c r="D170" s="37" t="s">
        <v>469</v>
      </c>
      <c r="E170">
        <v>9.01802835917863E-2</v>
      </c>
      <c r="F170">
        <v>9.01802835917863E-2</v>
      </c>
    </row>
    <row r="171" spans="1:6" x14ac:dyDescent="0.2">
      <c r="A171">
        <v>81</v>
      </c>
      <c r="B171" s="37" t="s">
        <v>316</v>
      </c>
      <c r="C171" s="1">
        <v>45507</v>
      </c>
      <c r="D171" s="37" t="s">
        <v>316</v>
      </c>
      <c r="E171">
        <v>0.29110002223127301</v>
      </c>
      <c r="F171">
        <v>0.29110002223127301</v>
      </c>
    </row>
    <row r="172" spans="1:6" x14ac:dyDescent="0.2">
      <c r="A172">
        <v>81</v>
      </c>
      <c r="B172" s="37" t="s">
        <v>215</v>
      </c>
      <c r="C172" s="1">
        <v>45568</v>
      </c>
      <c r="D172" s="37" t="s">
        <v>215</v>
      </c>
      <c r="E172">
        <v>7.4141245281228493E-2</v>
      </c>
      <c r="F172">
        <v>7.4141245281228493E-2</v>
      </c>
    </row>
    <row r="173" spans="1:6" x14ac:dyDescent="0.2">
      <c r="A173">
        <v>81</v>
      </c>
      <c r="B173" s="37" t="s">
        <v>216</v>
      </c>
      <c r="C173" s="1">
        <v>45566</v>
      </c>
      <c r="D173" s="37" t="s">
        <v>216</v>
      </c>
      <c r="E173">
        <v>0.177641741445596</v>
      </c>
      <c r="F173">
        <v>0.177641741445596</v>
      </c>
    </row>
    <row r="174" spans="1:6" x14ac:dyDescent="0.2">
      <c r="A174">
        <v>82</v>
      </c>
      <c r="B174" s="37" t="s">
        <v>470</v>
      </c>
      <c r="C174" s="1">
        <v>45488</v>
      </c>
      <c r="D174" s="37" t="s">
        <v>470</v>
      </c>
      <c r="E174">
        <v>0.21507795740424199</v>
      </c>
      <c r="F174">
        <v>0.21507795740424199</v>
      </c>
    </row>
    <row r="175" spans="1:6" x14ac:dyDescent="0.2">
      <c r="A175">
        <v>82</v>
      </c>
      <c r="B175" s="37" t="s">
        <v>703</v>
      </c>
      <c r="C175" s="1">
        <v>45464</v>
      </c>
      <c r="D175" s="37" t="s">
        <v>703</v>
      </c>
      <c r="E175">
        <v>0.113227146105219</v>
      </c>
      <c r="F175">
        <v>0.113227146105219</v>
      </c>
    </row>
    <row r="176" spans="1:6" x14ac:dyDescent="0.2">
      <c r="A176">
        <v>83</v>
      </c>
      <c r="B176" s="37" t="s">
        <v>704</v>
      </c>
      <c r="C176" s="1">
        <v>45562</v>
      </c>
      <c r="D176" s="37" t="s">
        <v>704</v>
      </c>
      <c r="E176">
        <v>0.10783859851112999</v>
      </c>
      <c r="F176">
        <v>0.10783859851112999</v>
      </c>
    </row>
    <row r="177" spans="1:6" x14ac:dyDescent="0.2">
      <c r="A177">
        <v>83</v>
      </c>
      <c r="B177" s="37" t="s">
        <v>705</v>
      </c>
      <c r="C177" s="1">
        <v>45445</v>
      </c>
      <c r="D177" s="37" t="s">
        <v>705</v>
      </c>
      <c r="E177">
        <v>0.33143859381305901</v>
      </c>
      <c r="F177">
        <v>0.33143859381305901</v>
      </c>
    </row>
    <row r="178" spans="1:6" x14ac:dyDescent="0.2">
      <c r="A178">
        <v>84</v>
      </c>
      <c r="B178" s="37" t="s">
        <v>706</v>
      </c>
      <c r="C178" s="1">
        <v>45443</v>
      </c>
      <c r="D178" s="37" t="s">
        <v>706</v>
      </c>
      <c r="E178">
        <v>2.03271673378351E-2</v>
      </c>
      <c r="F178">
        <v>2.03271673378351E-2</v>
      </c>
    </row>
    <row r="179" spans="1:6" x14ac:dyDescent="0.2">
      <c r="A179">
        <v>85</v>
      </c>
      <c r="B179" s="37" t="s">
        <v>707</v>
      </c>
      <c r="C179" s="1">
        <v>45615</v>
      </c>
      <c r="D179" s="37" t="s">
        <v>707</v>
      </c>
      <c r="E179">
        <v>0.13830212677592299</v>
      </c>
      <c r="F179">
        <v>0.13830212677592299</v>
      </c>
    </row>
    <row r="180" spans="1:6" x14ac:dyDescent="0.2">
      <c r="A180">
        <v>85</v>
      </c>
      <c r="B180" s="37" t="s">
        <v>88</v>
      </c>
      <c r="C180" s="1">
        <v>45418</v>
      </c>
      <c r="D180" s="37" t="s">
        <v>88</v>
      </c>
      <c r="E180">
        <v>0.13973251437664699</v>
      </c>
      <c r="F180">
        <v>0.13973251437664699</v>
      </c>
    </row>
    <row r="181" spans="1:6" x14ac:dyDescent="0.2">
      <c r="A181">
        <v>85</v>
      </c>
      <c r="B181" s="37" t="s">
        <v>89</v>
      </c>
      <c r="C181" s="1">
        <v>45316</v>
      </c>
      <c r="D181" s="37" t="s">
        <v>89</v>
      </c>
      <c r="E181">
        <v>7.4069314679518605E-2</v>
      </c>
      <c r="F181">
        <v>7.4069314679518605E-2</v>
      </c>
    </row>
    <row r="182" spans="1:6" x14ac:dyDescent="0.2">
      <c r="A182">
        <v>86</v>
      </c>
      <c r="B182" s="37" t="s">
        <v>708</v>
      </c>
      <c r="C182" s="1">
        <v>45300</v>
      </c>
      <c r="D182" s="37" t="s">
        <v>708</v>
      </c>
      <c r="E182">
        <v>0.16490915304715101</v>
      </c>
      <c r="F182">
        <v>0.16490915304715101</v>
      </c>
    </row>
    <row r="183" spans="1:6" x14ac:dyDescent="0.2">
      <c r="A183">
        <v>86</v>
      </c>
      <c r="B183" s="37" t="s">
        <v>90</v>
      </c>
      <c r="C183" s="1">
        <v>45584</v>
      </c>
      <c r="D183" s="37" t="s">
        <v>90</v>
      </c>
      <c r="E183">
        <v>2.9418706657066699E-2</v>
      </c>
      <c r="F183">
        <v>2.9418706657066699E-2</v>
      </c>
    </row>
    <row r="184" spans="1:6" x14ac:dyDescent="0.2">
      <c r="A184">
        <v>88</v>
      </c>
      <c r="B184" s="37" t="s">
        <v>709</v>
      </c>
      <c r="C184" s="1">
        <v>45527</v>
      </c>
      <c r="D184" s="37" t="s">
        <v>709</v>
      </c>
      <c r="E184">
        <v>5.3216756785121597E-2</v>
      </c>
      <c r="F184">
        <v>5.3216756785121597E-2</v>
      </c>
    </row>
    <row r="185" spans="1:6" x14ac:dyDescent="0.2">
      <c r="A185">
        <v>89</v>
      </c>
      <c r="B185" s="37" t="s">
        <v>317</v>
      </c>
      <c r="C185" s="1">
        <v>45561</v>
      </c>
      <c r="D185" s="37" t="s">
        <v>317</v>
      </c>
      <c r="E185">
        <v>9.6105035165991601E-2</v>
      </c>
      <c r="F185">
        <v>9.6105035165991601E-2</v>
      </c>
    </row>
    <row r="186" spans="1:6" x14ac:dyDescent="0.2">
      <c r="A186">
        <v>90</v>
      </c>
      <c r="B186" s="37" t="s">
        <v>710</v>
      </c>
      <c r="C186" s="1">
        <v>45514</v>
      </c>
      <c r="D186" s="37" t="s">
        <v>710</v>
      </c>
      <c r="E186">
        <v>0.17592513008407701</v>
      </c>
      <c r="F186">
        <v>0.17592513008407701</v>
      </c>
    </row>
    <row r="187" spans="1:6" x14ac:dyDescent="0.2">
      <c r="A187">
        <v>90</v>
      </c>
      <c r="B187" s="37" t="s">
        <v>711</v>
      </c>
      <c r="C187" s="1">
        <v>45458</v>
      </c>
      <c r="D187" s="37" t="s">
        <v>711</v>
      </c>
      <c r="E187">
        <v>0.389020344395335</v>
      </c>
      <c r="F187">
        <v>0.389020344395335</v>
      </c>
    </row>
    <row r="188" spans="1:6" x14ac:dyDescent="0.2">
      <c r="A188">
        <v>90</v>
      </c>
      <c r="B188" s="37" t="s">
        <v>471</v>
      </c>
      <c r="C188" s="1">
        <v>45520</v>
      </c>
      <c r="D188" s="37" t="s">
        <v>471</v>
      </c>
      <c r="E188">
        <v>3.38843081827708E-2</v>
      </c>
      <c r="F188">
        <v>3.38843081827708E-2</v>
      </c>
    </row>
    <row r="189" spans="1:6" x14ac:dyDescent="0.2">
      <c r="A189">
        <v>91</v>
      </c>
      <c r="B189" s="37" t="s">
        <v>91</v>
      </c>
      <c r="C189" s="1">
        <v>45337</v>
      </c>
      <c r="D189" s="37" t="s">
        <v>91</v>
      </c>
      <c r="E189">
        <v>0.26959855348603901</v>
      </c>
      <c r="F189">
        <v>0.26959855348603901</v>
      </c>
    </row>
    <row r="190" spans="1:6" x14ac:dyDescent="0.2">
      <c r="A190">
        <v>91</v>
      </c>
      <c r="B190" s="37" t="s">
        <v>472</v>
      </c>
      <c r="C190" s="1">
        <v>45314</v>
      </c>
      <c r="D190" s="37" t="s">
        <v>472</v>
      </c>
      <c r="E190">
        <v>0.11687220128668301</v>
      </c>
      <c r="F190">
        <v>0.11687220128668301</v>
      </c>
    </row>
    <row r="191" spans="1:6" x14ac:dyDescent="0.2">
      <c r="A191">
        <v>91</v>
      </c>
      <c r="B191" s="37" t="s">
        <v>712</v>
      </c>
      <c r="C191" s="1">
        <v>45514</v>
      </c>
      <c r="D191" s="37" t="s">
        <v>712</v>
      </c>
      <c r="E191">
        <v>0.31281780945645998</v>
      </c>
      <c r="F191">
        <v>0.31281780945645998</v>
      </c>
    </row>
    <row r="192" spans="1:6" x14ac:dyDescent="0.2">
      <c r="A192">
        <v>92</v>
      </c>
      <c r="B192" s="37" t="s">
        <v>318</v>
      </c>
      <c r="C192" s="1">
        <v>45618</v>
      </c>
      <c r="D192" s="37" t="s">
        <v>318</v>
      </c>
      <c r="E192">
        <v>1.30027033077511E-2</v>
      </c>
      <c r="F192">
        <v>1.30027033077511E-2</v>
      </c>
    </row>
    <row r="193" spans="1:6" x14ac:dyDescent="0.2">
      <c r="A193">
        <v>92</v>
      </c>
      <c r="B193" s="37" t="s">
        <v>319</v>
      </c>
      <c r="C193" s="1">
        <v>45336</v>
      </c>
      <c r="D193" s="37" t="s">
        <v>319</v>
      </c>
      <c r="E193">
        <v>0.24590990431112</v>
      </c>
      <c r="F193">
        <v>0.24590990431112</v>
      </c>
    </row>
    <row r="194" spans="1:6" x14ac:dyDescent="0.2">
      <c r="A194">
        <v>93</v>
      </c>
      <c r="B194" s="37" t="s">
        <v>92</v>
      </c>
      <c r="C194" s="1">
        <v>45636</v>
      </c>
      <c r="D194" s="37" t="s">
        <v>92</v>
      </c>
      <c r="E194">
        <v>8.4402053820102393E-2</v>
      </c>
      <c r="F194">
        <v>8.4402053820102393E-2</v>
      </c>
    </row>
    <row r="195" spans="1:6" x14ac:dyDescent="0.2">
      <c r="A195">
        <v>93</v>
      </c>
      <c r="B195" s="37" t="s">
        <v>93</v>
      </c>
      <c r="C195" s="1">
        <v>45428</v>
      </c>
      <c r="D195" s="37" t="s">
        <v>93</v>
      </c>
      <c r="E195">
        <v>0.227008030288468</v>
      </c>
      <c r="F195">
        <v>0.227008030288468</v>
      </c>
    </row>
    <row r="196" spans="1:6" x14ac:dyDescent="0.2">
      <c r="A196">
        <v>93</v>
      </c>
      <c r="B196" s="37" t="s">
        <v>94</v>
      </c>
      <c r="C196" s="1">
        <v>45400</v>
      </c>
      <c r="D196" s="37" t="s">
        <v>94</v>
      </c>
      <c r="E196">
        <v>0.17409693877680199</v>
      </c>
      <c r="F196">
        <v>0.17409693877680199</v>
      </c>
    </row>
    <row r="197" spans="1:6" x14ac:dyDescent="0.2">
      <c r="A197">
        <v>94</v>
      </c>
      <c r="B197" s="37" t="s">
        <v>713</v>
      </c>
      <c r="C197" s="1">
        <v>45457</v>
      </c>
      <c r="D197" s="37" t="s">
        <v>713</v>
      </c>
      <c r="E197">
        <v>0.43850946331033203</v>
      </c>
      <c r="F197">
        <v>0.43850946331033203</v>
      </c>
    </row>
    <row r="198" spans="1:6" x14ac:dyDescent="0.2">
      <c r="A198">
        <v>94</v>
      </c>
      <c r="B198" s="37" t="s">
        <v>473</v>
      </c>
      <c r="C198" s="1">
        <v>45580</v>
      </c>
      <c r="D198" s="37" t="s">
        <v>473</v>
      </c>
      <c r="E198">
        <v>0.27733382503352</v>
      </c>
      <c r="F198">
        <v>0.27733382503352</v>
      </c>
    </row>
    <row r="199" spans="1:6" x14ac:dyDescent="0.2">
      <c r="A199">
        <v>95</v>
      </c>
      <c r="B199" s="37" t="s">
        <v>714</v>
      </c>
      <c r="C199" s="1">
        <v>45328</v>
      </c>
      <c r="D199" s="37" t="s">
        <v>714</v>
      </c>
      <c r="E199">
        <v>0.37038271298808201</v>
      </c>
      <c r="F199">
        <v>0.37038271298808201</v>
      </c>
    </row>
    <row r="200" spans="1:6" x14ac:dyDescent="0.2">
      <c r="A200">
        <v>95</v>
      </c>
      <c r="B200" s="37" t="s">
        <v>715</v>
      </c>
      <c r="C200" s="1">
        <v>45374</v>
      </c>
      <c r="D200" s="37" t="s">
        <v>715</v>
      </c>
      <c r="E200">
        <v>0.14321313346730699</v>
      </c>
      <c r="F200">
        <v>0.14321313346730699</v>
      </c>
    </row>
    <row r="201" spans="1:6" x14ac:dyDescent="0.2">
      <c r="A201">
        <v>95</v>
      </c>
      <c r="B201" s="37" t="s">
        <v>716</v>
      </c>
      <c r="C201" s="1">
        <v>45435</v>
      </c>
      <c r="D201" s="37" t="s">
        <v>716</v>
      </c>
      <c r="E201">
        <v>2.2085607500528501E-2</v>
      </c>
      <c r="F201">
        <v>2.2085607500528501E-2</v>
      </c>
    </row>
    <row r="202" spans="1:6" x14ac:dyDescent="0.2">
      <c r="A202">
        <v>96</v>
      </c>
      <c r="B202" s="37" t="s">
        <v>95</v>
      </c>
      <c r="C202" s="1">
        <v>45593</v>
      </c>
      <c r="D202" s="37" t="s">
        <v>95</v>
      </c>
      <c r="E202">
        <v>0.28842135841553002</v>
      </c>
      <c r="F202">
        <v>0.28842135841553002</v>
      </c>
    </row>
    <row r="203" spans="1:6" x14ac:dyDescent="0.2">
      <c r="A203">
        <v>96</v>
      </c>
      <c r="B203" s="37" t="s">
        <v>96</v>
      </c>
      <c r="C203" s="1">
        <v>45636</v>
      </c>
      <c r="D203" s="37" t="s">
        <v>96</v>
      </c>
      <c r="E203">
        <v>3.8074343252809499E-2</v>
      </c>
      <c r="F203">
        <v>3.8074343252809499E-2</v>
      </c>
    </row>
    <row r="204" spans="1:6" x14ac:dyDescent="0.2">
      <c r="A204">
        <v>96</v>
      </c>
      <c r="B204" s="37" t="s">
        <v>97</v>
      </c>
      <c r="C204" s="1">
        <v>45555</v>
      </c>
      <c r="D204" s="37" t="s">
        <v>97</v>
      </c>
      <c r="E204">
        <v>0.58380621575957803</v>
      </c>
      <c r="F204">
        <v>0.58380621575957803</v>
      </c>
    </row>
    <row r="205" spans="1:6" x14ac:dyDescent="0.2">
      <c r="A205">
        <v>97</v>
      </c>
      <c r="B205" s="37" t="s">
        <v>717</v>
      </c>
      <c r="C205" s="1">
        <v>45535</v>
      </c>
      <c r="D205" s="37" t="s">
        <v>717</v>
      </c>
      <c r="E205">
        <v>0.29011624659534502</v>
      </c>
      <c r="F205">
        <v>0.29011624659534502</v>
      </c>
    </row>
    <row r="206" spans="1:6" x14ac:dyDescent="0.2">
      <c r="A206">
        <v>98</v>
      </c>
      <c r="B206" s="37" t="s">
        <v>474</v>
      </c>
      <c r="C206" s="1">
        <v>45326</v>
      </c>
      <c r="D206" s="37" t="s">
        <v>474</v>
      </c>
      <c r="E206">
        <v>0.66079939895464102</v>
      </c>
      <c r="F206">
        <v>0.66079939895464102</v>
      </c>
    </row>
    <row r="207" spans="1:6" x14ac:dyDescent="0.2">
      <c r="A207">
        <v>98</v>
      </c>
      <c r="B207" s="37" t="s">
        <v>475</v>
      </c>
      <c r="C207" s="1">
        <v>45529</v>
      </c>
      <c r="D207" s="37" t="s">
        <v>475</v>
      </c>
      <c r="E207">
        <v>9.6708826654022598E-2</v>
      </c>
      <c r="F207">
        <v>9.6708826654022598E-2</v>
      </c>
    </row>
    <row r="208" spans="1:6" x14ac:dyDescent="0.2">
      <c r="A208">
        <v>98</v>
      </c>
      <c r="B208" s="37" t="s">
        <v>320</v>
      </c>
      <c r="C208" s="1">
        <v>45501</v>
      </c>
      <c r="D208" s="37" t="s">
        <v>320</v>
      </c>
      <c r="E208">
        <v>6.4849087753618306E-2</v>
      </c>
      <c r="F208">
        <v>6.4849087753618306E-2</v>
      </c>
    </row>
    <row r="209" spans="1:6" x14ac:dyDescent="0.2">
      <c r="A209">
        <v>99</v>
      </c>
      <c r="B209" s="37" t="s">
        <v>476</v>
      </c>
      <c r="C209" s="1">
        <v>45573</v>
      </c>
      <c r="D209" s="37" t="s">
        <v>476</v>
      </c>
      <c r="E209">
        <v>7.3330669040061705E-2</v>
      </c>
      <c r="F209">
        <v>7.3330669040061705E-2</v>
      </c>
    </row>
    <row r="210" spans="1:6" x14ac:dyDescent="0.2">
      <c r="A210">
        <v>99</v>
      </c>
      <c r="B210" s="37" t="s">
        <v>321</v>
      </c>
      <c r="C210" s="1">
        <v>45495</v>
      </c>
      <c r="D210" s="37" t="s">
        <v>321</v>
      </c>
      <c r="E210">
        <v>0.17734884425233199</v>
      </c>
      <c r="F210">
        <v>0.17734884425233199</v>
      </c>
    </row>
    <row r="211" spans="1:6" x14ac:dyDescent="0.2">
      <c r="A211">
        <v>100</v>
      </c>
      <c r="B211" s="37" t="s">
        <v>718</v>
      </c>
      <c r="C211" s="1">
        <v>45630</v>
      </c>
      <c r="D211" s="37" t="s">
        <v>718</v>
      </c>
      <c r="E211">
        <v>0.13561719489981899</v>
      </c>
      <c r="F211">
        <v>0.13561719489981899</v>
      </c>
    </row>
    <row r="212" spans="1:6" x14ac:dyDescent="0.2">
      <c r="A212">
        <v>100</v>
      </c>
      <c r="B212" s="37" t="s">
        <v>477</v>
      </c>
      <c r="C212" s="1">
        <v>45649</v>
      </c>
      <c r="D212" s="37" t="s">
        <v>477</v>
      </c>
      <c r="E212">
        <v>7.1116626766049101E-2</v>
      </c>
      <c r="F212">
        <v>7.1116626766049101E-2</v>
      </c>
    </row>
    <row r="213" spans="1:6" x14ac:dyDescent="0.2">
      <c r="A213">
        <v>101</v>
      </c>
      <c r="B213" s="37" t="s">
        <v>719</v>
      </c>
      <c r="C213" s="1">
        <v>45583</v>
      </c>
      <c r="D213" s="37" t="s">
        <v>719</v>
      </c>
      <c r="E213">
        <v>0.12696787965867001</v>
      </c>
      <c r="F213">
        <v>0.12696787965867001</v>
      </c>
    </row>
    <row r="214" spans="1:6" x14ac:dyDescent="0.2">
      <c r="A214">
        <v>101</v>
      </c>
      <c r="B214" s="37" t="s">
        <v>720</v>
      </c>
      <c r="C214" s="1">
        <v>45547</v>
      </c>
      <c r="D214" s="37" t="s">
        <v>720</v>
      </c>
      <c r="E214">
        <v>0.80117047458104595</v>
      </c>
      <c r="F214">
        <v>0.80117047458104595</v>
      </c>
    </row>
    <row r="215" spans="1:6" x14ac:dyDescent="0.2">
      <c r="A215">
        <v>102</v>
      </c>
      <c r="B215" s="37" t="s">
        <v>721</v>
      </c>
      <c r="C215" s="1">
        <v>45481</v>
      </c>
      <c r="D215" s="37" t="s">
        <v>721</v>
      </c>
      <c r="E215">
        <v>1.7293786676642098E-2</v>
      </c>
      <c r="F215">
        <v>1.7293786676642098E-2</v>
      </c>
    </row>
    <row r="216" spans="1:6" x14ac:dyDescent="0.2">
      <c r="A216">
        <v>102</v>
      </c>
      <c r="B216" s="37" t="s">
        <v>478</v>
      </c>
      <c r="C216" s="1">
        <v>45512</v>
      </c>
      <c r="D216" s="37" t="s">
        <v>478</v>
      </c>
      <c r="E216">
        <v>0.49010743586837202</v>
      </c>
      <c r="F216">
        <v>0.49010743586837202</v>
      </c>
    </row>
    <row r="217" spans="1:6" x14ac:dyDescent="0.2">
      <c r="A217">
        <v>102</v>
      </c>
      <c r="B217" s="37" t="s">
        <v>322</v>
      </c>
      <c r="C217" s="1">
        <v>45484</v>
      </c>
      <c r="D217" s="37" t="s">
        <v>322</v>
      </c>
      <c r="E217">
        <v>3.02139102497864E-2</v>
      </c>
      <c r="F217">
        <v>3.02139102497864E-2</v>
      </c>
    </row>
    <row r="218" spans="1:6" x14ac:dyDescent="0.2">
      <c r="A218">
        <v>103</v>
      </c>
      <c r="B218" s="37" t="s">
        <v>479</v>
      </c>
      <c r="C218" s="1">
        <v>45453</v>
      </c>
      <c r="D218" s="37" t="s">
        <v>479</v>
      </c>
      <c r="E218">
        <v>9.6083654396579607E-2</v>
      </c>
      <c r="F218">
        <v>9.6083654396579607E-2</v>
      </c>
    </row>
    <row r="219" spans="1:6" x14ac:dyDescent="0.2">
      <c r="A219">
        <v>103</v>
      </c>
      <c r="B219" s="37" t="s">
        <v>98</v>
      </c>
      <c r="C219" s="1">
        <v>45498</v>
      </c>
      <c r="D219" s="37" t="s">
        <v>98</v>
      </c>
      <c r="E219">
        <v>0.15032984095471599</v>
      </c>
      <c r="F219">
        <v>0.15032984095471599</v>
      </c>
    </row>
    <row r="220" spans="1:6" x14ac:dyDescent="0.2">
      <c r="A220">
        <v>104</v>
      </c>
      <c r="B220" s="37" t="s">
        <v>722</v>
      </c>
      <c r="C220" s="1">
        <v>45460</v>
      </c>
      <c r="D220" s="37" t="s">
        <v>722</v>
      </c>
      <c r="E220">
        <v>0.41651107107027802</v>
      </c>
      <c r="F220">
        <v>0.41651107107027802</v>
      </c>
    </row>
    <row r="221" spans="1:6" x14ac:dyDescent="0.2">
      <c r="A221">
        <v>105</v>
      </c>
      <c r="B221" s="37" t="s">
        <v>217</v>
      </c>
      <c r="C221" s="1">
        <v>45644</v>
      </c>
      <c r="D221" s="37" t="s">
        <v>217</v>
      </c>
      <c r="E221">
        <v>0.106139315802636</v>
      </c>
      <c r="F221">
        <v>0.106139315802636</v>
      </c>
    </row>
    <row r="222" spans="1:6" x14ac:dyDescent="0.2">
      <c r="A222">
        <v>105</v>
      </c>
      <c r="B222" s="37" t="s">
        <v>323</v>
      </c>
      <c r="C222" s="1">
        <v>45649</v>
      </c>
      <c r="D222" s="37" t="s">
        <v>323</v>
      </c>
      <c r="E222">
        <v>0.201335511631311</v>
      </c>
      <c r="F222">
        <v>0.201335511631311</v>
      </c>
    </row>
    <row r="223" spans="1:6" x14ac:dyDescent="0.2">
      <c r="A223">
        <v>106</v>
      </c>
      <c r="B223" s="37" t="s">
        <v>723</v>
      </c>
      <c r="C223" s="1">
        <v>45637</v>
      </c>
      <c r="D223" s="37" t="s">
        <v>723</v>
      </c>
      <c r="E223">
        <v>5.8351847051244202E-2</v>
      </c>
      <c r="F223">
        <v>5.8351847051244202E-2</v>
      </c>
    </row>
    <row r="224" spans="1:6" x14ac:dyDescent="0.2">
      <c r="A224">
        <v>107</v>
      </c>
      <c r="B224" s="37" t="s">
        <v>324</v>
      </c>
      <c r="C224" s="1">
        <v>45326</v>
      </c>
      <c r="D224" s="37" t="s">
        <v>324</v>
      </c>
      <c r="E224">
        <v>0.28342516569255499</v>
      </c>
      <c r="F224">
        <v>0.28342516569255499</v>
      </c>
    </row>
    <row r="225" spans="1:6" x14ac:dyDescent="0.2">
      <c r="A225">
        <v>108</v>
      </c>
      <c r="B225" s="37" t="s">
        <v>724</v>
      </c>
      <c r="C225" s="1">
        <v>45364</v>
      </c>
      <c r="D225" s="37" t="s">
        <v>724</v>
      </c>
      <c r="E225">
        <v>4.3141052113305302E-2</v>
      </c>
      <c r="F225">
        <v>4.3141052113305302E-2</v>
      </c>
    </row>
    <row r="226" spans="1:6" x14ac:dyDescent="0.2">
      <c r="A226">
        <v>108</v>
      </c>
      <c r="B226" s="37" t="s">
        <v>99</v>
      </c>
      <c r="C226" s="1">
        <v>45569</v>
      </c>
      <c r="D226" s="37" t="s">
        <v>99</v>
      </c>
      <c r="E226">
        <v>0.16816829847300099</v>
      </c>
      <c r="F226">
        <v>0.16816829847300099</v>
      </c>
    </row>
    <row r="227" spans="1:6" x14ac:dyDescent="0.2">
      <c r="A227">
        <v>109</v>
      </c>
      <c r="B227" s="37" t="s">
        <v>725</v>
      </c>
      <c r="C227" s="1">
        <v>45460</v>
      </c>
      <c r="D227" s="37" t="s">
        <v>725</v>
      </c>
      <c r="E227">
        <v>0.53151125878660499</v>
      </c>
      <c r="F227">
        <v>0.53151125878660499</v>
      </c>
    </row>
    <row r="228" spans="1:6" x14ac:dyDescent="0.2">
      <c r="A228">
        <v>109</v>
      </c>
      <c r="B228" s="37" t="s">
        <v>726</v>
      </c>
      <c r="C228" s="1">
        <v>45320</v>
      </c>
      <c r="D228" s="37" t="s">
        <v>726</v>
      </c>
      <c r="E228">
        <v>0.185750359919402</v>
      </c>
      <c r="F228">
        <v>0.185750359919402</v>
      </c>
    </row>
    <row r="229" spans="1:6" x14ac:dyDescent="0.2">
      <c r="A229">
        <v>110</v>
      </c>
      <c r="B229" s="37" t="s">
        <v>727</v>
      </c>
      <c r="C229" s="1">
        <v>45636</v>
      </c>
      <c r="D229" s="37" t="s">
        <v>727</v>
      </c>
      <c r="E229">
        <v>1.9545593698035602E-2</v>
      </c>
      <c r="F229">
        <v>1.9545593698035602E-2</v>
      </c>
    </row>
    <row r="230" spans="1:6" x14ac:dyDescent="0.2">
      <c r="A230">
        <v>110</v>
      </c>
      <c r="B230" s="37" t="s">
        <v>325</v>
      </c>
      <c r="C230" s="1">
        <v>45560</v>
      </c>
      <c r="D230" s="37" t="s">
        <v>325</v>
      </c>
      <c r="E230">
        <v>0.30441483989829698</v>
      </c>
      <c r="F230">
        <v>0.30441483989829698</v>
      </c>
    </row>
    <row r="231" spans="1:6" x14ac:dyDescent="0.2">
      <c r="A231">
        <v>110</v>
      </c>
      <c r="B231" s="37" t="s">
        <v>728</v>
      </c>
      <c r="C231" s="1">
        <v>45367</v>
      </c>
      <c r="D231" s="37" t="s">
        <v>728</v>
      </c>
      <c r="E231">
        <v>6.0845312170133697E-2</v>
      </c>
      <c r="F231">
        <v>6.0845312170133697E-2</v>
      </c>
    </row>
    <row r="232" spans="1:6" x14ac:dyDescent="0.2">
      <c r="A232">
        <v>111</v>
      </c>
      <c r="B232" s="37" t="s">
        <v>326</v>
      </c>
      <c r="C232" s="1">
        <v>45383</v>
      </c>
      <c r="D232" s="37" t="s">
        <v>326</v>
      </c>
      <c r="E232">
        <v>0.202587695977205</v>
      </c>
      <c r="F232">
        <v>0.202587695977205</v>
      </c>
    </row>
    <row r="233" spans="1:6" x14ac:dyDescent="0.2">
      <c r="A233">
        <v>112</v>
      </c>
      <c r="B233" s="37" t="s">
        <v>729</v>
      </c>
      <c r="C233" s="1">
        <v>45446</v>
      </c>
      <c r="D233" s="37" t="s">
        <v>729</v>
      </c>
      <c r="E233">
        <v>5.8367590690691397E-2</v>
      </c>
      <c r="F233">
        <v>5.8367590690691397E-2</v>
      </c>
    </row>
    <row r="234" spans="1:6" x14ac:dyDescent="0.2">
      <c r="A234">
        <v>112</v>
      </c>
      <c r="B234" s="37" t="s">
        <v>480</v>
      </c>
      <c r="C234" s="1">
        <v>45549</v>
      </c>
      <c r="D234" s="37" t="s">
        <v>480</v>
      </c>
      <c r="E234">
        <v>0.26912499848952398</v>
      </c>
      <c r="F234">
        <v>0.26912499848952398</v>
      </c>
    </row>
    <row r="235" spans="1:6" x14ac:dyDescent="0.2">
      <c r="A235">
        <v>112</v>
      </c>
      <c r="B235" s="37" t="s">
        <v>327</v>
      </c>
      <c r="C235" s="1">
        <v>45543</v>
      </c>
      <c r="D235" s="37" t="s">
        <v>327</v>
      </c>
      <c r="E235">
        <v>0.28899880912178699</v>
      </c>
      <c r="F235">
        <v>0.28899880912178699</v>
      </c>
    </row>
    <row r="236" spans="1:6" x14ac:dyDescent="0.2">
      <c r="A236">
        <v>113</v>
      </c>
      <c r="B236" s="37" t="s">
        <v>730</v>
      </c>
      <c r="C236" s="1">
        <v>45487</v>
      </c>
      <c r="D236" s="37" t="s">
        <v>730</v>
      </c>
      <c r="E236">
        <v>3.4001847723957097E-2</v>
      </c>
      <c r="F236">
        <v>3.4001847723957097E-2</v>
      </c>
    </row>
    <row r="237" spans="1:6" x14ac:dyDescent="0.2">
      <c r="A237">
        <v>113</v>
      </c>
      <c r="B237" s="37" t="s">
        <v>731</v>
      </c>
      <c r="C237" s="1">
        <v>45460</v>
      </c>
      <c r="D237" s="37" t="s">
        <v>731</v>
      </c>
      <c r="E237">
        <v>0.108278297765051</v>
      </c>
      <c r="F237">
        <v>0.108278297765051</v>
      </c>
    </row>
    <row r="238" spans="1:6" x14ac:dyDescent="0.2">
      <c r="A238">
        <v>113</v>
      </c>
      <c r="B238" s="37" t="s">
        <v>732</v>
      </c>
      <c r="C238" s="1">
        <v>45403</v>
      </c>
      <c r="D238" s="37" t="s">
        <v>732</v>
      </c>
      <c r="E238">
        <v>0.156659143725598</v>
      </c>
      <c r="F238">
        <v>0.156659143725598</v>
      </c>
    </row>
    <row r="239" spans="1:6" x14ac:dyDescent="0.2">
      <c r="A239">
        <v>113</v>
      </c>
      <c r="B239" s="37" t="s">
        <v>733</v>
      </c>
      <c r="C239" s="1">
        <v>45386</v>
      </c>
      <c r="D239" s="37" t="s">
        <v>733</v>
      </c>
      <c r="E239">
        <v>0.33320815197294201</v>
      </c>
      <c r="F239">
        <v>0.33320815197294201</v>
      </c>
    </row>
    <row r="240" spans="1:6" x14ac:dyDescent="0.2">
      <c r="A240">
        <v>114</v>
      </c>
      <c r="B240" s="37" t="s">
        <v>328</v>
      </c>
      <c r="C240" s="1">
        <v>45428</v>
      </c>
      <c r="D240" s="37" t="s">
        <v>328</v>
      </c>
      <c r="E240">
        <v>0.26226986206662001</v>
      </c>
      <c r="F240">
        <v>0.26226986206662001</v>
      </c>
    </row>
    <row r="241" spans="1:6" x14ac:dyDescent="0.2">
      <c r="A241">
        <v>115</v>
      </c>
      <c r="B241" s="37" t="s">
        <v>734</v>
      </c>
      <c r="C241" s="1">
        <v>45332</v>
      </c>
      <c r="D241" s="37" t="s">
        <v>734</v>
      </c>
      <c r="E241">
        <v>8.88891546077126E-2</v>
      </c>
      <c r="F241">
        <v>8.88891546077126E-2</v>
      </c>
    </row>
    <row r="242" spans="1:6" x14ac:dyDescent="0.2">
      <c r="A242">
        <v>115</v>
      </c>
      <c r="B242" s="37" t="s">
        <v>218</v>
      </c>
      <c r="C242" s="1">
        <v>45316</v>
      </c>
      <c r="D242" s="37" t="s">
        <v>218</v>
      </c>
      <c r="E242">
        <v>0.57378924087718397</v>
      </c>
      <c r="F242">
        <v>0.57378924087718397</v>
      </c>
    </row>
    <row r="243" spans="1:6" x14ac:dyDescent="0.2">
      <c r="A243">
        <v>116</v>
      </c>
      <c r="B243" s="37" t="s">
        <v>735</v>
      </c>
      <c r="C243" s="1">
        <v>45492</v>
      </c>
      <c r="D243" s="37" t="s">
        <v>735</v>
      </c>
      <c r="E243">
        <v>8.8466304123740305E-2</v>
      </c>
      <c r="F243">
        <v>8.8466304123740305E-2</v>
      </c>
    </row>
    <row r="244" spans="1:6" x14ac:dyDescent="0.2">
      <c r="A244">
        <v>116</v>
      </c>
      <c r="B244" s="37" t="s">
        <v>736</v>
      </c>
      <c r="C244" s="1">
        <v>45635</v>
      </c>
      <c r="D244" s="37" t="s">
        <v>736</v>
      </c>
      <c r="E244">
        <v>0.65903842511448596</v>
      </c>
      <c r="F244">
        <v>0.65903842511448596</v>
      </c>
    </row>
    <row r="245" spans="1:6" x14ac:dyDescent="0.2">
      <c r="A245">
        <v>116</v>
      </c>
      <c r="B245" s="37" t="s">
        <v>737</v>
      </c>
      <c r="C245" s="1">
        <v>45630</v>
      </c>
      <c r="D245" s="37" t="s">
        <v>737</v>
      </c>
      <c r="E245">
        <v>9.9111940795440404E-2</v>
      </c>
      <c r="F245">
        <v>9.9111940795440404E-2</v>
      </c>
    </row>
    <row r="246" spans="1:6" x14ac:dyDescent="0.2">
      <c r="A246">
        <v>117</v>
      </c>
      <c r="B246" s="37" t="s">
        <v>738</v>
      </c>
      <c r="C246" s="1">
        <v>45570</v>
      </c>
      <c r="D246" s="37" t="s">
        <v>738</v>
      </c>
      <c r="E246">
        <v>8.1533888875488306E-2</v>
      </c>
      <c r="F246">
        <v>8.1533888875488306E-2</v>
      </c>
    </row>
    <row r="247" spans="1:6" x14ac:dyDescent="0.2">
      <c r="A247">
        <v>117</v>
      </c>
      <c r="B247" s="37" t="s">
        <v>100</v>
      </c>
      <c r="C247" s="1">
        <v>45539</v>
      </c>
      <c r="D247" s="37" t="s">
        <v>100</v>
      </c>
      <c r="E247">
        <v>0.29859104071586001</v>
      </c>
      <c r="F247">
        <v>0.29859104071586001</v>
      </c>
    </row>
    <row r="248" spans="1:6" x14ac:dyDescent="0.2">
      <c r="A248">
        <v>118</v>
      </c>
      <c r="B248" s="37" t="s">
        <v>739</v>
      </c>
      <c r="C248" s="1">
        <v>45309</v>
      </c>
      <c r="D248" s="37" t="s">
        <v>739</v>
      </c>
      <c r="E248">
        <v>6.1097398103100997E-2</v>
      </c>
      <c r="F248">
        <v>6.1097398103100997E-2</v>
      </c>
    </row>
    <row r="249" spans="1:6" x14ac:dyDescent="0.2">
      <c r="A249">
        <v>119</v>
      </c>
      <c r="B249" s="37" t="s">
        <v>740</v>
      </c>
      <c r="C249" s="1">
        <v>45362</v>
      </c>
      <c r="D249" s="37" t="s">
        <v>740</v>
      </c>
      <c r="E249">
        <v>0.39417863954350202</v>
      </c>
      <c r="F249">
        <v>0.39417863954350202</v>
      </c>
    </row>
    <row r="250" spans="1:6" x14ac:dyDescent="0.2">
      <c r="A250">
        <v>119</v>
      </c>
      <c r="B250" s="37" t="s">
        <v>741</v>
      </c>
      <c r="C250" s="1">
        <v>45650</v>
      </c>
      <c r="D250" s="37" t="s">
        <v>741</v>
      </c>
      <c r="E250">
        <v>0.22816709475996999</v>
      </c>
      <c r="F250">
        <v>0.22816709475996999</v>
      </c>
    </row>
    <row r="251" spans="1:6" x14ac:dyDescent="0.2">
      <c r="A251">
        <v>120</v>
      </c>
      <c r="B251" s="37" t="s">
        <v>481</v>
      </c>
      <c r="C251" s="1">
        <v>45518</v>
      </c>
      <c r="D251" s="37" t="s">
        <v>481</v>
      </c>
      <c r="E251">
        <v>0.1880920979255</v>
      </c>
      <c r="F251">
        <v>0.1880920979255</v>
      </c>
    </row>
    <row r="252" spans="1:6" x14ac:dyDescent="0.2">
      <c r="A252">
        <v>120</v>
      </c>
      <c r="B252" s="37" t="s">
        <v>742</v>
      </c>
      <c r="C252" s="1">
        <v>45312</v>
      </c>
      <c r="D252" s="37" t="s">
        <v>742</v>
      </c>
      <c r="E252">
        <v>2.1395675530745999E-2</v>
      </c>
      <c r="F252">
        <v>2.1395675530745999E-2</v>
      </c>
    </row>
    <row r="253" spans="1:6" x14ac:dyDescent="0.2">
      <c r="A253">
        <v>121</v>
      </c>
      <c r="B253" s="37" t="s">
        <v>743</v>
      </c>
      <c r="C253" s="1">
        <v>45445</v>
      </c>
      <c r="D253" s="37" t="s">
        <v>743</v>
      </c>
      <c r="E253">
        <v>0.168506130837626</v>
      </c>
      <c r="F253">
        <v>0.168506130837626</v>
      </c>
    </row>
    <row r="254" spans="1:6" x14ac:dyDescent="0.2">
      <c r="A254">
        <v>121</v>
      </c>
      <c r="B254" s="37" t="s">
        <v>744</v>
      </c>
      <c r="C254" s="1">
        <v>45420</v>
      </c>
      <c r="D254" s="37" t="s">
        <v>744</v>
      </c>
      <c r="E254">
        <v>0.414755820369623</v>
      </c>
      <c r="F254">
        <v>0.414755820369623</v>
      </c>
    </row>
    <row r="255" spans="1:6" x14ac:dyDescent="0.2">
      <c r="A255">
        <v>122</v>
      </c>
      <c r="B255" s="37" t="s">
        <v>745</v>
      </c>
      <c r="C255" s="1">
        <v>45303</v>
      </c>
      <c r="D255" s="37" t="s">
        <v>745</v>
      </c>
      <c r="E255">
        <v>9.6489640688382006E-2</v>
      </c>
      <c r="F255">
        <v>9.6489640688382006E-2</v>
      </c>
    </row>
    <row r="256" spans="1:6" x14ac:dyDescent="0.2">
      <c r="A256">
        <v>122</v>
      </c>
      <c r="B256" s="37" t="s">
        <v>746</v>
      </c>
      <c r="C256" s="1">
        <v>45540</v>
      </c>
      <c r="D256" s="37" t="s">
        <v>746</v>
      </c>
      <c r="E256">
        <v>6.2683005758047999E-2</v>
      </c>
      <c r="F256">
        <v>6.2683005758047999E-2</v>
      </c>
    </row>
    <row r="257" spans="1:6" x14ac:dyDescent="0.2">
      <c r="A257">
        <v>122</v>
      </c>
      <c r="B257" s="37" t="s">
        <v>101</v>
      </c>
      <c r="C257" s="1">
        <v>45432</v>
      </c>
      <c r="D257" s="37" t="s">
        <v>101</v>
      </c>
      <c r="E257">
        <v>6.3811219385492293E-2</v>
      </c>
      <c r="F257">
        <v>6.3811219385492293E-2</v>
      </c>
    </row>
    <row r="258" spans="1:6" x14ac:dyDescent="0.2">
      <c r="A258">
        <v>123</v>
      </c>
      <c r="B258" s="37" t="s">
        <v>747</v>
      </c>
      <c r="C258" s="1">
        <v>45643</v>
      </c>
      <c r="D258" s="37" t="s">
        <v>747</v>
      </c>
      <c r="E258">
        <v>0.27638722980925401</v>
      </c>
      <c r="F258">
        <v>0.27638722980925401</v>
      </c>
    </row>
    <row r="259" spans="1:6" x14ac:dyDescent="0.2">
      <c r="A259">
        <v>123</v>
      </c>
      <c r="B259" s="37" t="s">
        <v>748</v>
      </c>
      <c r="C259" s="1">
        <v>45485</v>
      </c>
      <c r="D259" s="37" t="s">
        <v>748</v>
      </c>
      <c r="E259">
        <v>0.30533596392454498</v>
      </c>
      <c r="F259">
        <v>0.30533596392454498</v>
      </c>
    </row>
    <row r="260" spans="1:6" x14ac:dyDescent="0.2">
      <c r="A260">
        <v>123</v>
      </c>
      <c r="B260" s="37" t="s">
        <v>749</v>
      </c>
      <c r="C260" s="1">
        <v>45578</v>
      </c>
      <c r="D260" s="37" t="s">
        <v>749</v>
      </c>
      <c r="E260">
        <v>0.46528762618601099</v>
      </c>
      <c r="F260">
        <v>0.46528762618601099</v>
      </c>
    </row>
    <row r="261" spans="1:6" x14ac:dyDescent="0.2">
      <c r="A261">
        <v>124</v>
      </c>
      <c r="B261" s="37" t="s">
        <v>219</v>
      </c>
      <c r="C261" s="1">
        <v>45493</v>
      </c>
      <c r="D261" s="37" t="s">
        <v>219</v>
      </c>
      <c r="E261">
        <v>0.26066277352241801</v>
      </c>
      <c r="F261">
        <v>0.26066277352241801</v>
      </c>
    </row>
    <row r="262" spans="1:6" x14ac:dyDescent="0.2">
      <c r="A262">
        <v>124</v>
      </c>
      <c r="B262" s="37" t="s">
        <v>220</v>
      </c>
      <c r="C262" s="1">
        <v>45462</v>
      </c>
      <c r="D262" s="37" t="s">
        <v>220</v>
      </c>
      <c r="E262">
        <v>0.11174229114961701</v>
      </c>
      <c r="F262">
        <v>0.11174229114961701</v>
      </c>
    </row>
    <row r="263" spans="1:6" x14ac:dyDescent="0.2">
      <c r="A263">
        <v>124</v>
      </c>
      <c r="B263" s="37" t="s">
        <v>221</v>
      </c>
      <c r="C263" s="1">
        <v>45438</v>
      </c>
      <c r="D263" s="37" t="s">
        <v>221</v>
      </c>
      <c r="E263">
        <v>0.263589901704813</v>
      </c>
      <c r="F263">
        <v>0.263589901704813</v>
      </c>
    </row>
    <row r="264" spans="1:6" x14ac:dyDescent="0.2">
      <c r="A264">
        <v>125</v>
      </c>
      <c r="B264" s="37" t="s">
        <v>482</v>
      </c>
      <c r="C264" s="1">
        <v>45581</v>
      </c>
      <c r="D264" s="37" t="s">
        <v>482</v>
      </c>
      <c r="E264">
        <v>0.39397583782988199</v>
      </c>
      <c r="F264">
        <v>0.39397583782988199</v>
      </c>
    </row>
    <row r="265" spans="1:6" x14ac:dyDescent="0.2">
      <c r="A265">
        <v>125</v>
      </c>
      <c r="B265" s="37" t="s">
        <v>483</v>
      </c>
      <c r="C265" s="1">
        <v>45368</v>
      </c>
      <c r="D265" s="37" t="s">
        <v>483</v>
      </c>
      <c r="E265">
        <v>0.19421542047481299</v>
      </c>
      <c r="F265">
        <v>0.19421542047481299</v>
      </c>
    </row>
    <row r="266" spans="1:6" x14ac:dyDescent="0.2">
      <c r="A266">
        <v>125</v>
      </c>
      <c r="B266" s="37" t="s">
        <v>484</v>
      </c>
      <c r="C266" s="1">
        <v>45601</v>
      </c>
      <c r="D266" s="37" t="s">
        <v>484</v>
      </c>
      <c r="E266">
        <v>0.22361821096919501</v>
      </c>
      <c r="F266">
        <v>0.22361821096919501</v>
      </c>
    </row>
    <row r="267" spans="1:6" x14ac:dyDescent="0.2">
      <c r="A267">
        <v>127</v>
      </c>
      <c r="B267" s="37" t="s">
        <v>750</v>
      </c>
      <c r="C267" s="1">
        <v>45641</v>
      </c>
      <c r="D267" s="37" t="s">
        <v>750</v>
      </c>
      <c r="E267">
        <v>7.0970829508718095E-2</v>
      </c>
      <c r="F267">
        <v>7.0970829508718095E-2</v>
      </c>
    </row>
    <row r="268" spans="1:6" x14ac:dyDescent="0.2">
      <c r="A268">
        <v>127</v>
      </c>
      <c r="B268" s="37" t="s">
        <v>751</v>
      </c>
      <c r="C268" s="1">
        <v>45362</v>
      </c>
      <c r="D268" s="37" t="s">
        <v>751</v>
      </c>
      <c r="E268">
        <v>0.14151829365823701</v>
      </c>
      <c r="F268">
        <v>0.14151829365823701</v>
      </c>
    </row>
    <row r="269" spans="1:6" x14ac:dyDescent="0.2">
      <c r="A269">
        <v>127</v>
      </c>
      <c r="B269" s="37" t="s">
        <v>752</v>
      </c>
      <c r="C269" s="1">
        <v>45657</v>
      </c>
      <c r="D269" s="37" t="s">
        <v>752</v>
      </c>
      <c r="E269">
        <v>0.22673299410797301</v>
      </c>
      <c r="F269">
        <v>0.22673299410797301</v>
      </c>
    </row>
    <row r="270" spans="1:6" x14ac:dyDescent="0.2">
      <c r="A270">
        <v>128</v>
      </c>
      <c r="B270" s="37" t="s">
        <v>753</v>
      </c>
      <c r="C270" s="1">
        <v>45651</v>
      </c>
      <c r="D270" s="37" t="s">
        <v>753</v>
      </c>
      <c r="E270">
        <v>0.300799410752566</v>
      </c>
      <c r="F270">
        <v>0.300799410752566</v>
      </c>
    </row>
    <row r="271" spans="1:6" x14ac:dyDescent="0.2">
      <c r="A271">
        <v>128</v>
      </c>
      <c r="B271" s="37" t="s">
        <v>754</v>
      </c>
      <c r="C271" s="1">
        <v>45452</v>
      </c>
      <c r="D271" s="37" t="s">
        <v>754</v>
      </c>
      <c r="E271">
        <v>1.0224956931832599E-2</v>
      </c>
      <c r="F271">
        <v>1.0224956931832599E-2</v>
      </c>
    </row>
    <row r="272" spans="1:6" x14ac:dyDescent="0.2">
      <c r="A272">
        <v>128</v>
      </c>
      <c r="B272" s="37" t="s">
        <v>485</v>
      </c>
      <c r="C272" s="1">
        <v>45453</v>
      </c>
      <c r="D272" s="37" t="s">
        <v>485</v>
      </c>
      <c r="E272">
        <v>0.10993905662515099</v>
      </c>
      <c r="F272">
        <v>0.10993905662515099</v>
      </c>
    </row>
    <row r="273" spans="1:9" x14ac:dyDescent="0.2">
      <c r="A273">
        <v>129</v>
      </c>
      <c r="B273" s="37" t="s">
        <v>755</v>
      </c>
      <c r="C273" s="1">
        <v>45395</v>
      </c>
      <c r="D273" s="37" t="s">
        <v>755</v>
      </c>
      <c r="E273">
        <v>5.1507575682555103E-2</v>
      </c>
      <c r="F273">
        <v>5.1507575682555103E-2</v>
      </c>
    </row>
    <row r="274" spans="1:9" x14ac:dyDescent="0.2">
      <c r="A274">
        <v>129</v>
      </c>
      <c r="B274" s="37" t="s">
        <v>102</v>
      </c>
      <c r="C274" s="1">
        <v>45478</v>
      </c>
      <c r="D274" s="37" t="s">
        <v>102</v>
      </c>
      <c r="E274">
        <v>0.20866566929955099</v>
      </c>
      <c r="F274">
        <v>0.20866566929955099</v>
      </c>
    </row>
    <row r="275" spans="1:9" x14ac:dyDescent="0.2">
      <c r="A275">
        <v>129</v>
      </c>
      <c r="B275" s="37" t="s">
        <v>103</v>
      </c>
      <c r="C275" s="1">
        <v>45324</v>
      </c>
      <c r="D275" s="37" t="s">
        <v>103</v>
      </c>
      <c r="E275">
        <v>1.61858963781434E-2</v>
      </c>
      <c r="F275">
        <v>1.61858963781434E-2</v>
      </c>
      <c r="I275" s="2"/>
    </row>
    <row r="276" spans="1:9" x14ac:dyDescent="0.2">
      <c r="A276">
        <v>130</v>
      </c>
      <c r="B276" s="37" t="s">
        <v>756</v>
      </c>
      <c r="C276" s="1">
        <v>45619</v>
      </c>
      <c r="D276" s="37" t="s">
        <v>756</v>
      </c>
      <c r="E276">
        <v>0.18171781805402401</v>
      </c>
      <c r="F276">
        <v>0.18171781805402401</v>
      </c>
    </row>
    <row r="277" spans="1:9" x14ac:dyDescent="0.2">
      <c r="A277">
        <v>130</v>
      </c>
      <c r="B277" s="37" t="s">
        <v>222</v>
      </c>
      <c r="C277" s="1">
        <v>45372</v>
      </c>
      <c r="D277" s="37" t="s">
        <v>222</v>
      </c>
      <c r="E277">
        <v>0.21657792620545499</v>
      </c>
      <c r="F277">
        <v>0.21657792620545499</v>
      </c>
    </row>
    <row r="278" spans="1:9" x14ac:dyDescent="0.2">
      <c r="A278">
        <v>131</v>
      </c>
      <c r="B278" s="37" t="s">
        <v>486</v>
      </c>
      <c r="C278" s="1">
        <v>45342</v>
      </c>
      <c r="D278" s="37" t="s">
        <v>486</v>
      </c>
      <c r="E278">
        <v>0.134790374308392</v>
      </c>
      <c r="F278">
        <v>0.134790374308392</v>
      </c>
    </row>
    <row r="279" spans="1:9" x14ac:dyDescent="0.2">
      <c r="A279">
        <v>131</v>
      </c>
      <c r="B279" s="37" t="s">
        <v>487</v>
      </c>
      <c r="C279" s="1">
        <v>45446</v>
      </c>
      <c r="D279" s="37" t="s">
        <v>487</v>
      </c>
      <c r="E279">
        <v>0.63125042610126203</v>
      </c>
      <c r="F279">
        <v>0.63125042610126203</v>
      </c>
    </row>
    <row r="280" spans="1:9" x14ac:dyDescent="0.2">
      <c r="A280">
        <v>132</v>
      </c>
      <c r="B280" s="37" t="s">
        <v>329</v>
      </c>
      <c r="C280" s="1">
        <v>45527</v>
      </c>
      <c r="D280" s="37" t="s">
        <v>329</v>
      </c>
      <c r="E280">
        <v>0.16261472842333499</v>
      </c>
      <c r="F280">
        <v>0.16261472842333499</v>
      </c>
    </row>
    <row r="281" spans="1:9" x14ac:dyDescent="0.2">
      <c r="A281">
        <v>133</v>
      </c>
      <c r="B281" s="37" t="s">
        <v>757</v>
      </c>
      <c r="C281" s="1">
        <v>45616</v>
      </c>
      <c r="D281" s="37" t="s">
        <v>757</v>
      </c>
      <c r="E281">
        <v>0.25403769641574397</v>
      </c>
      <c r="F281">
        <v>0.25403769641574397</v>
      </c>
    </row>
    <row r="282" spans="1:9" x14ac:dyDescent="0.2">
      <c r="A282">
        <v>133</v>
      </c>
      <c r="B282" s="37" t="s">
        <v>330</v>
      </c>
      <c r="C282" s="1">
        <v>45532</v>
      </c>
      <c r="D282" s="37" t="s">
        <v>330</v>
      </c>
      <c r="E282">
        <v>0.150227912036588</v>
      </c>
      <c r="F282">
        <v>0.150227912036588</v>
      </c>
    </row>
    <row r="283" spans="1:9" x14ac:dyDescent="0.2">
      <c r="A283">
        <v>134</v>
      </c>
      <c r="B283" s="37" t="s">
        <v>758</v>
      </c>
      <c r="C283" s="1">
        <v>45520</v>
      </c>
      <c r="D283" s="37" t="s">
        <v>758</v>
      </c>
      <c r="E283">
        <v>9.7021929520964501E-2</v>
      </c>
      <c r="F283">
        <v>9.7021929520964501E-2</v>
      </c>
    </row>
    <row r="284" spans="1:9" x14ac:dyDescent="0.2">
      <c r="A284">
        <v>134</v>
      </c>
      <c r="B284" s="37" t="s">
        <v>759</v>
      </c>
      <c r="C284" s="1">
        <v>45625</v>
      </c>
      <c r="D284" s="37" t="s">
        <v>759</v>
      </c>
      <c r="E284">
        <v>0.40861786266796801</v>
      </c>
      <c r="F284">
        <v>0.40861786266796801</v>
      </c>
    </row>
    <row r="285" spans="1:9" x14ac:dyDescent="0.2">
      <c r="A285">
        <v>135</v>
      </c>
      <c r="B285" s="37" t="s">
        <v>488</v>
      </c>
      <c r="C285" s="1">
        <v>45383</v>
      </c>
      <c r="D285" s="37" t="s">
        <v>488</v>
      </c>
      <c r="E285">
        <v>0.12514216859353</v>
      </c>
      <c r="F285">
        <v>0.12514216859353</v>
      </c>
    </row>
    <row r="286" spans="1:9" x14ac:dyDescent="0.2">
      <c r="A286">
        <v>135</v>
      </c>
      <c r="B286" s="37" t="s">
        <v>760</v>
      </c>
      <c r="C286" s="1">
        <v>45471</v>
      </c>
      <c r="D286" s="37" t="s">
        <v>760</v>
      </c>
      <c r="E286">
        <v>0.52817457935359702</v>
      </c>
      <c r="F286">
        <v>0.52817457935359702</v>
      </c>
    </row>
    <row r="287" spans="1:9" x14ac:dyDescent="0.2">
      <c r="A287">
        <v>136</v>
      </c>
      <c r="B287" s="37" t="s">
        <v>331</v>
      </c>
      <c r="C287" s="1">
        <v>45366</v>
      </c>
      <c r="D287" s="37" t="s">
        <v>331</v>
      </c>
      <c r="E287">
        <v>0.39845229544225003</v>
      </c>
      <c r="F287">
        <v>0.39845229544225003</v>
      </c>
    </row>
    <row r="288" spans="1:9" x14ac:dyDescent="0.2">
      <c r="A288">
        <v>136</v>
      </c>
      <c r="B288" s="37" t="s">
        <v>104</v>
      </c>
      <c r="C288" s="1">
        <v>45587</v>
      </c>
      <c r="D288" s="37" t="s">
        <v>104</v>
      </c>
      <c r="E288">
        <v>0.21759155577693701</v>
      </c>
      <c r="F288">
        <v>0.21759155577693701</v>
      </c>
    </row>
    <row r="289" spans="1:6" x14ac:dyDescent="0.2">
      <c r="A289">
        <v>137</v>
      </c>
      <c r="B289" s="37" t="s">
        <v>489</v>
      </c>
      <c r="C289" s="1">
        <v>45349</v>
      </c>
      <c r="D289" s="37" t="s">
        <v>489</v>
      </c>
      <c r="E289">
        <v>0.124117824552295</v>
      </c>
      <c r="F289">
        <v>0.124117824552295</v>
      </c>
    </row>
    <row r="290" spans="1:6" x14ac:dyDescent="0.2">
      <c r="A290">
        <v>138</v>
      </c>
      <c r="B290" s="37" t="s">
        <v>761</v>
      </c>
      <c r="C290" s="1">
        <v>45453</v>
      </c>
      <c r="D290" s="37" t="s">
        <v>761</v>
      </c>
      <c r="E290">
        <v>8.7803656041641198E-2</v>
      </c>
      <c r="F290">
        <v>8.7803656041641198E-2</v>
      </c>
    </row>
    <row r="291" spans="1:6" x14ac:dyDescent="0.2">
      <c r="A291">
        <v>140</v>
      </c>
      <c r="B291" s="37" t="s">
        <v>762</v>
      </c>
      <c r="C291" s="1">
        <v>45381</v>
      </c>
      <c r="D291" s="37" t="s">
        <v>762</v>
      </c>
      <c r="E291">
        <v>7.4711484807580802E-2</v>
      </c>
      <c r="F291">
        <v>7.4711484807580802E-2</v>
      </c>
    </row>
    <row r="292" spans="1:6" x14ac:dyDescent="0.2">
      <c r="A292">
        <v>140</v>
      </c>
      <c r="B292" s="37" t="s">
        <v>763</v>
      </c>
      <c r="C292" s="1">
        <v>45423</v>
      </c>
      <c r="D292" s="37" t="s">
        <v>763</v>
      </c>
      <c r="E292">
        <v>4.6079606744591099E-2</v>
      </c>
      <c r="F292">
        <v>4.6079606744591099E-2</v>
      </c>
    </row>
    <row r="293" spans="1:6" x14ac:dyDescent="0.2">
      <c r="A293">
        <v>141</v>
      </c>
      <c r="B293" s="37" t="s">
        <v>105</v>
      </c>
      <c r="C293" s="1">
        <v>45436</v>
      </c>
      <c r="D293" s="37" t="s">
        <v>105</v>
      </c>
      <c r="E293">
        <v>0.109151784185519</v>
      </c>
      <c r="F293">
        <v>0.109151784185519</v>
      </c>
    </row>
    <row r="294" spans="1:6" x14ac:dyDescent="0.2">
      <c r="A294">
        <v>141</v>
      </c>
      <c r="B294" s="37" t="s">
        <v>106</v>
      </c>
      <c r="C294" s="1">
        <v>45540</v>
      </c>
      <c r="D294" s="37" t="s">
        <v>106</v>
      </c>
      <c r="E294">
        <v>0.26197608291857299</v>
      </c>
      <c r="F294">
        <v>0.26197608291857299</v>
      </c>
    </row>
    <row r="295" spans="1:6" x14ac:dyDescent="0.2">
      <c r="A295">
        <v>141</v>
      </c>
      <c r="B295" s="37" t="s">
        <v>490</v>
      </c>
      <c r="C295" s="1">
        <v>45350</v>
      </c>
      <c r="D295" s="37" t="s">
        <v>490</v>
      </c>
      <c r="E295">
        <v>0.11826452117277</v>
      </c>
      <c r="F295">
        <v>0.11826452117277</v>
      </c>
    </row>
    <row r="296" spans="1:6" x14ac:dyDescent="0.2">
      <c r="A296">
        <v>142</v>
      </c>
      <c r="B296" s="37" t="s">
        <v>764</v>
      </c>
      <c r="C296" s="1">
        <v>45588</v>
      </c>
      <c r="D296" s="37" t="s">
        <v>764</v>
      </c>
      <c r="E296">
        <v>0.49643637333562801</v>
      </c>
      <c r="F296">
        <v>0.49643637333562801</v>
      </c>
    </row>
    <row r="297" spans="1:6" x14ac:dyDescent="0.2">
      <c r="A297">
        <v>142</v>
      </c>
      <c r="B297" s="37" t="s">
        <v>765</v>
      </c>
      <c r="C297" s="1">
        <v>45326</v>
      </c>
      <c r="D297" s="37" t="s">
        <v>765</v>
      </c>
      <c r="E297">
        <v>0.11850741361492501</v>
      </c>
      <c r="F297">
        <v>0.11850741361492501</v>
      </c>
    </row>
    <row r="298" spans="1:6" x14ac:dyDescent="0.2">
      <c r="A298">
        <v>143</v>
      </c>
      <c r="B298" s="37" t="s">
        <v>766</v>
      </c>
      <c r="C298" s="1">
        <v>45466</v>
      </c>
      <c r="D298" s="37" t="s">
        <v>766</v>
      </c>
      <c r="E298">
        <v>5.2136498352404297E-2</v>
      </c>
      <c r="F298">
        <v>5.2136498352404297E-2</v>
      </c>
    </row>
    <row r="299" spans="1:6" x14ac:dyDescent="0.2">
      <c r="A299">
        <v>143</v>
      </c>
      <c r="B299" s="37" t="s">
        <v>767</v>
      </c>
      <c r="C299" s="1">
        <v>45384</v>
      </c>
      <c r="D299" s="37" t="s">
        <v>767</v>
      </c>
      <c r="E299">
        <v>0.166009562214886</v>
      </c>
      <c r="F299">
        <v>0.166009562214886</v>
      </c>
    </row>
    <row r="300" spans="1:6" x14ac:dyDescent="0.2">
      <c r="A300">
        <v>143</v>
      </c>
      <c r="B300" s="37" t="s">
        <v>768</v>
      </c>
      <c r="C300" s="1">
        <v>45525</v>
      </c>
      <c r="D300" s="37" t="s">
        <v>768</v>
      </c>
      <c r="E300">
        <v>0.233432761252926</v>
      </c>
      <c r="F300">
        <v>0.233432761252926</v>
      </c>
    </row>
    <row r="301" spans="1:6" x14ac:dyDescent="0.2">
      <c r="A301">
        <v>143</v>
      </c>
      <c r="B301" s="37" t="s">
        <v>769</v>
      </c>
      <c r="C301" s="1">
        <v>45600</v>
      </c>
      <c r="D301" s="37" t="s">
        <v>769</v>
      </c>
      <c r="E301">
        <v>0.187748438188242</v>
      </c>
      <c r="F301">
        <v>0.187748438188242</v>
      </c>
    </row>
    <row r="302" spans="1:6" x14ac:dyDescent="0.2">
      <c r="A302">
        <v>144</v>
      </c>
      <c r="B302" s="37" t="s">
        <v>223</v>
      </c>
      <c r="C302" s="1">
        <v>45612</v>
      </c>
      <c r="D302" s="37" t="s">
        <v>223</v>
      </c>
      <c r="E302">
        <v>2.8064917776899501E-2</v>
      </c>
      <c r="F302">
        <v>2.8064917776899501E-2</v>
      </c>
    </row>
    <row r="303" spans="1:6" x14ac:dyDescent="0.2">
      <c r="A303">
        <v>144</v>
      </c>
      <c r="B303" s="37" t="s">
        <v>224</v>
      </c>
      <c r="C303" s="1">
        <v>45505</v>
      </c>
      <c r="D303" s="37" t="s">
        <v>224</v>
      </c>
      <c r="E303">
        <v>0.28982600439579398</v>
      </c>
      <c r="F303">
        <v>0.28982600439579398</v>
      </c>
    </row>
    <row r="304" spans="1:6" x14ac:dyDescent="0.2">
      <c r="A304">
        <v>144</v>
      </c>
      <c r="B304" s="37" t="s">
        <v>332</v>
      </c>
      <c r="C304" s="1">
        <v>45489</v>
      </c>
      <c r="D304" s="37" t="s">
        <v>332</v>
      </c>
      <c r="E304">
        <v>0.26141402543703202</v>
      </c>
      <c r="F304">
        <v>0.26141402543703202</v>
      </c>
    </row>
    <row r="305" spans="1:6" x14ac:dyDescent="0.2">
      <c r="A305">
        <v>145</v>
      </c>
      <c r="B305" s="37" t="s">
        <v>491</v>
      </c>
      <c r="C305" s="1">
        <v>45578</v>
      </c>
      <c r="D305" s="37" t="s">
        <v>491</v>
      </c>
      <c r="E305">
        <v>2.5244603520247901E-2</v>
      </c>
      <c r="F305">
        <v>2.5244603520247901E-2</v>
      </c>
    </row>
    <row r="306" spans="1:6" x14ac:dyDescent="0.2">
      <c r="A306">
        <v>146</v>
      </c>
      <c r="B306" s="37" t="s">
        <v>770</v>
      </c>
      <c r="C306" s="1">
        <v>45585</v>
      </c>
      <c r="D306" s="37" t="s">
        <v>770</v>
      </c>
      <c r="E306">
        <v>0.13125308058680299</v>
      </c>
      <c r="F306">
        <v>0.13125308058680299</v>
      </c>
    </row>
    <row r="307" spans="1:6" x14ac:dyDescent="0.2">
      <c r="A307">
        <v>146</v>
      </c>
      <c r="B307" s="37" t="s">
        <v>771</v>
      </c>
      <c r="C307" s="1">
        <v>45321</v>
      </c>
      <c r="D307" s="37" t="s">
        <v>771</v>
      </c>
      <c r="E307">
        <v>0.63341590624447996</v>
      </c>
      <c r="F307">
        <v>0.63341590624447996</v>
      </c>
    </row>
    <row r="308" spans="1:6" x14ac:dyDescent="0.2">
      <c r="A308">
        <v>146</v>
      </c>
      <c r="B308" s="37" t="s">
        <v>772</v>
      </c>
      <c r="C308" s="1">
        <v>45457</v>
      </c>
      <c r="D308" s="37" t="s">
        <v>772</v>
      </c>
      <c r="E308">
        <v>8.9588755327503003E-2</v>
      </c>
      <c r="F308">
        <v>8.9588755327503003E-2</v>
      </c>
    </row>
    <row r="309" spans="1:6" x14ac:dyDescent="0.2">
      <c r="A309">
        <v>147</v>
      </c>
      <c r="B309" s="37" t="s">
        <v>492</v>
      </c>
      <c r="C309" s="1">
        <v>45643</v>
      </c>
      <c r="D309" s="37" t="s">
        <v>492</v>
      </c>
      <c r="E309">
        <v>0.203166434775268</v>
      </c>
      <c r="F309">
        <v>0.203166434775268</v>
      </c>
    </row>
    <row r="310" spans="1:6" x14ac:dyDescent="0.2">
      <c r="A310">
        <v>147</v>
      </c>
      <c r="B310" s="37" t="s">
        <v>493</v>
      </c>
      <c r="C310" s="1">
        <v>45417</v>
      </c>
      <c r="D310" s="37" t="s">
        <v>493</v>
      </c>
      <c r="E310">
        <v>8.0898889358140394E-2</v>
      </c>
      <c r="F310">
        <v>8.0898889358140394E-2</v>
      </c>
    </row>
    <row r="311" spans="1:6" x14ac:dyDescent="0.2">
      <c r="A311">
        <v>147</v>
      </c>
      <c r="B311" s="37" t="s">
        <v>494</v>
      </c>
      <c r="C311" s="1">
        <v>45522</v>
      </c>
      <c r="D311" s="37" t="s">
        <v>494</v>
      </c>
      <c r="E311">
        <v>6.8060502624202407E-2</v>
      </c>
      <c r="F311">
        <v>6.8060502624202407E-2</v>
      </c>
    </row>
    <row r="312" spans="1:6" x14ac:dyDescent="0.2">
      <c r="A312">
        <v>148</v>
      </c>
      <c r="B312" s="37" t="s">
        <v>333</v>
      </c>
      <c r="C312" s="1">
        <v>45426</v>
      </c>
      <c r="D312" s="37" t="s">
        <v>333</v>
      </c>
      <c r="E312">
        <v>5.1499298049186903E-2</v>
      </c>
      <c r="F312">
        <v>5.1499298049186903E-2</v>
      </c>
    </row>
    <row r="313" spans="1:6" x14ac:dyDescent="0.2">
      <c r="A313">
        <v>148</v>
      </c>
      <c r="B313" s="37" t="s">
        <v>495</v>
      </c>
      <c r="C313" s="1">
        <v>45486</v>
      </c>
      <c r="D313" s="37" t="s">
        <v>495</v>
      </c>
      <c r="E313">
        <v>4.3883077563019797E-2</v>
      </c>
      <c r="F313">
        <v>4.3883077563019797E-2</v>
      </c>
    </row>
    <row r="314" spans="1:6" x14ac:dyDescent="0.2">
      <c r="A314">
        <v>148</v>
      </c>
      <c r="B314" s="37" t="s">
        <v>107</v>
      </c>
      <c r="C314" s="1">
        <v>45507</v>
      </c>
      <c r="D314" s="37" t="s">
        <v>107</v>
      </c>
      <c r="E314">
        <v>0.10920439858597</v>
      </c>
      <c r="F314">
        <v>0.10920439858597</v>
      </c>
    </row>
    <row r="315" spans="1:6" x14ac:dyDescent="0.2">
      <c r="A315">
        <v>148</v>
      </c>
      <c r="B315" s="37" t="s">
        <v>108</v>
      </c>
      <c r="C315" s="1">
        <v>45498</v>
      </c>
      <c r="D315" s="37" t="s">
        <v>108</v>
      </c>
      <c r="E315">
        <v>0.39241335243050701</v>
      </c>
      <c r="F315">
        <v>0.39241335243050701</v>
      </c>
    </row>
    <row r="316" spans="1:6" x14ac:dyDescent="0.2">
      <c r="A316">
        <v>149</v>
      </c>
      <c r="B316" s="37" t="s">
        <v>225</v>
      </c>
      <c r="C316" s="1">
        <v>45340</v>
      </c>
      <c r="D316" s="37" t="s">
        <v>225</v>
      </c>
      <c r="E316">
        <v>0.20009046273747999</v>
      </c>
      <c r="F316">
        <v>0.20009046273747999</v>
      </c>
    </row>
    <row r="317" spans="1:6" x14ac:dyDescent="0.2">
      <c r="A317">
        <v>149</v>
      </c>
      <c r="B317" s="37" t="s">
        <v>773</v>
      </c>
      <c r="C317" s="1">
        <v>45427</v>
      </c>
      <c r="D317" s="37" t="s">
        <v>773</v>
      </c>
      <c r="E317">
        <v>9.8641121896142506E-2</v>
      </c>
      <c r="F317">
        <v>9.8641121896142506E-2</v>
      </c>
    </row>
    <row r="318" spans="1:6" x14ac:dyDescent="0.2">
      <c r="A318">
        <v>149</v>
      </c>
      <c r="B318" s="37" t="s">
        <v>774</v>
      </c>
      <c r="C318" s="1">
        <v>45516</v>
      </c>
      <c r="D318" s="37" t="s">
        <v>774</v>
      </c>
      <c r="E318">
        <v>0.244180026317317</v>
      </c>
      <c r="F318">
        <v>0.244180026317317</v>
      </c>
    </row>
    <row r="319" spans="1:6" x14ac:dyDescent="0.2">
      <c r="A319">
        <v>150</v>
      </c>
      <c r="B319" s="37" t="s">
        <v>496</v>
      </c>
      <c r="C319" s="1">
        <v>45502</v>
      </c>
      <c r="D319" s="37" t="s">
        <v>496</v>
      </c>
      <c r="E319">
        <v>4.6258890772695203E-2</v>
      </c>
      <c r="F319">
        <v>4.6258890772695203E-2</v>
      </c>
    </row>
    <row r="320" spans="1:6" x14ac:dyDescent="0.2">
      <c r="A320">
        <v>150</v>
      </c>
      <c r="B320" s="37" t="s">
        <v>497</v>
      </c>
      <c r="C320" s="1">
        <v>45386</v>
      </c>
      <c r="D320" s="37" t="s">
        <v>497</v>
      </c>
      <c r="E320">
        <v>0.19081533979736201</v>
      </c>
      <c r="F320">
        <v>0.19081533979736201</v>
      </c>
    </row>
    <row r="321" spans="1:6" x14ac:dyDescent="0.2">
      <c r="A321">
        <v>151</v>
      </c>
      <c r="B321" s="37" t="s">
        <v>334</v>
      </c>
      <c r="C321" s="1">
        <v>45448</v>
      </c>
      <c r="D321" s="37" t="s">
        <v>334</v>
      </c>
      <c r="E321">
        <v>0.309761017203663</v>
      </c>
      <c r="F321">
        <v>0.309761017203663</v>
      </c>
    </row>
    <row r="322" spans="1:6" x14ac:dyDescent="0.2">
      <c r="A322">
        <v>152</v>
      </c>
      <c r="B322" s="37" t="s">
        <v>775</v>
      </c>
      <c r="C322" s="1">
        <v>45504</v>
      </c>
      <c r="D322" s="37" t="s">
        <v>775</v>
      </c>
      <c r="E322">
        <v>0.34121492515118501</v>
      </c>
      <c r="F322">
        <v>0.34121492515118501</v>
      </c>
    </row>
    <row r="323" spans="1:6" x14ac:dyDescent="0.2">
      <c r="A323">
        <v>152</v>
      </c>
      <c r="B323" s="37" t="s">
        <v>776</v>
      </c>
      <c r="C323" s="1">
        <v>45516</v>
      </c>
      <c r="D323" s="37" t="s">
        <v>776</v>
      </c>
      <c r="E323">
        <v>0.24501024191690601</v>
      </c>
      <c r="F323">
        <v>0.24501024191690601</v>
      </c>
    </row>
    <row r="324" spans="1:6" x14ac:dyDescent="0.2">
      <c r="A324">
        <v>153</v>
      </c>
      <c r="B324" s="37" t="s">
        <v>777</v>
      </c>
      <c r="C324" s="1">
        <v>45356</v>
      </c>
      <c r="D324" s="37" t="s">
        <v>777</v>
      </c>
      <c r="E324">
        <v>4.8249802103817199E-2</v>
      </c>
      <c r="F324">
        <v>4.8249802103817199E-2</v>
      </c>
    </row>
    <row r="325" spans="1:6" x14ac:dyDescent="0.2">
      <c r="A325">
        <v>153</v>
      </c>
      <c r="B325" s="37" t="s">
        <v>778</v>
      </c>
      <c r="C325" s="1">
        <v>45645</v>
      </c>
      <c r="D325" s="37" t="s">
        <v>778</v>
      </c>
      <c r="E325">
        <v>0.147805961483014</v>
      </c>
      <c r="F325">
        <v>0.147805961483014</v>
      </c>
    </row>
    <row r="326" spans="1:6" x14ac:dyDescent="0.2">
      <c r="A326">
        <v>154</v>
      </c>
      <c r="B326" s="37" t="s">
        <v>779</v>
      </c>
      <c r="C326" s="1">
        <v>45514</v>
      </c>
      <c r="D326" s="37" t="s">
        <v>779</v>
      </c>
      <c r="E326">
        <v>7.0852326083825898E-2</v>
      </c>
      <c r="F326">
        <v>7.0852326083825898E-2</v>
      </c>
    </row>
    <row r="327" spans="1:6" x14ac:dyDescent="0.2">
      <c r="A327">
        <v>154</v>
      </c>
      <c r="B327" s="37" t="s">
        <v>780</v>
      </c>
      <c r="C327" s="1">
        <v>45305</v>
      </c>
      <c r="D327" s="37" t="s">
        <v>780</v>
      </c>
      <c r="E327">
        <v>0.18214410502056899</v>
      </c>
      <c r="F327">
        <v>0.18214410502056899</v>
      </c>
    </row>
    <row r="328" spans="1:6" x14ac:dyDescent="0.2">
      <c r="A328">
        <v>154</v>
      </c>
      <c r="B328" s="37" t="s">
        <v>781</v>
      </c>
      <c r="C328" s="1">
        <v>45523</v>
      </c>
      <c r="D328" s="37" t="s">
        <v>781</v>
      </c>
      <c r="E328">
        <v>0.59187521059960502</v>
      </c>
      <c r="F328">
        <v>0.59187521059960502</v>
      </c>
    </row>
    <row r="329" spans="1:6" x14ac:dyDescent="0.2">
      <c r="A329">
        <v>155</v>
      </c>
      <c r="B329" s="37" t="s">
        <v>782</v>
      </c>
      <c r="C329" s="1">
        <v>45441</v>
      </c>
      <c r="D329" s="37" t="s">
        <v>782</v>
      </c>
      <c r="E329">
        <v>0.68824397677830496</v>
      </c>
      <c r="F329">
        <v>0.68824397677830496</v>
      </c>
    </row>
    <row r="330" spans="1:6" x14ac:dyDescent="0.2">
      <c r="A330">
        <v>155</v>
      </c>
      <c r="B330" s="37" t="s">
        <v>498</v>
      </c>
      <c r="C330" s="1">
        <v>45463</v>
      </c>
      <c r="D330" s="37" t="s">
        <v>498</v>
      </c>
      <c r="E330">
        <v>0.69741303600483695</v>
      </c>
      <c r="F330">
        <v>0.69741303600483695</v>
      </c>
    </row>
    <row r="331" spans="1:6" x14ac:dyDescent="0.2">
      <c r="A331">
        <v>155</v>
      </c>
      <c r="B331" s="37" t="s">
        <v>499</v>
      </c>
      <c r="C331" s="1">
        <v>45546</v>
      </c>
      <c r="D331" s="37" t="s">
        <v>499</v>
      </c>
      <c r="E331">
        <v>3.7870357608560098E-2</v>
      </c>
      <c r="F331">
        <v>3.7870357608560098E-2</v>
      </c>
    </row>
    <row r="332" spans="1:6" x14ac:dyDescent="0.2">
      <c r="A332">
        <v>156</v>
      </c>
      <c r="B332" s="37" t="s">
        <v>109</v>
      </c>
      <c r="C332" s="1">
        <v>45490</v>
      </c>
      <c r="D332" s="37" t="s">
        <v>109</v>
      </c>
      <c r="E332">
        <v>0.17494519988784801</v>
      </c>
      <c r="F332">
        <v>0.17494519988784801</v>
      </c>
    </row>
    <row r="333" spans="1:6" x14ac:dyDescent="0.2">
      <c r="A333">
        <v>156</v>
      </c>
      <c r="B333" s="37" t="s">
        <v>226</v>
      </c>
      <c r="C333" s="1">
        <v>45465</v>
      </c>
      <c r="D333" s="37" t="s">
        <v>226</v>
      </c>
      <c r="E333">
        <v>7.1161795677812403E-2</v>
      </c>
      <c r="F333">
        <v>7.1161795677812403E-2</v>
      </c>
    </row>
    <row r="334" spans="1:6" x14ac:dyDescent="0.2">
      <c r="A334">
        <v>157</v>
      </c>
      <c r="B334" s="37" t="s">
        <v>110</v>
      </c>
      <c r="C334" s="1">
        <v>45321</v>
      </c>
      <c r="D334" s="37" t="s">
        <v>110</v>
      </c>
      <c r="E334">
        <v>0.13057629913535199</v>
      </c>
      <c r="F334">
        <v>0.13057629913535199</v>
      </c>
    </row>
    <row r="335" spans="1:6" x14ac:dyDescent="0.2">
      <c r="A335">
        <v>157</v>
      </c>
      <c r="B335" s="37" t="s">
        <v>783</v>
      </c>
      <c r="C335" s="1">
        <v>45489</v>
      </c>
      <c r="D335" s="37" t="s">
        <v>783</v>
      </c>
      <c r="E335">
        <v>0.25022841028875997</v>
      </c>
      <c r="F335">
        <v>0.25022841028875997</v>
      </c>
    </row>
    <row r="336" spans="1:6" x14ac:dyDescent="0.2">
      <c r="A336">
        <v>158</v>
      </c>
      <c r="B336" s="37" t="s">
        <v>784</v>
      </c>
      <c r="C336" s="1">
        <v>45473</v>
      </c>
      <c r="D336" s="37" t="s">
        <v>784</v>
      </c>
      <c r="E336">
        <v>6.45600769288701E-2</v>
      </c>
      <c r="F336">
        <v>6.45600769288701E-2</v>
      </c>
    </row>
    <row r="337" spans="1:6" x14ac:dyDescent="0.2">
      <c r="A337">
        <v>158</v>
      </c>
      <c r="B337" s="37" t="s">
        <v>785</v>
      </c>
      <c r="C337" s="1">
        <v>45474</v>
      </c>
      <c r="D337" s="37" t="s">
        <v>785</v>
      </c>
      <c r="E337">
        <v>0.17929835533303401</v>
      </c>
      <c r="F337">
        <v>0.17929835533303401</v>
      </c>
    </row>
    <row r="338" spans="1:6" x14ac:dyDescent="0.2">
      <c r="A338">
        <v>158</v>
      </c>
      <c r="B338" s="37" t="s">
        <v>335</v>
      </c>
      <c r="C338" s="1">
        <v>45337</v>
      </c>
      <c r="D338" s="37" t="s">
        <v>335</v>
      </c>
      <c r="E338">
        <v>0.420872810960289</v>
      </c>
      <c r="F338">
        <v>0.420872810960289</v>
      </c>
    </row>
    <row r="339" spans="1:6" x14ac:dyDescent="0.2">
      <c r="A339">
        <v>159</v>
      </c>
      <c r="B339" s="37" t="s">
        <v>786</v>
      </c>
      <c r="C339" s="1">
        <v>45453</v>
      </c>
      <c r="D339" s="37" t="s">
        <v>786</v>
      </c>
      <c r="E339">
        <v>3.9222321302819899E-2</v>
      </c>
      <c r="F339">
        <v>3.9222321302819899E-2</v>
      </c>
    </row>
    <row r="340" spans="1:6" x14ac:dyDescent="0.2">
      <c r="A340">
        <v>159</v>
      </c>
      <c r="B340" s="37" t="s">
        <v>111</v>
      </c>
      <c r="C340" s="1">
        <v>45498</v>
      </c>
      <c r="D340" s="37" t="s">
        <v>111</v>
      </c>
      <c r="E340">
        <v>0.29400346657736398</v>
      </c>
      <c r="F340">
        <v>0.29400346657736398</v>
      </c>
    </row>
    <row r="341" spans="1:6" x14ac:dyDescent="0.2">
      <c r="A341">
        <v>160</v>
      </c>
      <c r="B341" s="37" t="s">
        <v>787</v>
      </c>
      <c r="C341" s="1">
        <v>45546</v>
      </c>
      <c r="D341" s="37" t="s">
        <v>787</v>
      </c>
      <c r="E341">
        <v>8.4246414470230499E-2</v>
      </c>
      <c r="F341">
        <v>8.4246414470230499E-2</v>
      </c>
    </row>
    <row r="342" spans="1:6" x14ac:dyDescent="0.2">
      <c r="A342">
        <v>160</v>
      </c>
      <c r="B342" s="37" t="s">
        <v>788</v>
      </c>
      <c r="C342" s="1">
        <v>45609</v>
      </c>
      <c r="D342" s="37" t="s">
        <v>788</v>
      </c>
      <c r="E342">
        <v>4.3072747898854E-2</v>
      </c>
      <c r="F342">
        <v>4.3072747898854E-2</v>
      </c>
    </row>
    <row r="343" spans="1:6" x14ac:dyDescent="0.2">
      <c r="A343">
        <v>160</v>
      </c>
      <c r="B343" s="37" t="s">
        <v>789</v>
      </c>
      <c r="C343" s="1">
        <v>45430</v>
      </c>
      <c r="D343" s="37" t="s">
        <v>789</v>
      </c>
      <c r="E343">
        <v>0.120657119185114</v>
      </c>
      <c r="F343">
        <v>0.120657119185114</v>
      </c>
    </row>
    <row r="344" spans="1:6" x14ac:dyDescent="0.2">
      <c r="A344">
        <v>161</v>
      </c>
      <c r="B344" s="37" t="s">
        <v>336</v>
      </c>
      <c r="C344" s="1">
        <v>45476</v>
      </c>
      <c r="D344" s="37" t="s">
        <v>336</v>
      </c>
      <c r="E344">
        <v>5.0918386760780802E-2</v>
      </c>
      <c r="F344">
        <v>5.0918386760780802E-2</v>
      </c>
    </row>
    <row r="345" spans="1:6" x14ac:dyDescent="0.2">
      <c r="A345">
        <v>161</v>
      </c>
      <c r="B345" s="37" t="s">
        <v>790</v>
      </c>
      <c r="C345" s="1">
        <v>45641</v>
      </c>
      <c r="D345" s="37" t="s">
        <v>790</v>
      </c>
      <c r="E345">
        <v>3.6862937417290499E-2</v>
      </c>
      <c r="F345">
        <v>3.6862937417290499E-2</v>
      </c>
    </row>
    <row r="346" spans="1:6" x14ac:dyDescent="0.2">
      <c r="A346">
        <v>162</v>
      </c>
      <c r="B346" s="37" t="s">
        <v>791</v>
      </c>
      <c r="C346" s="1">
        <v>45609</v>
      </c>
      <c r="D346" s="37" t="s">
        <v>791</v>
      </c>
      <c r="E346">
        <v>9.2995737945195403E-2</v>
      </c>
      <c r="F346">
        <v>9.2995737945195403E-2</v>
      </c>
    </row>
    <row r="347" spans="1:6" x14ac:dyDescent="0.2">
      <c r="A347">
        <v>162</v>
      </c>
      <c r="B347" s="37" t="s">
        <v>792</v>
      </c>
      <c r="C347" s="1">
        <v>45413</v>
      </c>
      <c r="D347" s="37" t="s">
        <v>792</v>
      </c>
      <c r="E347">
        <v>9.5551491780516806E-2</v>
      </c>
      <c r="F347">
        <v>9.5551491780516806E-2</v>
      </c>
    </row>
    <row r="348" spans="1:6" x14ac:dyDescent="0.2">
      <c r="A348">
        <v>162</v>
      </c>
      <c r="B348" s="37" t="s">
        <v>793</v>
      </c>
      <c r="C348" s="1">
        <v>45478</v>
      </c>
      <c r="D348" s="37" t="s">
        <v>793</v>
      </c>
      <c r="E348">
        <v>0.125087068535253</v>
      </c>
      <c r="F348">
        <v>0.125087068535253</v>
      </c>
    </row>
    <row r="349" spans="1:6" x14ac:dyDescent="0.2">
      <c r="A349">
        <v>163</v>
      </c>
      <c r="B349" s="37" t="s">
        <v>500</v>
      </c>
      <c r="C349" s="1">
        <v>45323</v>
      </c>
      <c r="D349" s="37" t="s">
        <v>500</v>
      </c>
      <c r="E349">
        <v>0.45064743571176002</v>
      </c>
      <c r="F349">
        <v>0.45064743571176002</v>
      </c>
    </row>
    <row r="350" spans="1:6" x14ac:dyDescent="0.2">
      <c r="A350">
        <v>163</v>
      </c>
      <c r="B350" s="37" t="s">
        <v>501</v>
      </c>
      <c r="C350" s="1">
        <v>45393</v>
      </c>
      <c r="D350" s="37" t="s">
        <v>501</v>
      </c>
      <c r="E350">
        <v>0.229185382494735</v>
      </c>
      <c r="F350">
        <v>0.229185382494735</v>
      </c>
    </row>
    <row r="351" spans="1:6" x14ac:dyDescent="0.2">
      <c r="A351">
        <v>164</v>
      </c>
      <c r="B351" s="37" t="s">
        <v>502</v>
      </c>
      <c r="C351" s="1">
        <v>45638</v>
      </c>
      <c r="D351" s="37" t="s">
        <v>502</v>
      </c>
      <c r="E351">
        <v>0.29477736994807802</v>
      </c>
      <c r="F351">
        <v>0.29477736994807802</v>
      </c>
    </row>
    <row r="352" spans="1:6" x14ac:dyDescent="0.2">
      <c r="A352">
        <v>164</v>
      </c>
      <c r="B352" s="37" t="s">
        <v>337</v>
      </c>
      <c r="C352" s="1">
        <v>45362</v>
      </c>
      <c r="D352" s="37" t="s">
        <v>337</v>
      </c>
      <c r="E352">
        <v>8.7404200516332298E-2</v>
      </c>
      <c r="F352">
        <v>8.7404200516332298E-2</v>
      </c>
    </row>
    <row r="353" spans="1:6" x14ac:dyDescent="0.2">
      <c r="A353">
        <v>164</v>
      </c>
      <c r="B353" s="37" t="s">
        <v>338</v>
      </c>
      <c r="C353" s="1">
        <v>45327</v>
      </c>
      <c r="D353" s="37" t="s">
        <v>338</v>
      </c>
      <c r="E353">
        <v>0.15675578221831599</v>
      </c>
      <c r="F353">
        <v>0.15675578221831599</v>
      </c>
    </row>
    <row r="354" spans="1:6" x14ac:dyDescent="0.2">
      <c r="A354">
        <v>165</v>
      </c>
      <c r="B354" s="37" t="s">
        <v>794</v>
      </c>
      <c r="C354" s="1">
        <v>45324</v>
      </c>
      <c r="D354" s="37" t="s">
        <v>794</v>
      </c>
      <c r="E354">
        <v>0.29714903795740299</v>
      </c>
      <c r="F354">
        <v>0.29714903795740299</v>
      </c>
    </row>
    <row r="355" spans="1:6" x14ac:dyDescent="0.2">
      <c r="A355">
        <v>165</v>
      </c>
      <c r="B355" s="37" t="s">
        <v>112</v>
      </c>
      <c r="C355" s="1">
        <v>45397</v>
      </c>
      <c r="D355" s="37" t="s">
        <v>112</v>
      </c>
      <c r="E355">
        <v>0.205588009793501</v>
      </c>
      <c r="F355">
        <v>0.205588009793501</v>
      </c>
    </row>
    <row r="356" spans="1:6" x14ac:dyDescent="0.2">
      <c r="A356">
        <v>165</v>
      </c>
      <c r="B356" s="37" t="s">
        <v>113</v>
      </c>
      <c r="C356" s="1">
        <v>45323</v>
      </c>
      <c r="D356" s="37" t="s">
        <v>113</v>
      </c>
      <c r="E356">
        <v>6.9832476987081102E-2</v>
      </c>
      <c r="F356">
        <v>6.9832476987081102E-2</v>
      </c>
    </row>
    <row r="357" spans="1:6" x14ac:dyDescent="0.2">
      <c r="A357">
        <v>166</v>
      </c>
      <c r="B357" s="37" t="s">
        <v>114</v>
      </c>
      <c r="C357" s="1">
        <v>45481</v>
      </c>
      <c r="D357" s="37" t="s">
        <v>114</v>
      </c>
      <c r="E357">
        <v>0.114578322179896</v>
      </c>
      <c r="F357">
        <v>0.114578322179896</v>
      </c>
    </row>
    <row r="358" spans="1:6" x14ac:dyDescent="0.2">
      <c r="A358">
        <v>166</v>
      </c>
      <c r="B358" s="37" t="s">
        <v>115</v>
      </c>
      <c r="C358" s="1">
        <v>45387</v>
      </c>
      <c r="D358" s="37" t="s">
        <v>115</v>
      </c>
      <c r="E358">
        <v>0.21130644536491899</v>
      </c>
      <c r="F358">
        <v>0.21130644536491899</v>
      </c>
    </row>
    <row r="359" spans="1:6" x14ac:dyDescent="0.2">
      <c r="A359">
        <v>167</v>
      </c>
      <c r="B359" s="37" t="s">
        <v>795</v>
      </c>
      <c r="C359" s="1">
        <v>45561</v>
      </c>
      <c r="D359" s="37" t="s">
        <v>795</v>
      </c>
      <c r="E359">
        <v>0.15476930039369699</v>
      </c>
      <c r="F359">
        <v>0.15476930039369699</v>
      </c>
    </row>
    <row r="360" spans="1:6" x14ac:dyDescent="0.2">
      <c r="A360">
        <v>167</v>
      </c>
      <c r="B360" s="37" t="s">
        <v>796</v>
      </c>
      <c r="C360" s="1">
        <v>45653</v>
      </c>
      <c r="D360" s="37" t="s">
        <v>796</v>
      </c>
      <c r="E360">
        <v>5.9095450425793998E-2</v>
      </c>
      <c r="F360">
        <v>5.9095450425793998E-2</v>
      </c>
    </row>
    <row r="361" spans="1:6" x14ac:dyDescent="0.2">
      <c r="A361">
        <v>168</v>
      </c>
      <c r="B361" s="37" t="s">
        <v>503</v>
      </c>
      <c r="C361" s="1">
        <v>45608</v>
      </c>
      <c r="D361" s="37" t="s">
        <v>503</v>
      </c>
      <c r="E361">
        <v>8.71504463583095E-2</v>
      </c>
      <c r="F361">
        <v>8.71504463583095E-2</v>
      </c>
    </row>
    <row r="362" spans="1:6" x14ac:dyDescent="0.2">
      <c r="A362">
        <v>168</v>
      </c>
      <c r="B362" s="37" t="s">
        <v>504</v>
      </c>
      <c r="C362" s="1">
        <v>45414</v>
      </c>
      <c r="D362" s="37" t="s">
        <v>504</v>
      </c>
      <c r="E362">
        <v>0.22414825962620599</v>
      </c>
      <c r="F362">
        <v>0.22414825962620599</v>
      </c>
    </row>
    <row r="363" spans="1:6" x14ac:dyDescent="0.2">
      <c r="A363">
        <v>168</v>
      </c>
      <c r="B363" s="37" t="s">
        <v>797</v>
      </c>
      <c r="C363" s="1">
        <v>45642</v>
      </c>
      <c r="D363" s="37" t="s">
        <v>797</v>
      </c>
      <c r="E363">
        <v>0.454495055978478</v>
      </c>
      <c r="F363">
        <v>0.454495055978478</v>
      </c>
    </row>
    <row r="364" spans="1:6" x14ac:dyDescent="0.2">
      <c r="A364">
        <v>169</v>
      </c>
      <c r="B364" s="37" t="s">
        <v>116</v>
      </c>
      <c r="C364" s="1">
        <v>45638</v>
      </c>
      <c r="D364" s="37" t="s">
        <v>116</v>
      </c>
      <c r="E364">
        <v>0.13735017666655799</v>
      </c>
      <c r="F364">
        <v>0.13735017666655799</v>
      </c>
    </row>
    <row r="365" spans="1:6" x14ac:dyDescent="0.2">
      <c r="A365">
        <v>169</v>
      </c>
      <c r="B365" s="37" t="s">
        <v>117</v>
      </c>
      <c r="C365" s="1">
        <v>45340</v>
      </c>
      <c r="D365" s="37" t="s">
        <v>117</v>
      </c>
      <c r="E365">
        <v>0.121236496221721</v>
      </c>
      <c r="F365">
        <v>0.121236496221721</v>
      </c>
    </row>
    <row r="366" spans="1:6" x14ac:dyDescent="0.2">
      <c r="A366">
        <v>170</v>
      </c>
      <c r="B366" s="37" t="s">
        <v>227</v>
      </c>
      <c r="C366" s="1">
        <v>45598</v>
      </c>
      <c r="D366" s="37" t="s">
        <v>227</v>
      </c>
      <c r="E366">
        <v>0.17957653374045801</v>
      </c>
      <c r="F366">
        <v>0.17957653374045801</v>
      </c>
    </row>
    <row r="367" spans="1:6" x14ac:dyDescent="0.2">
      <c r="A367">
        <v>170</v>
      </c>
      <c r="B367" s="37" t="s">
        <v>228</v>
      </c>
      <c r="C367" s="1">
        <v>45322</v>
      </c>
      <c r="D367" s="37" t="s">
        <v>228</v>
      </c>
      <c r="E367">
        <v>1.43499791994887E-2</v>
      </c>
      <c r="F367">
        <v>1.43499791994887E-2</v>
      </c>
    </row>
    <row r="368" spans="1:6" x14ac:dyDescent="0.2">
      <c r="A368">
        <v>170</v>
      </c>
      <c r="B368" s="37" t="s">
        <v>229</v>
      </c>
      <c r="C368" s="1">
        <v>45521</v>
      </c>
      <c r="D368" s="37" t="s">
        <v>229</v>
      </c>
      <c r="E368">
        <v>0.131133916447809</v>
      </c>
      <c r="F368">
        <v>0.131133916447809</v>
      </c>
    </row>
    <row r="369" spans="1:6" x14ac:dyDescent="0.2">
      <c r="A369">
        <v>171</v>
      </c>
      <c r="B369" s="37" t="s">
        <v>798</v>
      </c>
      <c r="C369" s="1">
        <v>45598</v>
      </c>
      <c r="D369" s="37" t="s">
        <v>798</v>
      </c>
      <c r="E369">
        <v>9.9679167375063105E-2</v>
      </c>
      <c r="F369">
        <v>9.9679167375063105E-2</v>
      </c>
    </row>
    <row r="370" spans="1:6" x14ac:dyDescent="0.2">
      <c r="A370">
        <v>171</v>
      </c>
      <c r="B370" s="37" t="s">
        <v>799</v>
      </c>
      <c r="C370" s="1">
        <v>45351</v>
      </c>
      <c r="D370" s="37" t="s">
        <v>799</v>
      </c>
      <c r="E370">
        <v>0.26608573633683102</v>
      </c>
      <c r="F370">
        <v>0.26608573633683102</v>
      </c>
    </row>
    <row r="371" spans="1:6" x14ac:dyDescent="0.2">
      <c r="A371">
        <v>172</v>
      </c>
      <c r="B371" s="37" t="s">
        <v>800</v>
      </c>
      <c r="C371" s="1">
        <v>45303</v>
      </c>
      <c r="D371" s="37" t="s">
        <v>800</v>
      </c>
      <c r="E371">
        <v>0.13966874958904901</v>
      </c>
      <c r="F371">
        <v>0.13966874958904901</v>
      </c>
    </row>
    <row r="372" spans="1:6" x14ac:dyDescent="0.2">
      <c r="A372">
        <v>172</v>
      </c>
      <c r="B372" s="37" t="s">
        <v>505</v>
      </c>
      <c r="C372" s="1">
        <v>45335</v>
      </c>
      <c r="D372" s="37" t="s">
        <v>505</v>
      </c>
      <c r="E372">
        <v>0.300456980943412</v>
      </c>
      <c r="F372">
        <v>0.300456980943412</v>
      </c>
    </row>
    <row r="373" spans="1:6" x14ac:dyDescent="0.2">
      <c r="A373">
        <v>172</v>
      </c>
      <c r="B373" s="37" t="s">
        <v>506</v>
      </c>
      <c r="C373" s="1">
        <v>45647</v>
      </c>
      <c r="D373" s="37" t="s">
        <v>506</v>
      </c>
      <c r="E373">
        <v>8.2675545348415494E-2</v>
      </c>
      <c r="F373">
        <v>8.2675545348415494E-2</v>
      </c>
    </row>
    <row r="374" spans="1:6" x14ac:dyDescent="0.2">
      <c r="A374">
        <v>173</v>
      </c>
      <c r="B374" s="37" t="s">
        <v>801</v>
      </c>
      <c r="C374" s="1">
        <v>45468</v>
      </c>
      <c r="D374" s="37" t="s">
        <v>801</v>
      </c>
      <c r="E374">
        <v>0.12150718637851</v>
      </c>
      <c r="F374">
        <v>0.12150718637851</v>
      </c>
    </row>
    <row r="375" spans="1:6" x14ac:dyDescent="0.2">
      <c r="A375">
        <v>174</v>
      </c>
      <c r="B375" s="37" t="s">
        <v>339</v>
      </c>
      <c r="C375" s="1">
        <v>45566</v>
      </c>
      <c r="D375" s="37" t="s">
        <v>339</v>
      </c>
      <c r="E375">
        <v>5.7223226766352699E-2</v>
      </c>
      <c r="F375">
        <v>5.7223226766352699E-2</v>
      </c>
    </row>
    <row r="376" spans="1:6" x14ac:dyDescent="0.2">
      <c r="A376">
        <v>175</v>
      </c>
      <c r="B376" s="37" t="s">
        <v>802</v>
      </c>
      <c r="C376" s="1">
        <v>45435</v>
      </c>
      <c r="D376" s="37" t="s">
        <v>802</v>
      </c>
      <c r="E376">
        <v>0.170272131756247</v>
      </c>
      <c r="F376">
        <v>0.170272131756247</v>
      </c>
    </row>
    <row r="377" spans="1:6" x14ac:dyDescent="0.2">
      <c r="A377">
        <v>175</v>
      </c>
      <c r="B377" s="37" t="s">
        <v>803</v>
      </c>
      <c r="C377" s="1">
        <v>45399</v>
      </c>
      <c r="D377" s="37" t="s">
        <v>803</v>
      </c>
      <c r="E377">
        <v>0.118322983223795</v>
      </c>
      <c r="F377">
        <v>0.118322983223795</v>
      </c>
    </row>
    <row r="378" spans="1:6" x14ac:dyDescent="0.2">
      <c r="A378">
        <v>176</v>
      </c>
      <c r="B378" s="37" t="s">
        <v>507</v>
      </c>
      <c r="C378" s="1">
        <v>45464</v>
      </c>
      <c r="D378" s="37" t="s">
        <v>507</v>
      </c>
      <c r="E378">
        <v>3.1893873141482398E-2</v>
      </c>
      <c r="F378">
        <v>3.1893873141482398E-2</v>
      </c>
    </row>
    <row r="379" spans="1:6" x14ac:dyDescent="0.2">
      <c r="A379">
        <v>176</v>
      </c>
      <c r="B379" s="37" t="s">
        <v>804</v>
      </c>
      <c r="C379" s="1">
        <v>45585</v>
      </c>
      <c r="D379" s="37" t="s">
        <v>804</v>
      </c>
      <c r="E379">
        <v>9.4181918010827495E-2</v>
      </c>
      <c r="F379">
        <v>9.4181918010827495E-2</v>
      </c>
    </row>
    <row r="380" spans="1:6" x14ac:dyDescent="0.2">
      <c r="A380">
        <v>177</v>
      </c>
      <c r="B380" s="37" t="s">
        <v>805</v>
      </c>
      <c r="C380" s="1">
        <v>45506</v>
      </c>
      <c r="D380" s="37" t="s">
        <v>805</v>
      </c>
      <c r="E380">
        <v>0.59389175402847305</v>
      </c>
      <c r="F380">
        <v>0.59389175402847305</v>
      </c>
    </row>
    <row r="381" spans="1:6" x14ac:dyDescent="0.2">
      <c r="A381">
        <v>177</v>
      </c>
      <c r="B381" s="37" t="s">
        <v>806</v>
      </c>
      <c r="C381" s="1">
        <v>45601</v>
      </c>
      <c r="D381" s="37" t="s">
        <v>806</v>
      </c>
      <c r="E381">
        <v>5.8791361270971197E-2</v>
      </c>
      <c r="F381">
        <v>5.8791361270971197E-2</v>
      </c>
    </row>
    <row r="382" spans="1:6" x14ac:dyDescent="0.2">
      <c r="A382">
        <v>177</v>
      </c>
      <c r="B382" s="37" t="s">
        <v>807</v>
      </c>
      <c r="C382" s="1">
        <v>45632</v>
      </c>
      <c r="D382" s="37" t="s">
        <v>807</v>
      </c>
      <c r="E382">
        <v>6.0110353900179103E-2</v>
      </c>
      <c r="F382">
        <v>6.0110353900179103E-2</v>
      </c>
    </row>
    <row r="383" spans="1:6" x14ac:dyDescent="0.2">
      <c r="A383">
        <v>178</v>
      </c>
      <c r="B383" s="37" t="s">
        <v>808</v>
      </c>
      <c r="C383" s="1">
        <v>45412</v>
      </c>
      <c r="D383" s="37" t="s">
        <v>808</v>
      </c>
      <c r="E383">
        <v>0.40497486276182498</v>
      </c>
      <c r="F383">
        <v>0.40497486276182498</v>
      </c>
    </row>
    <row r="384" spans="1:6" x14ac:dyDescent="0.2">
      <c r="A384">
        <v>178</v>
      </c>
      <c r="B384" s="37" t="s">
        <v>230</v>
      </c>
      <c r="C384" s="1">
        <v>45455</v>
      </c>
      <c r="D384" s="37" t="s">
        <v>230</v>
      </c>
      <c r="E384">
        <v>0.14568038126504201</v>
      </c>
      <c r="F384">
        <v>0.14568038126504201</v>
      </c>
    </row>
    <row r="385" spans="1:6" x14ac:dyDescent="0.2">
      <c r="A385">
        <v>179</v>
      </c>
      <c r="B385" s="37" t="s">
        <v>340</v>
      </c>
      <c r="C385" s="1">
        <v>45642</v>
      </c>
      <c r="D385" s="37" t="s">
        <v>340</v>
      </c>
      <c r="E385">
        <v>8.3137919278832399E-3</v>
      </c>
      <c r="F385">
        <v>8.3137919278832399E-3</v>
      </c>
    </row>
    <row r="386" spans="1:6" x14ac:dyDescent="0.2">
      <c r="A386">
        <v>180</v>
      </c>
      <c r="B386" s="37" t="s">
        <v>508</v>
      </c>
      <c r="C386" s="1">
        <v>45507</v>
      </c>
      <c r="D386" s="37" t="s">
        <v>508</v>
      </c>
      <c r="E386">
        <v>0.13597445133223501</v>
      </c>
      <c r="F386">
        <v>0.13597445133223501</v>
      </c>
    </row>
    <row r="387" spans="1:6" x14ac:dyDescent="0.2">
      <c r="A387">
        <v>180</v>
      </c>
      <c r="B387" s="37" t="s">
        <v>118</v>
      </c>
      <c r="C387" s="1">
        <v>45564</v>
      </c>
      <c r="D387" s="37" t="s">
        <v>118</v>
      </c>
      <c r="E387">
        <v>0.10926031519000701</v>
      </c>
      <c r="F387">
        <v>0.10926031519000701</v>
      </c>
    </row>
    <row r="388" spans="1:6" x14ac:dyDescent="0.2">
      <c r="A388">
        <v>181</v>
      </c>
      <c r="B388" s="37" t="s">
        <v>231</v>
      </c>
      <c r="C388" s="1">
        <v>45601</v>
      </c>
      <c r="D388" s="37" t="s">
        <v>231</v>
      </c>
      <c r="E388">
        <v>5.5979664048979201E-2</v>
      </c>
      <c r="F388">
        <v>5.5979664048979201E-2</v>
      </c>
    </row>
    <row r="389" spans="1:6" x14ac:dyDescent="0.2">
      <c r="A389">
        <v>182</v>
      </c>
      <c r="B389" s="37" t="s">
        <v>809</v>
      </c>
      <c r="C389" s="1">
        <v>45460</v>
      </c>
      <c r="D389" s="37" t="s">
        <v>809</v>
      </c>
      <c r="E389">
        <v>0.16415615935706299</v>
      </c>
      <c r="F389">
        <v>0.16415615935706299</v>
      </c>
    </row>
    <row r="390" spans="1:6" x14ac:dyDescent="0.2">
      <c r="A390">
        <v>182</v>
      </c>
      <c r="B390" s="37" t="s">
        <v>810</v>
      </c>
      <c r="C390" s="1">
        <v>45383</v>
      </c>
      <c r="D390" s="37" t="s">
        <v>810</v>
      </c>
      <c r="E390">
        <v>0.34963119377468799</v>
      </c>
      <c r="F390">
        <v>0.34963119377468799</v>
      </c>
    </row>
    <row r="391" spans="1:6" x14ac:dyDescent="0.2">
      <c r="A391">
        <v>182</v>
      </c>
      <c r="B391" s="37" t="s">
        <v>119</v>
      </c>
      <c r="C391" s="1">
        <v>45415</v>
      </c>
      <c r="D391" s="37" t="s">
        <v>119</v>
      </c>
      <c r="E391">
        <v>0.12681349449207399</v>
      </c>
      <c r="F391">
        <v>0.12681349449207399</v>
      </c>
    </row>
    <row r="392" spans="1:6" x14ac:dyDescent="0.2">
      <c r="A392">
        <v>183</v>
      </c>
      <c r="B392" s="37" t="s">
        <v>811</v>
      </c>
      <c r="C392" s="1">
        <v>45546</v>
      </c>
      <c r="D392" s="37" t="s">
        <v>811</v>
      </c>
      <c r="E392">
        <v>0.30936437265688899</v>
      </c>
      <c r="F392">
        <v>0.30936437265688899</v>
      </c>
    </row>
    <row r="393" spans="1:6" x14ac:dyDescent="0.2">
      <c r="A393">
        <v>183</v>
      </c>
      <c r="B393" s="37" t="s">
        <v>509</v>
      </c>
      <c r="C393" s="1">
        <v>45554</v>
      </c>
      <c r="D393" s="37" t="s">
        <v>509</v>
      </c>
      <c r="E393">
        <v>0.34203487961483597</v>
      </c>
      <c r="F393">
        <v>0.34203487961483597</v>
      </c>
    </row>
    <row r="394" spans="1:6" x14ac:dyDescent="0.2">
      <c r="A394">
        <v>184</v>
      </c>
      <c r="B394" s="37" t="s">
        <v>510</v>
      </c>
      <c r="C394" s="1">
        <v>45483</v>
      </c>
      <c r="D394" s="37" t="s">
        <v>510</v>
      </c>
      <c r="E394">
        <v>6.1810238506091998E-2</v>
      </c>
      <c r="F394">
        <v>6.1810238506091998E-2</v>
      </c>
    </row>
    <row r="395" spans="1:6" x14ac:dyDescent="0.2">
      <c r="A395">
        <v>184</v>
      </c>
      <c r="B395" s="37" t="s">
        <v>812</v>
      </c>
      <c r="C395" s="1">
        <v>45607</v>
      </c>
      <c r="D395" s="37" t="s">
        <v>812</v>
      </c>
      <c r="E395">
        <v>0.37042258476629603</v>
      </c>
      <c r="F395">
        <v>0.37042258476629603</v>
      </c>
    </row>
    <row r="396" spans="1:6" x14ac:dyDescent="0.2">
      <c r="A396">
        <v>184</v>
      </c>
      <c r="B396" s="37" t="s">
        <v>813</v>
      </c>
      <c r="C396" s="1">
        <v>45307</v>
      </c>
      <c r="D396" s="37" t="s">
        <v>813</v>
      </c>
      <c r="E396">
        <v>0.16473072123728799</v>
      </c>
      <c r="F396">
        <v>0.16473072123728799</v>
      </c>
    </row>
    <row r="397" spans="1:6" x14ac:dyDescent="0.2">
      <c r="A397">
        <v>185</v>
      </c>
      <c r="B397" s="37" t="s">
        <v>814</v>
      </c>
      <c r="C397" s="1">
        <v>45352</v>
      </c>
      <c r="D397" s="37" t="s">
        <v>814</v>
      </c>
      <c r="E397">
        <v>0.28196548357208001</v>
      </c>
      <c r="F397">
        <v>0.28196548357208001</v>
      </c>
    </row>
    <row r="398" spans="1:6" x14ac:dyDescent="0.2">
      <c r="A398">
        <v>185</v>
      </c>
      <c r="B398" s="37" t="s">
        <v>120</v>
      </c>
      <c r="C398" s="1">
        <v>45609</v>
      </c>
      <c r="D398" s="37" t="s">
        <v>120</v>
      </c>
      <c r="E398">
        <v>0.20608526814610501</v>
      </c>
      <c r="F398">
        <v>0.20608526814610501</v>
      </c>
    </row>
    <row r="399" spans="1:6" x14ac:dyDescent="0.2">
      <c r="A399">
        <v>186</v>
      </c>
      <c r="B399" s="37" t="s">
        <v>341</v>
      </c>
      <c r="C399" s="1">
        <v>45302</v>
      </c>
      <c r="D399" s="37" t="s">
        <v>341</v>
      </c>
      <c r="E399">
        <v>0.11197542683806901</v>
      </c>
      <c r="F399">
        <v>0.11197542683806901</v>
      </c>
    </row>
    <row r="400" spans="1:6" x14ac:dyDescent="0.2">
      <c r="A400">
        <v>186</v>
      </c>
      <c r="B400" s="37" t="s">
        <v>232</v>
      </c>
      <c r="C400" s="1">
        <v>45526</v>
      </c>
      <c r="D400" s="37" t="s">
        <v>232</v>
      </c>
      <c r="E400">
        <v>7.3384986276761904E-2</v>
      </c>
      <c r="F400">
        <v>7.3384986276761904E-2</v>
      </c>
    </row>
    <row r="401" spans="1:6" x14ac:dyDescent="0.2">
      <c r="A401">
        <v>187</v>
      </c>
      <c r="B401" s="37" t="s">
        <v>511</v>
      </c>
      <c r="C401" s="1">
        <v>45390</v>
      </c>
      <c r="D401" s="37" t="s">
        <v>511</v>
      </c>
      <c r="E401">
        <v>0.22851834502993201</v>
      </c>
      <c r="F401">
        <v>0.22851834502993201</v>
      </c>
    </row>
    <row r="402" spans="1:6" x14ac:dyDescent="0.2">
      <c r="A402">
        <v>187</v>
      </c>
      <c r="B402" s="37" t="s">
        <v>815</v>
      </c>
      <c r="C402" s="1">
        <v>45298</v>
      </c>
      <c r="D402" s="37" t="s">
        <v>815</v>
      </c>
      <c r="E402">
        <v>2.4859490838480599E-2</v>
      </c>
      <c r="F402">
        <v>2.4859490838480599E-2</v>
      </c>
    </row>
    <row r="403" spans="1:6" x14ac:dyDescent="0.2">
      <c r="A403">
        <v>187</v>
      </c>
      <c r="B403" s="37" t="s">
        <v>816</v>
      </c>
      <c r="C403" s="1">
        <v>45547</v>
      </c>
      <c r="D403" s="37" t="s">
        <v>816</v>
      </c>
      <c r="E403">
        <v>0.38649445816924899</v>
      </c>
      <c r="F403">
        <v>0.38649445816924899</v>
      </c>
    </row>
    <row r="404" spans="1:6" x14ac:dyDescent="0.2">
      <c r="A404">
        <v>188</v>
      </c>
      <c r="B404" s="37" t="s">
        <v>512</v>
      </c>
      <c r="C404" s="1">
        <v>45540</v>
      </c>
      <c r="D404" s="37" t="s">
        <v>512</v>
      </c>
      <c r="E404">
        <v>0.37414543964321001</v>
      </c>
      <c r="F404">
        <v>0.37414543964321001</v>
      </c>
    </row>
    <row r="405" spans="1:6" x14ac:dyDescent="0.2">
      <c r="A405">
        <v>188</v>
      </c>
      <c r="B405" s="37" t="s">
        <v>513</v>
      </c>
      <c r="C405" s="1">
        <v>45650</v>
      </c>
      <c r="D405" s="37" t="s">
        <v>513</v>
      </c>
      <c r="E405">
        <v>2.4916435184537299E-2</v>
      </c>
      <c r="F405">
        <v>2.4916435184537299E-2</v>
      </c>
    </row>
    <row r="406" spans="1:6" x14ac:dyDescent="0.2">
      <c r="A406">
        <v>189</v>
      </c>
      <c r="B406" s="37" t="s">
        <v>514</v>
      </c>
      <c r="C406" s="1">
        <v>45515</v>
      </c>
      <c r="D406" s="37" t="s">
        <v>514</v>
      </c>
      <c r="E406">
        <v>0.28542715051864198</v>
      </c>
      <c r="F406">
        <v>0.28542715051864198</v>
      </c>
    </row>
    <row r="407" spans="1:6" x14ac:dyDescent="0.2">
      <c r="A407">
        <v>190</v>
      </c>
      <c r="B407" s="37" t="s">
        <v>817</v>
      </c>
      <c r="C407" s="1">
        <v>45502</v>
      </c>
      <c r="D407" s="37" t="s">
        <v>817</v>
      </c>
      <c r="E407">
        <v>0.148765841880794</v>
      </c>
      <c r="F407">
        <v>0.148765841880794</v>
      </c>
    </row>
    <row r="408" spans="1:6" x14ac:dyDescent="0.2">
      <c r="A408">
        <v>191</v>
      </c>
      <c r="B408" s="37" t="s">
        <v>515</v>
      </c>
      <c r="C408" s="1">
        <v>45621</v>
      </c>
      <c r="D408" s="37" t="s">
        <v>515</v>
      </c>
      <c r="E408">
        <v>6.9878590306322694E-2</v>
      </c>
      <c r="F408">
        <v>6.9878590306322694E-2</v>
      </c>
    </row>
    <row r="409" spans="1:6" x14ac:dyDescent="0.2">
      <c r="A409">
        <v>191</v>
      </c>
      <c r="B409" s="37" t="s">
        <v>516</v>
      </c>
      <c r="C409" s="1">
        <v>45307</v>
      </c>
      <c r="D409" s="37" t="s">
        <v>516</v>
      </c>
      <c r="E409">
        <v>0.22707879264078101</v>
      </c>
      <c r="F409">
        <v>0.22707879264078101</v>
      </c>
    </row>
    <row r="410" spans="1:6" x14ac:dyDescent="0.2">
      <c r="A410">
        <v>191</v>
      </c>
      <c r="B410" s="37" t="s">
        <v>517</v>
      </c>
      <c r="C410" s="1">
        <v>45389</v>
      </c>
      <c r="D410" s="37" t="s">
        <v>517</v>
      </c>
      <c r="E410">
        <v>0.34351188649900699</v>
      </c>
      <c r="F410">
        <v>0.34351188649900699</v>
      </c>
    </row>
    <row r="411" spans="1:6" x14ac:dyDescent="0.2">
      <c r="A411">
        <v>192</v>
      </c>
      <c r="B411" s="37" t="s">
        <v>818</v>
      </c>
      <c r="C411" s="1">
        <v>45635</v>
      </c>
      <c r="D411" s="37" t="s">
        <v>818</v>
      </c>
      <c r="E411">
        <v>0.17285950783583601</v>
      </c>
      <c r="F411">
        <v>0.17285950783583601</v>
      </c>
    </row>
    <row r="412" spans="1:6" x14ac:dyDescent="0.2">
      <c r="A412">
        <v>192</v>
      </c>
      <c r="B412" s="37" t="s">
        <v>819</v>
      </c>
      <c r="C412" s="1">
        <v>45307</v>
      </c>
      <c r="D412" s="37" t="s">
        <v>819</v>
      </c>
      <c r="E412">
        <v>0.123198325669352</v>
      </c>
      <c r="F412">
        <v>0.123198325669352</v>
      </c>
    </row>
    <row r="413" spans="1:6" x14ac:dyDescent="0.2">
      <c r="A413">
        <v>192</v>
      </c>
      <c r="B413" s="37" t="s">
        <v>342</v>
      </c>
      <c r="C413" s="1">
        <v>45551</v>
      </c>
      <c r="D413" s="37" t="s">
        <v>342</v>
      </c>
      <c r="E413">
        <v>0.11475264116098099</v>
      </c>
      <c r="F413">
        <v>0.11475264116098099</v>
      </c>
    </row>
    <row r="414" spans="1:6" x14ac:dyDescent="0.2">
      <c r="A414">
        <v>194</v>
      </c>
      <c r="B414" s="37" t="s">
        <v>343</v>
      </c>
      <c r="C414" s="1">
        <v>45502</v>
      </c>
      <c r="D414" s="37" t="s">
        <v>343</v>
      </c>
      <c r="E414">
        <v>0.114227128235437</v>
      </c>
      <c r="F414">
        <v>0.114227128235437</v>
      </c>
    </row>
    <row r="415" spans="1:6" x14ac:dyDescent="0.2">
      <c r="A415">
        <v>194</v>
      </c>
      <c r="B415" s="37" t="s">
        <v>518</v>
      </c>
      <c r="C415" s="1">
        <v>45442</v>
      </c>
      <c r="D415" s="37" t="s">
        <v>518</v>
      </c>
      <c r="E415">
        <v>0.16979198429807901</v>
      </c>
      <c r="F415">
        <v>0.16979198429807901</v>
      </c>
    </row>
    <row r="416" spans="1:6" x14ac:dyDescent="0.2">
      <c r="A416">
        <v>195</v>
      </c>
      <c r="B416" s="37" t="s">
        <v>820</v>
      </c>
      <c r="C416" s="1">
        <v>45495</v>
      </c>
      <c r="D416" s="37" t="s">
        <v>820</v>
      </c>
      <c r="E416">
        <v>8.0704650938914393E-2</v>
      </c>
      <c r="F416">
        <v>8.0704650938914393E-2</v>
      </c>
    </row>
    <row r="417" spans="1:6" x14ac:dyDescent="0.2">
      <c r="A417">
        <v>196</v>
      </c>
      <c r="B417" s="37" t="s">
        <v>121</v>
      </c>
      <c r="C417" s="1">
        <v>45314</v>
      </c>
      <c r="D417" s="37" t="s">
        <v>121</v>
      </c>
      <c r="E417">
        <v>6.7486807204888505E-2</v>
      </c>
      <c r="F417">
        <v>6.7486807204888505E-2</v>
      </c>
    </row>
    <row r="418" spans="1:6" x14ac:dyDescent="0.2">
      <c r="A418">
        <v>196</v>
      </c>
      <c r="B418" s="37" t="s">
        <v>122</v>
      </c>
      <c r="C418" s="1">
        <v>45430</v>
      </c>
      <c r="D418" s="37" t="s">
        <v>122</v>
      </c>
      <c r="E418">
        <v>0.349200299798407</v>
      </c>
      <c r="F418">
        <v>0.349200299798407</v>
      </c>
    </row>
    <row r="419" spans="1:6" x14ac:dyDescent="0.2">
      <c r="A419">
        <v>197</v>
      </c>
      <c r="B419" s="37" t="s">
        <v>821</v>
      </c>
      <c r="C419" s="1">
        <v>45564</v>
      </c>
      <c r="D419" s="37" t="s">
        <v>821</v>
      </c>
      <c r="E419">
        <v>0.27241740573416101</v>
      </c>
      <c r="F419">
        <v>0.27241740573416101</v>
      </c>
    </row>
    <row r="420" spans="1:6" x14ac:dyDescent="0.2">
      <c r="A420">
        <v>197</v>
      </c>
      <c r="B420" s="37" t="s">
        <v>822</v>
      </c>
      <c r="C420" s="1">
        <v>45569</v>
      </c>
      <c r="D420" s="37" t="s">
        <v>822</v>
      </c>
      <c r="E420">
        <v>7.2382641430891001E-2</v>
      </c>
      <c r="F420">
        <v>7.2382641430891001E-2</v>
      </c>
    </row>
    <row r="421" spans="1:6" x14ac:dyDescent="0.2">
      <c r="A421">
        <v>198</v>
      </c>
      <c r="B421" s="37" t="s">
        <v>823</v>
      </c>
      <c r="C421" s="1">
        <v>45507</v>
      </c>
      <c r="D421" s="37" t="s">
        <v>823</v>
      </c>
      <c r="E421">
        <v>0.210722028328762</v>
      </c>
      <c r="F421">
        <v>0.210722028328762</v>
      </c>
    </row>
    <row r="422" spans="1:6" x14ac:dyDescent="0.2">
      <c r="A422">
        <v>198</v>
      </c>
      <c r="B422" s="37" t="s">
        <v>824</v>
      </c>
      <c r="C422" s="1">
        <v>45413</v>
      </c>
      <c r="D422" s="37" t="s">
        <v>824</v>
      </c>
      <c r="E422">
        <v>0.262564845275642</v>
      </c>
      <c r="F422">
        <v>0.262564845275642</v>
      </c>
    </row>
    <row r="423" spans="1:6" x14ac:dyDescent="0.2">
      <c r="A423">
        <v>199</v>
      </c>
      <c r="B423" s="37" t="s">
        <v>825</v>
      </c>
      <c r="C423" s="1">
        <v>45316</v>
      </c>
      <c r="D423" s="37" t="s">
        <v>825</v>
      </c>
      <c r="E423">
        <v>0.289403159481741</v>
      </c>
      <c r="F423">
        <v>0.289403159481741</v>
      </c>
    </row>
    <row r="424" spans="1:6" x14ac:dyDescent="0.2">
      <c r="A424">
        <v>199</v>
      </c>
      <c r="B424" s="37" t="s">
        <v>826</v>
      </c>
      <c r="C424" s="1">
        <v>45296</v>
      </c>
      <c r="D424" s="37" t="s">
        <v>826</v>
      </c>
      <c r="E424">
        <v>0.11548804591916099</v>
      </c>
      <c r="F424">
        <v>0.11548804591916099</v>
      </c>
    </row>
    <row r="425" spans="1:6" x14ac:dyDescent="0.2">
      <c r="A425">
        <v>199</v>
      </c>
      <c r="B425" s="37" t="s">
        <v>827</v>
      </c>
      <c r="C425" s="1">
        <v>45372</v>
      </c>
      <c r="D425" s="37" t="s">
        <v>827</v>
      </c>
      <c r="E425">
        <v>3.7152610004538802E-2</v>
      </c>
      <c r="F425">
        <v>3.7152610004538802E-2</v>
      </c>
    </row>
    <row r="426" spans="1:6" x14ac:dyDescent="0.2">
      <c r="A426">
        <v>200</v>
      </c>
      <c r="B426" s="37" t="s">
        <v>828</v>
      </c>
      <c r="C426" s="1">
        <v>45527</v>
      </c>
      <c r="D426" s="37" t="s">
        <v>828</v>
      </c>
      <c r="E426">
        <v>0.333576522028046</v>
      </c>
      <c r="F426">
        <v>0.333576522028046</v>
      </c>
    </row>
    <row r="427" spans="1:6" x14ac:dyDescent="0.2">
      <c r="A427">
        <v>200</v>
      </c>
      <c r="B427" s="37" t="s">
        <v>519</v>
      </c>
      <c r="C427" s="1">
        <v>45555</v>
      </c>
      <c r="D427" s="37" t="s">
        <v>519</v>
      </c>
      <c r="E427">
        <v>4.5275242657841698E-2</v>
      </c>
      <c r="F427">
        <v>4.5275242657841698E-2</v>
      </c>
    </row>
    <row r="428" spans="1:6" x14ac:dyDescent="0.2">
      <c r="A428">
        <v>201</v>
      </c>
      <c r="B428" s="37" t="s">
        <v>829</v>
      </c>
      <c r="C428" s="1">
        <v>45472</v>
      </c>
      <c r="D428" s="37" t="s">
        <v>829</v>
      </c>
      <c r="E428">
        <v>0.19766137182375901</v>
      </c>
      <c r="F428">
        <v>0.19766137182375901</v>
      </c>
    </row>
    <row r="429" spans="1:6" x14ac:dyDescent="0.2">
      <c r="A429">
        <v>201</v>
      </c>
      <c r="B429" s="37" t="s">
        <v>123</v>
      </c>
      <c r="C429" s="1">
        <v>45649</v>
      </c>
      <c r="D429" s="37" t="s">
        <v>123</v>
      </c>
      <c r="E429">
        <v>6.3757356218893405E-2</v>
      </c>
      <c r="F429">
        <v>6.3757356218893405E-2</v>
      </c>
    </row>
    <row r="430" spans="1:6" x14ac:dyDescent="0.2">
      <c r="A430">
        <v>201</v>
      </c>
      <c r="B430" s="37" t="s">
        <v>124</v>
      </c>
      <c r="C430" s="1">
        <v>45630</v>
      </c>
      <c r="D430" s="37" t="s">
        <v>124</v>
      </c>
      <c r="E430">
        <v>6.4393867046725603E-2</v>
      </c>
      <c r="F430">
        <v>6.4393867046725603E-2</v>
      </c>
    </row>
    <row r="431" spans="1:6" x14ac:dyDescent="0.2">
      <c r="A431">
        <v>203</v>
      </c>
      <c r="B431" s="37" t="s">
        <v>520</v>
      </c>
      <c r="C431" s="1">
        <v>45639</v>
      </c>
      <c r="D431" s="37" t="s">
        <v>520</v>
      </c>
      <c r="E431">
        <v>0.24355274109368399</v>
      </c>
      <c r="F431">
        <v>0.24355274109368399</v>
      </c>
    </row>
    <row r="432" spans="1:6" x14ac:dyDescent="0.2">
      <c r="A432">
        <v>203</v>
      </c>
      <c r="B432" s="37" t="s">
        <v>830</v>
      </c>
      <c r="C432" s="1">
        <v>45347</v>
      </c>
      <c r="D432" s="37" t="s">
        <v>830</v>
      </c>
      <c r="E432">
        <v>0.245129034816299</v>
      </c>
      <c r="F432">
        <v>0.245129034816299</v>
      </c>
    </row>
    <row r="433" spans="1:6" x14ac:dyDescent="0.2">
      <c r="A433">
        <v>204</v>
      </c>
      <c r="B433" s="37" t="s">
        <v>831</v>
      </c>
      <c r="C433" s="1">
        <v>45557</v>
      </c>
      <c r="D433" s="37" t="s">
        <v>831</v>
      </c>
      <c r="E433">
        <v>8.0023608110375302E-2</v>
      </c>
      <c r="F433">
        <v>8.0023608110375302E-2</v>
      </c>
    </row>
    <row r="434" spans="1:6" x14ac:dyDescent="0.2">
      <c r="A434">
        <v>204</v>
      </c>
      <c r="B434" s="37" t="s">
        <v>521</v>
      </c>
      <c r="C434" s="1">
        <v>45306</v>
      </c>
      <c r="D434" s="37" t="s">
        <v>521</v>
      </c>
      <c r="E434">
        <v>6.9334410671917396E-2</v>
      </c>
      <c r="F434">
        <v>6.9334410671917396E-2</v>
      </c>
    </row>
    <row r="435" spans="1:6" x14ac:dyDescent="0.2">
      <c r="A435">
        <v>205</v>
      </c>
      <c r="B435" s="37" t="s">
        <v>125</v>
      </c>
      <c r="C435" s="1">
        <v>45657</v>
      </c>
      <c r="D435" s="37" t="s">
        <v>125</v>
      </c>
      <c r="E435">
        <v>8.22097744866052E-2</v>
      </c>
      <c r="F435">
        <v>8.22097744866052E-2</v>
      </c>
    </row>
    <row r="436" spans="1:6" x14ac:dyDescent="0.2">
      <c r="A436">
        <v>205</v>
      </c>
      <c r="B436" s="37" t="s">
        <v>126</v>
      </c>
      <c r="C436" s="1">
        <v>45437</v>
      </c>
      <c r="D436" s="37" t="s">
        <v>126</v>
      </c>
      <c r="E436">
        <v>0.224739780765491</v>
      </c>
      <c r="F436">
        <v>0.224739780765491</v>
      </c>
    </row>
    <row r="437" spans="1:6" x14ac:dyDescent="0.2">
      <c r="A437">
        <v>206</v>
      </c>
      <c r="B437" s="37" t="s">
        <v>832</v>
      </c>
      <c r="C437" s="1">
        <v>45438</v>
      </c>
      <c r="D437" s="37" t="s">
        <v>832</v>
      </c>
      <c r="E437">
        <v>4.74081726235989E-2</v>
      </c>
      <c r="F437">
        <v>4.74081726235989E-2</v>
      </c>
    </row>
    <row r="438" spans="1:6" x14ac:dyDescent="0.2">
      <c r="A438">
        <v>207</v>
      </c>
      <c r="B438" s="37" t="s">
        <v>833</v>
      </c>
      <c r="C438" s="1">
        <v>45413</v>
      </c>
      <c r="D438" s="37" t="s">
        <v>833</v>
      </c>
      <c r="E438">
        <v>0.207808100916371</v>
      </c>
      <c r="F438">
        <v>0.207808100916371</v>
      </c>
    </row>
    <row r="439" spans="1:6" x14ac:dyDescent="0.2">
      <c r="A439">
        <v>207</v>
      </c>
      <c r="B439" s="37" t="s">
        <v>522</v>
      </c>
      <c r="C439" s="1">
        <v>45553</v>
      </c>
      <c r="D439" s="37" t="s">
        <v>522</v>
      </c>
      <c r="E439">
        <v>0.20101202339425001</v>
      </c>
      <c r="F439">
        <v>0.20101202339425001</v>
      </c>
    </row>
    <row r="440" spans="1:6" x14ac:dyDescent="0.2">
      <c r="A440">
        <v>207</v>
      </c>
      <c r="B440" s="37" t="s">
        <v>523</v>
      </c>
      <c r="C440" s="1">
        <v>45405</v>
      </c>
      <c r="D440" s="37" t="s">
        <v>523</v>
      </c>
      <c r="E440">
        <v>0.349842056360261</v>
      </c>
      <c r="F440">
        <v>0.349842056360261</v>
      </c>
    </row>
    <row r="441" spans="1:6" x14ac:dyDescent="0.2">
      <c r="A441">
        <v>208</v>
      </c>
      <c r="B441" s="37" t="s">
        <v>834</v>
      </c>
      <c r="C441" s="1">
        <v>45352</v>
      </c>
      <c r="D441" s="37" t="s">
        <v>834</v>
      </c>
      <c r="E441">
        <v>7.5282390079538505E-2</v>
      </c>
      <c r="F441">
        <v>7.5282390079538505E-2</v>
      </c>
    </row>
    <row r="442" spans="1:6" x14ac:dyDescent="0.2">
      <c r="A442">
        <v>208</v>
      </c>
      <c r="B442" s="37" t="s">
        <v>233</v>
      </c>
      <c r="C442" s="1">
        <v>45408</v>
      </c>
      <c r="D442" s="37" t="s">
        <v>233</v>
      </c>
      <c r="E442">
        <v>0.135699210161946</v>
      </c>
      <c r="F442">
        <v>0.135699210161946</v>
      </c>
    </row>
    <row r="443" spans="1:6" x14ac:dyDescent="0.2">
      <c r="A443">
        <v>208</v>
      </c>
      <c r="B443" s="37" t="s">
        <v>524</v>
      </c>
      <c r="C443" s="1">
        <v>45443</v>
      </c>
      <c r="D443" s="37" t="s">
        <v>524</v>
      </c>
      <c r="E443">
        <v>0.10098946905421501</v>
      </c>
      <c r="F443">
        <v>0.10098946905421501</v>
      </c>
    </row>
    <row r="444" spans="1:6" x14ac:dyDescent="0.2">
      <c r="A444">
        <v>209</v>
      </c>
      <c r="B444" s="37" t="s">
        <v>835</v>
      </c>
      <c r="C444" s="1">
        <v>45435</v>
      </c>
      <c r="D444" s="37" t="s">
        <v>835</v>
      </c>
      <c r="E444">
        <v>2.6408182538345301E-2</v>
      </c>
      <c r="F444">
        <v>2.6408182538345301E-2</v>
      </c>
    </row>
    <row r="445" spans="1:6" x14ac:dyDescent="0.2">
      <c r="A445">
        <v>209</v>
      </c>
      <c r="B445" s="37" t="s">
        <v>836</v>
      </c>
      <c r="C445" s="1">
        <v>45604</v>
      </c>
      <c r="D445" s="37" t="s">
        <v>836</v>
      </c>
      <c r="E445">
        <v>0.30844272907260301</v>
      </c>
      <c r="F445">
        <v>0.30844272907260301</v>
      </c>
    </row>
    <row r="446" spans="1:6" x14ac:dyDescent="0.2">
      <c r="A446">
        <v>209</v>
      </c>
      <c r="B446" s="37" t="s">
        <v>837</v>
      </c>
      <c r="C446" s="1">
        <v>45355</v>
      </c>
      <c r="D446" s="37" t="s">
        <v>837</v>
      </c>
      <c r="E446">
        <v>0.20671397699354099</v>
      </c>
      <c r="F446">
        <v>0.20671397699354099</v>
      </c>
    </row>
    <row r="447" spans="1:6" x14ac:dyDescent="0.2">
      <c r="A447">
        <v>210</v>
      </c>
      <c r="B447" s="37" t="s">
        <v>344</v>
      </c>
      <c r="C447" s="1">
        <v>45591</v>
      </c>
      <c r="D447" s="37" t="s">
        <v>344</v>
      </c>
      <c r="E447">
        <v>0.31954375157466303</v>
      </c>
      <c r="F447">
        <v>0.31954375157466303</v>
      </c>
    </row>
    <row r="448" spans="1:6" x14ac:dyDescent="0.2">
      <c r="A448">
        <v>210</v>
      </c>
      <c r="B448" s="37" t="s">
        <v>525</v>
      </c>
      <c r="C448" s="1">
        <v>45408</v>
      </c>
      <c r="D448" s="37" t="s">
        <v>525</v>
      </c>
      <c r="E448">
        <v>0.27763758221607399</v>
      </c>
      <c r="F448">
        <v>0.27763758221607399</v>
      </c>
    </row>
    <row r="449" spans="1:6" x14ac:dyDescent="0.2">
      <c r="A449">
        <v>210</v>
      </c>
      <c r="B449" s="37" t="s">
        <v>345</v>
      </c>
      <c r="C449" s="1">
        <v>45544</v>
      </c>
      <c r="D449" s="37" t="s">
        <v>345</v>
      </c>
      <c r="E449">
        <v>0.234330762037783</v>
      </c>
      <c r="F449">
        <v>0.234330762037783</v>
      </c>
    </row>
    <row r="450" spans="1:6" x14ac:dyDescent="0.2">
      <c r="A450">
        <v>211</v>
      </c>
      <c r="B450" s="37" t="s">
        <v>838</v>
      </c>
      <c r="C450" s="1">
        <v>45331</v>
      </c>
      <c r="D450" s="37" t="s">
        <v>838</v>
      </c>
      <c r="E450">
        <v>0.13694291644571299</v>
      </c>
      <c r="F450">
        <v>0.13694291644571299</v>
      </c>
    </row>
    <row r="451" spans="1:6" x14ac:dyDescent="0.2">
      <c r="A451">
        <v>211</v>
      </c>
      <c r="B451" s="37" t="s">
        <v>839</v>
      </c>
      <c r="C451" s="1">
        <v>45511</v>
      </c>
      <c r="D451" s="37" t="s">
        <v>839</v>
      </c>
      <c r="E451">
        <v>5.1548052545921E-2</v>
      </c>
      <c r="F451">
        <v>5.1548052545921E-2</v>
      </c>
    </row>
    <row r="452" spans="1:6" x14ac:dyDescent="0.2">
      <c r="A452">
        <v>212</v>
      </c>
      <c r="B452" s="37" t="s">
        <v>840</v>
      </c>
      <c r="C452" s="1">
        <v>45457</v>
      </c>
      <c r="D452" s="37" t="s">
        <v>840</v>
      </c>
      <c r="E452">
        <v>6.2427040536807303E-2</v>
      </c>
      <c r="F452">
        <v>6.2427040536807303E-2</v>
      </c>
    </row>
    <row r="453" spans="1:6" x14ac:dyDescent="0.2">
      <c r="A453">
        <v>212</v>
      </c>
      <c r="B453" s="37" t="s">
        <v>841</v>
      </c>
      <c r="C453" s="1">
        <v>45583</v>
      </c>
      <c r="D453" s="37" t="s">
        <v>841</v>
      </c>
      <c r="E453">
        <v>9.6547392603200805E-2</v>
      </c>
      <c r="F453">
        <v>9.6547392603200805E-2</v>
      </c>
    </row>
    <row r="454" spans="1:6" x14ac:dyDescent="0.2">
      <c r="A454">
        <v>212</v>
      </c>
      <c r="B454" s="37" t="s">
        <v>127</v>
      </c>
      <c r="C454" s="1">
        <v>45306</v>
      </c>
      <c r="D454" s="37" t="s">
        <v>127</v>
      </c>
      <c r="E454">
        <v>0.13031459651233901</v>
      </c>
      <c r="F454">
        <v>0.13031459651233901</v>
      </c>
    </row>
    <row r="455" spans="1:6" x14ac:dyDescent="0.2">
      <c r="A455">
        <v>213</v>
      </c>
      <c r="B455" s="37" t="s">
        <v>842</v>
      </c>
      <c r="C455" s="1">
        <v>45433</v>
      </c>
      <c r="D455" s="37" t="s">
        <v>842</v>
      </c>
      <c r="E455">
        <v>0.28499780212112402</v>
      </c>
      <c r="F455">
        <v>0.28499780212112402</v>
      </c>
    </row>
    <row r="456" spans="1:6" x14ac:dyDescent="0.2">
      <c r="A456">
        <v>213</v>
      </c>
      <c r="B456" s="37" t="s">
        <v>128</v>
      </c>
      <c r="C456" s="1">
        <v>45527</v>
      </c>
      <c r="D456" s="37" t="s">
        <v>128</v>
      </c>
      <c r="E456">
        <v>0.16010256461893299</v>
      </c>
      <c r="F456">
        <v>0.16010256461893299</v>
      </c>
    </row>
    <row r="457" spans="1:6" x14ac:dyDescent="0.2">
      <c r="A457">
        <v>213</v>
      </c>
      <c r="B457" s="37" t="s">
        <v>843</v>
      </c>
      <c r="C457" s="1">
        <v>45363</v>
      </c>
      <c r="D457" s="37" t="s">
        <v>843</v>
      </c>
      <c r="E457">
        <v>0.13630927148153801</v>
      </c>
      <c r="F457">
        <v>0.13630927148153801</v>
      </c>
    </row>
    <row r="458" spans="1:6" x14ac:dyDescent="0.2">
      <c r="A458">
        <v>214</v>
      </c>
      <c r="B458" s="37" t="s">
        <v>844</v>
      </c>
      <c r="C458" s="1">
        <v>45445</v>
      </c>
      <c r="D458" s="37" t="s">
        <v>844</v>
      </c>
      <c r="E458">
        <v>0.82479703234787705</v>
      </c>
      <c r="F458">
        <v>0.82479703234787705</v>
      </c>
    </row>
    <row r="459" spans="1:6" x14ac:dyDescent="0.2">
      <c r="A459">
        <v>214</v>
      </c>
      <c r="B459" s="37" t="s">
        <v>234</v>
      </c>
      <c r="C459" s="1">
        <v>45448</v>
      </c>
      <c r="D459" s="37" t="s">
        <v>234</v>
      </c>
      <c r="E459">
        <v>0.11617879783386099</v>
      </c>
      <c r="F459">
        <v>0.11617879783386099</v>
      </c>
    </row>
    <row r="460" spans="1:6" x14ac:dyDescent="0.2">
      <c r="A460">
        <v>215</v>
      </c>
      <c r="B460" s="37" t="s">
        <v>235</v>
      </c>
      <c r="C460" s="1">
        <v>45406</v>
      </c>
      <c r="D460" s="37" t="s">
        <v>235</v>
      </c>
      <c r="E460">
        <v>6.2324116870799397E-2</v>
      </c>
      <c r="F460">
        <v>6.2324116870799397E-2</v>
      </c>
    </row>
    <row r="461" spans="1:6" x14ac:dyDescent="0.2">
      <c r="A461">
        <v>215</v>
      </c>
      <c r="B461" s="37" t="s">
        <v>346</v>
      </c>
      <c r="C461" s="1">
        <v>45321</v>
      </c>
      <c r="D461" s="37" t="s">
        <v>346</v>
      </c>
      <c r="E461">
        <v>0.25799810599184497</v>
      </c>
      <c r="F461">
        <v>0.25799810599184497</v>
      </c>
    </row>
    <row r="462" spans="1:6" x14ac:dyDescent="0.2">
      <c r="A462">
        <v>215</v>
      </c>
      <c r="B462" s="37" t="s">
        <v>347</v>
      </c>
      <c r="C462" s="1">
        <v>45568</v>
      </c>
      <c r="D462" s="37" t="s">
        <v>347</v>
      </c>
      <c r="E462">
        <v>9.1800384507268601E-2</v>
      </c>
      <c r="F462">
        <v>9.1800384507268601E-2</v>
      </c>
    </row>
    <row r="463" spans="1:6" x14ac:dyDescent="0.2">
      <c r="A463">
        <v>215</v>
      </c>
      <c r="B463" s="37" t="s">
        <v>348</v>
      </c>
      <c r="C463" s="1">
        <v>45329</v>
      </c>
      <c r="D463" s="37" t="s">
        <v>348</v>
      </c>
      <c r="E463">
        <v>0.113197223134351</v>
      </c>
      <c r="F463">
        <v>0.113197223134351</v>
      </c>
    </row>
    <row r="464" spans="1:6" x14ac:dyDescent="0.2">
      <c r="A464">
        <v>216</v>
      </c>
      <c r="B464" s="37" t="s">
        <v>349</v>
      </c>
      <c r="C464" s="1">
        <v>45327</v>
      </c>
      <c r="D464" s="37" t="s">
        <v>349</v>
      </c>
      <c r="E464">
        <v>3.78028048074978E-2</v>
      </c>
      <c r="F464">
        <v>3.78028048074978E-2</v>
      </c>
    </row>
    <row r="465" spans="1:6" x14ac:dyDescent="0.2">
      <c r="A465">
        <v>216</v>
      </c>
      <c r="B465" s="37" t="s">
        <v>350</v>
      </c>
      <c r="C465" s="1">
        <v>45557</v>
      </c>
      <c r="D465" s="37" t="s">
        <v>350</v>
      </c>
      <c r="E465">
        <v>0.23926534934500701</v>
      </c>
      <c r="F465">
        <v>0.23926534934500701</v>
      </c>
    </row>
    <row r="466" spans="1:6" x14ac:dyDescent="0.2">
      <c r="A466">
        <v>217</v>
      </c>
      <c r="B466" s="37" t="s">
        <v>236</v>
      </c>
      <c r="C466" s="1">
        <v>45652</v>
      </c>
      <c r="D466" s="37" t="s">
        <v>236</v>
      </c>
      <c r="E466">
        <v>5.07971959710894E-2</v>
      </c>
      <c r="F466">
        <v>5.07971959710894E-2</v>
      </c>
    </row>
    <row r="467" spans="1:6" x14ac:dyDescent="0.2">
      <c r="A467">
        <v>217</v>
      </c>
      <c r="B467" s="37" t="s">
        <v>845</v>
      </c>
      <c r="C467" s="1">
        <v>45560</v>
      </c>
      <c r="D467" s="37" t="s">
        <v>845</v>
      </c>
      <c r="E467">
        <v>0.25061629673596902</v>
      </c>
      <c r="F467">
        <v>0.25061629673596902</v>
      </c>
    </row>
    <row r="468" spans="1:6" x14ac:dyDescent="0.2">
      <c r="A468">
        <v>217</v>
      </c>
      <c r="B468" s="37" t="s">
        <v>846</v>
      </c>
      <c r="C468" s="1">
        <v>45634</v>
      </c>
      <c r="D468" s="37" t="s">
        <v>846</v>
      </c>
      <c r="E468">
        <v>7.2234799289061305E-2</v>
      </c>
      <c r="F468">
        <v>7.2234799289061305E-2</v>
      </c>
    </row>
    <row r="469" spans="1:6" x14ac:dyDescent="0.2">
      <c r="A469">
        <v>218</v>
      </c>
      <c r="B469" s="37" t="s">
        <v>237</v>
      </c>
      <c r="C469" s="1">
        <v>45648</v>
      </c>
      <c r="D469" s="37" t="s">
        <v>237</v>
      </c>
      <c r="E469">
        <v>3.3523747672566301E-2</v>
      </c>
      <c r="F469">
        <v>3.3523747672566301E-2</v>
      </c>
    </row>
    <row r="470" spans="1:6" x14ac:dyDescent="0.2">
      <c r="A470">
        <v>218</v>
      </c>
      <c r="B470" s="37" t="s">
        <v>526</v>
      </c>
      <c r="C470" s="1">
        <v>45467</v>
      </c>
      <c r="D470" s="37" t="s">
        <v>526</v>
      </c>
      <c r="E470">
        <v>0.19738100136852799</v>
      </c>
      <c r="F470">
        <v>0.19738100136852799</v>
      </c>
    </row>
    <row r="471" spans="1:6" x14ac:dyDescent="0.2">
      <c r="A471">
        <v>219</v>
      </c>
      <c r="B471" s="37" t="s">
        <v>847</v>
      </c>
      <c r="C471" s="1">
        <v>45484</v>
      </c>
      <c r="D471" s="37" t="s">
        <v>847</v>
      </c>
      <c r="E471">
        <v>0.270631229472859</v>
      </c>
      <c r="F471">
        <v>0.270631229472859</v>
      </c>
    </row>
    <row r="472" spans="1:6" x14ac:dyDescent="0.2">
      <c r="A472">
        <v>220</v>
      </c>
      <c r="B472" s="37" t="s">
        <v>848</v>
      </c>
      <c r="C472" s="1">
        <v>45646</v>
      </c>
      <c r="D472" s="37" t="s">
        <v>848</v>
      </c>
      <c r="E472">
        <v>0.17648725946819299</v>
      </c>
      <c r="F472">
        <v>0.17648725946819299</v>
      </c>
    </row>
    <row r="473" spans="1:6" x14ac:dyDescent="0.2">
      <c r="A473">
        <v>221</v>
      </c>
      <c r="B473" s="37" t="s">
        <v>849</v>
      </c>
      <c r="C473" s="1">
        <v>45316</v>
      </c>
      <c r="D473" s="37" t="s">
        <v>849</v>
      </c>
      <c r="E473">
        <v>0.32893399317774902</v>
      </c>
      <c r="F473">
        <v>0.32893399317774902</v>
      </c>
    </row>
    <row r="474" spans="1:6" x14ac:dyDescent="0.2">
      <c r="A474">
        <v>221</v>
      </c>
      <c r="B474" s="37" t="s">
        <v>850</v>
      </c>
      <c r="C474" s="1">
        <v>45472</v>
      </c>
      <c r="D474" s="37" t="s">
        <v>850</v>
      </c>
      <c r="E474">
        <v>0.24815424912476799</v>
      </c>
      <c r="F474">
        <v>0.24815424912476799</v>
      </c>
    </row>
    <row r="475" spans="1:6" x14ac:dyDescent="0.2">
      <c r="A475">
        <v>221</v>
      </c>
      <c r="B475" s="37" t="s">
        <v>851</v>
      </c>
      <c r="C475" s="1">
        <v>45472</v>
      </c>
      <c r="D475" s="37" t="s">
        <v>851</v>
      </c>
      <c r="E475">
        <v>0.12442241580794</v>
      </c>
      <c r="F475">
        <v>0.12442241580794</v>
      </c>
    </row>
    <row r="476" spans="1:6" x14ac:dyDescent="0.2">
      <c r="A476">
        <v>223</v>
      </c>
      <c r="B476" s="37" t="s">
        <v>527</v>
      </c>
      <c r="C476" s="1">
        <v>45642</v>
      </c>
      <c r="D476" s="37" t="s">
        <v>527</v>
      </c>
      <c r="E476">
        <v>0.44903848570090898</v>
      </c>
      <c r="F476">
        <v>0.44903848570090898</v>
      </c>
    </row>
    <row r="477" spans="1:6" x14ac:dyDescent="0.2">
      <c r="A477">
        <v>223</v>
      </c>
      <c r="B477" s="37" t="s">
        <v>528</v>
      </c>
      <c r="C477" s="1">
        <v>45531</v>
      </c>
      <c r="D477" s="37" t="s">
        <v>528</v>
      </c>
      <c r="E477">
        <v>0.23177166663596199</v>
      </c>
      <c r="F477">
        <v>0.23177166663596199</v>
      </c>
    </row>
    <row r="478" spans="1:6" x14ac:dyDescent="0.2">
      <c r="A478">
        <v>224</v>
      </c>
      <c r="B478" s="37" t="s">
        <v>529</v>
      </c>
      <c r="C478" s="1">
        <v>45491</v>
      </c>
      <c r="D478" s="37" t="s">
        <v>529</v>
      </c>
      <c r="E478">
        <v>0.37031553148988799</v>
      </c>
      <c r="F478">
        <v>0.37031553148988799</v>
      </c>
    </row>
    <row r="479" spans="1:6" x14ac:dyDescent="0.2">
      <c r="A479">
        <v>224</v>
      </c>
      <c r="B479" s="37" t="s">
        <v>238</v>
      </c>
      <c r="C479" s="1">
        <v>45356</v>
      </c>
      <c r="D479" s="37" t="s">
        <v>238</v>
      </c>
      <c r="E479">
        <v>0.30844495243912101</v>
      </c>
      <c r="F479">
        <v>0.30844495243912101</v>
      </c>
    </row>
    <row r="480" spans="1:6" x14ac:dyDescent="0.2">
      <c r="A480">
        <v>225</v>
      </c>
      <c r="B480" s="37" t="s">
        <v>351</v>
      </c>
      <c r="C480" s="1">
        <v>45313</v>
      </c>
      <c r="D480" s="37" t="s">
        <v>351</v>
      </c>
      <c r="E480">
        <v>0.149804707511108</v>
      </c>
      <c r="F480">
        <v>0.149804707511108</v>
      </c>
    </row>
    <row r="481" spans="1:6" x14ac:dyDescent="0.2">
      <c r="A481">
        <v>225</v>
      </c>
      <c r="B481" s="37" t="s">
        <v>352</v>
      </c>
      <c r="C481" s="1">
        <v>45626</v>
      </c>
      <c r="D481" s="37" t="s">
        <v>352</v>
      </c>
      <c r="E481">
        <v>0.22372469748461399</v>
      </c>
      <c r="F481">
        <v>0.22372469748461399</v>
      </c>
    </row>
    <row r="482" spans="1:6" x14ac:dyDescent="0.2">
      <c r="A482">
        <v>225</v>
      </c>
      <c r="B482" s="37" t="s">
        <v>129</v>
      </c>
      <c r="C482" s="1">
        <v>45553</v>
      </c>
      <c r="D482" s="37" t="s">
        <v>129</v>
      </c>
      <c r="E482">
        <v>0.1215438425481</v>
      </c>
      <c r="F482">
        <v>0.1215438425481</v>
      </c>
    </row>
    <row r="483" spans="1:6" x14ac:dyDescent="0.2">
      <c r="A483">
        <v>225</v>
      </c>
      <c r="B483" s="37" t="s">
        <v>530</v>
      </c>
      <c r="C483" s="1">
        <v>45348</v>
      </c>
      <c r="D483" s="37" t="s">
        <v>530</v>
      </c>
      <c r="E483">
        <v>0.25188323622833703</v>
      </c>
      <c r="F483">
        <v>0.25188323622833703</v>
      </c>
    </row>
    <row r="484" spans="1:6" x14ac:dyDescent="0.2">
      <c r="A484">
        <v>226</v>
      </c>
      <c r="B484" s="37" t="s">
        <v>852</v>
      </c>
      <c r="C484" s="1">
        <v>45392</v>
      </c>
      <c r="D484" s="37" t="s">
        <v>852</v>
      </c>
      <c r="E484">
        <v>0.49629040590179702</v>
      </c>
      <c r="F484">
        <v>0.49629040590179702</v>
      </c>
    </row>
    <row r="485" spans="1:6" x14ac:dyDescent="0.2">
      <c r="A485">
        <v>226</v>
      </c>
      <c r="B485" s="37" t="s">
        <v>531</v>
      </c>
      <c r="C485" s="1">
        <v>45508</v>
      </c>
      <c r="D485" s="37" t="s">
        <v>531</v>
      </c>
      <c r="E485">
        <v>0.177080430653028</v>
      </c>
      <c r="F485">
        <v>0.177080430653028</v>
      </c>
    </row>
    <row r="486" spans="1:6" x14ac:dyDescent="0.2">
      <c r="A486">
        <v>227</v>
      </c>
      <c r="B486" s="37" t="s">
        <v>853</v>
      </c>
      <c r="C486" s="1">
        <v>45293</v>
      </c>
      <c r="D486" s="37" t="s">
        <v>853</v>
      </c>
      <c r="E486">
        <v>0.356610605822414</v>
      </c>
      <c r="F486">
        <v>0.356610605822414</v>
      </c>
    </row>
    <row r="487" spans="1:6" x14ac:dyDescent="0.2">
      <c r="A487">
        <v>227</v>
      </c>
      <c r="B487" s="37" t="s">
        <v>854</v>
      </c>
      <c r="C487" s="1">
        <v>45465</v>
      </c>
      <c r="D487" s="37" t="s">
        <v>854</v>
      </c>
      <c r="E487">
        <v>0.13967819783133201</v>
      </c>
      <c r="F487">
        <v>0.13967819783133201</v>
      </c>
    </row>
    <row r="488" spans="1:6" x14ac:dyDescent="0.2">
      <c r="A488">
        <v>228</v>
      </c>
      <c r="B488" s="37" t="s">
        <v>130</v>
      </c>
      <c r="C488" s="1">
        <v>45456</v>
      </c>
      <c r="D488" s="37" t="s">
        <v>130</v>
      </c>
      <c r="E488">
        <v>0.171273589810613</v>
      </c>
      <c r="F488">
        <v>0.171273589810613</v>
      </c>
    </row>
    <row r="489" spans="1:6" x14ac:dyDescent="0.2">
      <c r="A489">
        <v>228</v>
      </c>
      <c r="B489" s="37" t="s">
        <v>532</v>
      </c>
      <c r="C489" s="1">
        <v>45483</v>
      </c>
      <c r="D489" s="37" t="s">
        <v>532</v>
      </c>
      <c r="E489">
        <v>8.8678044208672702E-2</v>
      </c>
      <c r="F489">
        <v>8.8678044208672702E-2</v>
      </c>
    </row>
    <row r="490" spans="1:6" x14ac:dyDescent="0.2">
      <c r="A490">
        <v>229</v>
      </c>
      <c r="B490" s="37" t="s">
        <v>131</v>
      </c>
      <c r="C490" s="1">
        <v>45364</v>
      </c>
      <c r="D490" s="37" t="s">
        <v>131</v>
      </c>
      <c r="E490">
        <v>2.5002058626641E-2</v>
      </c>
      <c r="F490">
        <v>2.5002058626641E-2</v>
      </c>
    </row>
    <row r="491" spans="1:6" x14ac:dyDescent="0.2">
      <c r="A491">
        <v>229</v>
      </c>
      <c r="B491" s="37" t="s">
        <v>132</v>
      </c>
      <c r="C491" s="1">
        <v>45547</v>
      </c>
      <c r="D491" s="37" t="s">
        <v>132</v>
      </c>
      <c r="E491">
        <v>0.10179081075237199</v>
      </c>
      <c r="F491">
        <v>0.10179081075237199</v>
      </c>
    </row>
    <row r="492" spans="1:6" x14ac:dyDescent="0.2">
      <c r="A492">
        <v>230</v>
      </c>
      <c r="B492" s="37" t="s">
        <v>133</v>
      </c>
      <c r="C492" s="1">
        <v>45642</v>
      </c>
      <c r="D492" s="37" t="s">
        <v>133</v>
      </c>
      <c r="E492">
        <v>0.116884159656395</v>
      </c>
      <c r="F492">
        <v>0.116884159656395</v>
      </c>
    </row>
    <row r="493" spans="1:6" x14ac:dyDescent="0.2">
      <c r="A493">
        <v>231</v>
      </c>
      <c r="B493" s="37" t="s">
        <v>855</v>
      </c>
      <c r="C493" s="1">
        <v>45559</v>
      </c>
      <c r="D493" s="37" t="s">
        <v>855</v>
      </c>
      <c r="E493">
        <v>0.55558513203422999</v>
      </c>
      <c r="F493">
        <v>0.55558513203422999</v>
      </c>
    </row>
    <row r="494" spans="1:6" x14ac:dyDescent="0.2">
      <c r="A494">
        <v>231</v>
      </c>
      <c r="B494" s="37" t="s">
        <v>856</v>
      </c>
      <c r="C494" s="1">
        <v>45631</v>
      </c>
      <c r="D494" s="37" t="s">
        <v>856</v>
      </c>
      <c r="E494">
        <v>0.22589406265501799</v>
      </c>
      <c r="F494">
        <v>0.22589406265501799</v>
      </c>
    </row>
    <row r="495" spans="1:6" x14ac:dyDescent="0.2">
      <c r="A495">
        <v>232</v>
      </c>
      <c r="B495" s="37" t="s">
        <v>239</v>
      </c>
      <c r="C495" s="1">
        <v>45454</v>
      </c>
      <c r="D495" s="37" t="s">
        <v>239</v>
      </c>
      <c r="E495">
        <v>4.0978121764210403E-2</v>
      </c>
      <c r="F495">
        <v>4.0978121764210403E-2</v>
      </c>
    </row>
    <row r="496" spans="1:6" x14ac:dyDescent="0.2">
      <c r="A496">
        <v>232</v>
      </c>
      <c r="B496" s="37" t="s">
        <v>857</v>
      </c>
      <c r="C496" s="1">
        <v>45424</v>
      </c>
      <c r="D496" s="37" t="s">
        <v>857</v>
      </c>
      <c r="E496">
        <v>6.9085245191538705E-2</v>
      </c>
      <c r="F496">
        <v>6.9085245191538705E-2</v>
      </c>
    </row>
    <row r="497" spans="1:6" x14ac:dyDescent="0.2">
      <c r="A497">
        <v>233</v>
      </c>
      <c r="B497" s="37" t="s">
        <v>240</v>
      </c>
      <c r="C497" s="1">
        <v>45607</v>
      </c>
      <c r="D497" s="37" t="s">
        <v>240</v>
      </c>
      <c r="E497">
        <v>0.218740333652231</v>
      </c>
      <c r="F497">
        <v>0.218740333652231</v>
      </c>
    </row>
    <row r="498" spans="1:6" x14ac:dyDescent="0.2">
      <c r="A498">
        <v>233</v>
      </c>
      <c r="B498" s="37" t="s">
        <v>241</v>
      </c>
      <c r="C498" s="1">
        <v>45475</v>
      </c>
      <c r="D498" s="37" t="s">
        <v>241</v>
      </c>
      <c r="E498">
        <v>0.13608754191501801</v>
      </c>
      <c r="F498">
        <v>0.13608754191501801</v>
      </c>
    </row>
    <row r="499" spans="1:6" x14ac:dyDescent="0.2">
      <c r="A499">
        <v>234</v>
      </c>
      <c r="B499" s="37" t="s">
        <v>858</v>
      </c>
      <c r="C499" s="1">
        <v>45653</v>
      </c>
      <c r="D499" s="37" t="s">
        <v>858</v>
      </c>
      <c r="E499">
        <v>0.1222579797111</v>
      </c>
      <c r="F499">
        <v>0.1222579797111</v>
      </c>
    </row>
    <row r="500" spans="1:6" x14ac:dyDescent="0.2">
      <c r="A500">
        <v>234</v>
      </c>
      <c r="B500" s="37" t="s">
        <v>859</v>
      </c>
      <c r="C500" s="1">
        <v>45648</v>
      </c>
      <c r="D500" s="37" t="s">
        <v>859</v>
      </c>
      <c r="E500">
        <v>0.187970739500326</v>
      </c>
      <c r="F500">
        <v>0.187970739500326</v>
      </c>
    </row>
    <row r="501" spans="1:6" x14ac:dyDescent="0.2">
      <c r="A501">
        <v>234</v>
      </c>
      <c r="B501" s="37" t="s">
        <v>860</v>
      </c>
      <c r="C501" s="1">
        <v>45610</v>
      </c>
      <c r="D501" s="37" t="s">
        <v>860</v>
      </c>
      <c r="E501">
        <v>0.24308569552624901</v>
      </c>
      <c r="F501">
        <v>0.24308569552624901</v>
      </c>
    </row>
    <row r="502" spans="1:6" x14ac:dyDescent="0.2">
      <c r="A502">
        <v>234</v>
      </c>
      <c r="B502" s="37" t="s">
        <v>353</v>
      </c>
      <c r="C502" s="1">
        <v>45387</v>
      </c>
      <c r="D502" s="37" t="s">
        <v>353</v>
      </c>
      <c r="E502">
        <v>8.6054574817671495E-2</v>
      </c>
      <c r="F502">
        <v>8.6054574817671495E-2</v>
      </c>
    </row>
    <row r="503" spans="1:6" x14ac:dyDescent="0.2">
      <c r="A503">
        <v>235</v>
      </c>
      <c r="B503" s="37" t="s">
        <v>134</v>
      </c>
      <c r="C503" s="1">
        <v>45594</v>
      </c>
      <c r="D503" s="37" t="s">
        <v>134</v>
      </c>
      <c r="E503">
        <v>0.11770729267573</v>
      </c>
      <c r="F503">
        <v>0.11770729267573</v>
      </c>
    </row>
    <row r="504" spans="1:6" x14ac:dyDescent="0.2">
      <c r="A504">
        <v>235</v>
      </c>
      <c r="B504" s="37" t="s">
        <v>135</v>
      </c>
      <c r="C504" s="1">
        <v>45561</v>
      </c>
      <c r="D504" s="37" t="s">
        <v>135</v>
      </c>
      <c r="E504">
        <v>6.6766099716594404E-2</v>
      </c>
      <c r="F504">
        <v>6.6766099716594404E-2</v>
      </c>
    </row>
    <row r="505" spans="1:6" x14ac:dyDescent="0.2">
      <c r="A505">
        <v>235</v>
      </c>
      <c r="B505" s="37" t="s">
        <v>533</v>
      </c>
      <c r="C505" s="1">
        <v>45522</v>
      </c>
      <c r="D505" s="37" t="s">
        <v>533</v>
      </c>
      <c r="E505">
        <v>0.214308502899691</v>
      </c>
      <c r="F505">
        <v>0.214308502899691</v>
      </c>
    </row>
    <row r="506" spans="1:6" x14ac:dyDescent="0.2">
      <c r="A506">
        <v>236</v>
      </c>
      <c r="B506" s="37" t="s">
        <v>861</v>
      </c>
      <c r="C506" s="1">
        <v>45462</v>
      </c>
      <c r="D506" s="37" t="s">
        <v>861</v>
      </c>
      <c r="E506">
        <v>0.114465968416136</v>
      </c>
      <c r="F506">
        <v>0.114465968416136</v>
      </c>
    </row>
    <row r="507" spans="1:6" x14ac:dyDescent="0.2">
      <c r="A507">
        <v>236</v>
      </c>
      <c r="B507" s="37" t="s">
        <v>136</v>
      </c>
      <c r="C507" s="1">
        <v>45434</v>
      </c>
      <c r="D507" s="37" t="s">
        <v>136</v>
      </c>
      <c r="E507">
        <v>0.40391320746798798</v>
      </c>
      <c r="F507">
        <v>0.40391320746798798</v>
      </c>
    </row>
    <row r="508" spans="1:6" x14ac:dyDescent="0.2">
      <c r="A508">
        <v>237</v>
      </c>
      <c r="B508" s="37" t="s">
        <v>242</v>
      </c>
      <c r="C508" s="1">
        <v>45477</v>
      </c>
      <c r="D508" s="37" t="s">
        <v>242</v>
      </c>
      <c r="E508">
        <v>0.27211564616765999</v>
      </c>
      <c r="F508">
        <v>0.27211564616765999</v>
      </c>
    </row>
    <row r="509" spans="1:6" x14ac:dyDescent="0.2">
      <c r="A509">
        <v>237</v>
      </c>
      <c r="B509" s="37" t="s">
        <v>243</v>
      </c>
      <c r="C509" s="1">
        <v>45352</v>
      </c>
      <c r="D509" s="37" t="s">
        <v>243</v>
      </c>
      <c r="E509">
        <v>0.357942434081095</v>
      </c>
      <c r="F509">
        <v>0.357942434081095</v>
      </c>
    </row>
    <row r="510" spans="1:6" x14ac:dyDescent="0.2">
      <c r="A510">
        <v>237</v>
      </c>
      <c r="B510" s="37" t="s">
        <v>137</v>
      </c>
      <c r="C510" s="1">
        <v>45324</v>
      </c>
      <c r="D510" s="37" t="s">
        <v>137</v>
      </c>
      <c r="E510">
        <v>9.4942675652628997E-2</v>
      </c>
      <c r="F510">
        <v>9.4942675652628997E-2</v>
      </c>
    </row>
    <row r="511" spans="1:6" x14ac:dyDescent="0.2">
      <c r="A511">
        <v>238</v>
      </c>
      <c r="B511" s="37" t="s">
        <v>354</v>
      </c>
      <c r="C511" s="1">
        <v>45628</v>
      </c>
      <c r="D511" s="37" t="s">
        <v>354</v>
      </c>
      <c r="E511">
        <v>0.19333390488212299</v>
      </c>
      <c r="F511">
        <v>0.19333390488212299</v>
      </c>
    </row>
    <row r="512" spans="1:6" x14ac:dyDescent="0.2">
      <c r="A512">
        <v>239</v>
      </c>
      <c r="B512" s="37" t="s">
        <v>355</v>
      </c>
      <c r="C512" s="1">
        <v>45293</v>
      </c>
      <c r="D512" s="37" t="s">
        <v>355</v>
      </c>
      <c r="E512">
        <v>0.18196197865615399</v>
      </c>
      <c r="F512">
        <v>0.18196197865615399</v>
      </c>
    </row>
    <row r="513" spans="1:6" x14ac:dyDescent="0.2">
      <c r="A513">
        <v>239</v>
      </c>
      <c r="B513" s="37" t="s">
        <v>138</v>
      </c>
      <c r="C513" s="1">
        <v>45511</v>
      </c>
      <c r="D513" s="37" t="s">
        <v>138</v>
      </c>
      <c r="E513">
        <v>7.4950657124881401E-2</v>
      </c>
      <c r="F513">
        <v>7.4950657124881401E-2</v>
      </c>
    </row>
    <row r="514" spans="1:6" x14ac:dyDescent="0.2">
      <c r="A514">
        <v>239</v>
      </c>
      <c r="B514" s="37" t="s">
        <v>356</v>
      </c>
      <c r="C514" s="1">
        <v>45629</v>
      </c>
      <c r="D514" s="37" t="s">
        <v>356</v>
      </c>
      <c r="E514">
        <v>0.23773630914881699</v>
      </c>
      <c r="F514">
        <v>0.23773630914881699</v>
      </c>
    </row>
    <row r="515" spans="1:6" x14ac:dyDescent="0.2">
      <c r="A515">
        <v>240</v>
      </c>
      <c r="B515" s="37" t="s">
        <v>862</v>
      </c>
      <c r="C515" s="1">
        <v>45305</v>
      </c>
      <c r="D515" s="37" t="s">
        <v>862</v>
      </c>
      <c r="E515">
        <v>0.140733597669355</v>
      </c>
      <c r="F515">
        <v>0.140733597669355</v>
      </c>
    </row>
    <row r="516" spans="1:6" x14ac:dyDescent="0.2">
      <c r="A516">
        <v>241</v>
      </c>
      <c r="B516" s="37" t="s">
        <v>863</v>
      </c>
      <c r="C516" s="1">
        <v>45354</v>
      </c>
      <c r="D516" s="37" t="s">
        <v>863</v>
      </c>
      <c r="E516">
        <v>6.5559884218763395E-2</v>
      </c>
      <c r="F516">
        <v>6.5559884218763395E-2</v>
      </c>
    </row>
    <row r="517" spans="1:6" x14ac:dyDescent="0.2">
      <c r="A517">
        <v>241</v>
      </c>
      <c r="B517" s="37" t="s">
        <v>864</v>
      </c>
      <c r="C517" s="1">
        <v>45469</v>
      </c>
      <c r="D517" s="37" t="s">
        <v>864</v>
      </c>
      <c r="E517">
        <v>0.31331378089534301</v>
      </c>
      <c r="F517">
        <v>0.31331378089534301</v>
      </c>
    </row>
    <row r="518" spans="1:6" x14ac:dyDescent="0.2">
      <c r="A518">
        <v>242</v>
      </c>
      <c r="B518" s="37" t="s">
        <v>865</v>
      </c>
      <c r="C518" s="1">
        <v>45478</v>
      </c>
      <c r="D518" s="37" t="s">
        <v>865</v>
      </c>
      <c r="E518">
        <v>0.393780300323959</v>
      </c>
      <c r="F518">
        <v>0.393780300323959</v>
      </c>
    </row>
    <row r="519" spans="1:6" x14ac:dyDescent="0.2">
      <c r="A519">
        <v>242</v>
      </c>
      <c r="B519" s="37" t="s">
        <v>866</v>
      </c>
      <c r="C519" s="1">
        <v>45653</v>
      </c>
      <c r="D519" s="37" t="s">
        <v>866</v>
      </c>
      <c r="E519">
        <v>0.21047846067617501</v>
      </c>
      <c r="F519">
        <v>0.21047846067617501</v>
      </c>
    </row>
    <row r="520" spans="1:6" x14ac:dyDescent="0.2">
      <c r="A520">
        <v>243</v>
      </c>
      <c r="B520" s="37" t="s">
        <v>867</v>
      </c>
      <c r="C520" s="1">
        <v>45640</v>
      </c>
      <c r="D520" s="37" t="s">
        <v>867</v>
      </c>
      <c r="E520">
        <v>6.3442863034593996E-2</v>
      </c>
      <c r="F520">
        <v>6.3442863034593996E-2</v>
      </c>
    </row>
    <row r="521" spans="1:6" x14ac:dyDescent="0.2">
      <c r="A521">
        <v>243</v>
      </c>
      <c r="B521" s="37" t="s">
        <v>868</v>
      </c>
      <c r="C521" s="1">
        <v>45430</v>
      </c>
      <c r="D521" s="37" t="s">
        <v>868</v>
      </c>
      <c r="E521">
        <v>1.3216959996089399</v>
      </c>
      <c r="F521">
        <v>1.3216959996089399</v>
      </c>
    </row>
    <row r="522" spans="1:6" x14ac:dyDescent="0.2">
      <c r="A522">
        <v>243</v>
      </c>
      <c r="B522" s="37" t="s">
        <v>244</v>
      </c>
      <c r="C522" s="1">
        <v>45360</v>
      </c>
      <c r="D522" s="37" t="s">
        <v>244</v>
      </c>
      <c r="E522">
        <v>0.135430783106433</v>
      </c>
      <c r="F522">
        <v>0.135430783106433</v>
      </c>
    </row>
    <row r="523" spans="1:6" x14ac:dyDescent="0.2">
      <c r="A523">
        <v>244</v>
      </c>
      <c r="B523" s="37" t="s">
        <v>357</v>
      </c>
      <c r="C523" s="1">
        <v>45575</v>
      </c>
      <c r="D523" s="37" t="s">
        <v>357</v>
      </c>
      <c r="E523">
        <v>6.1924507511342902E-2</v>
      </c>
      <c r="F523">
        <v>6.1924507511342902E-2</v>
      </c>
    </row>
    <row r="524" spans="1:6" x14ac:dyDescent="0.2">
      <c r="A524">
        <v>244</v>
      </c>
      <c r="B524" s="37" t="s">
        <v>358</v>
      </c>
      <c r="C524" s="1">
        <v>45602</v>
      </c>
      <c r="D524" s="37" t="s">
        <v>358</v>
      </c>
      <c r="E524">
        <v>0.56017569687120605</v>
      </c>
      <c r="F524">
        <v>0.56017569687120605</v>
      </c>
    </row>
    <row r="525" spans="1:6" x14ac:dyDescent="0.2">
      <c r="A525">
        <v>245</v>
      </c>
      <c r="B525" s="37" t="s">
        <v>245</v>
      </c>
      <c r="C525" s="1">
        <v>45460</v>
      </c>
      <c r="D525" s="37" t="s">
        <v>245</v>
      </c>
      <c r="E525">
        <v>0.17741828655053299</v>
      </c>
      <c r="F525">
        <v>0.17741828655053299</v>
      </c>
    </row>
    <row r="526" spans="1:6" x14ac:dyDescent="0.2">
      <c r="A526">
        <v>245</v>
      </c>
      <c r="B526" s="37" t="s">
        <v>139</v>
      </c>
      <c r="C526" s="1">
        <v>45594</v>
      </c>
      <c r="D526" s="37" t="s">
        <v>139</v>
      </c>
      <c r="E526">
        <v>0.27923426017684699</v>
      </c>
      <c r="F526">
        <v>0.27923426017684699</v>
      </c>
    </row>
    <row r="527" spans="1:6" x14ac:dyDescent="0.2">
      <c r="A527">
        <v>245</v>
      </c>
      <c r="B527" s="37" t="s">
        <v>140</v>
      </c>
      <c r="C527" s="1">
        <v>45653</v>
      </c>
      <c r="D527" s="37" t="s">
        <v>140</v>
      </c>
      <c r="E527">
        <v>0.30071855533682001</v>
      </c>
      <c r="F527">
        <v>0.30071855533682001</v>
      </c>
    </row>
    <row r="528" spans="1:6" x14ac:dyDescent="0.2">
      <c r="A528">
        <v>246</v>
      </c>
      <c r="B528" s="37" t="s">
        <v>359</v>
      </c>
      <c r="C528" s="1">
        <v>45373</v>
      </c>
      <c r="D528" s="37" t="s">
        <v>359</v>
      </c>
      <c r="E528">
        <v>0.212804779955205</v>
      </c>
      <c r="F528">
        <v>0.212804779955205</v>
      </c>
    </row>
    <row r="529" spans="1:6" x14ac:dyDescent="0.2">
      <c r="A529">
        <v>246</v>
      </c>
      <c r="B529" s="37" t="s">
        <v>141</v>
      </c>
      <c r="C529" s="1">
        <v>45542</v>
      </c>
      <c r="D529" s="37" t="s">
        <v>141</v>
      </c>
      <c r="E529">
        <v>0.40520496805306</v>
      </c>
      <c r="F529">
        <v>0.40520496805306</v>
      </c>
    </row>
    <row r="530" spans="1:6" x14ac:dyDescent="0.2">
      <c r="A530">
        <v>247</v>
      </c>
      <c r="B530" s="37" t="s">
        <v>246</v>
      </c>
      <c r="C530" s="1">
        <v>45474</v>
      </c>
      <c r="D530" s="37" t="s">
        <v>246</v>
      </c>
      <c r="E530">
        <v>0.20446015414417401</v>
      </c>
      <c r="F530">
        <v>0.20446015414417401</v>
      </c>
    </row>
    <row r="531" spans="1:6" x14ac:dyDescent="0.2">
      <c r="A531">
        <v>247</v>
      </c>
      <c r="B531" s="37" t="s">
        <v>247</v>
      </c>
      <c r="C531" s="1">
        <v>45438</v>
      </c>
      <c r="D531" s="37" t="s">
        <v>247</v>
      </c>
      <c r="E531">
        <v>0.14867650221989201</v>
      </c>
      <c r="F531">
        <v>0.14867650221989201</v>
      </c>
    </row>
    <row r="532" spans="1:6" x14ac:dyDescent="0.2">
      <c r="A532">
        <v>250</v>
      </c>
      <c r="B532" s="37" t="s">
        <v>869</v>
      </c>
      <c r="C532" s="1">
        <v>45304</v>
      </c>
      <c r="D532" s="37" t="s">
        <v>869</v>
      </c>
      <c r="E532">
        <v>0.38026875706553898</v>
      </c>
      <c r="F532">
        <v>0.38026875706553898</v>
      </c>
    </row>
    <row r="533" spans="1:6" x14ac:dyDescent="0.2">
      <c r="A533">
        <v>250</v>
      </c>
      <c r="B533" s="37" t="s">
        <v>142</v>
      </c>
      <c r="C533" s="1">
        <v>45627</v>
      </c>
      <c r="D533" s="37" t="s">
        <v>142</v>
      </c>
      <c r="E533">
        <v>0.11811334444980399</v>
      </c>
      <c r="F533">
        <v>0.11811334444980399</v>
      </c>
    </row>
    <row r="534" spans="1:6" x14ac:dyDescent="0.2">
      <c r="A534">
        <v>251</v>
      </c>
      <c r="B534" s="37" t="s">
        <v>143</v>
      </c>
      <c r="C534" s="1">
        <v>45586</v>
      </c>
      <c r="D534" s="37" t="s">
        <v>143</v>
      </c>
      <c r="E534">
        <v>0.11075603661637</v>
      </c>
      <c r="F534">
        <v>0.11075603661637</v>
      </c>
    </row>
    <row r="535" spans="1:6" x14ac:dyDescent="0.2">
      <c r="A535">
        <v>251</v>
      </c>
      <c r="B535" s="37" t="s">
        <v>144</v>
      </c>
      <c r="C535" s="1">
        <v>45387</v>
      </c>
      <c r="D535" s="37" t="s">
        <v>144</v>
      </c>
      <c r="E535">
        <v>0.20439651045577001</v>
      </c>
      <c r="F535">
        <v>0.20439651045577001</v>
      </c>
    </row>
    <row r="536" spans="1:6" x14ac:dyDescent="0.2">
      <c r="A536">
        <v>251</v>
      </c>
      <c r="B536" s="37" t="s">
        <v>534</v>
      </c>
      <c r="C536" s="1">
        <v>45643</v>
      </c>
      <c r="D536" s="37" t="s">
        <v>534</v>
      </c>
      <c r="E536">
        <v>0.100790853866553</v>
      </c>
      <c r="F536">
        <v>0.100790853866553</v>
      </c>
    </row>
    <row r="537" spans="1:6" x14ac:dyDescent="0.2">
      <c r="A537">
        <v>252</v>
      </c>
      <c r="B537" s="37" t="s">
        <v>535</v>
      </c>
      <c r="C537" s="1">
        <v>45377</v>
      </c>
      <c r="D537" s="37" t="s">
        <v>535</v>
      </c>
      <c r="E537">
        <v>0.31699490559481702</v>
      </c>
      <c r="F537">
        <v>0.31699490559481702</v>
      </c>
    </row>
    <row r="538" spans="1:6" x14ac:dyDescent="0.2">
      <c r="A538">
        <v>252</v>
      </c>
      <c r="B538" s="37" t="s">
        <v>870</v>
      </c>
      <c r="C538" s="1">
        <v>45478</v>
      </c>
      <c r="D538" s="37" t="s">
        <v>870</v>
      </c>
      <c r="E538">
        <v>0.18613834692688999</v>
      </c>
      <c r="F538">
        <v>0.18613834692688999</v>
      </c>
    </row>
    <row r="539" spans="1:6" x14ac:dyDescent="0.2">
      <c r="A539">
        <v>252</v>
      </c>
      <c r="B539" s="37" t="s">
        <v>871</v>
      </c>
      <c r="C539" s="1">
        <v>45472</v>
      </c>
      <c r="D539" s="37" t="s">
        <v>871</v>
      </c>
      <c r="E539">
        <v>0.14081608534731199</v>
      </c>
      <c r="F539">
        <v>0.14081608534731199</v>
      </c>
    </row>
    <row r="540" spans="1:6" x14ac:dyDescent="0.2">
      <c r="A540">
        <v>253</v>
      </c>
      <c r="B540" s="37" t="s">
        <v>145</v>
      </c>
      <c r="C540" s="1">
        <v>45636</v>
      </c>
      <c r="D540" s="37" t="s">
        <v>145</v>
      </c>
      <c r="E540">
        <v>0.405487033558801</v>
      </c>
      <c r="F540">
        <v>0.405487033558801</v>
      </c>
    </row>
    <row r="541" spans="1:6" x14ac:dyDescent="0.2">
      <c r="A541">
        <v>253</v>
      </c>
      <c r="B541" s="37" t="s">
        <v>146</v>
      </c>
      <c r="C541" s="1">
        <v>45431</v>
      </c>
      <c r="D541" s="37" t="s">
        <v>146</v>
      </c>
      <c r="E541">
        <v>0.14251191465391899</v>
      </c>
      <c r="F541">
        <v>0.14251191465391899</v>
      </c>
    </row>
    <row r="542" spans="1:6" x14ac:dyDescent="0.2">
      <c r="A542">
        <v>254</v>
      </c>
      <c r="B542" s="37" t="s">
        <v>872</v>
      </c>
      <c r="C542" s="1">
        <v>45413</v>
      </c>
      <c r="D542" s="37" t="s">
        <v>872</v>
      </c>
      <c r="E542">
        <v>5.9119582483222202E-2</v>
      </c>
      <c r="F542">
        <v>5.9119582483222202E-2</v>
      </c>
    </row>
    <row r="543" spans="1:6" x14ac:dyDescent="0.2">
      <c r="A543">
        <v>254</v>
      </c>
      <c r="B543" s="37" t="s">
        <v>360</v>
      </c>
      <c r="C543" s="1">
        <v>45542</v>
      </c>
      <c r="D543" s="37" t="s">
        <v>360</v>
      </c>
      <c r="E543">
        <v>7.1499228230494094E-2</v>
      </c>
      <c r="F543">
        <v>7.1499228230494094E-2</v>
      </c>
    </row>
    <row r="544" spans="1:6" x14ac:dyDescent="0.2">
      <c r="A544">
        <v>254</v>
      </c>
      <c r="B544" s="37" t="s">
        <v>248</v>
      </c>
      <c r="C544" s="1">
        <v>45506</v>
      </c>
      <c r="D544" s="37" t="s">
        <v>248</v>
      </c>
      <c r="E544">
        <v>0.15800736602107901</v>
      </c>
      <c r="F544">
        <v>0.15800736602107901</v>
      </c>
    </row>
    <row r="545" spans="1:6" x14ac:dyDescent="0.2">
      <c r="A545">
        <v>255</v>
      </c>
      <c r="B545" s="37" t="s">
        <v>873</v>
      </c>
      <c r="C545" s="1">
        <v>45574</v>
      </c>
      <c r="D545" s="37" t="s">
        <v>873</v>
      </c>
      <c r="E545">
        <v>5.4032152692592803E-2</v>
      </c>
      <c r="F545">
        <v>5.4032152692592803E-2</v>
      </c>
    </row>
    <row r="546" spans="1:6" x14ac:dyDescent="0.2">
      <c r="A546">
        <v>255</v>
      </c>
      <c r="B546" s="37" t="s">
        <v>874</v>
      </c>
      <c r="C546" s="1">
        <v>45622</v>
      </c>
      <c r="D546" s="37" t="s">
        <v>874</v>
      </c>
      <c r="E546">
        <v>4.46855097432785E-2</v>
      </c>
      <c r="F546">
        <v>4.46855097432785E-2</v>
      </c>
    </row>
    <row r="547" spans="1:6" x14ac:dyDescent="0.2">
      <c r="A547">
        <v>256</v>
      </c>
      <c r="B547" s="37" t="s">
        <v>875</v>
      </c>
      <c r="C547" s="1">
        <v>45615</v>
      </c>
      <c r="D547" s="37" t="s">
        <v>875</v>
      </c>
      <c r="E547">
        <v>0.17169908677828899</v>
      </c>
      <c r="F547">
        <v>0.17169908677828899</v>
      </c>
    </row>
    <row r="548" spans="1:6" x14ac:dyDescent="0.2">
      <c r="A548">
        <v>257</v>
      </c>
      <c r="B548" s="37" t="s">
        <v>536</v>
      </c>
      <c r="C548" s="1">
        <v>45514</v>
      </c>
      <c r="D548" s="37" t="s">
        <v>536</v>
      </c>
      <c r="E548">
        <v>0.29635101316537799</v>
      </c>
      <c r="F548">
        <v>0.29635101316537799</v>
      </c>
    </row>
    <row r="549" spans="1:6" x14ac:dyDescent="0.2">
      <c r="A549">
        <v>257</v>
      </c>
      <c r="B549" s="37" t="s">
        <v>876</v>
      </c>
      <c r="C549" s="1">
        <v>45452</v>
      </c>
      <c r="D549" s="37" t="s">
        <v>876</v>
      </c>
      <c r="E549">
        <v>0.15475525973165</v>
      </c>
      <c r="F549">
        <v>0.15475525973165</v>
      </c>
    </row>
    <row r="550" spans="1:6" x14ac:dyDescent="0.2">
      <c r="A550">
        <v>257</v>
      </c>
      <c r="B550" s="37" t="s">
        <v>537</v>
      </c>
      <c r="C550" s="1">
        <v>45334</v>
      </c>
      <c r="D550" s="37" t="s">
        <v>537</v>
      </c>
      <c r="E550">
        <v>0.22285096394544399</v>
      </c>
      <c r="F550">
        <v>0.22285096394544399</v>
      </c>
    </row>
    <row r="551" spans="1:6" x14ac:dyDescent="0.2">
      <c r="A551">
        <v>258</v>
      </c>
      <c r="B551" s="37" t="s">
        <v>877</v>
      </c>
      <c r="C551" s="1">
        <v>45587</v>
      </c>
      <c r="D551" s="37" t="s">
        <v>877</v>
      </c>
      <c r="E551">
        <v>0.28295310313669803</v>
      </c>
      <c r="F551">
        <v>0.28295310313669803</v>
      </c>
    </row>
    <row r="552" spans="1:6" x14ac:dyDescent="0.2">
      <c r="A552">
        <v>258</v>
      </c>
      <c r="B552" s="37" t="s">
        <v>878</v>
      </c>
      <c r="C552" s="1">
        <v>45564</v>
      </c>
      <c r="D552" s="37" t="s">
        <v>878</v>
      </c>
      <c r="E552">
        <v>0.18057463470897001</v>
      </c>
      <c r="F552">
        <v>0.18057463470897001</v>
      </c>
    </row>
    <row r="553" spans="1:6" x14ac:dyDescent="0.2">
      <c r="A553">
        <v>259</v>
      </c>
      <c r="B553" s="37" t="s">
        <v>147</v>
      </c>
      <c r="C553" s="1">
        <v>45307</v>
      </c>
      <c r="D553" s="37" t="s">
        <v>147</v>
      </c>
      <c r="E553">
        <v>0.20909752132769099</v>
      </c>
      <c r="F553">
        <v>0.20909752132769099</v>
      </c>
    </row>
    <row r="554" spans="1:6" x14ac:dyDescent="0.2">
      <c r="A554">
        <v>259</v>
      </c>
      <c r="B554" s="37" t="s">
        <v>148</v>
      </c>
      <c r="C554" s="1">
        <v>45431</v>
      </c>
      <c r="D554" s="37" t="s">
        <v>148</v>
      </c>
      <c r="E554">
        <v>0.10173621150935599</v>
      </c>
      <c r="F554">
        <v>0.10173621150935599</v>
      </c>
    </row>
    <row r="555" spans="1:6" x14ac:dyDescent="0.2">
      <c r="A555">
        <v>260</v>
      </c>
      <c r="B555" s="37" t="s">
        <v>879</v>
      </c>
      <c r="C555" s="1">
        <v>45387</v>
      </c>
      <c r="D555" s="37" t="s">
        <v>879</v>
      </c>
      <c r="E555">
        <v>0.37627743055712098</v>
      </c>
      <c r="F555">
        <v>0.37627743055712098</v>
      </c>
    </row>
    <row r="556" spans="1:6" x14ac:dyDescent="0.2">
      <c r="A556">
        <v>261</v>
      </c>
      <c r="B556" s="37" t="s">
        <v>361</v>
      </c>
      <c r="C556" s="1">
        <v>45550</v>
      </c>
      <c r="D556" s="37" t="s">
        <v>361</v>
      </c>
      <c r="E556">
        <v>0.26717829288029099</v>
      </c>
      <c r="F556">
        <v>0.26717829288029099</v>
      </c>
    </row>
    <row r="557" spans="1:6" x14ac:dyDescent="0.2">
      <c r="A557">
        <v>262</v>
      </c>
      <c r="B557" s="37" t="s">
        <v>538</v>
      </c>
      <c r="C557" s="1">
        <v>45407</v>
      </c>
      <c r="D557" s="37" t="s">
        <v>538</v>
      </c>
      <c r="E557">
        <v>9.0290606979493704E-2</v>
      </c>
      <c r="F557">
        <v>9.0290606979493704E-2</v>
      </c>
    </row>
    <row r="558" spans="1:6" x14ac:dyDescent="0.2">
      <c r="A558">
        <v>263</v>
      </c>
      <c r="B558" s="37" t="s">
        <v>539</v>
      </c>
      <c r="C558" s="1">
        <v>45304</v>
      </c>
      <c r="D558" s="37" t="s">
        <v>539</v>
      </c>
      <c r="E558">
        <v>2.6178831650184298E-2</v>
      </c>
      <c r="F558">
        <v>2.6178831650184298E-2</v>
      </c>
    </row>
    <row r="559" spans="1:6" x14ac:dyDescent="0.2">
      <c r="A559">
        <v>263</v>
      </c>
      <c r="B559" s="37" t="s">
        <v>880</v>
      </c>
      <c r="C559" s="1">
        <v>45408</v>
      </c>
      <c r="D559" s="37" t="s">
        <v>880</v>
      </c>
      <c r="E559">
        <v>0.15343048135256801</v>
      </c>
      <c r="F559">
        <v>0.15343048135256801</v>
      </c>
    </row>
    <row r="560" spans="1:6" x14ac:dyDescent="0.2">
      <c r="A560">
        <v>264</v>
      </c>
      <c r="B560" s="37" t="s">
        <v>881</v>
      </c>
      <c r="C560" s="1">
        <v>45520</v>
      </c>
      <c r="D560" s="37" t="s">
        <v>881</v>
      </c>
      <c r="E560">
        <v>1.1696701302718601E-2</v>
      </c>
      <c r="F560">
        <v>1.1696701302718601E-2</v>
      </c>
    </row>
    <row r="561" spans="1:6" x14ac:dyDescent="0.2">
      <c r="A561">
        <v>265</v>
      </c>
      <c r="B561" s="37" t="s">
        <v>149</v>
      </c>
      <c r="C561" s="1">
        <v>45608</v>
      </c>
      <c r="D561" s="37" t="s">
        <v>149</v>
      </c>
      <c r="E561">
        <v>0.177426367687258</v>
      </c>
      <c r="F561">
        <v>0.177426367687258</v>
      </c>
    </row>
    <row r="562" spans="1:6" x14ac:dyDescent="0.2">
      <c r="A562">
        <v>265</v>
      </c>
      <c r="B562" s="37" t="s">
        <v>362</v>
      </c>
      <c r="C562" s="1">
        <v>45310</v>
      </c>
      <c r="D562" s="37" t="s">
        <v>362</v>
      </c>
      <c r="E562">
        <v>0.176793672335192</v>
      </c>
      <c r="F562">
        <v>0.176793672335192</v>
      </c>
    </row>
    <row r="563" spans="1:6" x14ac:dyDescent="0.2">
      <c r="A563">
        <v>266</v>
      </c>
      <c r="B563" s="37" t="s">
        <v>882</v>
      </c>
      <c r="C563" s="1">
        <v>45434</v>
      </c>
      <c r="D563" s="37" t="s">
        <v>882</v>
      </c>
      <c r="E563">
        <v>0.11246424020839201</v>
      </c>
      <c r="F563">
        <v>0.11246424020839201</v>
      </c>
    </row>
    <row r="564" spans="1:6" x14ac:dyDescent="0.2">
      <c r="A564">
        <v>266</v>
      </c>
      <c r="B564" s="37" t="s">
        <v>540</v>
      </c>
      <c r="C564" s="1">
        <v>45575</v>
      </c>
      <c r="D564" s="37" t="s">
        <v>540</v>
      </c>
      <c r="E564">
        <v>0.252100403532174</v>
      </c>
      <c r="F564">
        <v>0.252100403532174</v>
      </c>
    </row>
    <row r="565" spans="1:6" x14ac:dyDescent="0.2">
      <c r="A565">
        <v>267</v>
      </c>
      <c r="B565" s="37" t="s">
        <v>883</v>
      </c>
      <c r="C565" s="1">
        <v>45617</v>
      </c>
      <c r="D565" s="37" t="s">
        <v>883</v>
      </c>
      <c r="E565">
        <v>0.11669038445053601</v>
      </c>
      <c r="F565">
        <v>0.11669038445053601</v>
      </c>
    </row>
    <row r="566" spans="1:6" x14ac:dyDescent="0.2">
      <c r="A566">
        <v>267</v>
      </c>
      <c r="B566" s="37" t="s">
        <v>884</v>
      </c>
      <c r="C566" s="1">
        <v>45487</v>
      </c>
      <c r="D566" s="37" t="s">
        <v>884</v>
      </c>
      <c r="E566">
        <v>0.101884794105049</v>
      </c>
      <c r="F566">
        <v>0.101884794105049</v>
      </c>
    </row>
    <row r="567" spans="1:6" x14ac:dyDescent="0.2">
      <c r="A567">
        <v>267</v>
      </c>
      <c r="B567" s="37" t="s">
        <v>363</v>
      </c>
      <c r="C567" s="1">
        <v>45590</v>
      </c>
      <c r="D567" s="37" t="s">
        <v>363</v>
      </c>
      <c r="E567">
        <v>8.60836202476183E-2</v>
      </c>
      <c r="F567">
        <v>8.60836202476183E-2</v>
      </c>
    </row>
    <row r="568" spans="1:6" x14ac:dyDescent="0.2">
      <c r="A568">
        <v>268</v>
      </c>
      <c r="B568" s="37" t="s">
        <v>885</v>
      </c>
      <c r="C568" s="1">
        <v>45529</v>
      </c>
      <c r="D568" s="37" t="s">
        <v>885</v>
      </c>
      <c r="E568">
        <v>0.60718763946318799</v>
      </c>
      <c r="F568">
        <v>0.60718763946318799</v>
      </c>
    </row>
    <row r="569" spans="1:6" x14ac:dyDescent="0.2">
      <c r="A569">
        <v>268</v>
      </c>
      <c r="B569" s="37" t="s">
        <v>886</v>
      </c>
      <c r="C569" s="1">
        <v>45567</v>
      </c>
      <c r="D569" s="37" t="s">
        <v>886</v>
      </c>
      <c r="E569">
        <v>0.29570103188054098</v>
      </c>
      <c r="F569">
        <v>0.29570103188054098</v>
      </c>
    </row>
    <row r="570" spans="1:6" x14ac:dyDescent="0.2">
      <c r="A570">
        <v>268</v>
      </c>
      <c r="B570" s="37" t="s">
        <v>887</v>
      </c>
      <c r="C570" s="1">
        <v>45298</v>
      </c>
      <c r="D570" s="37" t="s">
        <v>887</v>
      </c>
      <c r="E570">
        <v>0.42540339168410002</v>
      </c>
      <c r="F570">
        <v>0.42540339168410002</v>
      </c>
    </row>
    <row r="571" spans="1:6" x14ac:dyDescent="0.2">
      <c r="A571">
        <v>269</v>
      </c>
      <c r="B571" s="37" t="s">
        <v>150</v>
      </c>
      <c r="C571" s="1">
        <v>45506</v>
      </c>
      <c r="D571" s="37" t="s">
        <v>150</v>
      </c>
      <c r="E571">
        <v>0.213873393374757</v>
      </c>
      <c r="F571">
        <v>0.213873393374757</v>
      </c>
    </row>
    <row r="572" spans="1:6" x14ac:dyDescent="0.2">
      <c r="A572">
        <v>269</v>
      </c>
      <c r="B572" s="37" t="s">
        <v>364</v>
      </c>
      <c r="C572" s="1">
        <v>45456</v>
      </c>
      <c r="D572" s="37" t="s">
        <v>364</v>
      </c>
      <c r="E572">
        <v>8.7138581474274904E-2</v>
      </c>
      <c r="F572">
        <v>8.7138581474274904E-2</v>
      </c>
    </row>
    <row r="573" spans="1:6" x14ac:dyDescent="0.2">
      <c r="A573">
        <v>269</v>
      </c>
      <c r="B573" s="37" t="s">
        <v>888</v>
      </c>
      <c r="C573" s="1">
        <v>45632</v>
      </c>
      <c r="D573" s="37" t="s">
        <v>888</v>
      </c>
      <c r="E573">
        <v>0.17272885316596201</v>
      </c>
      <c r="F573">
        <v>0.17272885316596201</v>
      </c>
    </row>
    <row r="574" spans="1:6" x14ac:dyDescent="0.2">
      <c r="A574">
        <v>269</v>
      </c>
      <c r="B574" s="37" t="s">
        <v>889</v>
      </c>
      <c r="C574" s="1">
        <v>45321</v>
      </c>
      <c r="D574" s="37" t="s">
        <v>889</v>
      </c>
      <c r="E574">
        <v>0.105853685116077</v>
      </c>
      <c r="F574">
        <v>0.105853685116077</v>
      </c>
    </row>
    <row r="575" spans="1:6" x14ac:dyDescent="0.2">
      <c r="A575">
        <v>270</v>
      </c>
      <c r="B575" s="37" t="s">
        <v>365</v>
      </c>
      <c r="C575" s="1">
        <v>45535</v>
      </c>
      <c r="D575" s="37" t="s">
        <v>365</v>
      </c>
      <c r="E575">
        <v>0.16187758497476401</v>
      </c>
      <c r="F575">
        <v>0.16187758497476401</v>
      </c>
    </row>
    <row r="576" spans="1:6" x14ac:dyDescent="0.2">
      <c r="A576">
        <v>270</v>
      </c>
      <c r="B576" s="37" t="s">
        <v>151</v>
      </c>
      <c r="C576" s="1">
        <v>45318</v>
      </c>
      <c r="D576" s="37" t="s">
        <v>151</v>
      </c>
      <c r="E576">
        <v>9.0426988616110496E-2</v>
      </c>
      <c r="F576">
        <v>9.0426988616110496E-2</v>
      </c>
    </row>
    <row r="577" spans="1:6" x14ac:dyDescent="0.2">
      <c r="A577">
        <v>271</v>
      </c>
      <c r="B577" s="37" t="s">
        <v>890</v>
      </c>
      <c r="C577" s="1">
        <v>45607</v>
      </c>
      <c r="D577" s="37" t="s">
        <v>890</v>
      </c>
      <c r="E577">
        <v>0.182909740627312</v>
      </c>
      <c r="F577">
        <v>0.182909740627312</v>
      </c>
    </row>
    <row r="578" spans="1:6" x14ac:dyDescent="0.2">
      <c r="A578">
        <v>272</v>
      </c>
      <c r="B578" s="37" t="s">
        <v>891</v>
      </c>
      <c r="C578" s="1">
        <v>45309</v>
      </c>
      <c r="D578" s="37" t="s">
        <v>891</v>
      </c>
      <c r="E578">
        <v>0.145387178629759</v>
      </c>
      <c r="F578">
        <v>0.145387178629759</v>
      </c>
    </row>
    <row r="579" spans="1:6" x14ac:dyDescent="0.2">
      <c r="A579">
        <v>272</v>
      </c>
      <c r="B579" s="37" t="s">
        <v>892</v>
      </c>
      <c r="C579" s="1">
        <v>45377</v>
      </c>
      <c r="D579" s="37" t="s">
        <v>892</v>
      </c>
      <c r="E579">
        <v>0.121613785943334</v>
      </c>
      <c r="F579">
        <v>0.121613785943334</v>
      </c>
    </row>
    <row r="580" spans="1:6" x14ac:dyDescent="0.2">
      <c r="A580">
        <v>272</v>
      </c>
      <c r="B580" s="37" t="s">
        <v>893</v>
      </c>
      <c r="C580" s="1">
        <v>45650</v>
      </c>
      <c r="D580" s="37" t="s">
        <v>893</v>
      </c>
      <c r="E580">
        <v>0.114277724600036</v>
      </c>
      <c r="F580">
        <v>0.114277724600036</v>
      </c>
    </row>
    <row r="581" spans="1:6" x14ac:dyDescent="0.2">
      <c r="A581">
        <v>272</v>
      </c>
      <c r="B581" s="37" t="s">
        <v>894</v>
      </c>
      <c r="C581" s="1">
        <v>45582</v>
      </c>
      <c r="D581" s="37" t="s">
        <v>894</v>
      </c>
      <c r="E581">
        <v>0.15197975571078801</v>
      </c>
      <c r="F581">
        <v>0.15197975571078801</v>
      </c>
    </row>
    <row r="582" spans="1:6" x14ac:dyDescent="0.2">
      <c r="A582">
        <v>273</v>
      </c>
      <c r="B582" s="37" t="s">
        <v>895</v>
      </c>
      <c r="C582" s="1">
        <v>45613</v>
      </c>
      <c r="D582" s="37" t="s">
        <v>895</v>
      </c>
      <c r="E582">
        <v>0.45479235941082502</v>
      </c>
      <c r="F582">
        <v>0.45479235941082502</v>
      </c>
    </row>
    <row r="583" spans="1:6" x14ac:dyDescent="0.2">
      <c r="A583">
        <v>273</v>
      </c>
      <c r="B583" s="37" t="s">
        <v>541</v>
      </c>
      <c r="C583" s="1">
        <v>45335</v>
      </c>
      <c r="D583" s="37" t="s">
        <v>541</v>
      </c>
      <c r="E583">
        <v>8.8457167073144993E-2</v>
      </c>
      <c r="F583">
        <v>8.8457167073144993E-2</v>
      </c>
    </row>
    <row r="584" spans="1:6" x14ac:dyDescent="0.2">
      <c r="A584">
        <v>273</v>
      </c>
      <c r="B584" s="37" t="s">
        <v>542</v>
      </c>
      <c r="C584" s="1">
        <v>45394</v>
      </c>
      <c r="D584" s="37" t="s">
        <v>542</v>
      </c>
      <c r="E584">
        <v>0.105998932611369</v>
      </c>
      <c r="F584">
        <v>0.105998932611369</v>
      </c>
    </row>
    <row r="585" spans="1:6" x14ac:dyDescent="0.2">
      <c r="A585">
        <v>273</v>
      </c>
      <c r="B585" s="37" t="s">
        <v>896</v>
      </c>
      <c r="C585" s="1">
        <v>45309</v>
      </c>
      <c r="D585" s="37" t="s">
        <v>896</v>
      </c>
      <c r="E585">
        <v>8.8101432357136703E-2</v>
      </c>
      <c r="F585">
        <v>8.8101432357136703E-2</v>
      </c>
    </row>
    <row r="586" spans="1:6" x14ac:dyDescent="0.2">
      <c r="A586">
        <v>274</v>
      </c>
      <c r="B586" s="37" t="s">
        <v>897</v>
      </c>
      <c r="C586" s="1">
        <v>45467</v>
      </c>
      <c r="D586" s="37" t="s">
        <v>897</v>
      </c>
      <c r="E586">
        <v>4.8595414325401397E-2</v>
      </c>
      <c r="F586">
        <v>4.8595414325401397E-2</v>
      </c>
    </row>
    <row r="587" spans="1:6" x14ac:dyDescent="0.2">
      <c r="A587">
        <v>274</v>
      </c>
      <c r="B587" s="37" t="s">
        <v>898</v>
      </c>
      <c r="C587" s="1">
        <v>45474</v>
      </c>
      <c r="D587" s="37" t="s">
        <v>898</v>
      </c>
      <c r="E587">
        <v>0.413322598453296</v>
      </c>
      <c r="F587">
        <v>0.413322598453296</v>
      </c>
    </row>
    <row r="588" spans="1:6" x14ac:dyDescent="0.2">
      <c r="A588">
        <v>274</v>
      </c>
      <c r="B588" s="37" t="s">
        <v>899</v>
      </c>
      <c r="C588" s="1">
        <v>45409</v>
      </c>
      <c r="D588" s="37" t="s">
        <v>899</v>
      </c>
      <c r="E588">
        <v>0.38017545400610098</v>
      </c>
      <c r="F588">
        <v>0.38017545400610098</v>
      </c>
    </row>
    <row r="589" spans="1:6" x14ac:dyDescent="0.2">
      <c r="A589">
        <v>275</v>
      </c>
      <c r="B589" s="37" t="s">
        <v>900</v>
      </c>
      <c r="C589" s="1">
        <v>45335</v>
      </c>
      <c r="D589" s="37" t="s">
        <v>900</v>
      </c>
      <c r="E589">
        <v>0.82411373616204697</v>
      </c>
      <c r="F589">
        <v>0.82411373616204697</v>
      </c>
    </row>
    <row r="590" spans="1:6" x14ac:dyDescent="0.2">
      <c r="A590">
        <v>276</v>
      </c>
      <c r="B590" s="37" t="s">
        <v>901</v>
      </c>
      <c r="C590" s="1">
        <v>45653</v>
      </c>
      <c r="D590" s="37" t="s">
        <v>901</v>
      </c>
      <c r="E590">
        <v>6.6278420955583103E-2</v>
      </c>
      <c r="F590">
        <v>6.6278420955583103E-2</v>
      </c>
    </row>
    <row r="591" spans="1:6" x14ac:dyDescent="0.2">
      <c r="A591">
        <v>276</v>
      </c>
      <c r="B591" s="37" t="s">
        <v>902</v>
      </c>
      <c r="C591" s="1">
        <v>45398</v>
      </c>
      <c r="D591" s="37" t="s">
        <v>902</v>
      </c>
      <c r="E591">
        <v>0.256519580557524</v>
      </c>
      <c r="F591">
        <v>0.256519580557524</v>
      </c>
    </row>
    <row r="592" spans="1:6" x14ac:dyDescent="0.2">
      <c r="A592">
        <v>278</v>
      </c>
      <c r="B592" s="37" t="s">
        <v>903</v>
      </c>
      <c r="C592" s="1">
        <v>45434</v>
      </c>
      <c r="D592" s="37" t="s">
        <v>903</v>
      </c>
      <c r="E592">
        <v>0.27848324351727</v>
      </c>
      <c r="F592">
        <v>0.27848324351727</v>
      </c>
    </row>
    <row r="593" spans="1:6" x14ac:dyDescent="0.2">
      <c r="A593">
        <v>278</v>
      </c>
      <c r="B593" s="37" t="s">
        <v>904</v>
      </c>
      <c r="C593" s="1">
        <v>45596</v>
      </c>
      <c r="D593" s="37" t="s">
        <v>904</v>
      </c>
      <c r="E593">
        <v>6.49101956559391E-3</v>
      </c>
      <c r="F593">
        <v>6.49101956559391E-3</v>
      </c>
    </row>
    <row r="594" spans="1:6" x14ac:dyDescent="0.2">
      <c r="A594">
        <v>279</v>
      </c>
      <c r="B594" s="37" t="s">
        <v>905</v>
      </c>
      <c r="C594" s="1">
        <v>45574</v>
      </c>
      <c r="D594" s="37" t="s">
        <v>905</v>
      </c>
      <c r="E594">
        <v>0.161392603110805</v>
      </c>
      <c r="F594">
        <v>0.161392603110805</v>
      </c>
    </row>
    <row r="595" spans="1:6" x14ac:dyDescent="0.2">
      <c r="A595">
        <v>279</v>
      </c>
      <c r="B595" s="37" t="s">
        <v>906</v>
      </c>
      <c r="C595" s="1">
        <v>45358</v>
      </c>
      <c r="D595" s="37" t="s">
        <v>906</v>
      </c>
      <c r="E595">
        <v>0.28480792742648597</v>
      </c>
      <c r="F595">
        <v>0.28480792742648597</v>
      </c>
    </row>
    <row r="596" spans="1:6" x14ac:dyDescent="0.2">
      <c r="A596">
        <v>279</v>
      </c>
      <c r="B596" s="37" t="s">
        <v>907</v>
      </c>
      <c r="C596" s="1">
        <v>45566</v>
      </c>
      <c r="D596" s="37" t="s">
        <v>907</v>
      </c>
      <c r="E596">
        <v>0.15666029125931899</v>
      </c>
      <c r="F596">
        <v>0.15666029125931899</v>
      </c>
    </row>
    <row r="597" spans="1:6" x14ac:dyDescent="0.2">
      <c r="A597">
        <v>279</v>
      </c>
      <c r="B597" s="37" t="s">
        <v>908</v>
      </c>
      <c r="C597" s="1">
        <v>45315</v>
      </c>
      <c r="D597" s="37" t="s">
        <v>908</v>
      </c>
      <c r="E597">
        <v>3.7510777079243003E-2</v>
      </c>
      <c r="F597">
        <v>3.7510777079243003E-2</v>
      </c>
    </row>
    <row r="598" spans="1:6" x14ac:dyDescent="0.2">
      <c r="A598">
        <v>280</v>
      </c>
      <c r="B598" s="37" t="s">
        <v>909</v>
      </c>
      <c r="C598" s="1">
        <v>45468</v>
      </c>
      <c r="D598" s="37" t="s">
        <v>909</v>
      </c>
      <c r="E598">
        <v>0.17595769291761401</v>
      </c>
      <c r="F598">
        <v>0.17595769291761401</v>
      </c>
    </row>
    <row r="599" spans="1:6" x14ac:dyDescent="0.2">
      <c r="A599">
        <v>280</v>
      </c>
      <c r="B599" s="37" t="s">
        <v>910</v>
      </c>
      <c r="C599" s="1">
        <v>45376</v>
      </c>
      <c r="D599" s="37" t="s">
        <v>910</v>
      </c>
      <c r="E599">
        <v>0.39240679603218898</v>
      </c>
      <c r="F599">
        <v>0.39240679603218898</v>
      </c>
    </row>
    <row r="600" spans="1:6" x14ac:dyDescent="0.2">
      <c r="A600">
        <v>281</v>
      </c>
      <c r="B600" s="37" t="s">
        <v>543</v>
      </c>
      <c r="C600" s="1">
        <v>45408</v>
      </c>
      <c r="D600" s="37" t="s">
        <v>543</v>
      </c>
      <c r="E600">
        <v>0.25336230987698399</v>
      </c>
      <c r="F600">
        <v>0.25336230987698399</v>
      </c>
    </row>
    <row r="601" spans="1:6" x14ac:dyDescent="0.2">
      <c r="A601">
        <v>282</v>
      </c>
      <c r="B601" s="37" t="s">
        <v>249</v>
      </c>
      <c r="C601" s="1">
        <v>45547</v>
      </c>
      <c r="D601" s="37" t="s">
        <v>249</v>
      </c>
      <c r="E601">
        <v>0.125527268280205</v>
      </c>
      <c r="F601">
        <v>0.125527268280205</v>
      </c>
    </row>
    <row r="602" spans="1:6" x14ac:dyDescent="0.2">
      <c r="A602">
        <v>282</v>
      </c>
      <c r="B602" s="37" t="s">
        <v>152</v>
      </c>
      <c r="C602" s="1">
        <v>45409</v>
      </c>
      <c r="D602" s="37" t="s">
        <v>152</v>
      </c>
      <c r="E602">
        <v>0.27684636414021402</v>
      </c>
      <c r="F602">
        <v>0.27684636414021402</v>
      </c>
    </row>
    <row r="603" spans="1:6" x14ac:dyDescent="0.2">
      <c r="A603">
        <v>282</v>
      </c>
      <c r="B603" s="37" t="s">
        <v>153</v>
      </c>
      <c r="C603" s="1">
        <v>45624</v>
      </c>
      <c r="D603" s="37" t="s">
        <v>153</v>
      </c>
      <c r="E603">
        <v>9.4098370060146402E-2</v>
      </c>
      <c r="F603">
        <v>9.4098370060146402E-2</v>
      </c>
    </row>
    <row r="604" spans="1:6" x14ac:dyDescent="0.2">
      <c r="A604">
        <v>283</v>
      </c>
      <c r="B604" s="37" t="s">
        <v>544</v>
      </c>
      <c r="C604" s="1">
        <v>45481</v>
      </c>
      <c r="D604" s="37" t="s">
        <v>544</v>
      </c>
      <c r="E604">
        <v>0.125163731143969</v>
      </c>
      <c r="F604">
        <v>0.125163731143969</v>
      </c>
    </row>
    <row r="605" spans="1:6" x14ac:dyDescent="0.2">
      <c r="A605">
        <v>283</v>
      </c>
      <c r="B605" s="37" t="s">
        <v>911</v>
      </c>
      <c r="C605" s="1">
        <v>45579</v>
      </c>
      <c r="D605" s="37" t="s">
        <v>911</v>
      </c>
      <c r="E605">
        <v>0.11138562410115201</v>
      </c>
      <c r="F605">
        <v>0.11138562410115201</v>
      </c>
    </row>
    <row r="606" spans="1:6" x14ac:dyDescent="0.2">
      <c r="A606">
        <v>284</v>
      </c>
      <c r="B606" s="37" t="s">
        <v>912</v>
      </c>
      <c r="C606" s="1">
        <v>45630</v>
      </c>
      <c r="D606" s="37" t="s">
        <v>912</v>
      </c>
      <c r="E606">
        <v>0.236366219916089</v>
      </c>
      <c r="F606">
        <v>0.236366219916089</v>
      </c>
    </row>
    <row r="607" spans="1:6" x14ac:dyDescent="0.2">
      <c r="A607">
        <v>284</v>
      </c>
      <c r="B607" s="37" t="s">
        <v>545</v>
      </c>
      <c r="C607" s="1">
        <v>45349</v>
      </c>
      <c r="D607" s="37" t="s">
        <v>545</v>
      </c>
      <c r="E607">
        <v>0.50197779609728699</v>
      </c>
      <c r="F607">
        <v>0.50197779609728699</v>
      </c>
    </row>
    <row r="608" spans="1:6" x14ac:dyDescent="0.2">
      <c r="A608">
        <v>284</v>
      </c>
      <c r="B608" s="37" t="s">
        <v>546</v>
      </c>
      <c r="C608" s="1">
        <v>45650</v>
      </c>
      <c r="D608" s="37" t="s">
        <v>546</v>
      </c>
      <c r="E608">
        <v>0.18383172847022999</v>
      </c>
      <c r="F608">
        <v>0.18383172847022999</v>
      </c>
    </row>
    <row r="609" spans="1:6" x14ac:dyDescent="0.2">
      <c r="A609">
        <v>285</v>
      </c>
      <c r="B609" s="37" t="s">
        <v>154</v>
      </c>
      <c r="C609" s="1">
        <v>45329</v>
      </c>
      <c r="D609" s="37" t="s">
        <v>154</v>
      </c>
      <c r="E609">
        <v>3.58840100109497E-2</v>
      </c>
      <c r="F609">
        <v>3.58840100109497E-2</v>
      </c>
    </row>
    <row r="610" spans="1:6" x14ac:dyDescent="0.2">
      <c r="A610">
        <v>285</v>
      </c>
      <c r="B610" s="37" t="s">
        <v>366</v>
      </c>
      <c r="C610" s="1">
        <v>45522</v>
      </c>
      <c r="D610" s="37" t="s">
        <v>366</v>
      </c>
      <c r="E610">
        <v>6.2912173637547003E-2</v>
      </c>
      <c r="F610">
        <v>6.2912173637547003E-2</v>
      </c>
    </row>
    <row r="611" spans="1:6" x14ac:dyDescent="0.2">
      <c r="A611">
        <v>285</v>
      </c>
      <c r="B611" s="37" t="s">
        <v>367</v>
      </c>
      <c r="C611" s="1">
        <v>45578</v>
      </c>
      <c r="D611" s="37" t="s">
        <v>367</v>
      </c>
      <c r="E611">
        <v>0.21832867989027099</v>
      </c>
      <c r="F611">
        <v>0.21832867989027099</v>
      </c>
    </row>
    <row r="612" spans="1:6" x14ac:dyDescent="0.2">
      <c r="A612">
        <v>285</v>
      </c>
      <c r="B612" s="37" t="s">
        <v>368</v>
      </c>
      <c r="C612" s="1">
        <v>45581</v>
      </c>
      <c r="D612" s="37" t="s">
        <v>368</v>
      </c>
      <c r="E612">
        <v>9.2405387581680307E-2</v>
      </c>
      <c r="F612">
        <v>9.2405387581680307E-2</v>
      </c>
    </row>
    <row r="613" spans="1:6" x14ac:dyDescent="0.2">
      <c r="A613">
        <v>286</v>
      </c>
      <c r="B613" s="37" t="s">
        <v>913</v>
      </c>
      <c r="C613" s="1">
        <v>45319</v>
      </c>
      <c r="D613" s="37" t="s">
        <v>913</v>
      </c>
      <c r="E613">
        <v>0.127343272781129</v>
      </c>
      <c r="F613">
        <v>0.127343272781129</v>
      </c>
    </row>
    <row r="614" spans="1:6" x14ac:dyDescent="0.2">
      <c r="A614">
        <v>286</v>
      </c>
      <c r="B614" s="37" t="s">
        <v>914</v>
      </c>
      <c r="C614" s="1">
        <v>45469</v>
      </c>
      <c r="D614" s="37" t="s">
        <v>914</v>
      </c>
      <c r="E614">
        <v>7.6421616386917496E-2</v>
      </c>
      <c r="F614">
        <v>7.6421616386917496E-2</v>
      </c>
    </row>
    <row r="615" spans="1:6" x14ac:dyDescent="0.2">
      <c r="A615">
        <v>287</v>
      </c>
      <c r="B615" s="37" t="s">
        <v>155</v>
      </c>
      <c r="C615" s="1">
        <v>45337</v>
      </c>
      <c r="D615" s="37" t="s">
        <v>155</v>
      </c>
      <c r="E615">
        <v>0.44942175780266802</v>
      </c>
      <c r="F615">
        <v>0.44942175780266802</v>
      </c>
    </row>
    <row r="616" spans="1:6" x14ac:dyDescent="0.2">
      <c r="A616">
        <v>287</v>
      </c>
      <c r="B616" s="37" t="s">
        <v>369</v>
      </c>
      <c r="C616" s="1">
        <v>45323</v>
      </c>
      <c r="D616" s="37" t="s">
        <v>369</v>
      </c>
      <c r="E616">
        <v>4.5455103433331701E-2</v>
      </c>
      <c r="F616">
        <v>4.5455103433331701E-2</v>
      </c>
    </row>
    <row r="617" spans="1:6" x14ac:dyDescent="0.2">
      <c r="A617">
        <v>287</v>
      </c>
      <c r="B617" s="37" t="s">
        <v>250</v>
      </c>
      <c r="C617" s="1">
        <v>45376</v>
      </c>
      <c r="D617" s="37" t="s">
        <v>250</v>
      </c>
      <c r="E617">
        <v>0.31380430793483699</v>
      </c>
      <c r="F617">
        <v>0.31380430793483699</v>
      </c>
    </row>
    <row r="618" spans="1:6" x14ac:dyDescent="0.2">
      <c r="A618">
        <v>287</v>
      </c>
      <c r="B618" s="37" t="s">
        <v>915</v>
      </c>
      <c r="C618" s="1">
        <v>45386</v>
      </c>
      <c r="D618" s="37" t="s">
        <v>915</v>
      </c>
      <c r="E618">
        <v>0.18913568096265301</v>
      </c>
      <c r="F618">
        <v>0.18913568096265301</v>
      </c>
    </row>
    <row r="619" spans="1:6" x14ac:dyDescent="0.2">
      <c r="A619">
        <v>288</v>
      </c>
      <c r="B619" s="37" t="s">
        <v>370</v>
      </c>
      <c r="C619" s="1">
        <v>45509</v>
      </c>
      <c r="D619" s="37" t="s">
        <v>370</v>
      </c>
      <c r="E619">
        <v>0.63170735929396005</v>
      </c>
      <c r="F619">
        <v>0.63170735929396005</v>
      </c>
    </row>
    <row r="620" spans="1:6" x14ac:dyDescent="0.2">
      <c r="A620">
        <v>288</v>
      </c>
      <c r="B620" s="37" t="s">
        <v>371</v>
      </c>
      <c r="C620" s="1">
        <v>45332</v>
      </c>
      <c r="D620" s="37" t="s">
        <v>371</v>
      </c>
      <c r="E620">
        <v>4.32983597444212E-2</v>
      </c>
      <c r="F620">
        <v>4.32983597444212E-2</v>
      </c>
    </row>
    <row r="621" spans="1:6" x14ac:dyDescent="0.2">
      <c r="A621">
        <v>288</v>
      </c>
      <c r="B621" s="37" t="s">
        <v>916</v>
      </c>
      <c r="C621" s="1">
        <v>45333</v>
      </c>
      <c r="D621" s="37" t="s">
        <v>916</v>
      </c>
      <c r="E621">
        <v>0.201099407213333</v>
      </c>
      <c r="F621">
        <v>0.201099407213333</v>
      </c>
    </row>
    <row r="622" spans="1:6" x14ac:dyDescent="0.2">
      <c r="A622">
        <v>289</v>
      </c>
      <c r="B622" s="37" t="s">
        <v>372</v>
      </c>
      <c r="C622" s="1">
        <v>45612</v>
      </c>
      <c r="D622" s="37" t="s">
        <v>372</v>
      </c>
      <c r="E622">
        <v>0.19075917360441599</v>
      </c>
      <c r="F622">
        <v>0.19075917360441599</v>
      </c>
    </row>
    <row r="623" spans="1:6" x14ac:dyDescent="0.2">
      <c r="A623">
        <v>289</v>
      </c>
      <c r="B623" s="37" t="s">
        <v>547</v>
      </c>
      <c r="C623" s="1">
        <v>45490</v>
      </c>
      <c r="D623" s="37" t="s">
        <v>547</v>
      </c>
      <c r="E623">
        <v>7.7769489524828497E-2</v>
      </c>
      <c r="F623">
        <v>7.7769489524828497E-2</v>
      </c>
    </row>
    <row r="624" spans="1:6" x14ac:dyDescent="0.2">
      <c r="A624">
        <v>289</v>
      </c>
      <c r="B624" s="37" t="s">
        <v>917</v>
      </c>
      <c r="C624" s="1">
        <v>45436</v>
      </c>
      <c r="D624" s="37" t="s">
        <v>917</v>
      </c>
      <c r="E624">
        <v>0.16116340211102601</v>
      </c>
      <c r="F624">
        <v>0.16116340211102601</v>
      </c>
    </row>
    <row r="625" spans="1:6" x14ac:dyDescent="0.2">
      <c r="A625">
        <v>289</v>
      </c>
      <c r="B625" s="37" t="s">
        <v>918</v>
      </c>
      <c r="C625" s="1">
        <v>45418</v>
      </c>
      <c r="D625" s="37" t="s">
        <v>918</v>
      </c>
      <c r="E625">
        <v>0.18342743401716799</v>
      </c>
      <c r="F625">
        <v>0.18342743401716799</v>
      </c>
    </row>
    <row r="626" spans="1:6" x14ac:dyDescent="0.2">
      <c r="A626">
        <v>290</v>
      </c>
      <c r="B626" s="37" t="s">
        <v>919</v>
      </c>
      <c r="C626" s="1">
        <v>45351</v>
      </c>
      <c r="D626" s="37" t="s">
        <v>919</v>
      </c>
      <c r="E626">
        <v>4.32614342326096E-2</v>
      </c>
      <c r="F626">
        <v>4.32614342326096E-2</v>
      </c>
    </row>
    <row r="627" spans="1:6" x14ac:dyDescent="0.2">
      <c r="A627">
        <v>290</v>
      </c>
      <c r="B627" s="37" t="s">
        <v>920</v>
      </c>
      <c r="C627" s="1">
        <v>45308</v>
      </c>
      <c r="D627" s="37" t="s">
        <v>920</v>
      </c>
      <c r="E627">
        <v>7.5362601840670507E-2</v>
      </c>
      <c r="F627">
        <v>7.5362601840670507E-2</v>
      </c>
    </row>
    <row r="628" spans="1:6" x14ac:dyDescent="0.2">
      <c r="A628">
        <v>291</v>
      </c>
      <c r="B628" s="37" t="s">
        <v>921</v>
      </c>
      <c r="C628" s="1">
        <v>45445</v>
      </c>
      <c r="D628" s="37" t="s">
        <v>921</v>
      </c>
      <c r="E628">
        <v>0.112141776277931</v>
      </c>
      <c r="F628">
        <v>0.112141776277931</v>
      </c>
    </row>
    <row r="629" spans="1:6" x14ac:dyDescent="0.2">
      <c r="A629">
        <v>291</v>
      </c>
      <c r="B629" s="37" t="s">
        <v>922</v>
      </c>
      <c r="C629" s="1">
        <v>45372</v>
      </c>
      <c r="D629" s="37" t="s">
        <v>922</v>
      </c>
      <c r="E629">
        <v>0.163415131396033</v>
      </c>
      <c r="F629">
        <v>0.163415131396033</v>
      </c>
    </row>
    <row r="630" spans="1:6" x14ac:dyDescent="0.2">
      <c r="A630">
        <v>291</v>
      </c>
      <c r="B630" s="37" t="s">
        <v>923</v>
      </c>
      <c r="C630" s="1">
        <v>45532</v>
      </c>
      <c r="D630" s="37" t="s">
        <v>923</v>
      </c>
      <c r="E630">
        <v>0.40965300373313601</v>
      </c>
      <c r="F630">
        <v>0.40965300373313601</v>
      </c>
    </row>
    <row r="631" spans="1:6" x14ac:dyDescent="0.2">
      <c r="A631">
        <v>292</v>
      </c>
      <c r="B631" s="37" t="s">
        <v>924</v>
      </c>
      <c r="C631" s="1">
        <v>45568</v>
      </c>
      <c r="D631" s="37" t="s">
        <v>924</v>
      </c>
      <c r="E631">
        <v>0.35538945284539902</v>
      </c>
      <c r="F631">
        <v>0.35538945284539902</v>
      </c>
    </row>
    <row r="632" spans="1:6" x14ac:dyDescent="0.2">
      <c r="A632">
        <v>292</v>
      </c>
      <c r="B632" s="37" t="s">
        <v>548</v>
      </c>
      <c r="C632" s="1">
        <v>45339</v>
      </c>
      <c r="D632" s="37" t="s">
        <v>548</v>
      </c>
      <c r="E632">
        <v>0.13280156074302599</v>
      </c>
      <c r="F632">
        <v>0.13280156074302599</v>
      </c>
    </row>
    <row r="633" spans="1:6" x14ac:dyDescent="0.2">
      <c r="A633">
        <v>292</v>
      </c>
      <c r="B633" s="37" t="s">
        <v>156</v>
      </c>
      <c r="C633" s="1">
        <v>45632</v>
      </c>
      <c r="D633" s="37" t="s">
        <v>156</v>
      </c>
      <c r="E633">
        <v>0.143603114797308</v>
      </c>
      <c r="F633">
        <v>0.143603114797308</v>
      </c>
    </row>
    <row r="634" spans="1:6" x14ac:dyDescent="0.2">
      <c r="A634">
        <v>293</v>
      </c>
      <c r="B634" s="37" t="s">
        <v>925</v>
      </c>
      <c r="C634" s="1">
        <v>45383</v>
      </c>
      <c r="D634" s="37" t="s">
        <v>925</v>
      </c>
      <c r="E634">
        <v>0.12418933727881</v>
      </c>
      <c r="F634">
        <v>0.12418933727881</v>
      </c>
    </row>
    <row r="635" spans="1:6" x14ac:dyDescent="0.2">
      <c r="A635">
        <v>293</v>
      </c>
      <c r="B635" s="37" t="s">
        <v>373</v>
      </c>
      <c r="C635" s="1">
        <v>45564</v>
      </c>
      <c r="D635" s="37" t="s">
        <v>373</v>
      </c>
      <c r="E635">
        <v>0.43161776248361999</v>
      </c>
      <c r="F635">
        <v>0.43161776248361999</v>
      </c>
    </row>
    <row r="636" spans="1:6" x14ac:dyDescent="0.2">
      <c r="A636">
        <v>293</v>
      </c>
      <c r="B636" s="37" t="s">
        <v>374</v>
      </c>
      <c r="C636" s="1">
        <v>45626</v>
      </c>
      <c r="D636" s="37" t="s">
        <v>374</v>
      </c>
      <c r="E636">
        <v>0.189914414649067</v>
      </c>
      <c r="F636">
        <v>0.189914414649067</v>
      </c>
    </row>
    <row r="637" spans="1:6" x14ac:dyDescent="0.2">
      <c r="A637">
        <v>293</v>
      </c>
      <c r="B637" s="37" t="s">
        <v>375</v>
      </c>
      <c r="C637" s="1">
        <v>45325</v>
      </c>
      <c r="D637" s="37" t="s">
        <v>375</v>
      </c>
      <c r="E637">
        <v>0.122731339733475</v>
      </c>
      <c r="F637">
        <v>0.122731339733475</v>
      </c>
    </row>
    <row r="638" spans="1:6" x14ac:dyDescent="0.2">
      <c r="A638">
        <v>294</v>
      </c>
      <c r="B638" s="37" t="s">
        <v>926</v>
      </c>
      <c r="C638" s="1">
        <v>45295</v>
      </c>
      <c r="D638" s="37" t="s">
        <v>926</v>
      </c>
      <c r="E638">
        <v>2.1495257316331898E-2</v>
      </c>
      <c r="F638">
        <v>2.1495257316331898E-2</v>
      </c>
    </row>
    <row r="639" spans="1:6" x14ac:dyDescent="0.2">
      <c r="A639">
        <v>295</v>
      </c>
      <c r="B639" s="37" t="s">
        <v>549</v>
      </c>
      <c r="C639" s="1">
        <v>45332</v>
      </c>
      <c r="D639" s="37" t="s">
        <v>549</v>
      </c>
      <c r="E639">
        <v>0.26222676163081099</v>
      </c>
      <c r="F639">
        <v>0.26222676163081099</v>
      </c>
    </row>
    <row r="640" spans="1:6" x14ac:dyDescent="0.2">
      <c r="A640">
        <v>296</v>
      </c>
      <c r="B640" s="37" t="s">
        <v>927</v>
      </c>
      <c r="C640" s="1">
        <v>45588</v>
      </c>
      <c r="D640" s="37" t="s">
        <v>927</v>
      </c>
      <c r="E640">
        <v>0.187987251583391</v>
      </c>
      <c r="F640">
        <v>0.187987251583391</v>
      </c>
    </row>
    <row r="641" spans="1:6" x14ac:dyDescent="0.2">
      <c r="A641">
        <v>298</v>
      </c>
      <c r="B641" s="37" t="s">
        <v>550</v>
      </c>
      <c r="C641" s="1">
        <v>45328</v>
      </c>
      <c r="D641" s="37" t="s">
        <v>550</v>
      </c>
      <c r="E641">
        <v>0.27750967204627602</v>
      </c>
      <c r="F641">
        <v>0.27750967204627602</v>
      </c>
    </row>
    <row r="642" spans="1:6" x14ac:dyDescent="0.2">
      <c r="A642">
        <v>298</v>
      </c>
      <c r="B642" s="37" t="s">
        <v>551</v>
      </c>
      <c r="C642" s="1">
        <v>45565</v>
      </c>
      <c r="D642" s="37" t="s">
        <v>551</v>
      </c>
      <c r="E642">
        <v>0.13411022155631599</v>
      </c>
      <c r="F642">
        <v>0.13411022155631599</v>
      </c>
    </row>
    <row r="643" spans="1:6" x14ac:dyDescent="0.2">
      <c r="A643">
        <v>298</v>
      </c>
      <c r="B643" s="37" t="s">
        <v>251</v>
      </c>
      <c r="C643" s="1">
        <v>45369</v>
      </c>
      <c r="D643" s="37" t="s">
        <v>251</v>
      </c>
      <c r="E643">
        <v>0.47397616659637998</v>
      </c>
      <c r="F643">
        <v>0.47397616659637998</v>
      </c>
    </row>
    <row r="644" spans="1:6" x14ac:dyDescent="0.2">
      <c r="A644">
        <v>299</v>
      </c>
      <c r="B644" s="37" t="s">
        <v>552</v>
      </c>
      <c r="C644" s="1">
        <v>45426</v>
      </c>
      <c r="D644" s="37" t="s">
        <v>552</v>
      </c>
      <c r="E644">
        <v>0.24810935670274101</v>
      </c>
      <c r="F644">
        <v>0.24810935670274101</v>
      </c>
    </row>
    <row r="645" spans="1:6" x14ac:dyDescent="0.2">
      <c r="A645">
        <v>299</v>
      </c>
      <c r="B645" s="37" t="s">
        <v>928</v>
      </c>
      <c r="C645" s="1">
        <v>45642</v>
      </c>
      <c r="D645" s="37" t="s">
        <v>928</v>
      </c>
      <c r="E645">
        <v>0.23799344007411799</v>
      </c>
      <c r="F645">
        <v>0.23799344007411799</v>
      </c>
    </row>
    <row r="646" spans="1:6" x14ac:dyDescent="0.2">
      <c r="A646">
        <v>299</v>
      </c>
      <c r="B646" s="37" t="s">
        <v>376</v>
      </c>
      <c r="C646" s="1">
        <v>45527</v>
      </c>
      <c r="D646" s="37" t="s">
        <v>376</v>
      </c>
      <c r="E646">
        <v>0.296808696307723</v>
      </c>
      <c r="F646">
        <v>0.296808696307723</v>
      </c>
    </row>
    <row r="647" spans="1:6" x14ac:dyDescent="0.2">
      <c r="A647">
        <v>300</v>
      </c>
      <c r="B647" s="37" t="s">
        <v>929</v>
      </c>
      <c r="C647" s="1">
        <v>45404</v>
      </c>
      <c r="D647" s="37" t="s">
        <v>929</v>
      </c>
      <c r="E647">
        <v>0.26480122684993801</v>
      </c>
      <c r="F647">
        <v>0.26480122684993801</v>
      </c>
    </row>
    <row r="648" spans="1:6" x14ac:dyDescent="0.2">
      <c r="A648">
        <v>301</v>
      </c>
      <c r="B648" s="37" t="s">
        <v>377</v>
      </c>
      <c r="C648" s="1">
        <v>45429</v>
      </c>
      <c r="D648" s="37" t="s">
        <v>377</v>
      </c>
      <c r="E648">
        <v>6.1633401820854403E-2</v>
      </c>
      <c r="F648">
        <v>6.1633401820854403E-2</v>
      </c>
    </row>
    <row r="649" spans="1:6" x14ac:dyDescent="0.2">
      <c r="A649">
        <v>302</v>
      </c>
      <c r="B649" s="37" t="s">
        <v>553</v>
      </c>
      <c r="C649" s="1">
        <v>45416</v>
      </c>
      <c r="D649" s="37" t="s">
        <v>553</v>
      </c>
      <c r="E649">
        <v>0.35400805876130698</v>
      </c>
      <c r="F649">
        <v>0.35400805876130698</v>
      </c>
    </row>
    <row r="650" spans="1:6" x14ac:dyDescent="0.2">
      <c r="A650">
        <v>302</v>
      </c>
      <c r="B650" s="37" t="s">
        <v>554</v>
      </c>
      <c r="C650" s="1">
        <v>45345</v>
      </c>
      <c r="D650" s="37" t="s">
        <v>554</v>
      </c>
      <c r="E650">
        <v>0.16270593072789699</v>
      </c>
      <c r="F650">
        <v>0.16270593072789699</v>
      </c>
    </row>
    <row r="651" spans="1:6" x14ac:dyDescent="0.2">
      <c r="A651">
        <v>302</v>
      </c>
      <c r="B651" s="37" t="s">
        <v>157</v>
      </c>
      <c r="C651" s="1">
        <v>45485</v>
      </c>
      <c r="D651" s="37" t="s">
        <v>157</v>
      </c>
      <c r="E651">
        <v>0.47682087928962402</v>
      </c>
      <c r="F651">
        <v>0.47682087928962402</v>
      </c>
    </row>
    <row r="652" spans="1:6" x14ac:dyDescent="0.2">
      <c r="A652">
        <v>302</v>
      </c>
      <c r="B652" s="37" t="s">
        <v>252</v>
      </c>
      <c r="C652" s="1">
        <v>45452</v>
      </c>
      <c r="D652" s="37" t="s">
        <v>252</v>
      </c>
      <c r="E652">
        <v>0.259458804763194</v>
      </c>
      <c r="F652">
        <v>0.259458804763194</v>
      </c>
    </row>
    <row r="653" spans="1:6" x14ac:dyDescent="0.2">
      <c r="A653">
        <v>303</v>
      </c>
      <c r="B653" s="37" t="s">
        <v>930</v>
      </c>
      <c r="C653" s="1">
        <v>45336</v>
      </c>
      <c r="D653" s="37" t="s">
        <v>930</v>
      </c>
      <c r="E653">
        <v>0.28097194013579502</v>
      </c>
      <c r="F653">
        <v>0.28097194013579502</v>
      </c>
    </row>
    <row r="654" spans="1:6" x14ac:dyDescent="0.2">
      <c r="A654">
        <v>304</v>
      </c>
      <c r="B654" s="37" t="s">
        <v>158</v>
      </c>
      <c r="C654" s="1">
        <v>45614</v>
      </c>
      <c r="D654" s="37" t="s">
        <v>158</v>
      </c>
      <c r="E654">
        <v>0.431428292099862</v>
      </c>
      <c r="F654">
        <v>0.431428292099862</v>
      </c>
    </row>
    <row r="655" spans="1:6" x14ac:dyDescent="0.2">
      <c r="A655">
        <v>304</v>
      </c>
      <c r="B655" s="37" t="s">
        <v>159</v>
      </c>
      <c r="C655" s="1">
        <v>45551</v>
      </c>
      <c r="D655" s="37" t="s">
        <v>159</v>
      </c>
      <c r="E655">
        <v>9.4636202945113698E-2</v>
      </c>
      <c r="F655">
        <v>9.4636202945113698E-2</v>
      </c>
    </row>
    <row r="656" spans="1:6" x14ac:dyDescent="0.2">
      <c r="A656">
        <v>305</v>
      </c>
      <c r="B656" s="37" t="s">
        <v>931</v>
      </c>
      <c r="C656" s="1">
        <v>45535</v>
      </c>
      <c r="D656" s="37" t="s">
        <v>931</v>
      </c>
      <c r="E656">
        <v>0.47960398416517103</v>
      </c>
      <c r="F656">
        <v>0.47960398416517103</v>
      </c>
    </row>
    <row r="657" spans="1:6" x14ac:dyDescent="0.2">
      <c r="A657">
        <v>305</v>
      </c>
      <c r="B657" s="37" t="s">
        <v>555</v>
      </c>
      <c r="C657" s="1">
        <v>45304</v>
      </c>
      <c r="D657" s="37" t="s">
        <v>555</v>
      </c>
      <c r="E657">
        <v>0.23824943177355701</v>
      </c>
      <c r="F657">
        <v>0.23824943177355701</v>
      </c>
    </row>
    <row r="658" spans="1:6" x14ac:dyDescent="0.2">
      <c r="A658">
        <v>306</v>
      </c>
      <c r="B658" s="37" t="s">
        <v>160</v>
      </c>
      <c r="C658" s="1">
        <v>45431</v>
      </c>
      <c r="D658" s="37" t="s">
        <v>160</v>
      </c>
      <c r="E658">
        <v>4.6146274249014498E-2</v>
      </c>
      <c r="F658">
        <v>4.6146274249014498E-2</v>
      </c>
    </row>
    <row r="659" spans="1:6" x14ac:dyDescent="0.2">
      <c r="A659">
        <v>306</v>
      </c>
      <c r="B659" s="37" t="s">
        <v>161</v>
      </c>
      <c r="C659" s="1">
        <v>45637</v>
      </c>
      <c r="D659" s="37" t="s">
        <v>161</v>
      </c>
      <c r="E659">
        <v>6.2459505127009998E-2</v>
      </c>
      <c r="F659">
        <v>6.2459505127009998E-2</v>
      </c>
    </row>
    <row r="660" spans="1:6" x14ac:dyDescent="0.2">
      <c r="A660">
        <v>307</v>
      </c>
      <c r="B660" s="37" t="s">
        <v>932</v>
      </c>
      <c r="C660" s="1">
        <v>45393</v>
      </c>
      <c r="D660" s="37" t="s">
        <v>932</v>
      </c>
      <c r="E660">
        <v>0.40306667133982299</v>
      </c>
      <c r="F660">
        <v>0.40306667133982299</v>
      </c>
    </row>
    <row r="661" spans="1:6" x14ac:dyDescent="0.2">
      <c r="A661">
        <v>307</v>
      </c>
      <c r="B661" s="37" t="s">
        <v>933</v>
      </c>
      <c r="C661" s="1">
        <v>45479</v>
      </c>
      <c r="D661" s="37" t="s">
        <v>933</v>
      </c>
      <c r="E661">
        <v>5.00331100570688E-2</v>
      </c>
      <c r="F661">
        <v>5.00331100570688E-2</v>
      </c>
    </row>
    <row r="662" spans="1:6" x14ac:dyDescent="0.2">
      <c r="A662">
        <v>307</v>
      </c>
      <c r="B662" s="37" t="s">
        <v>934</v>
      </c>
      <c r="C662" s="1">
        <v>45462</v>
      </c>
      <c r="D662" s="37" t="s">
        <v>934</v>
      </c>
      <c r="E662">
        <v>3.0903724361248702E-2</v>
      </c>
      <c r="F662">
        <v>3.0903724361248702E-2</v>
      </c>
    </row>
    <row r="663" spans="1:6" x14ac:dyDescent="0.2">
      <c r="A663">
        <v>308</v>
      </c>
      <c r="B663" s="37" t="s">
        <v>935</v>
      </c>
      <c r="C663" s="1">
        <v>45469</v>
      </c>
      <c r="D663" s="37" t="s">
        <v>935</v>
      </c>
      <c r="E663">
        <v>0.35335389966323999</v>
      </c>
      <c r="F663">
        <v>0.35335389966323999</v>
      </c>
    </row>
    <row r="664" spans="1:6" x14ac:dyDescent="0.2">
      <c r="A664">
        <v>308</v>
      </c>
      <c r="B664" s="37" t="s">
        <v>936</v>
      </c>
      <c r="C664" s="1">
        <v>45330</v>
      </c>
      <c r="D664" s="37" t="s">
        <v>936</v>
      </c>
      <c r="E664">
        <v>0.42904462929037201</v>
      </c>
      <c r="F664">
        <v>0.42904462929037201</v>
      </c>
    </row>
    <row r="665" spans="1:6" x14ac:dyDescent="0.2">
      <c r="A665">
        <v>308</v>
      </c>
      <c r="B665" s="37" t="s">
        <v>253</v>
      </c>
      <c r="C665" s="1">
        <v>45447</v>
      </c>
      <c r="D665" s="37" t="s">
        <v>253</v>
      </c>
      <c r="E665">
        <v>0.168974512544667</v>
      </c>
      <c r="F665">
        <v>0.168974512544667</v>
      </c>
    </row>
    <row r="666" spans="1:6" x14ac:dyDescent="0.2">
      <c r="A666">
        <v>308</v>
      </c>
      <c r="B666" s="37" t="s">
        <v>254</v>
      </c>
      <c r="C666" s="1">
        <v>45616</v>
      </c>
      <c r="D666" s="37" t="s">
        <v>254</v>
      </c>
      <c r="E666">
        <v>0.19099849015635101</v>
      </c>
      <c r="F666">
        <v>0.19099849015635101</v>
      </c>
    </row>
    <row r="667" spans="1:6" x14ac:dyDescent="0.2">
      <c r="A667">
        <v>309</v>
      </c>
      <c r="B667" s="37" t="s">
        <v>162</v>
      </c>
      <c r="C667" s="1">
        <v>45303</v>
      </c>
      <c r="D667" s="37" t="s">
        <v>162</v>
      </c>
      <c r="E667">
        <v>0.17468868372570301</v>
      </c>
      <c r="F667">
        <v>0.17468868372570301</v>
      </c>
    </row>
    <row r="668" spans="1:6" x14ac:dyDescent="0.2">
      <c r="A668">
        <v>309</v>
      </c>
      <c r="B668" s="37" t="s">
        <v>163</v>
      </c>
      <c r="C668" s="1">
        <v>45327</v>
      </c>
      <c r="D668" s="37" t="s">
        <v>163</v>
      </c>
      <c r="E668">
        <v>9.0388632852864498E-2</v>
      </c>
      <c r="F668">
        <v>9.0388632852864498E-2</v>
      </c>
    </row>
    <row r="669" spans="1:6" x14ac:dyDescent="0.2">
      <c r="A669">
        <v>310</v>
      </c>
      <c r="B669" s="37" t="s">
        <v>164</v>
      </c>
      <c r="C669" s="1">
        <v>45445</v>
      </c>
      <c r="D669" s="37" t="s">
        <v>164</v>
      </c>
      <c r="E669">
        <v>0.121643788565271</v>
      </c>
      <c r="F669">
        <v>0.121643788565271</v>
      </c>
    </row>
    <row r="670" spans="1:6" x14ac:dyDescent="0.2">
      <c r="A670">
        <v>310</v>
      </c>
      <c r="B670" s="37" t="s">
        <v>165</v>
      </c>
      <c r="C670" s="1">
        <v>45599</v>
      </c>
      <c r="D670" s="37" t="s">
        <v>165</v>
      </c>
      <c r="E670">
        <v>0.17722977561797201</v>
      </c>
      <c r="F670">
        <v>0.17722977561797201</v>
      </c>
    </row>
    <row r="671" spans="1:6" x14ac:dyDescent="0.2">
      <c r="A671">
        <v>311</v>
      </c>
      <c r="B671" s="37" t="s">
        <v>937</v>
      </c>
      <c r="C671" s="1">
        <v>45639</v>
      </c>
      <c r="D671" s="37" t="s">
        <v>937</v>
      </c>
      <c r="E671">
        <v>0.20907391719997101</v>
      </c>
      <c r="F671">
        <v>0.20907391719997101</v>
      </c>
    </row>
    <row r="672" spans="1:6" x14ac:dyDescent="0.2">
      <c r="A672">
        <v>311</v>
      </c>
      <c r="B672" s="37" t="s">
        <v>938</v>
      </c>
      <c r="C672" s="1">
        <v>45467</v>
      </c>
      <c r="D672" s="37" t="s">
        <v>938</v>
      </c>
      <c r="E672">
        <v>0.109469150864413</v>
      </c>
      <c r="F672">
        <v>0.109469150864413</v>
      </c>
    </row>
    <row r="673" spans="1:6" x14ac:dyDescent="0.2">
      <c r="A673">
        <v>312</v>
      </c>
      <c r="B673" s="37" t="s">
        <v>556</v>
      </c>
      <c r="C673" s="1">
        <v>45539</v>
      </c>
      <c r="D673" s="37" t="s">
        <v>556</v>
      </c>
      <c r="E673">
        <v>7.9912336707287701E-2</v>
      </c>
      <c r="F673">
        <v>7.9912336707287701E-2</v>
      </c>
    </row>
    <row r="674" spans="1:6" x14ac:dyDescent="0.2">
      <c r="A674">
        <v>312</v>
      </c>
      <c r="B674" s="37" t="s">
        <v>939</v>
      </c>
      <c r="C674" s="1">
        <v>45306</v>
      </c>
      <c r="D674" s="37" t="s">
        <v>939</v>
      </c>
      <c r="E674">
        <v>0.100473180592543</v>
      </c>
      <c r="F674">
        <v>0.100473180592543</v>
      </c>
    </row>
    <row r="675" spans="1:6" x14ac:dyDescent="0.2">
      <c r="A675">
        <v>313</v>
      </c>
      <c r="B675" s="37" t="s">
        <v>940</v>
      </c>
      <c r="C675" s="1">
        <v>45477</v>
      </c>
      <c r="D675" s="37" t="s">
        <v>940</v>
      </c>
      <c r="E675">
        <v>0.17671685314578001</v>
      </c>
      <c r="F675">
        <v>0.17671685314578001</v>
      </c>
    </row>
    <row r="676" spans="1:6" x14ac:dyDescent="0.2">
      <c r="A676">
        <v>313</v>
      </c>
      <c r="B676" s="37" t="s">
        <v>166</v>
      </c>
      <c r="C676" s="1">
        <v>45494</v>
      </c>
      <c r="D676" s="37" t="s">
        <v>166</v>
      </c>
      <c r="E676">
        <v>0.2076453864526</v>
      </c>
      <c r="F676">
        <v>0.2076453864526</v>
      </c>
    </row>
    <row r="677" spans="1:6" x14ac:dyDescent="0.2">
      <c r="A677">
        <v>314</v>
      </c>
      <c r="B677" s="37" t="s">
        <v>941</v>
      </c>
      <c r="C677" s="1">
        <v>45381</v>
      </c>
      <c r="D677" s="37" t="s">
        <v>941</v>
      </c>
      <c r="E677">
        <v>0.12683184407780301</v>
      </c>
      <c r="F677">
        <v>0.12683184407780301</v>
      </c>
    </row>
    <row r="678" spans="1:6" x14ac:dyDescent="0.2">
      <c r="A678">
        <v>314</v>
      </c>
      <c r="B678" s="37" t="s">
        <v>557</v>
      </c>
      <c r="C678" s="1">
        <v>45371</v>
      </c>
      <c r="D678" s="37" t="s">
        <v>557</v>
      </c>
      <c r="E678">
        <v>6.3457820316743394E-2</v>
      </c>
      <c r="F678">
        <v>6.3457820316743394E-2</v>
      </c>
    </row>
    <row r="679" spans="1:6" x14ac:dyDescent="0.2">
      <c r="A679">
        <v>314</v>
      </c>
      <c r="B679" s="37" t="s">
        <v>558</v>
      </c>
      <c r="C679" s="1">
        <v>45315</v>
      </c>
      <c r="D679" s="37" t="s">
        <v>558</v>
      </c>
      <c r="E679">
        <v>0.29272802813360499</v>
      </c>
      <c r="F679">
        <v>0.29272802813360499</v>
      </c>
    </row>
    <row r="680" spans="1:6" x14ac:dyDescent="0.2">
      <c r="A680">
        <v>314</v>
      </c>
      <c r="B680" s="37" t="s">
        <v>942</v>
      </c>
      <c r="C680" s="1">
        <v>45403</v>
      </c>
      <c r="D680" s="37" t="s">
        <v>942</v>
      </c>
      <c r="E680">
        <v>5.0243242686634701E-2</v>
      </c>
      <c r="F680">
        <v>5.0243242686634701E-2</v>
      </c>
    </row>
    <row r="681" spans="1:6" x14ac:dyDescent="0.2">
      <c r="A681">
        <v>315</v>
      </c>
      <c r="B681" s="37" t="s">
        <v>943</v>
      </c>
      <c r="C681" s="1">
        <v>45445</v>
      </c>
      <c r="D681" s="37" t="s">
        <v>943</v>
      </c>
      <c r="E681">
        <v>0.150805866266079</v>
      </c>
      <c r="F681">
        <v>0.150805866266079</v>
      </c>
    </row>
    <row r="682" spans="1:6" x14ac:dyDescent="0.2">
      <c r="A682">
        <v>315</v>
      </c>
      <c r="B682" s="37" t="s">
        <v>944</v>
      </c>
      <c r="C682" s="1">
        <v>45476</v>
      </c>
      <c r="D682" s="37" t="s">
        <v>944</v>
      </c>
      <c r="E682">
        <v>0.254528120365132</v>
      </c>
      <c r="F682">
        <v>0.254528120365132</v>
      </c>
    </row>
    <row r="683" spans="1:6" x14ac:dyDescent="0.2">
      <c r="A683">
        <v>315</v>
      </c>
      <c r="B683" s="37" t="s">
        <v>167</v>
      </c>
      <c r="C683" s="1">
        <v>45369</v>
      </c>
      <c r="D683" s="37" t="s">
        <v>167</v>
      </c>
      <c r="E683">
        <v>0.40170125111189903</v>
      </c>
      <c r="F683">
        <v>0.40170125111189903</v>
      </c>
    </row>
    <row r="684" spans="1:6" x14ac:dyDescent="0.2">
      <c r="A684">
        <v>316</v>
      </c>
      <c r="B684" s="37" t="s">
        <v>945</v>
      </c>
      <c r="C684" s="1">
        <v>45449</v>
      </c>
      <c r="D684" s="37" t="s">
        <v>945</v>
      </c>
      <c r="E684">
        <v>0.14497959347936501</v>
      </c>
      <c r="F684">
        <v>0.14497959347936501</v>
      </c>
    </row>
    <row r="685" spans="1:6" x14ac:dyDescent="0.2">
      <c r="A685">
        <v>317</v>
      </c>
      <c r="B685" s="37" t="s">
        <v>946</v>
      </c>
      <c r="C685" s="1">
        <v>45471</v>
      </c>
      <c r="D685" s="37" t="s">
        <v>946</v>
      </c>
      <c r="E685">
        <v>8.0602358092400697E-3</v>
      </c>
      <c r="F685">
        <v>8.0602358092400697E-3</v>
      </c>
    </row>
    <row r="686" spans="1:6" x14ac:dyDescent="0.2">
      <c r="A686">
        <v>318</v>
      </c>
      <c r="B686" s="37" t="s">
        <v>378</v>
      </c>
      <c r="C686" s="1">
        <v>45425</v>
      </c>
      <c r="D686" s="37" t="s">
        <v>378</v>
      </c>
      <c r="E686">
        <v>0.370269997608347</v>
      </c>
      <c r="F686">
        <v>0.370269997608347</v>
      </c>
    </row>
    <row r="687" spans="1:6" x14ac:dyDescent="0.2">
      <c r="A687">
        <v>318</v>
      </c>
      <c r="B687" s="37" t="s">
        <v>255</v>
      </c>
      <c r="C687" s="1">
        <v>45611</v>
      </c>
      <c r="D687" s="37" t="s">
        <v>255</v>
      </c>
      <c r="E687">
        <v>4.2652229445199502E-2</v>
      </c>
      <c r="F687">
        <v>4.2652229445199502E-2</v>
      </c>
    </row>
    <row r="688" spans="1:6" x14ac:dyDescent="0.2">
      <c r="A688">
        <v>318</v>
      </c>
      <c r="B688" s="37" t="s">
        <v>947</v>
      </c>
      <c r="C688" s="1">
        <v>45498</v>
      </c>
      <c r="D688" s="37" t="s">
        <v>947</v>
      </c>
      <c r="E688">
        <v>0.37543046195631502</v>
      </c>
      <c r="F688">
        <v>0.37543046195631502</v>
      </c>
    </row>
    <row r="689" spans="1:6" x14ac:dyDescent="0.2">
      <c r="A689">
        <v>319</v>
      </c>
      <c r="B689" s="37" t="s">
        <v>379</v>
      </c>
      <c r="C689" s="1">
        <v>45297</v>
      </c>
      <c r="D689" s="37" t="s">
        <v>379</v>
      </c>
      <c r="E689">
        <v>0.45759539652638898</v>
      </c>
      <c r="F689">
        <v>0.45759539652638898</v>
      </c>
    </row>
    <row r="690" spans="1:6" x14ac:dyDescent="0.2">
      <c r="A690">
        <v>319</v>
      </c>
      <c r="B690" s="37" t="s">
        <v>380</v>
      </c>
      <c r="C690" s="1">
        <v>45523</v>
      </c>
      <c r="D690" s="37" t="s">
        <v>380</v>
      </c>
      <c r="E690">
        <v>9.1611782829453606E-2</v>
      </c>
      <c r="F690">
        <v>9.1611782829453606E-2</v>
      </c>
    </row>
    <row r="691" spans="1:6" x14ac:dyDescent="0.2">
      <c r="A691">
        <v>319</v>
      </c>
      <c r="B691" s="37" t="s">
        <v>948</v>
      </c>
      <c r="C691" s="1">
        <v>45606</v>
      </c>
      <c r="D691" s="37" t="s">
        <v>948</v>
      </c>
      <c r="E691">
        <v>0.106384092227038</v>
      </c>
      <c r="F691">
        <v>0.106384092227038</v>
      </c>
    </row>
    <row r="692" spans="1:6" x14ac:dyDescent="0.2">
      <c r="A692">
        <v>320</v>
      </c>
      <c r="B692" s="37" t="s">
        <v>168</v>
      </c>
      <c r="C692" s="1">
        <v>45505</v>
      </c>
      <c r="D692" s="37" t="s">
        <v>168</v>
      </c>
      <c r="E692">
        <v>0.25280326249962398</v>
      </c>
      <c r="F692">
        <v>0.25280326249962398</v>
      </c>
    </row>
    <row r="693" spans="1:6" x14ac:dyDescent="0.2">
      <c r="A693">
        <v>321</v>
      </c>
      <c r="B693" s="37" t="s">
        <v>949</v>
      </c>
      <c r="C693" s="1">
        <v>45299</v>
      </c>
      <c r="D693" s="37" t="s">
        <v>949</v>
      </c>
      <c r="E693">
        <v>0.14957146980283401</v>
      </c>
      <c r="F693">
        <v>0.14957146980283401</v>
      </c>
    </row>
    <row r="694" spans="1:6" x14ac:dyDescent="0.2">
      <c r="A694">
        <v>322</v>
      </c>
      <c r="B694" s="37" t="s">
        <v>950</v>
      </c>
      <c r="C694" s="1">
        <v>45557</v>
      </c>
      <c r="D694" s="37" t="s">
        <v>950</v>
      </c>
      <c r="E694">
        <v>0.21175148802541799</v>
      </c>
      <c r="F694">
        <v>0.21175148802541799</v>
      </c>
    </row>
    <row r="695" spans="1:6" x14ac:dyDescent="0.2">
      <c r="A695">
        <v>322</v>
      </c>
      <c r="B695" s="37" t="s">
        <v>951</v>
      </c>
      <c r="C695" s="1">
        <v>45519</v>
      </c>
      <c r="D695" s="37" t="s">
        <v>951</v>
      </c>
      <c r="E695">
        <v>8.7606756730698898E-2</v>
      </c>
      <c r="F695">
        <v>8.7606756730698898E-2</v>
      </c>
    </row>
    <row r="696" spans="1:6" x14ac:dyDescent="0.2">
      <c r="A696">
        <v>322</v>
      </c>
      <c r="B696" s="37" t="s">
        <v>952</v>
      </c>
      <c r="C696" s="1">
        <v>45452</v>
      </c>
      <c r="D696" s="37" t="s">
        <v>952</v>
      </c>
      <c r="E696">
        <v>1.0573985078425999E-2</v>
      </c>
      <c r="F696">
        <v>1.0573985078425999E-2</v>
      </c>
    </row>
    <row r="697" spans="1:6" x14ac:dyDescent="0.2">
      <c r="A697">
        <v>323</v>
      </c>
      <c r="B697" s="37" t="s">
        <v>169</v>
      </c>
      <c r="C697" s="1">
        <v>45576</v>
      </c>
      <c r="D697" s="37" t="s">
        <v>169</v>
      </c>
      <c r="E697">
        <v>2.7352882116967198E-2</v>
      </c>
      <c r="F697">
        <v>2.7352882116967198E-2</v>
      </c>
    </row>
    <row r="698" spans="1:6" x14ac:dyDescent="0.2">
      <c r="A698">
        <v>323</v>
      </c>
      <c r="B698" s="37" t="s">
        <v>170</v>
      </c>
      <c r="C698" s="1">
        <v>45418</v>
      </c>
      <c r="D698" s="37" t="s">
        <v>170</v>
      </c>
      <c r="E698">
        <v>5.2343998585024303E-2</v>
      </c>
      <c r="F698">
        <v>5.2343998585024303E-2</v>
      </c>
    </row>
    <row r="699" spans="1:6" x14ac:dyDescent="0.2">
      <c r="A699">
        <v>323</v>
      </c>
      <c r="B699" s="37" t="s">
        <v>171</v>
      </c>
      <c r="C699" s="1">
        <v>45471</v>
      </c>
      <c r="D699" s="37" t="s">
        <v>171</v>
      </c>
      <c r="E699">
        <v>0.30777379848163999</v>
      </c>
      <c r="F699">
        <v>0.30777379848163999</v>
      </c>
    </row>
    <row r="700" spans="1:6" x14ac:dyDescent="0.2">
      <c r="A700">
        <v>324</v>
      </c>
      <c r="B700" s="37" t="s">
        <v>559</v>
      </c>
      <c r="C700" s="1">
        <v>45464</v>
      </c>
      <c r="D700" s="37" t="s">
        <v>559</v>
      </c>
      <c r="E700">
        <v>0.387619248061567</v>
      </c>
      <c r="F700">
        <v>0.387619248061567</v>
      </c>
    </row>
    <row r="701" spans="1:6" x14ac:dyDescent="0.2">
      <c r="A701">
        <v>324</v>
      </c>
      <c r="B701" s="37" t="s">
        <v>381</v>
      </c>
      <c r="C701" s="1">
        <v>45562</v>
      </c>
      <c r="D701" s="37" t="s">
        <v>381</v>
      </c>
      <c r="E701">
        <v>0.362551210004327</v>
      </c>
      <c r="F701">
        <v>0.362551210004327</v>
      </c>
    </row>
    <row r="702" spans="1:6" x14ac:dyDescent="0.2">
      <c r="A702">
        <v>325</v>
      </c>
      <c r="B702" s="37" t="s">
        <v>172</v>
      </c>
      <c r="C702" s="1">
        <v>45308</v>
      </c>
      <c r="D702" s="37" t="s">
        <v>172</v>
      </c>
      <c r="E702">
        <v>0.42251083860002298</v>
      </c>
      <c r="F702">
        <v>0.42251083860002298</v>
      </c>
    </row>
    <row r="703" spans="1:6" x14ac:dyDescent="0.2">
      <c r="A703">
        <v>325</v>
      </c>
      <c r="B703" s="37" t="s">
        <v>953</v>
      </c>
      <c r="C703" s="1">
        <v>45526</v>
      </c>
      <c r="D703" s="37" t="s">
        <v>953</v>
      </c>
      <c r="E703">
        <v>0.176029305633425</v>
      </c>
      <c r="F703">
        <v>0.176029305633425</v>
      </c>
    </row>
    <row r="704" spans="1:6" x14ac:dyDescent="0.2">
      <c r="A704">
        <v>325</v>
      </c>
      <c r="B704" s="37" t="s">
        <v>560</v>
      </c>
      <c r="C704" s="1">
        <v>45493</v>
      </c>
      <c r="D704" s="37" t="s">
        <v>560</v>
      </c>
      <c r="E704">
        <v>8.7198809502110397E-2</v>
      </c>
      <c r="F704">
        <v>8.7198809502110397E-2</v>
      </c>
    </row>
    <row r="705" spans="1:6" x14ac:dyDescent="0.2">
      <c r="A705">
        <v>326</v>
      </c>
      <c r="B705" s="37" t="s">
        <v>256</v>
      </c>
      <c r="C705" s="1">
        <v>45617</v>
      </c>
      <c r="D705" s="37" t="s">
        <v>256</v>
      </c>
      <c r="E705">
        <v>0.59124913629422804</v>
      </c>
      <c r="F705">
        <v>0.59124913629422804</v>
      </c>
    </row>
    <row r="706" spans="1:6" x14ac:dyDescent="0.2">
      <c r="A706">
        <v>326</v>
      </c>
      <c r="B706" s="37" t="s">
        <v>561</v>
      </c>
      <c r="C706" s="1">
        <v>45317</v>
      </c>
      <c r="D706" s="37" t="s">
        <v>561</v>
      </c>
      <c r="E706">
        <v>0.25147025378486598</v>
      </c>
      <c r="F706">
        <v>0.25147025378486598</v>
      </c>
    </row>
    <row r="707" spans="1:6" x14ac:dyDescent="0.2">
      <c r="A707">
        <v>326</v>
      </c>
      <c r="B707" s="37" t="s">
        <v>562</v>
      </c>
      <c r="C707" s="1">
        <v>45543</v>
      </c>
      <c r="D707" s="37" t="s">
        <v>562</v>
      </c>
      <c r="E707">
        <v>0.38755576970569799</v>
      </c>
      <c r="F707">
        <v>0.38755576970569799</v>
      </c>
    </row>
    <row r="708" spans="1:6" x14ac:dyDescent="0.2">
      <c r="A708">
        <v>326</v>
      </c>
      <c r="B708" s="37" t="s">
        <v>563</v>
      </c>
      <c r="C708" s="1">
        <v>45551</v>
      </c>
      <c r="D708" s="37" t="s">
        <v>563</v>
      </c>
      <c r="E708">
        <v>0.27391293294306501</v>
      </c>
      <c r="F708">
        <v>0.27391293294306501</v>
      </c>
    </row>
    <row r="709" spans="1:6" x14ac:dyDescent="0.2">
      <c r="A709">
        <v>328</v>
      </c>
      <c r="B709" s="37" t="s">
        <v>954</v>
      </c>
      <c r="C709" s="1">
        <v>45303</v>
      </c>
      <c r="D709" s="37" t="s">
        <v>954</v>
      </c>
      <c r="E709">
        <v>0.13285147943371101</v>
      </c>
      <c r="F709">
        <v>0.13285147943371101</v>
      </c>
    </row>
    <row r="710" spans="1:6" x14ac:dyDescent="0.2">
      <c r="A710">
        <v>328</v>
      </c>
      <c r="B710" s="37" t="s">
        <v>955</v>
      </c>
      <c r="C710" s="1">
        <v>45472</v>
      </c>
      <c r="D710" s="37" t="s">
        <v>955</v>
      </c>
      <c r="E710">
        <v>0.41743538241147499</v>
      </c>
      <c r="F710">
        <v>0.41743538241147499</v>
      </c>
    </row>
    <row r="711" spans="1:6" x14ac:dyDescent="0.2">
      <c r="A711">
        <v>328</v>
      </c>
      <c r="B711" s="37" t="s">
        <v>564</v>
      </c>
      <c r="C711" s="1">
        <v>45542</v>
      </c>
      <c r="D711" s="37" t="s">
        <v>564</v>
      </c>
      <c r="E711">
        <v>0.112407468871704</v>
      </c>
      <c r="F711">
        <v>0.112407468871704</v>
      </c>
    </row>
    <row r="712" spans="1:6" x14ac:dyDescent="0.2">
      <c r="A712">
        <v>328</v>
      </c>
      <c r="B712" s="37" t="s">
        <v>956</v>
      </c>
      <c r="C712" s="1">
        <v>45320</v>
      </c>
      <c r="D712" s="37" t="s">
        <v>956</v>
      </c>
      <c r="E712">
        <v>0.22518476675179699</v>
      </c>
      <c r="F712">
        <v>0.22518476675179699</v>
      </c>
    </row>
    <row r="713" spans="1:6" x14ac:dyDescent="0.2">
      <c r="A713">
        <v>329</v>
      </c>
      <c r="B713" s="37" t="s">
        <v>957</v>
      </c>
      <c r="C713" s="1">
        <v>45506</v>
      </c>
      <c r="D713" s="37" t="s">
        <v>957</v>
      </c>
      <c r="E713">
        <v>0.110178319282367</v>
      </c>
      <c r="F713">
        <v>0.110178319282367</v>
      </c>
    </row>
    <row r="714" spans="1:6" x14ac:dyDescent="0.2">
      <c r="A714">
        <v>329</v>
      </c>
      <c r="B714" s="37" t="s">
        <v>958</v>
      </c>
      <c r="C714" s="1">
        <v>45403</v>
      </c>
      <c r="D714" s="37" t="s">
        <v>958</v>
      </c>
      <c r="E714">
        <v>4.9681859840540098E-2</v>
      </c>
      <c r="F714">
        <v>4.9681859840540098E-2</v>
      </c>
    </row>
    <row r="715" spans="1:6" x14ac:dyDescent="0.2">
      <c r="A715">
        <v>329</v>
      </c>
      <c r="B715" s="37" t="s">
        <v>257</v>
      </c>
      <c r="C715" s="1">
        <v>45651</v>
      </c>
      <c r="D715" s="37" t="s">
        <v>257</v>
      </c>
      <c r="E715">
        <v>0.236302804628722</v>
      </c>
      <c r="F715">
        <v>0.236302804628722</v>
      </c>
    </row>
    <row r="716" spans="1:6" x14ac:dyDescent="0.2">
      <c r="A716">
        <v>330</v>
      </c>
      <c r="B716" s="37" t="s">
        <v>959</v>
      </c>
      <c r="C716" s="1">
        <v>45578</v>
      </c>
      <c r="D716" s="37" t="s">
        <v>959</v>
      </c>
      <c r="E716">
        <v>0.33703937703320602</v>
      </c>
      <c r="F716">
        <v>0.33703937703320602</v>
      </c>
    </row>
    <row r="717" spans="1:6" x14ac:dyDescent="0.2">
      <c r="A717">
        <v>331</v>
      </c>
      <c r="B717" s="37" t="s">
        <v>565</v>
      </c>
      <c r="C717" s="1">
        <v>45418</v>
      </c>
      <c r="D717" s="37" t="s">
        <v>565</v>
      </c>
      <c r="E717">
        <v>6.3850039061716504E-2</v>
      </c>
      <c r="F717">
        <v>6.3850039061716504E-2</v>
      </c>
    </row>
    <row r="718" spans="1:6" x14ac:dyDescent="0.2">
      <c r="A718">
        <v>331</v>
      </c>
      <c r="B718" s="37" t="s">
        <v>566</v>
      </c>
      <c r="C718" s="1">
        <v>45546</v>
      </c>
      <c r="D718" s="37" t="s">
        <v>566</v>
      </c>
      <c r="E718">
        <v>1.41322842211441E-2</v>
      </c>
      <c r="F718">
        <v>1.41322842211441E-2</v>
      </c>
    </row>
    <row r="719" spans="1:6" x14ac:dyDescent="0.2">
      <c r="A719">
        <v>332</v>
      </c>
      <c r="B719" s="37" t="s">
        <v>960</v>
      </c>
      <c r="C719" s="1">
        <v>45525</v>
      </c>
      <c r="D719" s="37" t="s">
        <v>960</v>
      </c>
      <c r="E719">
        <v>0.314128500358203</v>
      </c>
      <c r="F719">
        <v>0.314128500358203</v>
      </c>
    </row>
    <row r="720" spans="1:6" x14ac:dyDescent="0.2">
      <c r="A720">
        <v>332</v>
      </c>
      <c r="B720" s="37" t="s">
        <v>961</v>
      </c>
      <c r="C720" s="1">
        <v>45592</v>
      </c>
      <c r="D720" s="37" t="s">
        <v>961</v>
      </c>
      <c r="E720">
        <v>1.94630811821867E-2</v>
      </c>
      <c r="F720">
        <v>1.94630811821867E-2</v>
      </c>
    </row>
    <row r="721" spans="1:6" x14ac:dyDescent="0.2">
      <c r="A721">
        <v>332</v>
      </c>
      <c r="B721" s="37" t="s">
        <v>173</v>
      </c>
      <c r="C721" s="1">
        <v>45396</v>
      </c>
      <c r="D721" s="37" t="s">
        <v>173</v>
      </c>
      <c r="E721">
        <v>0.12198396900501</v>
      </c>
      <c r="F721">
        <v>0.12198396900501</v>
      </c>
    </row>
    <row r="722" spans="1:6" x14ac:dyDescent="0.2">
      <c r="A722">
        <v>333</v>
      </c>
      <c r="B722" s="37" t="s">
        <v>174</v>
      </c>
      <c r="C722" s="1">
        <v>45356</v>
      </c>
      <c r="D722" s="37" t="s">
        <v>174</v>
      </c>
      <c r="E722">
        <v>0.16274473294755601</v>
      </c>
      <c r="F722">
        <v>0.16274473294755601</v>
      </c>
    </row>
    <row r="723" spans="1:6" x14ac:dyDescent="0.2">
      <c r="A723">
        <v>333</v>
      </c>
      <c r="B723" s="37" t="s">
        <v>962</v>
      </c>
      <c r="C723" s="1">
        <v>45428</v>
      </c>
      <c r="D723" s="37" t="s">
        <v>962</v>
      </c>
      <c r="E723">
        <v>0.24768866533370501</v>
      </c>
      <c r="F723">
        <v>0.24768866533370501</v>
      </c>
    </row>
    <row r="724" spans="1:6" x14ac:dyDescent="0.2">
      <c r="A724">
        <v>334</v>
      </c>
      <c r="B724" s="37" t="s">
        <v>963</v>
      </c>
      <c r="C724" s="1">
        <v>45361</v>
      </c>
      <c r="D724" s="37" t="s">
        <v>963</v>
      </c>
      <c r="E724">
        <v>0.126966797117326</v>
      </c>
      <c r="F724">
        <v>0.126966797117326</v>
      </c>
    </row>
    <row r="725" spans="1:6" x14ac:dyDescent="0.2">
      <c r="A725">
        <v>335</v>
      </c>
      <c r="B725" s="37" t="s">
        <v>382</v>
      </c>
      <c r="C725" s="1">
        <v>45380</v>
      </c>
      <c r="D725" s="37" t="s">
        <v>382</v>
      </c>
      <c r="E725">
        <v>0.245386485967034</v>
      </c>
      <c r="F725">
        <v>0.245386485967034</v>
      </c>
    </row>
    <row r="726" spans="1:6" x14ac:dyDescent="0.2">
      <c r="A726">
        <v>335</v>
      </c>
      <c r="B726" s="37" t="s">
        <v>383</v>
      </c>
      <c r="C726" s="1">
        <v>45382</v>
      </c>
      <c r="D726" s="37" t="s">
        <v>383</v>
      </c>
      <c r="E726">
        <v>3.4456491216211603E-2</v>
      </c>
      <c r="F726">
        <v>3.4456491216211603E-2</v>
      </c>
    </row>
    <row r="727" spans="1:6" x14ac:dyDescent="0.2">
      <c r="A727">
        <v>335</v>
      </c>
      <c r="B727" s="37" t="s">
        <v>258</v>
      </c>
      <c r="C727" s="1">
        <v>45568</v>
      </c>
      <c r="D727" s="37" t="s">
        <v>258</v>
      </c>
      <c r="E727">
        <v>0.33114607432438298</v>
      </c>
      <c r="F727">
        <v>0.33114607432438298</v>
      </c>
    </row>
    <row r="728" spans="1:6" x14ac:dyDescent="0.2">
      <c r="A728">
        <v>336</v>
      </c>
      <c r="B728" s="37" t="s">
        <v>384</v>
      </c>
      <c r="C728" s="1">
        <v>45448</v>
      </c>
      <c r="D728" s="37" t="s">
        <v>384</v>
      </c>
      <c r="E728">
        <v>6.2131415073824699E-2</v>
      </c>
      <c r="F728">
        <v>6.2131415073824699E-2</v>
      </c>
    </row>
    <row r="729" spans="1:6" x14ac:dyDescent="0.2">
      <c r="A729">
        <v>336</v>
      </c>
      <c r="B729" s="37" t="s">
        <v>385</v>
      </c>
      <c r="C729" s="1">
        <v>45584</v>
      </c>
      <c r="D729" s="37" t="s">
        <v>385</v>
      </c>
      <c r="E729">
        <v>1.1238436642469001E-2</v>
      </c>
      <c r="F729">
        <v>1.1238436642469001E-2</v>
      </c>
    </row>
    <row r="730" spans="1:6" x14ac:dyDescent="0.2">
      <c r="A730">
        <v>337</v>
      </c>
      <c r="B730" s="37" t="s">
        <v>386</v>
      </c>
      <c r="C730" s="1">
        <v>45392</v>
      </c>
      <c r="D730" s="37" t="s">
        <v>386</v>
      </c>
      <c r="E730">
        <v>0.26838387788212698</v>
      </c>
      <c r="F730">
        <v>0.26838387788212698</v>
      </c>
    </row>
    <row r="731" spans="1:6" x14ac:dyDescent="0.2">
      <c r="A731">
        <v>337</v>
      </c>
      <c r="B731" s="37" t="s">
        <v>387</v>
      </c>
      <c r="C731" s="1">
        <v>45325</v>
      </c>
      <c r="D731" s="37" t="s">
        <v>387</v>
      </c>
      <c r="E731">
        <v>7.6999334005112399E-2</v>
      </c>
      <c r="F731">
        <v>7.6999334005112399E-2</v>
      </c>
    </row>
    <row r="732" spans="1:6" x14ac:dyDescent="0.2">
      <c r="A732">
        <v>338</v>
      </c>
      <c r="B732" s="37" t="s">
        <v>175</v>
      </c>
      <c r="C732" s="1">
        <v>45495</v>
      </c>
      <c r="D732" s="37" t="s">
        <v>175</v>
      </c>
      <c r="E732">
        <v>0.26614147871636001</v>
      </c>
      <c r="F732">
        <v>0.26614147871636001</v>
      </c>
    </row>
    <row r="733" spans="1:6" x14ac:dyDescent="0.2">
      <c r="A733">
        <v>338</v>
      </c>
      <c r="B733" s="37" t="s">
        <v>964</v>
      </c>
      <c r="C733" s="1">
        <v>45548</v>
      </c>
      <c r="D733" s="37" t="s">
        <v>964</v>
      </c>
      <c r="E733">
        <v>8.0845082751080696E-2</v>
      </c>
      <c r="F733">
        <v>8.0845082751080696E-2</v>
      </c>
    </row>
    <row r="734" spans="1:6" x14ac:dyDescent="0.2">
      <c r="A734">
        <v>339</v>
      </c>
      <c r="B734" s="37" t="s">
        <v>388</v>
      </c>
      <c r="C734" s="1">
        <v>45431</v>
      </c>
      <c r="D734" s="37" t="s">
        <v>388</v>
      </c>
      <c r="E734">
        <v>0.69315674368800195</v>
      </c>
      <c r="F734">
        <v>0.69315674368800195</v>
      </c>
    </row>
    <row r="735" spans="1:6" x14ac:dyDescent="0.2">
      <c r="A735">
        <v>339</v>
      </c>
      <c r="B735" s="37" t="s">
        <v>259</v>
      </c>
      <c r="C735" s="1">
        <v>45622</v>
      </c>
      <c r="D735" s="37" t="s">
        <v>259</v>
      </c>
      <c r="E735">
        <v>0.165847624667882</v>
      </c>
      <c r="F735">
        <v>0.165847624667882</v>
      </c>
    </row>
    <row r="736" spans="1:6" x14ac:dyDescent="0.2">
      <c r="A736">
        <v>341</v>
      </c>
      <c r="B736" s="37" t="s">
        <v>260</v>
      </c>
      <c r="C736" s="1">
        <v>45514</v>
      </c>
      <c r="D736" s="37" t="s">
        <v>260</v>
      </c>
      <c r="E736">
        <v>0.111169209224</v>
      </c>
      <c r="F736">
        <v>0.111169209224</v>
      </c>
    </row>
    <row r="737" spans="1:6" x14ac:dyDescent="0.2">
      <c r="A737">
        <v>341</v>
      </c>
      <c r="B737" s="37" t="s">
        <v>261</v>
      </c>
      <c r="C737" s="1">
        <v>45302</v>
      </c>
      <c r="D737" s="37" t="s">
        <v>261</v>
      </c>
      <c r="E737">
        <v>0.28799366183463898</v>
      </c>
      <c r="F737">
        <v>0.28799366183463898</v>
      </c>
    </row>
    <row r="738" spans="1:6" x14ac:dyDescent="0.2">
      <c r="A738">
        <v>342</v>
      </c>
      <c r="B738" s="37" t="s">
        <v>262</v>
      </c>
      <c r="C738" s="1">
        <v>45417</v>
      </c>
      <c r="D738" s="37" t="s">
        <v>262</v>
      </c>
      <c r="E738">
        <v>0.21745609621720899</v>
      </c>
      <c r="F738">
        <v>0.21745609621720899</v>
      </c>
    </row>
    <row r="739" spans="1:6" x14ac:dyDescent="0.2">
      <c r="A739">
        <v>342</v>
      </c>
      <c r="B739" s="37" t="s">
        <v>176</v>
      </c>
      <c r="C739" s="1">
        <v>45590</v>
      </c>
      <c r="D739" s="37" t="s">
        <v>176</v>
      </c>
      <c r="E739">
        <v>0.168903220028225</v>
      </c>
      <c r="F739">
        <v>0.168903220028225</v>
      </c>
    </row>
    <row r="740" spans="1:6" x14ac:dyDescent="0.2">
      <c r="A740">
        <v>342</v>
      </c>
      <c r="B740" s="37" t="s">
        <v>177</v>
      </c>
      <c r="C740" s="1">
        <v>45559</v>
      </c>
      <c r="D740" s="37" t="s">
        <v>177</v>
      </c>
      <c r="E740">
        <v>7.9354414918275995E-2</v>
      </c>
      <c r="F740">
        <v>7.9354414918275995E-2</v>
      </c>
    </row>
    <row r="741" spans="1:6" x14ac:dyDescent="0.2">
      <c r="A741">
        <v>343</v>
      </c>
      <c r="B741" s="37" t="s">
        <v>965</v>
      </c>
      <c r="C741" s="1">
        <v>45543</v>
      </c>
      <c r="D741" s="37" t="s">
        <v>965</v>
      </c>
      <c r="E741">
        <v>0.375310808166747</v>
      </c>
      <c r="F741">
        <v>0.375310808166747</v>
      </c>
    </row>
    <row r="742" spans="1:6" x14ac:dyDescent="0.2">
      <c r="A742">
        <v>343</v>
      </c>
      <c r="B742" s="37" t="s">
        <v>567</v>
      </c>
      <c r="C742" s="1">
        <v>45362</v>
      </c>
      <c r="D742" s="37" t="s">
        <v>567</v>
      </c>
      <c r="E742">
        <v>8.5350416300028098E-2</v>
      </c>
      <c r="F742">
        <v>8.5350416300028098E-2</v>
      </c>
    </row>
    <row r="743" spans="1:6" x14ac:dyDescent="0.2">
      <c r="A743">
        <v>344</v>
      </c>
      <c r="B743" s="37" t="s">
        <v>389</v>
      </c>
      <c r="C743" s="1">
        <v>45468</v>
      </c>
      <c r="D743" s="37" t="s">
        <v>389</v>
      </c>
      <c r="E743">
        <v>1.4579038144222199E-2</v>
      </c>
      <c r="F743">
        <v>1.4579038144222199E-2</v>
      </c>
    </row>
    <row r="744" spans="1:6" x14ac:dyDescent="0.2">
      <c r="A744">
        <v>344</v>
      </c>
      <c r="B744" s="37" t="s">
        <v>390</v>
      </c>
      <c r="C744" s="1">
        <v>45442</v>
      </c>
      <c r="D744" s="37" t="s">
        <v>390</v>
      </c>
      <c r="E744">
        <v>0.165100690364547</v>
      </c>
      <c r="F744">
        <v>0.165100690364547</v>
      </c>
    </row>
    <row r="745" spans="1:6" x14ac:dyDescent="0.2">
      <c r="A745">
        <v>344</v>
      </c>
      <c r="B745" s="37" t="s">
        <v>391</v>
      </c>
      <c r="C745" s="1">
        <v>45414</v>
      </c>
      <c r="D745" s="37" t="s">
        <v>391</v>
      </c>
      <c r="E745">
        <v>0.43441638346654099</v>
      </c>
      <c r="F745">
        <v>0.43441638346654099</v>
      </c>
    </row>
    <row r="746" spans="1:6" x14ac:dyDescent="0.2">
      <c r="A746">
        <v>345</v>
      </c>
      <c r="B746" s="37" t="s">
        <v>263</v>
      </c>
      <c r="C746" s="1">
        <v>45518</v>
      </c>
      <c r="D746" s="37" t="s">
        <v>263</v>
      </c>
      <c r="E746">
        <v>0.15566711740049199</v>
      </c>
      <c r="F746">
        <v>0.15566711740049199</v>
      </c>
    </row>
    <row r="747" spans="1:6" x14ac:dyDescent="0.2">
      <c r="A747">
        <v>345</v>
      </c>
      <c r="B747" s="37" t="s">
        <v>264</v>
      </c>
      <c r="C747" s="1">
        <v>45535</v>
      </c>
      <c r="D747" s="37" t="s">
        <v>264</v>
      </c>
      <c r="E747">
        <v>0.19219809883573599</v>
      </c>
      <c r="F747">
        <v>0.19219809883573599</v>
      </c>
    </row>
    <row r="748" spans="1:6" x14ac:dyDescent="0.2">
      <c r="A748">
        <v>346</v>
      </c>
      <c r="B748" s="37" t="s">
        <v>966</v>
      </c>
      <c r="C748" s="1">
        <v>45470</v>
      </c>
      <c r="D748" s="37" t="s">
        <v>966</v>
      </c>
      <c r="E748">
        <v>0.52182773047275499</v>
      </c>
      <c r="F748">
        <v>0.52182773047275499</v>
      </c>
    </row>
    <row r="749" spans="1:6" x14ac:dyDescent="0.2">
      <c r="A749">
        <v>346</v>
      </c>
      <c r="B749" s="37" t="s">
        <v>967</v>
      </c>
      <c r="C749" s="1">
        <v>45627</v>
      </c>
      <c r="D749" s="37" t="s">
        <v>967</v>
      </c>
      <c r="E749">
        <v>0.125536838531698</v>
      </c>
      <c r="F749">
        <v>0.125536838531698</v>
      </c>
    </row>
    <row r="750" spans="1:6" x14ac:dyDescent="0.2">
      <c r="A750">
        <v>346</v>
      </c>
      <c r="B750" s="37" t="s">
        <v>968</v>
      </c>
      <c r="C750" s="1">
        <v>45370</v>
      </c>
      <c r="D750" s="37" t="s">
        <v>968</v>
      </c>
      <c r="E750">
        <v>0.15953374967043299</v>
      </c>
      <c r="F750">
        <v>0.15953374967043299</v>
      </c>
    </row>
    <row r="751" spans="1:6" x14ac:dyDescent="0.2">
      <c r="A751">
        <v>348</v>
      </c>
      <c r="B751" s="37" t="s">
        <v>392</v>
      </c>
      <c r="C751" s="1">
        <v>45456</v>
      </c>
      <c r="D751" s="37" t="s">
        <v>392</v>
      </c>
      <c r="E751">
        <v>0.212415703876246</v>
      </c>
      <c r="F751">
        <v>0.212415703876246</v>
      </c>
    </row>
    <row r="752" spans="1:6" x14ac:dyDescent="0.2">
      <c r="A752">
        <v>348</v>
      </c>
      <c r="B752" s="37" t="s">
        <v>393</v>
      </c>
      <c r="C752" s="1">
        <v>45618</v>
      </c>
      <c r="D752" s="37" t="s">
        <v>393</v>
      </c>
      <c r="E752">
        <v>0.12724644352660999</v>
      </c>
      <c r="F752">
        <v>0.12724644352660999</v>
      </c>
    </row>
    <row r="753" spans="1:6" x14ac:dyDescent="0.2">
      <c r="A753">
        <v>349</v>
      </c>
      <c r="B753" s="37" t="s">
        <v>969</v>
      </c>
      <c r="C753" s="1">
        <v>45550</v>
      </c>
      <c r="D753" s="37" t="s">
        <v>969</v>
      </c>
      <c r="E753">
        <v>0.22954532769879701</v>
      </c>
      <c r="F753">
        <v>0.22954532769879701</v>
      </c>
    </row>
    <row r="754" spans="1:6" x14ac:dyDescent="0.2">
      <c r="A754">
        <v>349</v>
      </c>
      <c r="B754" s="37" t="s">
        <v>568</v>
      </c>
      <c r="C754" s="1">
        <v>45424</v>
      </c>
      <c r="D754" s="37" t="s">
        <v>568</v>
      </c>
      <c r="E754">
        <v>0.209138606895266</v>
      </c>
      <c r="F754">
        <v>0.209138606895266</v>
      </c>
    </row>
    <row r="755" spans="1:6" x14ac:dyDescent="0.2">
      <c r="A755">
        <v>349</v>
      </c>
      <c r="B755" s="37" t="s">
        <v>178</v>
      </c>
      <c r="C755" s="1">
        <v>45491</v>
      </c>
      <c r="D755" s="37" t="s">
        <v>178</v>
      </c>
      <c r="E755">
        <v>0.13103313547974499</v>
      </c>
      <c r="F755">
        <v>0.13103313547974499</v>
      </c>
    </row>
    <row r="756" spans="1:6" x14ac:dyDescent="0.2">
      <c r="A756">
        <v>350</v>
      </c>
      <c r="B756" s="37" t="s">
        <v>569</v>
      </c>
      <c r="C756" s="1">
        <v>45498</v>
      </c>
      <c r="D756" s="37" t="s">
        <v>569</v>
      </c>
      <c r="E756">
        <v>0.24496137313758201</v>
      </c>
      <c r="F756">
        <v>0.24496137313758201</v>
      </c>
    </row>
    <row r="757" spans="1:6" x14ac:dyDescent="0.2">
      <c r="A757">
        <v>350</v>
      </c>
      <c r="B757" s="37" t="s">
        <v>179</v>
      </c>
      <c r="C757" s="1">
        <v>45532</v>
      </c>
      <c r="D757" s="37" t="s">
        <v>179</v>
      </c>
      <c r="E757">
        <v>0.16634505537760599</v>
      </c>
      <c r="F757">
        <v>0.16634505537760599</v>
      </c>
    </row>
    <row r="758" spans="1:6" x14ac:dyDescent="0.2">
      <c r="A758">
        <v>351</v>
      </c>
      <c r="B758" s="37" t="s">
        <v>970</v>
      </c>
      <c r="C758" s="1">
        <v>45461</v>
      </c>
      <c r="D758" s="37" t="s">
        <v>970</v>
      </c>
      <c r="E758">
        <v>0.113362039684915</v>
      </c>
      <c r="F758">
        <v>0.113362039684915</v>
      </c>
    </row>
    <row r="759" spans="1:6" x14ac:dyDescent="0.2">
      <c r="A759">
        <v>351</v>
      </c>
      <c r="B759" s="37" t="s">
        <v>971</v>
      </c>
      <c r="C759" s="1">
        <v>45337</v>
      </c>
      <c r="D759" s="37" t="s">
        <v>971</v>
      </c>
      <c r="E759">
        <v>0.16596245834712001</v>
      </c>
      <c r="F759">
        <v>0.16596245834712001</v>
      </c>
    </row>
    <row r="760" spans="1:6" x14ac:dyDescent="0.2">
      <c r="A760">
        <v>351</v>
      </c>
      <c r="B760" s="37" t="s">
        <v>180</v>
      </c>
      <c r="C760" s="1">
        <v>45450</v>
      </c>
      <c r="D760" s="37" t="s">
        <v>180</v>
      </c>
      <c r="E760">
        <v>0.14479269971894601</v>
      </c>
      <c r="F760">
        <v>0.14479269971894601</v>
      </c>
    </row>
    <row r="761" spans="1:6" x14ac:dyDescent="0.2">
      <c r="A761">
        <v>353</v>
      </c>
      <c r="B761" s="37" t="s">
        <v>394</v>
      </c>
      <c r="C761" s="1">
        <v>45438</v>
      </c>
      <c r="D761" s="37" t="s">
        <v>394</v>
      </c>
      <c r="E761">
        <v>0.188691608760128</v>
      </c>
      <c r="F761">
        <v>0.188691608760128</v>
      </c>
    </row>
    <row r="762" spans="1:6" x14ac:dyDescent="0.2">
      <c r="A762">
        <v>353</v>
      </c>
      <c r="B762" s="37" t="s">
        <v>972</v>
      </c>
      <c r="C762" s="1">
        <v>45466</v>
      </c>
      <c r="D762" s="37" t="s">
        <v>972</v>
      </c>
      <c r="E762">
        <v>1.09561108054229E-2</v>
      </c>
      <c r="F762">
        <v>1.09561108054229E-2</v>
      </c>
    </row>
    <row r="763" spans="1:6" x14ac:dyDescent="0.2">
      <c r="A763">
        <v>354</v>
      </c>
      <c r="B763" s="37" t="s">
        <v>570</v>
      </c>
      <c r="C763" s="1">
        <v>45468</v>
      </c>
      <c r="D763" s="37" t="s">
        <v>570</v>
      </c>
      <c r="E763">
        <v>0.11440642442915799</v>
      </c>
      <c r="F763">
        <v>0.11440642442915799</v>
      </c>
    </row>
    <row r="764" spans="1:6" x14ac:dyDescent="0.2">
      <c r="A764">
        <v>354</v>
      </c>
      <c r="B764" s="37" t="s">
        <v>181</v>
      </c>
      <c r="C764" s="1">
        <v>45309</v>
      </c>
      <c r="D764" s="37" t="s">
        <v>181</v>
      </c>
      <c r="E764">
        <v>0.21378254146990999</v>
      </c>
      <c r="F764">
        <v>0.21378254146990999</v>
      </c>
    </row>
    <row r="765" spans="1:6" x14ac:dyDescent="0.2">
      <c r="A765">
        <v>354</v>
      </c>
      <c r="B765" s="37" t="s">
        <v>571</v>
      </c>
      <c r="C765" s="1">
        <v>45534</v>
      </c>
      <c r="D765" s="37" t="s">
        <v>571</v>
      </c>
      <c r="E765">
        <v>9.3375402174336097E-2</v>
      </c>
      <c r="F765">
        <v>9.3375402174336097E-2</v>
      </c>
    </row>
    <row r="766" spans="1:6" x14ac:dyDescent="0.2">
      <c r="A766">
        <v>355</v>
      </c>
      <c r="B766" s="37" t="s">
        <v>572</v>
      </c>
      <c r="C766" s="1">
        <v>45358</v>
      </c>
      <c r="D766" s="37" t="s">
        <v>572</v>
      </c>
      <c r="E766">
        <v>5.2926345707951801E-2</v>
      </c>
      <c r="F766">
        <v>5.2926345707951801E-2</v>
      </c>
    </row>
    <row r="767" spans="1:6" x14ac:dyDescent="0.2">
      <c r="A767">
        <v>355</v>
      </c>
      <c r="B767" s="37" t="s">
        <v>182</v>
      </c>
      <c r="C767" s="1">
        <v>45440</v>
      </c>
      <c r="D767" s="37" t="s">
        <v>182</v>
      </c>
      <c r="E767">
        <v>4.13811392084555E-2</v>
      </c>
      <c r="F767">
        <v>4.13811392084555E-2</v>
      </c>
    </row>
    <row r="768" spans="1:6" x14ac:dyDescent="0.2">
      <c r="A768">
        <v>357</v>
      </c>
      <c r="B768" s="37" t="s">
        <v>573</v>
      </c>
      <c r="C768" s="1">
        <v>45582</v>
      </c>
      <c r="D768" s="37" t="s">
        <v>573</v>
      </c>
      <c r="E768">
        <v>0.148543366279835</v>
      </c>
      <c r="F768">
        <v>0.148543366279835</v>
      </c>
    </row>
    <row r="769" spans="1:6" x14ac:dyDescent="0.2">
      <c r="A769">
        <v>357</v>
      </c>
      <c r="B769" s="37" t="s">
        <v>574</v>
      </c>
      <c r="C769" s="1">
        <v>45327</v>
      </c>
      <c r="D769" s="37" t="s">
        <v>574</v>
      </c>
      <c r="E769">
        <v>0.10951873080352401</v>
      </c>
      <c r="F769">
        <v>0.10951873080352401</v>
      </c>
    </row>
    <row r="770" spans="1:6" x14ac:dyDescent="0.2">
      <c r="A770">
        <v>358</v>
      </c>
      <c r="B770" s="37" t="s">
        <v>973</v>
      </c>
      <c r="C770" s="1">
        <v>45493</v>
      </c>
      <c r="D770" s="37" t="s">
        <v>973</v>
      </c>
      <c r="E770">
        <v>0.15514206892313001</v>
      </c>
      <c r="F770">
        <v>0.15514206892313001</v>
      </c>
    </row>
    <row r="771" spans="1:6" x14ac:dyDescent="0.2">
      <c r="A771">
        <v>358</v>
      </c>
      <c r="B771" s="37" t="s">
        <v>974</v>
      </c>
      <c r="C771" s="1">
        <v>45650</v>
      </c>
      <c r="D771" s="37" t="s">
        <v>974</v>
      </c>
      <c r="E771">
        <v>0.33614778528974498</v>
      </c>
      <c r="F771">
        <v>0.33614778528974498</v>
      </c>
    </row>
    <row r="772" spans="1:6" x14ac:dyDescent="0.2">
      <c r="A772">
        <v>359</v>
      </c>
      <c r="B772" s="37" t="s">
        <v>975</v>
      </c>
      <c r="C772" s="1">
        <v>45572</v>
      </c>
      <c r="D772" s="37" t="s">
        <v>975</v>
      </c>
      <c r="E772">
        <v>0.101347802386416</v>
      </c>
      <c r="F772">
        <v>0.101347802386416</v>
      </c>
    </row>
    <row r="773" spans="1:6" x14ac:dyDescent="0.2">
      <c r="A773">
        <v>359</v>
      </c>
      <c r="B773" s="37" t="s">
        <v>575</v>
      </c>
      <c r="C773" s="1">
        <v>45634</v>
      </c>
      <c r="D773" s="37" t="s">
        <v>575</v>
      </c>
      <c r="E773">
        <v>0.19580435054409001</v>
      </c>
      <c r="F773">
        <v>0.19580435054409001</v>
      </c>
    </row>
    <row r="774" spans="1:6" x14ac:dyDescent="0.2">
      <c r="A774">
        <v>359</v>
      </c>
      <c r="B774" s="37" t="s">
        <v>576</v>
      </c>
      <c r="C774" s="1">
        <v>45474</v>
      </c>
      <c r="D774" s="37" t="s">
        <v>576</v>
      </c>
      <c r="E774">
        <v>0.172963498014398</v>
      </c>
      <c r="F774">
        <v>0.172963498014398</v>
      </c>
    </row>
    <row r="775" spans="1:6" x14ac:dyDescent="0.2">
      <c r="A775">
        <v>360</v>
      </c>
      <c r="B775" s="37" t="s">
        <v>976</v>
      </c>
      <c r="C775" s="1">
        <v>45547</v>
      </c>
      <c r="D775" s="37" t="s">
        <v>976</v>
      </c>
      <c r="E775">
        <v>0.19925786310087101</v>
      </c>
      <c r="F775">
        <v>0.19925786310087101</v>
      </c>
    </row>
    <row r="776" spans="1:6" x14ac:dyDescent="0.2">
      <c r="A776">
        <v>361</v>
      </c>
      <c r="B776" s="37" t="s">
        <v>977</v>
      </c>
      <c r="C776" s="1">
        <v>45329</v>
      </c>
      <c r="D776" s="37" t="s">
        <v>977</v>
      </c>
      <c r="E776">
        <v>9.1811632779701696E-2</v>
      </c>
      <c r="F776">
        <v>9.1811632779701696E-2</v>
      </c>
    </row>
    <row r="777" spans="1:6" x14ac:dyDescent="0.2">
      <c r="A777">
        <v>361</v>
      </c>
      <c r="B777" s="37" t="s">
        <v>978</v>
      </c>
      <c r="C777" s="1">
        <v>45598</v>
      </c>
      <c r="D777" s="37" t="s">
        <v>978</v>
      </c>
      <c r="E777">
        <v>0.23035367642732199</v>
      </c>
      <c r="F777">
        <v>0.23035367642732199</v>
      </c>
    </row>
    <row r="778" spans="1:6" x14ac:dyDescent="0.2">
      <c r="A778">
        <v>361</v>
      </c>
      <c r="B778" s="37" t="s">
        <v>979</v>
      </c>
      <c r="C778" s="1">
        <v>45565</v>
      </c>
      <c r="D778" s="37" t="s">
        <v>979</v>
      </c>
      <c r="E778">
        <v>0.116101482307066</v>
      </c>
      <c r="F778">
        <v>0.116101482307066</v>
      </c>
    </row>
    <row r="779" spans="1:6" x14ac:dyDescent="0.2">
      <c r="A779">
        <v>362</v>
      </c>
      <c r="B779" s="37" t="s">
        <v>183</v>
      </c>
      <c r="C779" s="1">
        <v>45501</v>
      </c>
      <c r="D779" s="37" t="s">
        <v>183</v>
      </c>
      <c r="E779">
        <v>0.16111859401763701</v>
      </c>
      <c r="F779">
        <v>0.16111859401763701</v>
      </c>
    </row>
    <row r="780" spans="1:6" x14ac:dyDescent="0.2">
      <c r="A780">
        <v>362</v>
      </c>
      <c r="B780" s="37" t="s">
        <v>184</v>
      </c>
      <c r="C780" s="1">
        <v>45445</v>
      </c>
      <c r="D780" s="37" t="s">
        <v>184</v>
      </c>
      <c r="E780">
        <v>0.18219156269762399</v>
      </c>
      <c r="F780">
        <v>0.18219156269762399</v>
      </c>
    </row>
    <row r="781" spans="1:6" x14ac:dyDescent="0.2">
      <c r="A781">
        <v>362</v>
      </c>
      <c r="B781" s="37" t="s">
        <v>980</v>
      </c>
      <c r="C781" s="1">
        <v>45449</v>
      </c>
      <c r="D781" s="37" t="s">
        <v>980</v>
      </c>
      <c r="E781">
        <v>0.13568938241808801</v>
      </c>
      <c r="F781">
        <v>0.13568938241808801</v>
      </c>
    </row>
    <row r="782" spans="1:6" x14ac:dyDescent="0.2">
      <c r="A782">
        <v>363</v>
      </c>
      <c r="B782" s="37" t="s">
        <v>577</v>
      </c>
      <c r="C782" s="1">
        <v>45413</v>
      </c>
      <c r="D782" s="37" t="s">
        <v>577</v>
      </c>
      <c r="E782">
        <v>0.13434926768798899</v>
      </c>
      <c r="F782">
        <v>0.13434926768798899</v>
      </c>
    </row>
    <row r="783" spans="1:6" x14ac:dyDescent="0.2">
      <c r="A783">
        <v>364</v>
      </c>
      <c r="B783" s="37" t="s">
        <v>265</v>
      </c>
      <c r="C783" s="1">
        <v>45622</v>
      </c>
      <c r="D783" s="37" t="s">
        <v>265</v>
      </c>
      <c r="E783">
        <v>5.5523860415409999E-2</v>
      </c>
      <c r="F783">
        <v>5.5523860415409999E-2</v>
      </c>
    </row>
    <row r="784" spans="1:6" x14ac:dyDescent="0.2">
      <c r="A784">
        <v>364</v>
      </c>
      <c r="B784" s="37" t="s">
        <v>185</v>
      </c>
      <c r="C784" s="1">
        <v>45517</v>
      </c>
      <c r="D784" s="37" t="s">
        <v>185</v>
      </c>
      <c r="E784">
        <v>0.172275874635649</v>
      </c>
      <c r="F784">
        <v>0.172275874635649</v>
      </c>
    </row>
    <row r="785" spans="1:6" x14ac:dyDescent="0.2">
      <c r="A785">
        <v>364</v>
      </c>
      <c r="B785" s="37" t="s">
        <v>186</v>
      </c>
      <c r="C785" s="1">
        <v>45474</v>
      </c>
      <c r="D785" s="37" t="s">
        <v>186</v>
      </c>
      <c r="E785">
        <v>4.9395955164926897E-2</v>
      </c>
      <c r="F785">
        <v>4.9395955164926897E-2</v>
      </c>
    </row>
    <row r="786" spans="1:6" x14ac:dyDescent="0.2">
      <c r="A786">
        <v>365</v>
      </c>
      <c r="B786" s="37" t="s">
        <v>578</v>
      </c>
      <c r="C786" s="1">
        <v>45416</v>
      </c>
      <c r="D786" s="37" t="s">
        <v>578</v>
      </c>
      <c r="E786">
        <v>2.01518778958522E-2</v>
      </c>
      <c r="F786">
        <v>2.01518778958522E-2</v>
      </c>
    </row>
    <row r="787" spans="1:6" x14ac:dyDescent="0.2">
      <c r="A787">
        <v>365</v>
      </c>
      <c r="B787" s="37" t="s">
        <v>579</v>
      </c>
      <c r="C787" s="1">
        <v>45628</v>
      </c>
      <c r="D787" s="37" t="s">
        <v>579</v>
      </c>
      <c r="E787">
        <v>0.17907012858145799</v>
      </c>
      <c r="F787">
        <v>0.17907012858145799</v>
      </c>
    </row>
    <row r="788" spans="1:6" x14ac:dyDescent="0.2">
      <c r="A788">
        <v>365</v>
      </c>
      <c r="B788" s="37" t="s">
        <v>981</v>
      </c>
      <c r="C788" s="1">
        <v>45301</v>
      </c>
      <c r="D788" s="37" t="s">
        <v>981</v>
      </c>
      <c r="E788">
        <v>0.12648856793267799</v>
      </c>
      <c r="F788">
        <v>0.12648856793267799</v>
      </c>
    </row>
    <row r="789" spans="1:6" x14ac:dyDescent="0.2">
      <c r="A789">
        <v>366</v>
      </c>
      <c r="B789" s="37" t="s">
        <v>395</v>
      </c>
      <c r="C789" s="1">
        <v>45605</v>
      </c>
      <c r="D789" s="37" t="s">
        <v>395</v>
      </c>
      <c r="E789">
        <v>0.133284229339204</v>
      </c>
      <c r="F789">
        <v>0.133284229339204</v>
      </c>
    </row>
    <row r="790" spans="1:6" x14ac:dyDescent="0.2">
      <c r="A790">
        <v>367</v>
      </c>
      <c r="B790" s="37" t="s">
        <v>982</v>
      </c>
      <c r="C790" s="1">
        <v>45521</v>
      </c>
      <c r="D790" s="37" t="s">
        <v>982</v>
      </c>
      <c r="E790">
        <v>4.2504977860365903E-2</v>
      </c>
      <c r="F790">
        <v>4.2504977860365903E-2</v>
      </c>
    </row>
    <row r="791" spans="1:6" x14ac:dyDescent="0.2">
      <c r="A791">
        <v>367</v>
      </c>
      <c r="B791" s="37" t="s">
        <v>983</v>
      </c>
      <c r="C791" s="1">
        <v>45631</v>
      </c>
      <c r="D791" s="37" t="s">
        <v>983</v>
      </c>
      <c r="E791">
        <v>0.15156302573657501</v>
      </c>
      <c r="F791">
        <v>0.15156302573657501</v>
      </c>
    </row>
    <row r="792" spans="1:6" x14ac:dyDescent="0.2">
      <c r="A792">
        <v>367</v>
      </c>
      <c r="B792" s="37" t="s">
        <v>984</v>
      </c>
      <c r="C792" s="1">
        <v>45652</v>
      </c>
      <c r="D792" s="37" t="s">
        <v>984</v>
      </c>
      <c r="E792">
        <v>0.19114053501629799</v>
      </c>
      <c r="F792">
        <v>0.19114053501629799</v>
      </c>
    </row>
    <row r="793" spans="1:6" x14ac:dyDescent="0.2">
      <c r="A793">
        <v>368</v>
      </c>
      <c r="B793" s="37" t="s">
        <v>396</v>
      </c>
      <c r="C793" s="1">
        <v>45327</v>
      </c>
      <c r="D793" s="37" t="s">
        <v>396</v>
      </c>
      <c r="E793">
        <v>0.120772727570112</v>
      </c>
      <c r="F793">
        <v>0.120772727570112</v>
      </c>
    </row>
    <row r="794" spans="1:6" x14ac:dyDescent="0.2">
      <c r="A794">
        <v>368</v>
      </c>
      <c r="B794" s="37" t="s">
        <v>397</v>
      </c>
      <c r="C794" s="1">
        <v>45590</v>
      </c>
      <c r="D794" s="37" t="s">
        <v>397</v>
      </c>
      <c r="E794">
        <v>5.7742941235597298E-2</v>
      </c>
      <c r="F794">
        <v>5.7742941235597298E-2</v>
      </c>
    </row>
    <row r="795" spans="1:6" x14ac:dyDescent="0.2">
      <c r="A795">
        <v>368</v>
      </c>
      <c r="B795" s="37" t="s">
        <v>398</v>
      </c>
      <c r="C795" s="1">
        <v>45325</v>
      </c>
      <c r="D795" s="37" t="s">
        <v>398</v>
      </c>
      <c r="E795">
        <v>0.12315589315592999</v>
      </c>
      <c r="F795">
        <v>0.12315589315592999</v>
      </c>
    </row>
    <row r="796" spans="1:6" x14ac:dyDescent="0.2">
      <c r="A796">
        <v>368</v>
      </c>
      <c r="B796" s="37" t="s">
        <v>985</v>
      </c>
      <c r="C796" s="1">
        <v>45646</v>
      </c>
      <c r="D796" s="37" t="s">
        <v>985</v>
      </c>
      <c r="E796">
        <v>6.9085532822141998E-2</v>
      </c>
      <c r="F796">
        <v>6.9085532822141998E-2</v>
      </c>
    </row>
    <row r="797" spans="1:6" x14ac:dyDescent="0.2">
      <c r="A797">
        <v>369</v>
      </c>
      <c r="B797" s="37" t="s">
        <v>580</v>
      </c>
      <c r="C797" s="1">
        <v>45517</v>
      </c>
      <c r="D797" s="37" t="s">
        <v>580</v>
      </c>
      <c r="E797">
        <v>0.165259002601225</v>
      </c>
      <c r="F797">
        <v>0.165259002601225</v>
      </c>
    </row>
    <row r="798" spans="1:6" x14ac:dyDescent="0.2">
      <c r="A798">
        <v>369</v>
      </c>
      <c r="B798" s="37" t="s">
        <v>581</v>
      </c>
      <c r="C798" s="1">
        <v>45309</v>
      </c>
      <c r="D798" s="37" t="s">
        <v>581</v>
      </c>
      <c r="E798">
        <v>0.144227324742045</v>
      </c>
      <c r="F798">
        <v>0.144227324742045</v>
      </c>
    </row>
    <row r="799" spans="1:6" x14ac:dyDescent="0.2">
      <c r="A799">
        <v>370</v>
      </c>
      <c r="B799" s="37" t="s">
        <v>187</v>
      </c>
      <c r="C799" s="1">
        <v>45517</v>
      </c>
      <c r="D799" s="37" t="s">
        <v>187</v>
      </c>
      <c r="E799">
        <v>0.34241304877861301</v>
      </c>
      <c r="F799">
        <v>0.34241304877861301</v>
      </c>
    </row>
    <row r="800" spans="1:6" x14ac:dyDescent="0.2">
      <c r="A800">
        <v>370</v>
      </c>
      <c r="B800" s="37" t="s">
        <v>188</v>
      </c>
      <c r="C800" s="1">
        <v>45388</v>
      </c>
      <c r="D800" s="37" t="s">
        <v>188</v>
      </c>
      <c r="E800">
        <v>9.4393656224018699E-2</v>
      </c>
      <c r="F800">
        <v>9.4393656224018699E-2</v>
      </c>
    </row>
    <row r="801" spans="1:6" x14ac:dyDescent="0.2">
      <c r="A801">
        <v>371</v>
      </c>
      <c r="B801" s="37" t="s">
        <v>189</v>
      </c>
      <c r="C801" s="1">
        <v>45297</v>
      </c>
      <c r="D801" s="37" t="s">
        <v>189</v>
      </c>
      <c r="E801">
        <v>0.176141106289949</v>
      </c>
      <c r="F801">
        <v>0.176141106289949</v>
      </c>
    </row>
    <row r="802" spans="1:6" x14ac:dyDescent="0.2">
      <c r="A802">
        <v>371</v>
      </c>
      <c r="B802" s="37" t="s">
        <v>266</v>
      </c>
      <c r="C802" s="1">
        <v>45473</v>
      </c>
      <c r="D802" s="37" t="s">
        <v>266</v>
      </c>
      <c r="E802">
        <v>0.120484747972115</v>
      </c>
      <c r="F802">
        <v>0.120484747972115</v>
      </c>
    </row>
    <row r="803" spans="1:6" x14ac:dyDescent="0.2">
      <c r="A803">
        <v>372</v>
      </c>
      <c r="B803" s="37" t="s">
        <v>399</v>
      </c>
      <c r="C803" s="1">
        <v>45519</v>
      </c>
      <c r="D803" s="37" t="s">
        <v>399</v>
      </c>
      <c r="E803">
        <v>8.3834003794618694E-2</v>
      </c>
      <c r="F803">
        <v>8.3834003794618694E-2</v>
      </c>
    </row>
    <row r="804" spans="1:6" x14ac:dyDescent="0.2">
      <c r="A804">
        <v>372</v>
      </c>
      <c r="B804" s="37" t="s">
        <v>400</v>
      </c>
      <c r="C804" s="1">
        <v>45556</v>
      </c>
      <c r="D804" s="37" t="s">
        <v>400</v>
      </c>
      <c r="E804">
        <v>0.13934266934225201</v>
      </c>
      <c r="F804">
        <v>0.13934266934225201</v>
      </c>
    </row>
    <row r="805" spans="1:6" x14ac:dyDescent="0.2">
      <c r="A805">
        <v>372</v>
      </c>
      <c r="B805" s="37" t="s">
        <v>401</v>
      </c>
      <c r="C805" s="1">
        <v>45505</v>
      </c>
      <c r="D805" s="37" t="s">
        <v>401</v>
      </c>
      <c r="E805">
        <v>0.13017802619170199</v>
      </c>
      <c r="F805">
        <v>0.13017802619170199</v>
      </c>
    </row>
    <row r="806" spans="1:6" x14ac:dyDescent="0.2">
      <c r="A806">
        <v>373</v>
      </c>
      <c r="B806" s="37" t="s">
        <v>190</v>
      </c>
      <c r="C806" s="1">
        <v>45367</v>
      </c>
      <c r="D806" s="37" t="s">
        <v>190</v>
      </c>
      <c r="E806">
        <v>0.20091866680826601</v>
      </c>
      <c r="F806">
        <v>0.20091866680826601</v>
      </c>
    </row>
    <row r="807" spans="1:6" x14ac:dyDescent="0.2">
      <c r="A807">
        <v>374</v>
      </c>
      <c r="B807" s="37" t="s">
        <v>582</v>
      </c>
      <c r="C807" s="1">
        <v>45456</v>
      </c>
      <c r="D807" s="37" t="s">
        <v>582</v>
      </c>
      <c r="E807">
        <v>2.5440968504713599E-2</v>
      </c>
      <c r="F807">
        <v>2.5440968504713599E-2</v>
      </c>
    </row>
    <row r="808" spans="1:6" x14ac:dyDescent="0.2">
      <c r="A808">
        <v>374</v>
      </c>
      <c r="B808" s="37" t="s">
        <v>986</v>
      </c>
      <c r="C808" s="1">
        <v>45653</v>
      </c>
      <c r="D808" s="37" t="s">
        <v>986</v>
      </c>
      <c r="E808">
        <v>0.55268440035484301</v>
      </c>
      <c r="F808">
        <v>0.55268440035484301</v>
      </c>
    </row>
    <row r="809" spans="1:6" x14ac:dyDescent="0.2">
      <c r="A809">
        <v>375</v>
      </c>
      <c r="B809" s="37" t="s">
        <v>987</v>
      </c>
      <c r="C809" s="1">
        <v>45493</v>
      </c>
      <c r="D809" s="37" t="s">
        <v>987</v>
      </c>
      <c r="E809">
        <v>0.21578884236753601</v>
      </c>
      <c r="F809">
        <v>0.21578884236753601</v>
      </c>
    </row>
    <row r="810" spans="1:6" x14ac:dyDescent="0.2">
      <c r="A810">
        <v>375</v>
      </c>
      <c r="B810" s="37" t="s">
        <v>402</v>
      </c>
      <c r="C810" s="1">
        <v>45381</v>
      </c>
      <c r="D810" s="37" t="s">
        <v>402</v>
      </c>
      <c r="E810">
        <v>0.22397193165690399</v>
      </c>
      <c r="F810">
        <v>0.22397193165690399</v>
      </c>
    </row>
    <row r="811" spans="1:6" x14ac:dyDescent="0.2">
      <c r="A811">
        <v>377</v>
      </c>
      <c r="B811" s="37" t="s">
        <v>403</v>
      </c>
      <c r="C811" s="1">
        <v>45579</v>
      </c>
      <c r="D811" s="37" t="s">
        <v>403</v>
      </c>
      <c r="E811">
        <v>0.15689731181883901</v>
      </c>
      <c r="F811">
        <v>0.15689731181883901</v>
      </c>
    </row>
    <row r="812" spans="1:6" x14ac:dyDescent="0.2">
      <c r="A812">
        <v>378</v>
      </c>
      <c r="B812" s="37" t="s">
        <v>583</v>
      </c>
      <c r="C812" s="1">
        <v>45629</v>
      </c>
      <c r="D812" s="37" t="s">
        <v>583</v>
      </c>
      <c r="E812">
        <v>0.109213370843064</v>
      </c>
      <c r="F812">
        <v>0.109213370843064</v>
      </c>
    </row>
    <row r="813" spans="1:6" x14ac:dyDescent="0.2">
      <c r="A813">
        <v>378</v>
      </c>
      <c r="B813" s="37" t="s">
        <v>988</v>
      </c>
      <c r="C813" s="1">
        <v>45598</v>
      </c>
      <c r="D813" s="37" t="s">
        <v>988</v>
      </c>
      <c r="E813">
        <v>0.178827596116477</v>
      </c>
      <c r="F813">
        <v>0.178827596116477</v>
      </c>
    </row>
    <row r="814" spans="1:6" x14ac:dyDescent="0.2">
      <c r="A814">
        <v>378</v>
      </c>
      <c r="B814" s="37" t="s">
        <v>989</v>
      </c>
      <c r="C814" s="1">
        <v>45416</v>
      </c>
      <c r="D814" s="37" t="s">
        <v>989</v>
      </c>
      <c r="E814">
        <v>0.117392473641937</v>
      </c>
      <c r="F814">
        <v>0.117392473641937</v>
      </c>
    </row>
    <row r="815" spans="1:6" x14ac:dyDescent="0.2">
      <c r="A815">
        <v>379</v>
      </c>
      <c r="B815" s="37" t="s">
        <v>267</v>
      </c>
      <c r="C815" s="1">
        <v>45491</v>
      </c>
      <c r="D815" s="37" t="s">
        <v>267</v>
      </c>
      <c r="E815">
        <v>0.27978300272836998</v>
      </c>
      <c r="F815">
        <v>0.27978300272836998</v>
      </c>
    </row>
    <row r="816" spans="1:6" x14ac:dyDescent="0.2">
      <c r="A816">
        <v>379</v>
      </c>
      <c r="B816" s="37" t="s">
        <v>268</v>
      </c>
      <c r="C816" s="1">
        <v>45407</v>
      </c>
      <c r="D816" s="37" t="s">
        <v>268</v>
      </c>
      <c r="E816">
        <v>0.13257347012135001</v>
      </c>
      <c r="F816">
        <v>0.13257347012135001</v>
      </c>
    </row>
    <row r="817" spans="1:6" x14ac:dyDescent="0.2">
      <c r="A817">
        <v>379</v>
      </c>
      <c r="B817" s="37" t="s">
        <v>269</v>
      </c>
      <c r="C817" s="1">
        <v>45362</v>
      </c>
      <c r="D817" s="37" t="s">
        <v>269</v>
      </c>
      <c r="E817">
        <v>0.18674451940933501</v>
      </c>
      <c r="F817">
        <v>0.18674451940933501</v>
      </c>
    </row>
    <row r="818" spans="1:6" x14ac:dyDescent="0.2">
      <c r="A818">
        <v>381</v>
      </c>
      <c r="B818" s="37" t="s">
        <v>990</v>
      </c>
      <c r="C818" s="1">
        <v>45390</v>
      </c>
      <c r="D818" s="37" t="s">
        <v>990</v>
      </c>
      <c r="E818">
        <v>0.29955995529922202</v>
      </c>
      <c r="F818">
        <v>0.29955995529922202</v>
      </c>
    </row>
    <row r="819" spans="1:6" x14ac:dyDescent="0.2">
      <c r="A819">
        <v>381</v>
      </c>
      <c r="B819" s="37" t="s">
        <v>584</v>
      </c>
      <c r="C819" s="1">
        <v>45403</v>
      </c>
      <c r="D819" s="37" t="s">
        <v>584</v>
      </c>
      <c r="E819">
        <v>9.2465480417646004E-2</v>
      </c>
      <c r="F819">
        <v>9.2465480417646004E-2</v>
      </c>
    </row>
    <row r="820" spans="1:6" x14ac:dyDescent="0.2">
      <c r="A820">
        <v>382</v>
      </c>
      <c r="B820" s="37" t="s">
        <v>991</v>
      </c>
      <c r="C820" s="1">
        <v>45559</v>
      </c>
      <c r="D820" s="37" t="s">
        <v>991</v>
      </c>
      <c r="E820">
        <v>0.213296403376984</v>
      </c>
      <c r="F820">
        <v>0.213296403376984</v>
      </c>
    </row>
    <row r="821" spans="1:6" x14ac:dyDescent="0.2">
      <c r="A821">
        <v>383</v>
      </c>
      <c r="B821" s="37" t="s">
        <v>191</v>
      </c>
      <c r="C821" s="1">
        <v>45618</v>
      </c>
      <c r="D821" s="37" t="s">
        <v>191</v>
      </c>
      <c r="E821">
        <v>0.62924180795679896</v>
      </c>
      <c r="F821">
        <v>0.62924180795679896</v>
      </c>
    </row>
    <row r="822" spans="1:6" x14ac:dyDescent="0.2">
      <c r="A822">
        <v>383</v>
      </c>
      <c r="B822" s="37" t="s">
        <v>404</v>
      </c>
      <c r="C822" s="1">
        <v>45611</v>
      </c>
      <c r="D822" s="37" t="s">
        <v>404</v>
      </c>
      <c r="E822">
        <v>0.110605058249733</v>
      </c>
      <c r="F822">
        <v>0.110605058249733</v>
      </c>
    </row>
    <row r="823" spans="1:6" x14ac:dyDescent="0.2">
      <c r="A823">
        <v>383</v>
      </c>
      <c r="B823" s="37" t="s">
        <v>992</v>
      </c>
      <c r="C823" s="1">
        <v>45322</v>
      </c>
      <c r="D823" s="37" t="s">
        <v>992</v>
      </c>
      <c r="E823">
        <v>0.11011389382207</v>
      </c>
      <c r="F823">
        <v>0.11011389382207</v>
      </c>
    </row>
    <row r="824" spans="1:6" x14ac:dyDescent="0.2">
      <c r="A824">
        <v>384</v>
      </c>
      <c r="B824" s="37" t="s">
        <v>993</v>
      </c>
      <c r="C824" s="1">
        <v>45540</v>
      </c>
      <c r="D824" s="37" t="s">
        <v>993</v>
      </c>
      <c r="E824">
        <v>0.33932585102914897</v>
      </c>
      <c r="F824">
        <v>0.33932585102914897</v>
      </c>
    </row>
    <row r="825" spans="1:6" x14ac:dyDescent="0.2">
      <c r="A825">
        <v>385</v>
      </c>
      <c r="B825" s="37" t="s">
        <v>994</v>
      </c>
      <c r="C825" s="1">
        <v>45391</v>
      </c>
      <c r="D825" s="37" t="s">
        <v>994</v>
      </c>
      <c r="E825">
        <v>5.82383957516035E-2</v>
      </c>
      <c r="F825">
        <v>5.82383957516035E-2</v>
      </c>
    </row>
    <row r="826" spans="1:6" x14ac:dyDescent="0.2">
      <c r="A826">
        <v>385</v>
      </c>
      <c r="B826" s="37" t="s">
        <v>995</v>
      </c>
      <c r="C826" s="1">
        <v>45579</v>
      </c>
      <c r="D826" s="37" t="s">
        <v>995</v>
      </c>
      <c r="E826">
        <v>0.281139153680806</v>
      </c>
      <c r="F826">
        <v>0.281139153680806</v>
      </c>
    </row>
    <row r="827" spans="1:6" x14ac:dyDescent="0.2">
      <c r="A827">
        <v>386</v>
      </c>
      <c r="B827" s="37" t="s">
        <v>585</v>
      </c>
      <c r="C827" s="1">
        <v>45301</v>
      </c>
      <c r="D827" s="37" t="s">
        <v>585</v>
      </c>
      <c r="E827">
        <v>0.63437632147206002</v>
      </c>
      <c r="F827">
        <v>0.63437632147206002</v>
      </c>
    </row>
    <row r="828" spans="1:6" x14ac:dyDescent="0.2">
      <c r="A828">
        <v>387</v>
      </c>
      <c r="B828" s="37" t="s">
        <v>192</v>
      </c>
      <c r="C828" s="1">
        <v>45553</v>
      </c>
      <c r="D828" s="37" t="s">
        <v>192</v>
      </c>
      <c r="E828">
        <v>0.112692680001935</v>
      </c>
      <c r="F828">
        <v>0.112692680001935</v>
      </c>
    </row>
    <row r="829" spans="1:6" x14ac:dyDescent="0.2">
      <c r="A829">
        <v>387</v>
      </c>
      <c r="B829" s="37" t="s">
        <v>193</v>
      </c>
      <c r="C829" s="1">
        <v>45596</v>
      </c>
      <c r="D829" s="37" t="s">
        <v>193</v>
      </c>
      <c r="E829">
        <v>0.22053896295145001</v>
      </c>
      <c r="F829">
        <v>0.22053896295145001</v>
      </c>
    </row>
    <row r="830" spans="1:6" x14ac:dyDescent="0.2">
      <c r="A830">
        <v>387</v>
      </c>
      <c r="B830" s="37" t="s">
        <v>194</v>
      </c>
      <c r="C830" s="1">
        <v>45431</v>
      </c>
      <c r="D830" s="37" t="s">
        <v>194</v>
      </c>
      <c r="E830">
        <v>0.231350080483811</v>
      </c>
      <c r="F830">
        <v>0.231350080483811</v>
      </c>
    </row>
    <row r="831" spans="1:6" x14ac:dyDescent="0.2">
      <c r="A831">
        <v>388</v>
      </c>
      <c r="B831" s="37" t="s">
        <v>586</v>
      </c>
      <c r="C831" s="1">
        <v>45491</v>
      </c>
      <c r="D831" s="37" t="s">
        <v>586</v>
      </c>
      <c r="E831">
        <v>8.8767698706785497E-2</v>
      </c>
      <c r="F831">
        <v>8.8767698706785497E-2</v>
      </c>
    </row>
    <row r="832" spans="1:6" x14ac:dyDescent="0.2">
      <c r="A832">
        <v>388</v>
      </c>
      <c r="B832" s="37" t="s">
        <v>996</v>
      </c>
      <c r="C832" s="1">
        <v>45514</v>
      </c>
      <c r="D832" s="37" t="s">
        <v>996</v>
      </c>
      <c r="E832">
        <v>4.7968824768212501E-2</v>
      </c>
      <c r="F832">
        <v>4.7968824768212501E-2</v>
      </c>
    </row>
    <row r="833" spans="1:6" x14ac:dyDescent="0.2">
      <c r="A833">
        <v>388</v>
      </c>
      <c r="B833" s="37" t="s">
        <v>587</v>
      </c>
      <c r="C833" s="1">
        <v>45471</v>
      </c>
      <c r="D833" s="37" t="s">
        <v>587</v>
      </c>
      <c r="E833">
        <v>0.163326804418884</v>
      </c>
      <c r="F833">
        <v>0.163326804418884</v>
      </c>
    </row>
    <row r="834" spans="1:6" x14ac:dyDescent="0.2">
      <c r="A834">
        <v>389</v>
      </c>
      <c r="B834" s="37" t="s">
        <v>588</v>
      </c>
      <c r="C834" s="1">
        <v>45641</v>
      </c>
      <c r="D834" s="37" t="s">
        <v>588</v>
      </c>
      <c r="E834">
        <v>0.42760064996911401</v>
      </c>
      <c r="F834">
        <v>0.42760064996911401</v>
      </c>
    </row>
    <row r="835" spans="1:6" x14ac:dyDescent="0.2">
      <c r="A835">
        <v>389</v>
      </c>
      <c r="B835" s="37" t="s">
        <v>589</v>
      </c>
      <c r="C835" s="1">
        <v>45321</v>
      </c>
      <c r="D835" s="37" t="s">
        <v>589</v>
      </c>
      <c r="E835">
        <v>5.5106158872818799E-2</v>
      </c>
      <c r="F835">
        <v>5.5106158872818799E-2</v>
      </c>
    </row>
    <row r="836" spans="1:6" x14ac:dyDescent="0.2">
      <c r="A836">
        <v>389</v>
      </c>
      <c r="B836" s="37" t="s">
        <v>590</v>
      </c>
      <c r="C836" s="1">
        <v>45485</v>
      </c>
      <c r="D836" s="37" t="s">
        <v>590</v>
      </c>
      <c r="E836">
        <v>0.17798922732109199</v>
      </c>
      <c r="F836">
        <v>0.17798922732109199</v>
      </c>
    </row>
    <row r="837" spans="1:6" x14ac:dyDescent="0.2">
      <c r="A837">
        <v>390</v>
      </c>
      <c r="B837" s="37" t="s">
        <v>591</v>
      </c>
      <c r="C837" s="1">
        <v>45649</v>
      </c>
      <c r="D837" s="37" t="s">
        <v>591</v>
      </c>
      <c r="E837">
        <v>0.28726857264332001</v>
      </c>
      <c r="F837">
        <v>0.28726857264332001</v>
      </c>
    </row>
    <row r="838" spans="1:6" x14ac:dyDescent="0.2">
      <c r="A838">
        <v>390</v>
      </c>
      <c r="B838" s="37" t="s">
        <v>997</v>
      </c>
      <c r="C838" s="1">
        <v>45476</v>
      </c>
      <c r="D838" s="37" t="s">
        <v>997</v>
      </c>
      <c r="E838">
        <v>0.23151979365020001</v>
      </c>
      <c r="F838">
        <v>0.23151979365020001</v>
      </c>
    </row>
    <row r="839" spans="1:6" x14ac:dyDescent="0.2">
      <c r="A839">
        <v>390</v>
      </c>
      <c r="B839" s="37" t="s">
        <v>998</v>
      </c>
      <c r="C839" s="1">
        <v>45625</v>
      </c>
      <c r="D839" s="37" t="s">
        <v>998</v>
      </c>
      <c r="E839">
        <v>0.31772212185804499</v>
      </c>
      <c r="F839">
        <v>0.31772212185804499</v>
      </c>
    </row>
    <row r="840" spans="1:6" x14ac:dyDescent="0.2">
      <c r="A840">
        <v>392</v>
      </c>
      <c r="B840" s="37" t="s">
        <v>999</v>
      </c>
      <c r="C840" s="1">
        <v>45510</v>
      </c>
      <c r="D840" s="37" t="s">
        <v>999</v>
      </c>
      <c r="E840">
        <v>0.17677284915019401</v>
      </c>
      <c r="F840">
        <v>0.17677284915019401</v>
      </c>
    </row>
    <row r="841" spans="1:6" x14ac:dyDescent="0.2">
      <c r="A841">
        <v>392</v>
      </c>
      <c r="B841" s="37" t="s">
        <v>195</v>
      </c>
      <c r="C841" s="1">
        <v>45533</v>
      </c>
      <c r="D841" s="37" t="s">
        <v>195</v>
      </c>
      <c r="E841">
        <v>4.9027221037410598E-2</v>
      </c>
      <c r="F841">
        <v>4.9027221037410598E-2</v>
      </c>
    </row>
    <row r="842" spans="1:6" x14ac:dyDescent="0.2">
      <c r="A842">
        <v>392</v>
      </c>
      <c r="B842" s="37" t="s">
        <v>196</v>
      </c>
      <c r="C842" s="1">
        <v>45360</v>
      </c>
      <c r="D842" s="37" t="s">
        <v>196</v>
      </c>
      <c r="E842">
        <v>7.18024112228242E-2</v>
      </c>
      <c r="F842">
        <v>7.18024112228242E-2</v>
      </c>
    </row>
    <row r="843" spans="1:6" x14ac:dyDescent="0.2">
      <c r="A843">
        <v>393</v>
      </c>
      <c r="B843" s="37" t="s">
        <v>1000</v>
      </c>
      <c r="C843" s="1">
        <v>45292</v>
      </c>
      <c r="D843" s="37" t="s">
        <v>1000</v>
      </c>
      <c r="E843">
        <v>8.9888553008778696E-2</v>
      </c>
      <c r="F843">
        <v>8.9888553008778696E-2</v>
      </c>
    </row>
    <row r="844" spans="1:6" x14ac:dyDescent="0.2">
      <c r="A844">
        <v>393</v>
      </c>
      <c r="B844" s="37" t="s">
        <v>1001</v>
      </c>
      <c r="C844" s="1">
        <v>45520</v>
      </c>
      <c r="D844" s="37" t="s">
        <v>1001</v>
      </c>
      <c r="E844">
        <v>5.2779480724768603E-2</v>
      </c>
      <c r="F844">
        <v>5.2779480724768603E-2</v>
      </c>
    </row>
    <row r="845" spans="1:6" x14ac:dyDescent="0.2">
      <c r="A845">
        <v>394</v>
      </c>
      <c r="B845" s="37" t="s">
        <v>592</v>
      </c>
      <c r="C845" s="1">
        <v>45339</v>
      </c>
      <c r="D845" s="37" t="s">
        <v>592</v>
      </c>
      <c r="E845">
        <v>0.12128868058079</v>
      </c>
      <c r="F845">
        <v>0.12128868058079</v>
      </c>
    </row>
    <row r="846" spans="1:6" x14ac:dyDescent="0.2">
      <c r="A846">
        <v>395</v>
      </c>
      <c r="B846" s="37" t="s">
        <v>270</v>
      </c>
      <c r="C846" s="1">
        <v>45493</v>
      </c>
      <c r="D846" s="37" t="s">
        <v>270</v>
      </c>
      <c r="E846">
        <v>0.104288193254921</v>
      </c>
      <c r="F846">
        <v>0.104288193254921</v>
      </c>
    </row>
    <row r="847" spans="1:6" x14ac:dyDescent="0.2">
      <c r="A847">
        <v>395</v>
      </c>
      <c r="B847" s="37" t="s">
        <v>1002</v>
      </c>
      <c r="C847" s="1">
        <v>45597</v>
      </c>
      <c r="D847" s="37" t="s">
        <v>1002</v>
      </c>
      <c r="E847">
        <v>0.26132098977846202</v>
      </c>
      <c r="F847">
        <v>0.26132098977846202</v>
      </c>
    </row>
    <row r="848" spans="1:6" x14ac:dyDescent="0.2">
      <c r="A848">
        <v>395</v>
      </c>
      <c r="B848" s="37" t="s">
        <v>1003</v>
      </c>
      <c r="C848" s="1">
        <v>45433</v>
      </c>
      <c r="D848" s="37" t="s">
        <v>1003</v>
      </c>
      <c r="E848">
        <v>0.28062264954773602</v>
      </c>
      <c r="F848">
        <v>0.28062264954773602</v>
      </c>
    </row>
    <row r="849" spans="1:6" x14ac:dyDescent="0.2">
      <c r="A849">
        <v>396</v>
      </c>
      <c r="B849" s="37" t="s">
        <v>1004</v>
      </c>
      <c r="C849" s="1">
        <v>45415</v>
      </c>
      <c r="D849" s="37" t="s">
        <v>1004</v>
      </c>
      <c r="E849">
        <v>5.9939561253688399E-2</v>
      </c>
      <c r="F849">
        <v>5.9939561253688399E-2</v>
      </c>
    </row>
    <row r="850" spans="1:6" x14ac:dyDescent="0.2">
      <c r="A850">
        <v>396</v>
      </c>
      <c r="B850" s="37" t="s">
        <v>1005</v>
      </c>
      <c r="C850" s="1">
        <v>45334</v>
      </c>
      <c r="D850" s="37" t="s">
        <v>1005</v>
      </c>
      <c r="E850">
        <v>0.191257374187492</v>
      </c>
      <c r="F850">
        <v>0.191257374187492</v>
      </c>
    </row>
    <row r="851" spans="1:6" x14ac:dyDescent="0.2">
      <c r="A851">
        <v>396</v>
      </c>
      <c r="B851" s="37" t="s">
        <v>197</v>
      </c>
      <c r="C851" s="1">
        <v>45318</v>
      </c>
      <c r="D851" s="37" t="s">
        <v>197</v>
      </c>
      <c r="E851">
        <v>0.146387185344379</v>
      </c>
      <c r="F851">
        <v>0.146387185344379</v>
      </c>
    </row>
    <row r="852" spans="1:6" x14ac:dyDescent="0.2">
      <c r="A852">
        <v>397</v>
      </c>
      <c r="B852" s="37" t="s">
        <v>1006</v>
      </c>
      <c r="C852" s="1">
        <v>45575</v>
      </c>
      <c r="D852" s="37" t="s">
        <v>1006</v>
      </c>
      <c r="E852">
        <v>4.8122562070582298E-2</v>
      </c>
      <c r="F852">
        <v>4.8122562070582298E-2</v>
      </c>
    </row>
    <row r="853" spans="1:6" x14ac:dyDescent="0.2">
      <c r="A853">
        <v>397</v>
      </c>
      <c r="B853" s="37" t="s">
        <v>1007</v>
      </c>
      <c r="C853" s="1">
        <v>45639</v>
      </c>
      <c r="D853" s="37" t="s">
        <v>1007</v>
      </c>
      <c r="E853">
        <v>0.137006025091817</v>
      </c>
      <c r="F853">
        <v>0.137006025091817</v>
      </c>
    </row>
    <row r="854" spans="1:6" x14ac:dyDescent="0.2">
      <c r="A854">
        <v>397</v>
      </c>
      <c r="B854" s="37" t="s">
        <v>271</v>
      </c>
      <c r="C854" s="1">
        <v>45368</v>
      </c>
      <c r="D854" s="37" t="s">
        <v>271</v>
      </c>
      <c r="E854">
        <v>0.19965190326749099</v>
      </c>
      <c r="F854">
        <v>0.19965190326749099</v>
      </c>
    </row>
    <row r="855" spans="1:6" x14ac:dyDescent="0.2">
      <c r="A855">
        <v>398</v>
      </c>
      <c r="B855" s="37" t="s">
        <v>1008</v>
      </c>
      <c r="C855" s="1">
        <v>45460</v>
      </c>
      <c r="D855" s="37" t="s">
        <v>1008</v>
      </c>
      <c r="E855">
        <v>0.22206444882274701</v>
      </c>
      <c r="F855">
        <v>0.22206444882274701</v>
      </c>
    </row>
    <row r="856" spans="1:6" x14ac:dyDescent="0.2">
      <c r="A856">
        <v>398</v>
      </c>
      <c r="B856" s="37" t="s">
        <v>1009</v>
      </c>
      <c r="C856" s="1">
        <v>45653</v>
      </c>
      <c r="D856" s="37" t="s">
        <v>1009</v>
      </c>
      <c r="E856">
        <v>0.12909854299579099</v>
      </c>
      <c r="F856">
        <v>0.12909854299579099</v>
      </c>
    </row>
    <row r="857" spans="1:6" x14ac:dyDescent="0.2">
      <c r="A857">
        <v>398</v>
      </c>
      <c r="B857" s="37" t="s">
        <v>1010</v>
      </c>
      <c r="C857" s="1">
        <v>45304</v>
      </c>
      <c r="D857" s="37" t="s">
        <v>1010</v>
      </c>
      <c r="E857">
        <v>0.111300408535309</v>
      </c>
      <c r="F857">
        <v>0.111300408535309</v>
      </c>
    </row>
    <row r="858" spans="1:6" x14ac:dyDescent="0.2">
      <c r="A858">
        <v>399</v>
      </c>
      <c r="B858" s="37" t="s">
        <v>1011</v>
      </c>
      <c r="C858" s="1">
        <v>45528</v>
      </c>
      <c r="D858" s="37" t="s">
        <v>1011</v>
      </c>
      <c r="E858">
        <v>9.4184895823419795E-2</v>
      </c>
      <c r="F858">
        <v>9.4184895823419795E-2</v>
      </c>
    </row>
    <row r="859" spans="1:6" x14ac:dyDescent="0.2">
      <c r="A859">
        <v>399</v>
      </c>
      <c r="B859" s="37" t="s">
        <v>1012</v>
      </c>
      <c r="C859" s="1">
        <v>45333</v>
      </c>
      <c r="D859" s="37" t="s">
        <v>1012</v>
      </c>
      <c r="E859">
        <v>0.30704403011571901</v>
      </c>
      <c r="F859">
        <v>0.30704403011571901</v>
      </c>
    </row>
    <row r="860" spans="1:6" x14ac:dyDescent="0.2">
      <c r="A860">
        <v>399</v>
      </c>
      <c r="B860" s="37" t="s">
        <v>198</v>
      </c>
      <c r="C860" s="1">
        <v>45417</v>
      </c>
      <c r="D860" s="37" t="s">
        <v>198</v>
      </c>
      <c r="E860">
        <v>0.378934681725275</v>
      </c>
      <c r="F860">
        <v>0.378934681725275</v>
      </c>
    </row>
    <row r="861" spans="1:6" x14ac:dyDescent="0.2">
      <c r="A861">
        <v>402</v>
      </c>
      <c r="B861" s="37" t="s">
        <v>1013</v>
      </c>
      <c r="C861" s="1">
        <v>45484</v>
      </c>
      <c r="D861" s="37" t="s">
        <v>1013</v>
      </c>
      <c r="E861">
        <v>3.8478318252682199E-2</v>
      </c>
      <c r="F861">
        <v>3.8478318252682199E-2</v>
      </c>
    </row>
    <row r="862" spans="1:6" x14ac:dyDescent="0.2">
      <c r="A862">
        <v>402</v>
      </c>
      <c r="B862" s="37" t="s">
        <v>1014</v>
      </c>
      <c r="C862" s="1">
        <v>45365</v>
      </c>
      <c r="D862" s="37" t="s">
        <v>1014</v>
      </c>
      <c r="E862">
        <v>0.15050988725036801</v>
      </c>
      <c r="F862">
        <v>0.15050988725036801</v>
      </c>
    </row>
    <row r="863" spans="1:6" x14ac:dyDescent="0.2">
      <c r="A863">
        <v>402</v>
      </c>
      <c r="B863" s="37" t="s">
        <v>1015</v>
      </c>
      <c r="C863" s="1">
        <v>45474</v>
      </c>
      <c r="D863" s="37" t="s">
        <v>1015</v>
      </c>
      <c r="E863">
        <v>0.41606964869207202</v>
      </c>
      <c r="F863">
        <v>0.41606964869207202</v>
      </c>
    </row>
    <row r="864" spans="1:6" x14ac:dyDescent="0.2">
      <c r="A864">
        <v>403</v>
      </c>
      <c r="B864" s="37" t="s">
        <v>593</v>
      </c>
      <c r="C864" s="1">
        <v>45334</v>
      </c>
      <c r="D864" s="37" t="s">
        <v>593</v>
      </c>
      <c r="E864">
        <v>0.30928498322617198</v>
      </c>
      <c r="F864">
        <v>0.30928498322617198</v>
      </c>
    </row>
    <row r="865" spans="1:6" x14ac:dyDescent="0.2">
      <c r="A865">
        <v>404</v>
      </c>
      <c r="B865" s="37" t="s">
        <v>1016</v>
      </c>
      <c r="C865" s="1">
        <v>45635</v>
      </c>
      <c r="D865" s="37" t="s">
        <v>1016</v>
      </c>
      <c r="E865">
        <v>0.22597635208536701</v>
      </c>
      <c r="F865">
        <v>0.22597635208536701</v>
      </c>
    </row>
    <row r="866" spans="1:6" x14ac:dyDescent="0.2">
      <c r="A866">
        <v>404</v>
      </c>
      <c r="B866" s="37" t="s">
        <v>1017</v>
      </c>
      <c r="C866" s="1">
        <v>45608</v>
      </c>
      <c r="D866" s="37" t="s">
        <v>1017</v>
      </c>
      <c r="E866">
        <v>0.118533260529331</v>
      </c>
      <c r="F866">
        <v>0.118533260529331</v>
      </c>
    </row>
    <row r="867" spans="1:6" x14ac:dyDescent="0.2">
      <c r="A867">
        <v>405</v>
      </c>
      <c r="B867" s="37" t="s">
        <v>1018</v>
      </c>
      <c r="C867" s="1">
        <v>45554</v>
      </c>
      <c r="D867" s="37" t="s">
        <v>1018</v>
      </c>
      <c r="E867">
        <v>0.176531689906819</v>
      </c>
      <c r="F867">
        <v>0.176531689906819</v>
      </c>
    </row>
    <row r="868" spans="1:6" x14ac:dyDescent="0.2">
      <c r="A868">
        <v>405</v>
      </c>
      <c r="B868" s="37" t="s">
        <v>1019</v>
      </c>
      <c r="C868" s="1">
        <v>45511</v>
      </c>
      <c r="D868" s="37" t="s">
        <v>1019</v>
      </c>
      <c r="E868">
        <v>0.12816022431062901</v>
      </c>
      <c r="F868">
        <v>0.12816022431062901</v>
      </c>
    </row>
    <row r="869" spans="1:6" x14ac:dyDescent="0.2">
      <c r="A869">
        <v>406</v>
      </c>
      <c r="B869" s="37" t="s">
        <v>1020</v>
      </c>
      <c r="C869" s="1">
        <v>45406</v>
      </c>
      <c r="D869" s="37" t="s">
        <v>1020</v>
      </c>
      <c r="E869">
        <v>0.236595237430339</v>
      </c>
      <c r="F869">
        <v>0.236595237430339</v>
      </c>
    </row>
    <row r="870" spans="1:6" x14ac:dyDescent="0.2">
      <c r="A870">
        <v>406</v>
      </c>
      <c r="B870" s="37" t="s">
        <v>405</v>
      </c>
      <c r="C870" s="1">
        <v>45461</v>
      </c>
      <c r="D870" s="37" t="s">
        <v>405</v>
      </c>
      <c r="E870">
        <v>6.16945138016253E-2</v>
      </c>
      <c r="F870">
        <v>6.16945138016253E-2</v>
      </c>
    </row>
    <row r="871" spans="1:6" x14ac:dyDescent="0.2">
      <c r="A871">
        <v>407</v>
      </c>
      <c r="B871" s="37" t="s">
        <v>594</v>
      </c>
      <c r="C871" s="1">
        <v>45567</v>
      </c>
      <c r="D871" s="37" t="s">
        <v>594</v>
      </c>
      <c r="E871">
        <v>0.38547335461709797</v>
      </c>
      <c r="F871">
        <v>0.38547335461709797</v>
      </c>
    </row>
    <row r="872" spans="1:6" x14ac:dyDescent="0.2">
      <c r="A872">
        <v>407</v>
      </c>
      <c r="B872" s="37" t="s">
        <v>595</v>
      </c>
      <c r="C872" s="1">
        <v>45360</v>
      </c>
      <c r="D872" s="37" t="s">
        <v>595</v>
      </c>
      <c r="E872">
        <v>9.95077963637538E-2</v>
      </c>
      <c r="F872">
        <v>9.95077963637538E-2</v>
      </c>
    </row>
    <row r="873" spans="1:6" x14ac:dyDescent="0.2">
      <c r="A873">
        <v>408</v>
      </c>
      <c r="B873" s="37" t="s">
        <v>1021</v>
      </c>
      <c r="C873" s="1">
        <v>45551</v>
      </c>
      <c r="D873" s="37" t="s">
        <v>1021</v>
      </c>
      <c r="E873">
        <v>0.27718303480863599</v>
      </c>
      <c r="F873">
        <v>0.27718303480863599</v>
      </c>
    </row>
    <row r="874" spans="1:6" x14ac:dyDescent="0.2">
      <c r="A874">
        <v>408</v>
      </c>
      <c r="B874" s="37" t="s">
        <v>596</v>
      </c>
      <c r="C874" s="1">
        <v>45327</v>
      </c>
      <c r="D874" s="37" t="s">
        <v>596</v>
      </c>
      <c r="E874">
        <v>0.26043446960352401</v>
      </c>
      <c r="F874">
        <v>0.26043446960352401</v>
      </c>
    </row>
    <row r="875" spans="1:6" x14ac:dyDescent="0.2">
      <c r="A875">
        <v>408</v>
      </c>
      <c r="B875" s="37" t="s">
        <v>597</v>
      </c>
      <c r="C875" s="1">
        <v>45541</v>
      </c>
      <c r="D875" s="37" t="s">
        <v>597</v>
      </c>
      <c r="E875">
        <v>0.68089106136285305</v>
      </c>
      <c r="F875">
        <v>0.68089106136285305</v>
      </c>
    </row>
    <row r="876" spans="1:6" x14ac:dyDescent="0.2">
      <c r="A876">
        <v>408</v>
      </c>
      <c r="B876" s="37" t="s">
        <v>199</v>
      </c>
      <c r="C876" s="1">
        <v>45483</v>
      </c>
      <c r="D876" s="37" t="s">
        <v>199</v>
      </c>
      <c r="E876">
        <v>0.16816165210070999</v>
      </c>
      <c r="F876">
        <v>0.16816165210070999</v>
      </c>
    </row>
    <row r="877" spans="1:6" x14ac:dyDescent="0.2">
      <c r="A877">
        <v>409</v>
      </c>
      <c r="B877" s="37" t="s">
        <v>1022</v>
      </c>
      <c r="C877" s="1">
        <v>45405</v>
      </c>
      <c r="D877" s="37" t="s">
        <v>1022</v>
      </c>
      <c r="E877">
        <v>5.48721118843234E-2</v>
      </c>
      <c r="F877">
        <v>5.48721118843234E-2</v>
      </c>
    </row>
    <row r="878" spans="1:6" x14ac:dyDescent="0.2">
      <c r="A878">
        <v>409</v>
      </c>
      <c r="B878" s="37" t="s">
        <v>272</v>
      </c>
      <c r="C878" s="1">
        <v>45436</v>
      </c>
      <c r="D878" s="37" t="s">
        <v>272</v>
      </c>
      <c r="E878">
        <v>1.8832178106280101E-2</v>
      </c>
      <c r="F878">
        <v>1.8832178106280101E-2</v>
      </c>
    </row>
    <row r="879" spans="1:6" x14ac:dyDescent="0.2">
      <c r="A879">
        <v>409</v>
      </c>
      <c r="B879" s="37" t="s">
        <v>273</v>
      </c>
      <c r="C879" s="1">
        <v>45563</v>
      </c>
      <c r="D879" s="37" t="s">
        <v>273</v>
      </c>
      <c r="E879">
        <v>0.21821529892487401</v>
      </c>
      <c r="F879">
        <v>0.21821529892487401</v>
      </c>
    </row>
    <row r="880" spans="1:6" x14ac:dyDescent="0.2">
      <c r="A880">
        <v>410</v>
      </c>
      <c r="B880" s="37" t="s">
        <v>1023</v>
      </c>
      <c r="C880" s="1">
        <v>45530</v>
      </c>
      <c r="D880" s="37" t="s">
        <v>1023</v>
      </c>
      <c r="E880">
        <v>2.0407727821575E-2</v>
      </c>
      <c r="F880">
        <v>2.0407727821575E-2</v>
      </c>
    </row>
    <row r="881" spans="1:6" x14ac:dyDescent="0.2">
      <c r="A881">
        <v>410</v>
      </c>
      <c r="B881" s="37" t="s">
        <v>1024</v>
      </c>
      <c r="C881" s="1">
        <v>45306</v>
      </c>
      <c r="D881" s="37" t="s">
        <v>1024</v>
      </c>
      <c r="E881">
        <v>0.108091695102993</v>
      </c>
      <c r="F881">
        <v>0.108091695102993</v>
      </c>
    </row>
    <row r="882" spans="1:6" x14ac:dyDescent="0.2">
      <c r="A882">
        <v>411</v>
      </c>
      <c r="B882" s="37" t="s">
        <v>1025</v>
      </c>
      <c r="C882" s="1">
        <v>45493</v>
      </c>
      <c r="D882" s="37" t="s">
        <v>1025</v>
      </c>
      <c r="E882">
        <v>0.235829393350873</v>
      </c>
      <c r="F882">
        <v>0.235829393350873</v>
      </c>
    </row>
    <row r="883" spans="1:6" x14ac:dyDescent="0.2">
      <c r="A883">
        <v>411</v>
      </c>
      <c r="B883" s="37" t="s">
        <v>598</v>
      </c>
      <c r="C883" s="1">
        <v>45596</v>
      </c>
      <c r="D883" s="37" t="s">
        <v>598</v>
      </c>
      <c r="E883">
        <v>5.1578753212535397E-2</v>
      </c>
      <c r="F883">
        <v>5.1578753212535397E-2</v>
      </c>
    </row>
    <row r="884" spans="1:6" x14ac:dyDescent="0.2">
      <c r="A884">
        <v>411</v>
      </c>
      <c r="B884" s="37" t="s">
        <v>1026</v>
      </c>
      <c r="C884" s="1">
        <v>45525</v>
      </c>
      <c r="D884" s="37" t="s">
        <v>1026</v>
      </c>
      <c r="E884">
        <v>5.1620034391402697E-2</v>
      </c>
      <c r="F884">
        <v>5.1620034391402697E-2</v>
      </c>
    </row>
    <row r="885" spans="1:6" x14ac:dyDescent="0.2">
      <c r="A885">
        <v>412</v>
      </c>
      <c r="B885" s="37" t="s">
        <v>599</v>
      </c>
      <c r="C885" s="1">
        <v>45447</v>
      </c>
      <c r="D885" s="37" t="s">
        <v>599</v>
      </c>
      <c r="E885">
        <v>0.18653602130746499</v>
      </c>
      <c r="F885">
        <v>0.18653602130746499</v>
      </c>
    </row>
    <row r="886" spans="1:6" x14ac:dyDescent="0.2">
      <c r="A886">
        <v>413</v>
      </c>
      <c r="B886" s="37" t="s">
        <v>1027</v>
      </c>
      <c r="C886" s="1">
        <v>45336</v>
      </c>
      <c r="D886" s="37" t="s">
        <v>1027</v>
      </c>
      <c r="E886">
        <v>5.3631937887296199E-2</v>
      </c>
      <c r="F886">
        <v>5.3631937887296199E-2</v>
      </c>
    </row>
    <row r="887" spans="1:6" x14ac:dyDescent="0.2">
      <c r="A887">
        <v>413</v>
      </c>
      <c r="B887" s="37" t="s">
        <v>1028</v>
      </c>
      <c r="C887" s="1">
        <v>45450</v>
      </c>
      <c r="D887" s="37" t="s">
        <v>1028</v>
      </c>
      <c r="E887">
        <v>0.17331396795813001</v>
      </c>
      <c r="F887">
        <v>0.17331396795813001</v>
      </c>
    </row>
    <row r="888" spans="1:6" x14ac:dyDescent="0.2">
      <c r="A888">
        <v>413</v>
      </c>
      <c r="B888" s="37" t="s">
        <v>600</v>
      </c>
      <c r="C888" s="1">
        <v>45581</v>
      </c>
      <c r="D888" s="37" t="s">
        <v>600</v>
      </c>
      <c r="E888">
        <v>9.2651953989203298E-2</v>
      </c>
      <c r="F888">
        <v>9.2651953989203298E-2</v>
      </c>
    </row>
    <row r="889" spans="1:6" x14ac:dyDescent="0.2">
      <c r="A889">
        <v>414</v>
      </c>
      <c r="B889" s="37" t="s">
        <v>1029</v>
      </c>
      <c r="C889" s="1">
        <v>45476</v>
      </c>
      <c r="D889" s="37" t="s">
        <v>1029</v>
      </c>
      <c r="E889">
        <v>0.33881167879157098</v>
      </c>
      <c r="F889">
        <v>0.33881167879157098</v>
      </c>
    </row>
    <row r="890" spans="1:6" x14ac:dyDescent="0.2">
      <c r="A890">
        <v>414</v>
      </c>
      <c r="B890" s="37" t="s">
        <v>1030</v>
      </c>
      <c r="C890" s="1">
        <v>45535</v>
      </c>
      <c r="D890" s="37" t="s">
        <v>1030</v>
      </c>
      <c r="E890">
        <v>0.10468437056991101</v>
      </c>
      <c r="F890">
        <v>0.10468437056991101</v>
      </c>
    </row>
    <row r="891" spans="1:6" x14ac:dyDescent="0.2">
      <c r="A891">
        <v>415</v>
      </c>
      <c r="B891" s="37" t="s">
        <v>1031</v>
      </c>
      <c r="C891" s="1">
        <v>45504</v>
      </c>
      <c r="D891" s="37" t="s">
        <v>1031</v>
      </c>
      <c r="E891">
        <v>0.20710268493202</v>
      </c>
      <c r="F891">
        <v>0.20710268493202</v>
      </c>
    </row>
    <row r="892" spans="1:6" x14ac:dyDescent="0.2">
      <c r="A892">
        <v>415</v>
      </c>
      <c r="B892" s="37" t="s">
        <v>1032</v>
      </c>
      <c r="C892" s="1">
        <v>45526</v>
      </c>
      <c r="D892" s="37" t="s">
        <v>1032</v>
      </c>
      <c r="E892">
        <v>0.13925486164821299</v>
      </c>
      <c r="F892">
        <v>0.13925486164821299</v>
      </c>
    </row>
    <row r="893" spans="1:6" x14ac:dyDescent="0.2">
      <c r="A893">
        <v>415</v>
      </c>
      <c r="B893" s="37" t="s">
        <v>1033</v>
      </c>
      <c r="C893" s="1">
        <v>45422</v>
      </c>
      <c r="D893" s="37" t="s">
        <v>1033</v>
      </c>
      <c r="E893">
        <v>7.0367634688514201E-3</v>
      </c>
      <c r="F893">
        <v>7.0367634688514201E-3</v>
      </c>
    </row>
    <row r="894" spans="1:6" x14ac:dyDescent="0.2">
      <c r="A894">
        <v>416</v>
      </c>
      <c r="B894" s="37" t="s">
        <v>1034</v>
      </c>
      <c r="C894" s="1">
        <v>45582</v>
      </c>
      <c r="D894" s="37" t="s">
        <v>1034</v>
      </c>
      <c r="E894">
        <v>0.32639414890966401</v>
      </c>
      <c r="F894">
        <v>0.32639414890966401</v>
      </c>
    </row>
    <row r="895" spans="1:6" x14ac:dyDescent="0.2">
      <c r="A895">
        <v>416</v>
      </c>
      <c r="B895" s="37" t="s">
        <v>1035</v>
      </c>
      <c r="C895" s="1">
        <v>45497</v>
      </c>
      <c r="D895" s="37" t="s">
        <v>1035</v>
      </c>
      <c r="E895">
        <v>0.23624941536536301</v>
      </c>
      <c r="F895">
        <v>0.23624941536536301</v>
      </c>
    </row>
    <row r="896" spans="1:6" x14ac:dyDescent="0.2">
      <c r="A896">
        <v>416</v>
      </c>
      <c r="B896" s="37" t="s">
        <v>1036</v>
      </c>
      <c r="C896" s="1">
        <v>45308</v>
      </c>
      <c r="D896" s="37" t="s">
        <v>1036</v>
      </c>
      <c r="E896">
        <v>0.254701174381396</v>
      </c>
      <c r="F896">
        <v>0.254701174381396</v>
      </c>
    </row>
    <row r="897" spans="1:6" x14ac:dyDescent="0.2">
      <c r="A897">
        <v>417</v>
      </c>
      <c r="B897" s="37" t="s">
        <v>406</v>
      </c>
      <c r="C897" s="1">
        <v>45350</v>
      </c>
      <c r="D897" s="37" t="s">
        <v>406</v>
      </c>
      <c r="E897">
        <v>9.9402818561252299E-2</v>
      </c>
      <c r="F897">
        <v>9.9402818561252299E-2</v>
      </c>
    </row>
    <row r="898" spans="1:6" x14ac:dyDescent="0.2">
      <c r="A898">
        <v>418</v>
      </c>
      <c r="B898" s="37" t="s">
        <v>1037</v>
      </c>
      <c r="C898" s="1">
        <v>45641</v>
      </c>
      <c r="D898" s="37" t="s">
        <v>1037</v>
      </c>
      <c r="E898">
        <v>0.111161689183256</v>
      </c>
      <c r="F898">
        <v>0.111161689183256</v>
      </c>
    </row>
    <row r="899" spans="1:6" x14ac:dyDescent="0.2">
      <c r="A899">
        <v>418</v>
      </c>
      <c r="B899" s="37" t="s">
        <v>601</v>
      </c>
      <c r="C899" s="1">
        <v>45364</v>
      </c>
      <c r="D899" s="37" t="s">
        <v>601</v>
      </c>
      <c r="E899">
        <v>0.40782972343111001</v>
      </c>
      <c r="F899">
        <v>0.40782972343111001</v>
      </c>
    </row>
    <row r="900" spans="1:6" x14ac:dyDescent="0.2">
      <c r="A900">
        <v>418</v>
      </c>
      <c r="B900" s="37" t="s">
        <v>1038</v>
      </c>
      <c r="C900" s="1">
        <v>45306</v>
      </c>
      <c r="D900" s="37" t="s">
        <v>1038</v>
      </c>
      <c r="E900">
        <v>9.4130680244775403E-2</v>
      </c>
      <c r="F900">
        <v>9.4130680244775403E-2</v>
      </c>
    </row>
    <row r="901" spans="1:6" x14ac:dyDescent="0.2">
      <c r="A901">
        <v>419</v>
      </c>
      <c r="B901" s="37" t="s">
        <v>602</v>
      </c>
      <c r="C901" s="1">
        <v>45381</v>
      </c>
      <c r="D901" s="37" t="s">
        <v>602</v>
      </c>
      <c r="E901">
        <v>0.74845850284328697</v>
      </c>
      <c r="F901">
        <v>0.74845850284328697</v>
      </c>
    </row>
    <row r="902" spans="1:6" x14ac:dyDescent="0.2">
      <c r="A902">
        <v>419</v>
      </c>
      <c r="B902" s="37" t="s">
        <v>603</v>
      </c>
      <c r="C902" s="1">
        <v>45654</v>
      </c>
      <c r="D902" s="37" t="s">
        <v>603</v>
      </c>
      <c r="E902">
        <v>0.102098282760077</v>
      </c>
      <c r="F902">
        <v>0.102098282760077</v>
      </c>
    </row>
    <row r="903" spans="1:6" x14ac:dyDescent="0.2">
      <c r="A903">
        <v>420</v>
      </c>
      <c r="B903" s="37" t="s">
        <v>1039</v>
      </c>
      <c r="C903" s="1">
        <v>45443</v>
      </c>
      <c r="D903" s="37" t="s">
        <v>1039</v>
      </c>
      <c r="E903">
        <v>0.23648166946327301</v>
      </c>
      <c r="F903">
        <v>0.23648166946327301</v>
      </c>
    </row>
    <row r="904" spans="1:6" x14ac:dyDescent="0.2">
      <c r="A904">
        <v>420</v>
      </c>
      <c r="B904" s="37" t="s">
        <v>1040</v>
      </c>
      <c r="C904" s="1">
        <v>45573</v>
      </c>
      <c r="D904" s="37" t="s">
        <v>1040</v>
      </c>
      <c r="E904">
        <v>0.13695733915304201</v>
      </c>
      <c r="F904">
        <v>0.13695733915304201</v>
      </c>
    </row>
    <row r="905" spans="1:6" x14ac:dyDescent="0.2">
      <c r="A905">
        <v>420</v>
      </c>
      <c r="B905" s="37" t="s">
        <v>1041</v>
      </c>
      <c r="C905" s="1">
        <v>45404</v>
      </c>
      <c r="D905" s="37" t="s">
        <v>1041</v>
      </c>
      <c r="E905">
        <v>0.12524352987787299</v>
      </c>
      <c r="F905">
        <v>0.12524352987787299</v>
      </c>
    </row>
    <row r="906" spans="1:6" x14ac:dyDescent="0.2">
      <c r="A906">
        <v>420</v>
      </c>
      <c r="B906" s="37" t="s">
        <v>407</v>
      </c>
      <c r="C906" s="1">
        <v>45381</v>
      </c>
      <c r="D906" s="37" t="s">
        <v>407</v>
      </c>
      <c r="E906">
        <v>1.6554617886673801E-2</v>
      </c>
      <c r="F906">
        <v>1.6554617886673801E-2</v>
      </c>
    </row>
    <row r="907" spans="1:6" x14ac:dyDescent="0.2">
      <c r="A907">
        <v>421</v>
      </c>
      <c r="B907" s="37" t="s">
        <v>200</v>
      </c>
      <c r="C907" s="1">
        <v>45357</v>
      </c>
      <c r="D907" s="37" t="s">
        <v>200</v>
      </c>
      <c r="E907">
        <v>0.54528053839287305</v>
      </c>
      <c r="F907">
        <v>0.54528053839287305</v>
      </c>
    </row>
    <row r="908" spans="1:6" x14ac:dyDescent="0.2">
      <c r="A908">
        <v>421</v>
      </c>
      <c r="B908" s="37" t="s">
        <v>274</v>
      </c>
      <c r="C908" s="1">
        <v>45563</v>
      </c>
      <c r="D908" s="37" t="s">
        <v>274</v>
      </c>
      <c r="E908">
        <v>0.32962355932998599</v>
      </c>
      <c r="F908">
        <v>0.32962355932998599</v>
      </c>
    </row>
    <row r="909" spans="1:6" x14ac:dyDescent="0.2">
      <c r="A909">
        <v>422</v>
      </c>
      <c r="B909" s="37" t="s">
        <v>1042</v>
      </c>
      <c r="C909" s="1">
        <v>45332</v>
      </c>
      <c r="D909" s="37" t="s">
        <v>1042</v>
      </c>
      <c r="E909">
        <v>0.19596443073695499</v>
      </c>
      <c r="F909">
        <v>0.19596443073695499</v>
      </c>
    </row>
    <row r="910" spans="1:6" x14ac:dyDescent="0.2">
      <c r="A910">
        <v>422</v>
      </c>
      <c r="B910" s="37" t="s">
        <v>1043</v>
      </c>
      <c r="C910" s="1">
        <v>45315</v>
      </c>
      <c r="D910" s="37" t="s">
        <v>1043</v>
      </c>
      <c r="E910">
        <v>0.178939977418729</v>
      </c>
      <c r="F910">
        <v>0.178939977418729</v>
      </c>
    </row>
    <row r="911" spans="1:6" x14ac:dyDescent="0.2">
      <c r="A911">
        <v>423</v>
      </c>
      <c r="B911" s="37" t="s">
        <v>408</v>
      </c>
      <c r="C911" s="1">
        <v>45533</v>
      </c>
      <c r="D911" s="37" t="s">
        <v>408</v>
      </c>
      <c r="E911">
        <v>0.25285855342458102</v>
      </c>
      <c r="F911">
        <v>0.25285855342458102</v>
      </c>
    </row>
    <row r="912" spans="1:6" x14ac:dyDescent="0.2">
      <c r="A912">
        <v>423</v>
      </c>
      <c r="B912" s="37" t="s">
        <v>1044</v>
      </c>
      <c r="C912" s="1">
        <v>45545</v>
      </c>
      <c r="D912" s="37" t="s">
        <v>1044</v>
      </c>
      <c r="E912">
        <v>0.22426938472841099</v>
      </c>
      <c r="F912">
        <v>0.22426938472841099</v>
      </c>
    </row>
    <row r="913" spans="1:6" x14ac:dyDescent="0.2">
      <c r="A913">
        <v>424</v>
      </c>
      <c r="B913" s="37" t="s">
        <v>604</v>
      </c>
      <c r="C913" s="1">
        <v>45423</v>
      </c>
      <c r="D913" s="37" t="s">
        <v>604</v>
      </c>
      <c r="E913">
        <v>3.76449021346578E-2</v>
      </c>
      <c r="F913">
        <v>3.76449021346578E-2</v>
      </c>
    </row>
    <row r="914" spans="1:6" x14ac:dyDescent="0.2">
      <c r="A914">
        <v>424</v>
      </c>
      <c r="B914" s="37" t="s">
        <v>1045</v>
      </c>
      <c r="C914" s="1">
        <v>45460</v>
      </c>
      <c r="D914" s="37" t="s">
        <v>1045</v>
      </c>
      <c r="E914">
        <v>0.155491841839727</v>
      </c>
      <c r="F914">
        <v>0.155491841839727</v>
      </c>
    </row>
    <row r="915" spans="1:6" x14ac:dyDescent="0.2">
      <c r="A915">
        <v>424</v>
      </c>
      <c r="B915" s="37" t="s">
        <v>1046</v>
      </c>
      <c r="C915" s="1">
        <v>45338</v>
      </c>
      <c r="D915" s="37" t="s">
        <v>1046</v>
      </c>
      <c r="E915">
        <v>0.331616764803426</v>
      </c>
      <c r="F915">
        <v>0.331616764803426</v>
      </c>
    </row>
    <row r="916" spans="1:6" x14ac:dyDescent="0.2">
      <c r="A916">
        <v>425</v>
      </c>
      <c r="B916" s="37" t="s">
        <v>605</v>
      </c>
      <c r="C916" s="1">
        <v>45576</v>
      </c>
      <c r="D916" s="37" t="s">
        <v>605</v>
      </c>
      <c r="E916">
        <v>4.0655198771845202E-2</v>
      </c>
      <c r="F916">
        <v>4.0655198771845202E-2</v>
      </c>
    </row>
    <row r="917" spans="1:6" x14ac:dyDescent="0.2">
      <c r="A917">
        <v>426</v>
      </c>
      <c r="B917" s="37" t="s">
        <v>409</v>
      </c>
      <c r="C917" s="1">
        <v>45497</v>
      </c>
      <c r="D917" s="37" t="s">
        <v>409</v>
      </c>
      <c r="E917">
        <v>0.739180709379193</v>
      </c>
      <c r="F917">
        <v>0.739180709379193</v>
      </c>
    </row>
    <row r="918" spans="1:6" x14ac:dyDescent="0.2">
      <c r="A918">
        <v>426</v>
      </c>
      <c r="B918" s="37" t="s">
        <v>201</v>
      </c>
      <c r="C918" s="1">
        <v>45494</v>
      </c>
      <c r="D918" s="37" t="s">
        <v>201</v>
      </c>
      <c r="E918">
        <v>0.16213120289337399</v>
      </c>
      <c r="F918">
        <v>0.16213120289337399</v>
      </c>
    </row>
    <row r="919" spans="1:6" x14ac:dyDescent="0.2">
      <c r="A919">
        <v>427</v>
      </c>
      <c r="B919" s="37" t="s">
        <v>1047</v>
      </c>
      <c r="C919" s="1">
        <v>45429</v>
      </c>
      <c r="D919" s="37" t="s">
        <v>1047</v>
      </c>
      <c r="E919">
        <v>8.2413180063733799E-2</v>
      </c>
      <c r="F919">
        <v>8.2413180063733799E-2</v>
      </c>
    </row>
    <row r="920" spans="1:6" x14ac:dyDescent="0.2">
      <c r="A920">
        <v>427</v>
      </c>
      <c r="B920" s="37" t="s">
        <v>1048</v>
      </c>
      <c r="C920" s="1">
        <v>45314</v>
      </c>
      <c r="D920" s="37" t="s">
        <v>1048</v>
      </c>
      <c r="E920">
        <v>0.172250639388872</v>
      </c>
      <c r="F920">
        <v>0.172250639388872</v>
      </c>
    </row>
    <row r="921" spans="1:6" x14ac:dyDescent="0.2">
      <c r="A921">
        <v>427</v>
      </c>
      <c r="B921" s="37" t="s">
        <v>1049</v>
      </c>
      <c r="C921" s="1">
        <v>45441</v>
      </c>
      <c r="D921" s="37" t="s">
        <v>1049</v>
      </c>
      <c r="E921">
        <v>0.193255728728879</v>
      </c>
      <c r="F921">
        <v>0.193255728728879</v>
      </c>
    </row>
    <row r="922" spans="1:6" x14ac:dyDescent="0.2">
      <c r="A922">
        <v>428</v>
      </c>
      <c r="B922" s="37" t="s">
        <v>1050</v>
      </c>
      <c r="C922" s="1">
        <v>45348</v>
      </c>
      <c r="D922" s="37" t="s">
        <v>1050</v>
      </c>
      <c r="E922">
        <v>0.12621494050693499</v>
      </c>
      <c r="F922">
        <v>0.12621494050693499</v>
      </c>
    </row>
    <row r="923" spans="1:6" x14ac:dyDescent="0.2">
      <c r="A923">
        <v>428</v>
      </c>
      <c r="B923" s="37" t="s">
        <v>1051</v>
      </c>
      <c r="C923" s="1">
        <v>45522</v>
      </c>
      <c r="D923" s="37" t="s">
        <v>1051</v>
      </c>
      <c r="E923">
        <v>0.15804175985418101</v>
      </c>
      <c r="F923">
        <v>0.15804175985418101</v>
      </c>
    </row>
    <row r="924" spans="1:6" x14ac:dyDescent="0.2">
      <c r="A924">
        <v>429</v>
      </c>
      <c r="B924" s="37" t="s">
        <v>410</v>
      </c>
      <c r="C924" s="1">
        <v>45599</v>
      </c>
      <c r="D924" s="37" t="s">
        <v>410</v>
      </c>
      <c r="E924">
        <v>7.6046370389680804E-2</v>
      </c>
      <c r="F924">
        <v>7.6046370389680804E-2</v>
      </c>
    </row>
    <row r="925" spans="1:6" x14ac:dyDescent="0.2">
      <c r="A925">
        <v>429</v>
      </c>
      <c r="B925" s="37" t="s">
        <v>411</v>
      </c>
      <c r="C925" s="1">
        <v>45542</v>
      </c>
      <c r="D925" s="37" t="s">
        <v>411</v>
      </c>
      <c r="E925">
        <v>0.20120167456983901</v>
      </c>
      <c r="F925">
        <v>0.20120167456983901</v>
      </c>
    </row>
    <row r="926" spans="1:6" x14ac:dyDescent="0.2">
      <c r="A926">
        <v>429</v>
      </c>
      <c r="B926" s="37" t="s">
        <v>606</v>
      </c>
      <c r="C926" s="1">
        <v>45330</v>
      </c>
      <c r="D926" s="37" t="s">
        <v>606</v>
      </c>
      <c r="E926">
        <v>0.13418341061706801</v>
      </c>
      <c r="F926">
        <v>0.13418341061706801</v>
      </c>
    </row>
    <row r="927" spans="1:6" x14ac:dyDescent="0.2">
      <c r="A927">
        <v>430</v>
      </c>
      <c r="B927" s="37" t="s">
        <v>1052</v>
      </c>
      <c r="C927" s="1">
        <v>45539</v>
      </c>
      <c r="D927" s="37" t="s">
        <v>1052</v>
      </c>
      <c r="E927">
        <v>7.7815501759205902E-2</v>
      </c>
      <c r="F927">
        <v>7.7815501759205902E-2</v>
      </c>
    </row>
    <row r="928" spans="1:6" x14ac:dyDescent="0.2">
      <c r="A928">
        <v>431</v>
      </c>
      <c r="B928" s="37" t="s">
        <v>607</v>
      </c>
      <c r="C928" s="1">
        <v>45454</v>
      </c>
      <c r="D928" s="37" t="s">
        <v>607</v>
      </c>
      <c r="E928">
        <v>0.242334112542687</v>
      </c>
      <c r="F928">
        <v>0.242334112542687</v>
      </c>
    </row>
    <row r="929" spans="1:6" x14ac:dyDescent="0.2">
      <c r="A929">
        <v>432</v>
      </c>
      <c r="B929" s="37" t="s">
        <v>1053</v>
      </c>
      <c r="C929" s="1">
        <v>45619</v>
      </c>
      <c r="D929" s="37" t="s">
        <v>1053</v>
      </c>
      <c r="E929">
        <v>0.13614133101904499</v>
      </c>
      <c r="F929">
        <v>0.13614133101904499</v>
      </c>
    </row>
    <row r="930" spans="1:6" x14ac:dyDescent="0.2">
      <c r="A930">
        <v>432</v>
      </c>
      <c r="B930" s="37" t="s">
        <v>1054</v>
      </c>
      <c r="C930" s="1">
        <v>45358</v>
      </c>
      <c r="D930" s="37" t="s">
        <v>1054</v>
      </c>
      <c r="E930">
        <v>4.9756234251051003E-2</v>
      </c>
      <c r="F930">
        <v>4.9756234251051003E-2</v>
      </c>
    </row>
    <row r="931" spans="1:6" x14ac:dyDescent="0.2">
      <c r="A931">
        <v>433</v>
      </c>
      <c r="B931" s="37" t="s">
        <v>1055</v>
      </c>
      <c r="C931" s="1">
        <v>45389</v>
      </c>
      <c r="D931" s="37" t="s">
        <v>1055</v>
      </c>
      <c r="E931">
        <v>0.12774742932822999</v>
      </c>
      <c r="F931">
        <v>0.12774742932822999</v>
      </c>
    </row>
    <row r="932" spans="1:6" x14ac:dyDescent="0.2">
      <c r="A932">
        <v>433</v>
      </c>
      <c r="B932" s="37" t="s">
        <v>1056</v>
      </c>
      <c r="C932" s="1">
        <v>45493</v>
      </c>
      <c r="D932" s="37" t="s">
        <v>1056</v>
      </c>
      <c r="E932">
        <v>1.741788597696E-2</v>
      </c>
      <c r="F932">
        <v>1.741788597696E-2</v>
      </c>
    </row>
    <row r="933" spans="1:6" x14ac:dyDescent="0.2">
      <c r="A933">
        <v>433</v>
      </c>
      <c r="B933" s="37" t="s">
        <v>608</v>
      </c>
      <c r="C933" s="1">
        <v>45295</v>
      </c>
      <c r="D933" s="37" t="s">
        <v>608</v>
      </c>
      <c r="E933">
        <v>0.35998796502899699</v>
      </c>
      <c r="F933">
        <v>0.35998796502899699</v>
      </c>
    </row>
    <row r="934" spans="1:6" x14ac:dyDescent="0.2">
      <c r="A934">
        <v>435</v>
      </c>
      <c r="B934" s="37" t="s">
        <v>275</v>
      </c>
      <c r="C934" s="1">
        <v>45482</v>
      </c>
      <c r="D934" s="37" t="s">
        <v>275</v>
      </c>
      <c r="E934">
        <v>0.18780704866252301</v>
      </c>
      <c r="F934">
        <v>0.18780704866252301</v>
      </c>
    </row>
    <row r="935" spans="1:6" x14ac:dyDescent="0.2">
      <c r="A935">
        <v>435</v>
      </c>
      <c r="B935" s="37" t="s">
        <v>276</v>
      </c>
      <c r="C935" s="1">
        <v>45538</v>
      </c>
      <c r="D935" s="37" t="s">
        <v>276</v>
      </c>
      <c r="E935">
        <v>0.39936550524465803</v>
      </c>
      <c r="F935">
        <v>0.39936550524465803</v>
      </c>
    </row>
    <row r="936" spans="1:6" x14ac:dyDescent="0.2">
      <c r="A936">
        <v>435</v>
      </c>
      <c r="B936" s="37" t="s">
        <v>277</v>
      </c>
      <c r="C936" s="1">
        <v>45613</v>
      </c>
      <c r="D936" s="37" t="s">
        <v>277</v>
      </c>
      <c r="E936">
        <v>0.117590977819916</v>
      </c>
      <c r="F936">
        <v>0.117590977819916</v>
      </c>
    </row>
    <row r="937" spans="1:6" x14ac:dyDescent="0.2">
      <c r="A937">
        <v>436</v>
      </c>
      <c r="B937" s="37" t="s">
        <v>278</v>
      </c>
      <c r="C937" s="1">
        <v>45504</v>
      </c>
      <c r="D937" s="37" t="s">
        <v>278</v>
      </c>
      <c r="E937">
        <v>0.236737428267142</v>
      </c>
      <c r="F937">
        <v>0.236737428267142</v>
      </c>
    </row>
    <row r="938" spans="1:6" x14ac:dyDescent="0.2">
      <c r="A938">
        <v>436</v>
      </c>
      <c r="B938" s="37" t="s">
        <v>1057</v>
      </c>
      <c r="C938" s="1">
        <v>45570</v>
      </c>
      <c r="D938" s="37" t="s">
        <v>1057</v>
      </c>
      <c r="E938">
        <v>0.12382332501255</v>
      </c>
      <c r="F938">
        <v>0.12382332501255</v>
      </c>
    </row>
    <row r="939" spans="1:6" x14ac:dyDescent="0.2">
      <c r="A939">
        <v>437</v>
      </c>
      <c r="B939" s="37" t="s">
        <v>1058</v>
      </c>
      <c r="C939" s="1">
        <v>45582</v>
      </c>
      <c r="D939" s="37" t="s">
        <v>1058</v>
      </c>
      <c r="E939">
        <v>0.138011098442334</v>
      </c>
      <c r="F939">
        <v>0.138011098442334</v>
      </c>
    </row>
    <row r="940" spans="1:6" x14ac:dyDescent="0.2">
      <c r="A940">
        <v>437</v>
      </c>
      <c r="B940" s="37" t="s">
        <v>1059</v>
      </c>
      <c r="C940" s="1">
        <v>45654</v>
      </c>
      <c r="D940" s="37" t="s">
        <v>1059</v>
      </c>
      <c r="E940">
        <v>9.3438685342577904E-2</v>
      </c>
      <c r="F940">
        <v>9.3438685342577904E-2</v>
      </c>
    </row>
    <row r="941" spans="1:6" x14ac:dyDescent="0.2">
      <c r="A941">
        <v>437</v>
      </c>
      <c r="B941" s="37" t="s">
        <v>1060</v>
      </c>
      <c r="C941" s="1">
        <v>45452</v>
      </c>
      <c r="D941" s="37" t="s">
        <v>1060</v>
      </c>
      <c r="E941">
        <v>0.30477725765133701</v>
      </c>
      <c r="F941">
        <v>0.30477725765133701</v>
      </c>
    </row>
    <row r="942" spans="1:6" x14ac:dyDescent="0.2">
      <c r="A942">
        <v>438</v>
      </c>
      <c r="B942" s="37" t="s">
        <v>609</v>
      </c>
      <c r="C942" s="1">
        <v>45644</v>
      </c>
      <c r="D942" s="37" t="s">
        <v>609</v>
      </c>
      <c r="E942">
        <v>0.246957061376121</v>
      </c>
      <c r="F942">
        <v>0.246957061376121</v>
      </c>
    </row>
    <row r="943" spans="1:6" x14ac:dyDescent="0.2">
      <c r="A943">
        <v>438</v>
      </c>
      <c r="B943" s="37" t="s">
        <v>412</v>
      </c>
      <c r="C943" s="1">
        <v>45354</v>
      </c>
      <c r="D943" s="37" t="s">
        <v>412</v>
      </c>
      <c r="E943">
        <v>0.28736843689902603</v>
      </c>
      <c r="F943">
        <v>0.28736843689902603</v>
      </c>
    </row>
    <row r="944" spans="1:6" x14ac:dyDescent="0.2">
      <c r="A944">
        <v>439</v>
      </c>
      <c r="B944" s="37" t="s">
        <v>610</v>
      </c>
      <c r="C944" s="1">
        <v>45515</v>
      </c>
      <c r="D944" s="37" t="s">
        <v>610</v>
      </c>
      <c r="E944">
        <v>3.1434722963201302E-2</v>
      </c>
      <c r="F944">
        <v>3.1434722963201302E-2</v>
      </c>
    </row>
    <row r="945" spans="1:6" x14ac:dyDescent="0.2">
      <c r="A945">
        <v>439</v>
      </c>
      <c r="B945" s="37" t="s">
        <v>611</v>
      </c>
      <c r="C945" s="1">
        <v>45352</v>
      </c>
      <c r="D945" s="37" t="s">
        <v>611</v>
      </c>
      <c r="E945">
        <v>5.2493583824633303E-2</v>
      </c>
      <c r="F945">
        <v>5.2493583824633303E-2</v>
      </c>
    </row>
    <row r="946" spans="1:6" x14ac:dyDescent="0.2">
      <c r="A946">
        <v>439</v>
      </c>
      <c r="B946" s="37" t="s">
        <v>612</v>
      </c>
      <c r="C946" s="1">
        <v>45484</v>
      </c>
      <c r="D946" s="37" t="s">
        <v>612</v>
      </c>
      <c r="E946">
        <v>0.13549115718913601</v>
      </c>
      <c r="F946">
        <v>0.13549115718913601</v>
      </c>
    </row>
    <row r="947" spans="1:6" x14ac:dyDescent="0.2">
      <c r="A947">
        <v>440</v>
      </c>
      <c r="B947" s="37" t="s">
        <v>413</v>
      </c>
      <c r="C947" s="1">
        <v>45595</v>
      </c>
      <c r="D947" s="37" t="s">
        <v>413</v>
      </c>
      <c r="E947">
        <v>0.18650122864007401</v>
      </c>
      <c r="F947">
        <v>0.18650122864007401</v>
      </c>
    </row>
    <row r="948" spans="1:6" x14ac:dyDescent="0.2">
      <c r="A948">
        <v>440</v>
      </c>
      <c r="B948" s="37" t="s">
        <v>613</v>
      </c>
      <c r="C948" s="1">
        <v>45618</v>
      </c>
      <c r="D948" s="37" t="s">
        <v>613</v>
      </c>
      <c r="E948">
        <v>0.10494838573139199</v>
      </c>
      <c r="F948">
        <v>0.10494838573139199</v>
      </c>
    </row>
    <row r="949" spans="1:6" x14ac:dyDescent="0.2">
      <c r="A949">
        <v>440</v>
      </c>
      <c r="B949" s="37" t="s">
        <v>279</v>
      </c>
      <c r="C949" s="1">
        <v>45539</v>
      </c>
      <c r="D949" s="37" t="s">
        <v>279</v>
      </c>
      <c r="E949">
        <v>8.6195912653327003E-2</v>
      </c>
      <c r="F949">
        <v>8.6195912653327003E-2</v>
      </c>
    </row>
    <row r="950" spans="1:6" x14ac:dyDescent="0.2">
      <c r="A950">
        <v>441</v>
      </c>
      <c r="B950" s="37" t="s">
        <v>1061</v>
      </c>
      <c r="C950" s="1">
        <v>45617</v>
      </c>
      <c r="D950" s="37" t="s">
        <v>1061</v>
      </c>
      <c r="E950">
        <v>0.12559376000884401</v>
      </c>
      <c r="F950">
        <v>0.12559376000884401</v>
      </c>
    </row>
    <row r="951" spans="1:6" x14ac:dyDescent="0.2">
      <c r="A951">
        <v>441</v>
      </c>
      <c r="B951" s="37" t="s">
        <v>1062</v>
      </c>
      <c r="C951" s="1">
        <v>45360</v>
      </c>
      <c r="D951" s="37" t="s">
        <v>1062</v>
      </c>
      <c r="E951">
        <v>0.330924801371556</v>
      </c>
      <c r="F951">
        <v>0.330924801371556</v>
      </c>
    </row>
    <row r="952" spans="1:6" x14ac:dyDescent="0.2">
      <c r="A952">
        <v>441</v>
      </c>
      <c r="B952" s="37" t="s">
        <v>614</v>
      </c>
      <c r="C952" s="1">
        <v>45416</v>
      </c>
      <c r="D952" s="37" t="s">
        <v>614</v>
      </c>
      <c r="E952">
        <v>0.26934727854370899</v>
      </c>
      <c r="F952">
        <v>0.26934727854370899</v>
      </c>
    </row>
    <row r="953" spans="1:6" x14ac:dyDescent="0.2">
      <c r="A953">
        <v>442</v>
      </c>
      <c r="B953" s="37" t="s">
        <v>1063</v>
      </c>
      <c r="C953" s="1">
        <v>45333</v>
      </c>
      <c r="D953" s="37" t="s">
        <v>1063</v>
      </c>
      <c r="E953">
        <v>8.6075794611859199E-2</v>
      </c>
      <c r="F953">
        <v>8.6075794611859199E-2</v>
      </c>
    </row>
    <row r="954" spans="1:6" x14ac:dyDescent="0.2">
      <c r="A954">
        <v>442</v>
      </c>
      <c r="B954" s="37" t="s">
        <v>1064</v>
      </c>
      <c r="C954" s="1">
        <v>45509</v>
      </c>
      <c r="D954" s="37" t="s">
        <v>1064</v>
      </c>
      <c r="E954">
        <v>0.14536518560115799</v>
      </c>
      <c r="F954">
        <v>0.14536518560115799</v>
      </c>
    </row>
    <row r="955" spans="1:6" x14ac:dyDescent="0.2">
      <c r="A955">
        <v>443</v>
      </c>
      <c r="B955" s="37" t="s">
        <v>414</v>
      </c>
      <c r="C955" s="1">
        <v>45622</v>
      </c>
      <c r="D955" s="37" t="s">
        <v>414</v>
      </c>
      <c r="E955">
        <v>0.21394446463558101</v>
      </c>
      <c r="F955">
        <v>0.21394446463558101</v>
      </c>
    </row>
    <row r="956" spans="1:6" x14ac:dyDescent="0.2">
      <c r="A956">
        <v>443</v>
      </c>
      <c r="B956" s="37" t="s">
        <v>415</v>
      </c>
      <c r="C956" s="1">
        <v>45311</v>
      </c>
      <c r="D956" s="37" t="s">
        <v>415</v>
      </c>
      <c r="E956">
        <v>4.5425303328972502E-2</v>
      </c>
      <c r="F956">
        <v>4.5425303328972502E-2</v>
      </c>
    </row>
    <row r="957" spans="1:6" x14ac:dyDescent="0.2">
      <c r="A957">
        <v>444</v>
      </c>
      <c r="B957" s="37" t="s">
        <v>280</v>
      </c>
      <c r="C957" s="1">
        <v>45598</v>
      </c>
      <c r="D957" s="37" t="s">
        <v>280</v>
      </c>
      <c r="E957">
        <v>7.8382879597760399E-2</v>
      </c>
      <c r="F957">
        <v>7.8382879597760399E-2</v>
      </c>
    </row>
    <row r="958" spans="1:6" x14ac:dyDescent="0.2">
      <c r="A958">
        <v>444</v>
      </c>
      <c r="B958" s="37" t="s">
        <v>281</v>
      </c>
      <c r="C958" s="1">
        <v>45445</v>
      </c>
      <c r="D958" s="37" t="s">
        <v>281</v>
      </c>
      <c r="E958">
        <v>0.20156623003427501</v>
      </c>
      <c r="F958">
        <v>0.20156623003427501</v>
      </c>
    </row>
    <row r="959" spans="1:6" x14ac:dyDescent="0.2">
      <c r="A959">
        <v>444</v>
      </c>
      <c r="B959" s="37" t="s">
        <v>282</v>
      </c>
      <c r="C959" s="1">
        <v>45567</v>
      </c>
      <c r="D959" s="37" t="s">
        <v>282</v>
      </c>
      <c r="E959">
        <v>2.96326160122437E-2</v>
      </c>
      <c r="F959">
        <v>2.96326160122437E-2</v>
      </c>
    </row>
    <row r="960" spans="1:6" x14ac:dyDescent="0.2">
      <c r="A960">
        <v>445</v>
      </c>
      <c r="B960" s="37" t="s">
        <v>615</v>
      </c>
      <c r="C960" s="1">
        <v>45594</v>
      </c>
      <c r="D960" s="37" t="s">
        <v>615</v>
      </c>
      <c r="E960">
        <v>0.30076193149040598</v>
      </c>
      <c r="F960">
        <v>0.30076193149040598</v>
      </c>
    </row>
    <row r="961" spans="1:6" x14ac:dyDescent="0.2">
      <c r="A961">
        <v>446</v>
      </c>
      <c r="B961" s="37" t="s">
        <v>1065</v>
      </c>
      <c r="C961" s="1">
        <v>45553</v>
      </c>
      <c r="D961" s="37" t="s">
        <v>1065</v>
      </c>
      <c r="E961">
        <v>9.6520197116294407E-2</v>
      </c>
      <c r="F961">
        <v>9.6520197116294407E-2</v>
      </c>
    </row>
    <row r="962" spans="1:6" x14ac:dyDescent="0.2">
      <c r="A962">
        <v>446</v>
      </c>
      <c r="B962" s="37" t="s">
        <v>283</v>
      </c>
      <c r="C962" s="1">
        <v>45371</v>
      </c>
      <c r="D962" s="37" t="s">
        <v>283</v>
      </c>
      <c r="E962">
        <v>0.50432700023852906</v>
      </c>
      <c r="F962">
        <v>0.50432700023852906</v>
      </c>
    </row>
    <row r="963" spans="1:6" x14ac:dyDescent="0.2">
      <c r="A963">
        <v>447</v>
      </c>
      <c r="B963" s="37" t="s">
        <v>616</v>
      </c>
      <c r="C963" s="1">
        <v>45626</v>
      </c>
      <c r="D963" s="37" t="s">
        <v>616</v>
      </c>
      <c r="E963">
        <v>0.20612645205314301</v>
      </c>
      <c r="F963">
        <v>0.20612645205314301</v>
      </c>
    </row>
    <row r="964" spans="1:6" x14ac:dyDescent="0.2">
      <c r="A964">
        <v>448</v>
      </c>
      <c r="B964" s="37" t="s">
        <v>617</v>
      </c>
      <c r="C964" s="1">
        <v>45552</v>
      </c>
      <c r="D964" s="37" t="s">
        <v>617</v>
      </c>
      <c r="E964">
        <v>0.29684276659522302</v>
      </c>
      <c r="F964">
        <v>0.29684276659522302</v>
      </c>
    </row>
    <row r="965" spans="1:6" x14ac:dyDescent="0.2">
      <c r="A965">
        <v>448</v>
      </c>
      <c r="B965" s="37" t="s">
        <v>202</v>
      </c>
      <c r="C965" s="1">
        <v>45472</v>
      </c>
      <c r="D965" s="37" t="s">
        <v>202</v>
      </c>
      <c r="E965">
        <v>0.25674909936248502</v>
      </c>
      <c r="F965">
        <v>0.25674909936248502</v>
      </c>
    </row>
    <row r="966" spans="1:6" x14ac:dyDescent="0.2">
      <c r="A966">
        <v>448</v>
      </c>
      <c r="B966" s="37" t="s">
        <v>203</v>
      </c>
      <c r="C966" s="1">
        <v>45522</v>
      </c>
      <c r="D966" s="37" t="s">
        <v>203</v>
      </c>
      <c r="E966">
        <v>0.19770178529605101</v>
      </c>
      <c r="F966">
        <v>0.19770178529605101</v>
      </c>
    </row>
    <row r="967" spans="1:6" x14ac:dyDescent="0.2">
      <c r="A967">
        <v>449</v>
      </c>
      <c r="B967" s="37" t="s">
        <v>618</v>
      </c>
      <c r="C967" s="1">
        <v>45369</v>
      </c>
      <c r="D967" s="37" t="s">
        <v>618</v>
      </c>
      <c r="E967">
        <v>6.2678859208384298E-3</v>
      </c>
      <c r="F967">
        <v>6.2678859208384298E-3</v>
      </c>
    </row>
    <row r="968" spans="1:6" x14ac:dyDescent="0.2">
      <c r="A968">
        <v>449</v>
      </c>
      <c r="B968" s="37" t="s">
        <v>416</v>
      </c>
      <c r="C968" s="1">
        <v>45613</v>
      </c>
      <c r="D968" s="37" t="s">
        <v>416</v>
      </c>
      <c r="E968">
        <v>0.34086182937598403</v>
      </c>
      <c r="F968">
        <v>0.34086182937598403</v>
      </c>
    </row>
    <row r="969" spans="1:6" x14ac:dyDescent="0.2">
      <c r="A969">
        <v>449</v>
      </c>
      <c r="B969" s="37" t="s">
        <v>417</v>
      </c>
      <c r="C969" s="1">
        <v>45408</v>
      </c>
      <c r="D969" s="37" t="s">
        <v>417</v>
      </c>
      <c r="E969">
        <v>0.490999001533235</v>
      </c>
      <c r="F969">
        <v>0.490999001533235</v>
      </c>
    </row>
    <row r="970" spans="1:6" x14ac:dyDescent="0.2">
      <c r="A970">
        <v>450</v>
      </c>
      <c r="B970" s="37" t="s">
        <v>1066</v>
      </c>
      <c r="C970" s="1">
        <v>45526</v>
      </c>
      <c r="D970" s="37" t="s">
        <v>1066</v>
      </c>
      <c r="E970">
        <v>2.6123460545039501E-2</v>
      </c>
      <c r="F970">
        <v>2.6123460545039501E-2</v>
      </c>
    </row>
    <row r="971" spans="1:6" x14ac:dyDescent="0.2">
      <c r="A971">
        <v>450</v>
      </c>
      <c r="B971" s="37" t="s">
        <v>418</v>
      </c>
      <c r="C971" s="1">
        <v>45480</v>
      </c>
      <c r="D971" s="37" t="s">
        <v>418</v>
      </c>
      <c r="E971">
        <v>7.3746846861566601E-2</v>
      </c>
      <c r="F971">
        <v>7.3746846861566601E-2</v>
      </c>
    </row>
    <row r="972" spans="1:6" x14ac:dyDescent="0.2">
      <c r="A972">
        <v>451</v>
      </c>
      <c r="B972" s="37" t="s">
        <v>1067</v>
      </c>
      <c r="C972" s="1">
        <v>45566</v>
      </c>
      <c r="D972" s="37" t="s">
        <v>1067</v>
      </c>
      <c r="E972">
        <v>0.19531885478726799</v>
      </c>
      <c r="F972">
        <v>0.19531885478726799</v>
      </c>
    </row>
    <row r="973" spans="1:6" x14ac:dyDescent="0.2">
      <c r="A973">
        <v>451</v>
      </c>
      <c r="B973" s="37" t="s">
        <v>619</v>
      </c>
      <c r="C973" s="1">
        <v>45642</v>
      </c>
      <c r="D973" s="37" t="s">
        <v>619</v>
      </c>
      <c r="E973">
        <v>5.9988514087103401E-2</v>
      </c>
      <c r="F973">
        <v>5.9988514087103401E-2</v>
      </c>
    </row>
    <row r="974" spans="1:6" x14ac:dyDescent="0.2">
      <c r="A974">
        <v>452</v>
      </c>
      <c r="B974" s="37" t="s">
        <v>1068</v>
      </c>
      <c r="C974" s="1">
        <v>45639</v>
      </c>
      <c r="D974" s="37" t="s">
        <v>1068</v>
      </c>
      <c r="E974">
        <v>8.4379929911062801E-2</v>
      </c>
      <c r="F974">
        <v>8.4379929911062801E-2</v>
      </c>
    </row>
    <row r="975" spans="1:6" x14ac:dyDescent="0.2">
      <c r="A975">
        <v>452</v>
      </c>
      <c r="B975" s="37" t="s">
        <v>1069</v>
      </c>
      <c r="C975" s="1">
        <v>45292</v>
      </c>
      <c r="D975" s="37" t="s">
        <v>1069</v>
      </c>
      <c r="E975">
        <v>0.122262884331428</v>
      </c>
      <c r="F975">
        <v>0.122262884331428</v>
      </c>
    </row>
    <row r="976" spans="1:6" x14ac:dyDescent="0.2">
      <c r="A976">
        <v>452</v>
      </c>
      <c r="B976" s="37" t="s">
        <v>1070</v>
      </c>
      <c r="C976" s="1">
        <v>45599</v>
      </c>
      <c r="D976" s="37" t="s">
        <v>1070</v>
      </c>
      <c r="E976">
        <v>0.21380139814238799</v>
      </c>
      <c r="F976">
        <v>0.21380139814238799</v>
      </c>
    </row>
    <row r="977" spans="1:6" x14ac:dyDescent="0.2">
      <c r="A977">
        <v>453</v>
      </c>
      <c r="B977" s="37" t="s">
        <v>1071</v>
      </c>
      <c r="C977" s="1">
        <v>45293</v>
      </c>
      <c r="D977" s="37" t="s">
        <v>1071</v>
      </c>
      <c r="E977">
        <v>0.28051114685739398</v>
      </c>
      <c r="F977">
        <v>0.28051114685739398</v>
      </c>
    </row>
    <row r="978" spans="1:6" x14ac:dyDescent="0.2">
      <c r="A978">
        <v>453</v>
      </c>
      <c r="B978" s="37" t="s">
        <v>419</v>
      </c>
      <c r="C978" s="1">
        <v>45348</v>
      </c>
      <c r="D978" s="37" t="s">
        <v>419</v>
      </c>
      <c r="E978">
        <v>0.310997704807777</v>
      </c>
      <c r="F978">
        <v>0.310997704807777</v>
      </c>
    </row>
    <row r="979" spans="1:6" x14ac:dyDescent="0.2">
      <c r="A979">
        <v>453</v>
      </c>
      <c r="B979" s="37" t="s">
        <v>420</v>
      </c>
      <c r="C979" s="1">
        <v>45481</v>
      </c>
      <c r="D979" s="37" t="s">
        <v>420</v>
      </c>
      <c r="E979">
        <v>0.309062071451639</v>
      </c>
      <c r="F979">
        <v>0.309062071451639</v>
      </c>
    </row>
    <row r="980" spans="1:6" x14ac:dyDescent="0.2">
      <c r="A980">
        <v>454</v>
      </c>
      <c r="B980" s="37" t="s">
        <v>421</v>
      </c>
      <c r="C980" s="1">
        <v>45406</v>
      </c>
      <c r="D980" s="37" t="s">
        <v>421</v>
      </c>
      <c r="E980">
        <v>8.2753949834904098E-2</v>
      </c>
      <c r="F980">
        <v>8.2753949834904098E-2</v>
      </c>
    </row>
    <row r="981" spans="1:6" x14ac:dyDescent="0.2">
      <c r="A981">
        <v>454</v>
      </c>
      <c r="B981" s="37" t="s">
        <v>422</v>
      </c>
      <c r="C981" s="1">
        <v>45578</v>
      </c>
      <c r="D981" s="37" t="s">
        <v>422</v>
      </c>
      <c r="E981">
        <v>0.150306340239442</v>
      </c>
      <c r="F981">
        <v>0.150306340239442</v>
      </c>
    </row>
    <row r="982" spans="1:6" x14ac:dyDescent="0.2">
      <c r="A982">
        <v>454</v>
      </c>
      <c r="B982" s="37" t="s">
        <v>423</v>
      </c>
      <c r="C982" s="1">
        <v>45577</v>
      </c>
      <c r="D982" s="37" t="s">
        <v>423</v>
      </c>
      <c r="E982">
        <v>1.9225016552264499E-2</v>
      </c>
      <c r="F982">
        <v>1.9225016552264499E-2</v>
      </c>
    </row>
    <row r="983" spans="1:6" x14ac:dyDescent="0.2">
      <c r="A983">
        <v>454</v>
      </c>
      <c r="B983" s="37" t="s">
        <v>284</v>
      </c>
      <c r="C983" s="1">
        <v>45319</v>
      </c>
      <c r="D983" s="37" t="s">
        <v>284</v>
      </c>
      <c r="E983">
        <v>0.55086646970735598</v>
      </c>
      <c r="F983">
        <v>0.55086646970735598</v>
      </c>
    </row>
    <row r="984" spans="1:6" x14ac:dyDescent="0.2">
      <c r="A984">
        <v>455</v>
      </c>
      <c r="B984" s="37" t="s">
        <v>424</v>
      </c>
      <c r="C984" s="1">
        <v>45487</v>
      </c>
      <c r="D984" s="37" t="s">
        <v>424</v>
      </c>
      <c r="E984">
        <v>0.285305899130607</v>
      </c>
      <c r="F984">
        <v>0.285305899130607</v>
      </c>
    </row>
    <row r="985" spans="1:6" x14ac:dyDescent="0.2">
      <c r="A985">
        <v>455</v>
      </c>
      <c r="B985" s="37" t="s">
        <v>425</v>
      </c>
      <c r="C985" s="1">
        <v>45609</v>
      </c>
      <c r="D985" s="37" t="s">
        <v>425</v>
      </c>
      <c r="E985">
        <v>8.7545471307375597E-2</v>
      </c>
      <c r="F985">
        <v>8.7545471307375597E-2</v>
      </c>
    </row>
    <row r="986" spans="1:6" x14ac:dyDescent="0.2">
      <c r="A986">
        <v>455</v>
      </c>
      <c r="B986" s="37" t="s">
        <v>285</v>
      </c>
      <c r="C986" s="1">
        <v>45495</v>
      </c>
      <c r="D986" s="37" t="s">
        <v>285</v>
      </c>
      <c r="E986">
        <v>0.317680430441451</v>
      </c>
      <c r="F986">
        <v>0.317680430441451</v>
      </c>
    </row>
    <row r="987" spans="1:6" x14ac:dyDescent="0.2">
      <c r="A987">
        <v>456</v>
      </c>
      <c r="B987" s="37" t="s">
        <v>204</v>
      </c>
      <c r="C987" s="1">
        <v>45537</v>
      </c>
      <c r="D987" s="37" t="s">
        <v>204</v>
      </c>
      <c r="E987">
        <v>0.19994826296866999</v>
      </c>
      <c r="F987">
        <v>0.19994826296866999</v>
      </c>
    </row>
    <row r="988" spans="1:6" x14ac:dyDescent="0.2">
      <c r="A988">
        <v>457</v>
      </c>
      <c r="B988" s="37" t="s">
        <v>1072</v>
      </c>
      <c r="C988" s="1">
        <v>45305</v>
      </c>
      <c r="D988" s="37" t="s">
        <v>1072</v>
      </c>
      <c r="E988">
        <v>9.9580936557146102E-2</v>
      </c>
      <c r="F988">
        <v>9.9580936557146102E-2</v>
      </c>
    </row>
    <row r="989" spans="1:6" x14ac:dyDescent="0.2">
      <c r="A989">
        <v>458</v>
      </c>
      <c r="B989" s="37" t="s">
        <v>1073</v>
      </c>
      <c r="C989" s="1">
        <v>45636</v>
      </c>
      <c r="D989" s="37" t="s">
        <v>1073</v>
      </c>
      <c r="E989">
        <v>0.304171886925581</v>
      </c>
      <c r="F989">
        <v>0.304171886925581</v>
      </c>
    </row>
    <row r="990" spans="1:6" x14ac:dyDescent="0.2">
      <c r="A990">
        <v>459</v>
      </c>
      <c r="B990" s="37" t="s">
        <v>1074</v>
      </c>
      <c r="C990" s="1">
        <v>45451</v>
      </c>
      <c r="D990" s="37" t="s">
        <v>1074</v>
      </c>
      <c r="E990">
        <v>9.7529431253091894E-2</v>
      </c>
      <c r="F990">
        <v>9.7529431253091894E-2</v>
      </c>
    </row>
    <row r="991" spans="1:6" x14ac:dyDescent="0.2">
      <c r="A991">
        <v>459</v>
      </c>
      <c r="B991" s="37" t="s">
        <v>426</v>
      </c>
      <c r="C991" s="1">
        <v>45574</v>
      </c>
      <c r="D991" s="37" t="s">
        <v>426</v>
      </c>
      <c r="E991">
        <v>0.14832582003726799</v>
      </c>
      <c r="F991">
        <v>0.14832582003726799</v>
      </c>
    </row>
    <row r="992" spans="1:6" x14ac:dyDescent="0.2">
      <c r="A992">
        <v>459</v>
      </c>
      <c r="B992" s="37" t="s">
        <v>427</v>
      </c>
      <c r="C992" s="1">
        <v>45416</v>
      </c>
      <c r="D992" s="37" t="s">
        <v>427</v>
      </c>
      <c r="E992">
        <v>0.10978097046975401</v>
      </c>
      <c r="F992">
        <v>0.10978097046975401</v>
      </c>
    </row>
    <row r="993" spans="1:6" x14ac:dyDescent="0.2">
      <c r="A993">
        <v>460</v>
      </c>
      <c r="B993" s="37" t="s">
        <v>1075</v>
      </c>
      <c r="C993" s="1">
        <v>45292</v>
      </c>
      <c r="D993" s="37" t="s">
        <v>1075</v>
      </c>
      <c r="E993">
        <v>0.113004127827445</v>
      </c>
      <c r="F993">
        <v>0.113004127827445</v>
      </c>
    </row>
    <row r="994" spans="1:6" x14ac:dyDescent="0.2">
      <c r="A994">
        <v>460</v>
      </c>
      <c r="B994" s="37" t="s">
        <v>1076</v>
      </c>
      <c r="C994" s="1">
        <v>45611</v>
      </c>
      <c r="D994" s="37" t="s">
        <v>1076</v>
      </c>
      <c r="E994">
        <v>0.15136689994871</v>
      </c>
      <c r="F994">
        <v>0.15136689994871</v>
      </c>
    </row>
    <row r="995" spans="1:6" x14ac:dyDescent="0.2">
      <c r="A995">
        <v>460</v>
      </c>
      <c r="B995" s="37" t="s">
        <v>205</v>
      </c>
      <c r="C995" s="1">
        <v>45453</v>
      </c>
      <c r="D995" s="37" t="s">
        <v>205</v>
      </c>
      <c r="E995">
        <v>0.24744493934488701</v>
      </c>
      <c r="F995">
        <v>0.24744493934488701</v>
      </c>
    </row>
    <row r="996" spans="1:6" x14ac:dyDescent="0.2">
      <c r="A996">
        <v>462</v>
      </c>
      <c r="B996" s="37" t="s">
        <v>1077</v>
      </c>
      <c r="C996" s="1">
        <v>45436</v>
      </c>
      <c r="D996" s="37" t="s">
        <v>1077</v>
      </c>
      <c r="E996">
        <v>9.9297380369181107E-2</v>
      </c>
      <c r="F996">
        <v>9.9297380369181107E-2</v>
      </c>
    </row>
    <row r="997" spans="1:6" x14ac:dyDescent="0.2">
      <c r="A997">
        <v>462</v>
      </c>
      <c r="B997" s="37" t="s">
        <v>206</v>
      </c>
      <c r="C997" s="1">
        <v>45645</v>
      </c>
      <c r="D997" s="37" t="s">
        <v>206</v>
      </c>
      <c r="E997">
        <v>3.8893439316356797E-2</v>
      </c>
      <c r="F997">
        <v>3.8893439316356797E-2</v>
      </c>
    </row>
    <row r="998" spans="1:6" x14ac:dyDescent="0.2">
      <c r="A998">
        <v>463</v>
      </c>
      <c r="B998" s="37" t="s">
        <v>1078</v>
      </c>
      <c r="C998" s="1">
        <v>45561</v>
      </c>
      <c r="D998" s="37" t="s">
        <v>1078</v>
      </c>
      <c r="E998">
        <v>0.47766316449212298</v>
      </c>
      <c r="F998">
        <v>0.47766316449212298</v>
      </c>
    </row>
    <row r="999" spans="1:6" x14ac:dyDescent="0.2">
      <c r="A999">
        <v>463</v>
      </c>
      <c r="B999" s="37" t="s">
        <v>1079</v>
      </c>
      <c r="C999" s="1">
        <v>45542</v>
      </c>
      <c r="D999" s="37" t="s">
        <v>1079</v>
      </c>
      <c r="E999">
        <v>0.228255519666933</v>
      </c>
      <c r="F999">
        <v>0.228255519666933</v>
      </c>
    </row>
    <row r="1000" spans="1:6" x14ac:dyDescent="0.2">
      <c r="A1000">
        <v>464</v>
      </c>
      <c r="B1000" s="37" t="s">
        <v>1080</v>
      </c>
      <c r="C1000" s="1">
        <v>45511</v>
      </c>
      <c r="D1000" s="37" t="s">
        <v>1080</v>
      </c>
      <c r="E1000">
        <v>0.196617695294523</v>
      </c>
      <c r="F1000">
        <v>0.196617695294523</v>
      </c>
    </row>
    <row r="1001" spans="1:6" x14ac:dyDescent="0.2">
      <c r="A1001">
        <v>464</v>
      </c>
      <c r="B1001" s="37" t="s">
        <v>1081</v>
      </c>
      <c r="C1001" s="1">
        <v>45606</v>
      </c>
      <c r="D1001" s="37" t="s">
        <v>1081</v>
      </c>
      <c r="E1001">
        <v>0.163158675693928</v>
      </c>
      <c r="F1001">
        <v>0.163158675693928</v>
      </c>
    </row>
    <row r="1002" spans="1:6" x14ac:dyDescent="0.2">
      <c r="A1002">
        <v>464</v>
      </c>
      <c r="B1002" s="37" t="s">
        <v>1082</v>
      </c>
      <c r="C1002" s="1">
        <v>45569</v>
      </c>
      <c r="D1002" s="37" t="s">
        <v>1082</v>
      </c>
      <c r="E1002">
        <v>0.66647115688141501</v>
      </c>
      <c r="F1002">
        <v>0.66647115688141501</v>
      </c>
    </row>
    <row r="1003" spans="1:6" x14ac:dyDescent="0.2">
      <c r="A1003">
        <v>465</v>
      </c>
      <c r="B1003" s="37" t="s">
        <v>1083</v>
      </c>
      <c r="C1003" s="1">
        <v>45617</v>
      </c>
      <c r="D1003" s="37" t="s">
        <v>1083</v>
      </c>
      <c r="E1003">
        <v>0.112603611069508</v>
      </c>
      <c r="F1003">
        <v>0.112603611069508</v>
      </c>
    </row>
    <row r="1004" spans="1:6" x14ac:dyDescent="0.2">
      <c r="A1004">
        <v>465</v>
      </c>
      <c r="B1004" s="37" t="s">
        <v>428</v>
      </c>
      <c r="C1004" s="1">
        <v>45453</v>
      </c>
      <c r="D1004" s="37" t="s">
        <v>428</v>
      </c>
      <c r="E1004">
        <v>5.6035602044341201E-2</v>
      </c>
      <c r="F1004">
        <v>5.6035602044341201E-2</v>
      </c>
    </row>
    <row r="1005" spans="1:6" x14ac:dyDescent="0.2">
      <c r="A1005">
        <v>466</v>
      </c>
      <c r="B1005" s="37" t="s">
        <v>1084</v>
      </c>
      <c r="C1005" s="1">
        <v>45363</v>
      </c>
      <c r="D1005" s="37" t="s">
        <v>1084</v>
      </c>
      <c r="E1005">
        <v>0.13390159592231601</v>
      </c>
      <c r="F1005">
        <v>0.13390159592231601</v>
      </c>
    </row>
    <row r="1006" spans="1:6" x14ac:dyDescent="0.2">
      <c r="A1006">
        <v>466</v>
      </c>
      <c r="B1006" s="37" t="s">
        <v>207</v>
      </c>
      <c r="C1006" s="1">
        <v>45425</v>
      </c>
      <c r="D1006" s="37" t="s">
        <v>207</v>
      </c>
      <c r="E1006">
        <v>2.3364096773893499E-2</v>
      </c>
      <c r="F1006">
        <v>2.3364096773893499E-2</v>
      </c>
    </row>
    <row r="1007" spans="1:6" x14ac:dyDescent="0.2">
      <c r="A1007">
        <v>466</v>
      </c>
      <c r="B1007" s="37" t="s">
        <v>208</v>
      </c>
      <c r="C1007" s="1">
        <v>45445</v>
      </c>
      <c r="D1007" s="37" t="s">
        <v>208</v>
      </c>
      <c r="E1007">
        <v>0.145400676453769</v>
      </c>
      <c r="F1007">
        <v>0.145400676453769</v>
      </c>
    </row>
    <row r="1008" spans="1:6" x14ac:dyDescent="0.2">
      <c r="A1008">
        <v>467</v>
      </c>
      <c r="B1008" s="37" t="s">
        <v>1085</v>
      </c>
      <c r="C1008" s="1">
        <v>45439</v>
      </c>
      <c r="D1008" s="37" t="s">
        <v>1085</v>
      </c>
      <c r="E1008">
        <v>0.27056027297623603</v>
      </c>
      <c r="F1008">
        <v>0.27056027297623603</v>
      </c>
    </row>
    <row r="1009" spans="1:6" x14ac:dyDescent="0.2">
      <c r="A1009">
        <v>467</v>
      </c>
      <c r="B1009" s="37" t="s">
        <v>1086</v>
      </c>
      <c r="C1009" s="1">
        <v>45443</v>
      </c>
      <c r="D1009" s="37" t="s">
        <v>1086</v>
      </c>
      <c r="E1009">
        <v>0.16219818796416999</v>
      </c>
      <c r="F1009">
        <v>0.16219818796416999</v>
      </c>
    </row>
    <row r="1010" spans="1:6" x14ac:dyDescent="0.2">
      <c r="A1010">
        <v>467</v>
      </c>
      <c r="B1010" s="37" t="s">
        <v>1087</v>
      </c>
      <c r="C1010" s="1">
        <v>45634</v>
      </c>
      <c r="D1010" s="37" t="s">
        <v>1087</v>
      </c>
      <c r="E1010">
        <v>0.17516633001550599</v>
      </c>
      <c r="F1010">
        <v>0.17516633001550599</v>
      </c>
    </row>
    <row r="1011" spans="1:6" x14ac:dyDescent="0.2">
      <c r="A1011">
        <v>468</v>
      </c>
      <c r="B1011" s="37" t="s">
        <v>429</v>
      </c>
      <c r="C1011" s="1">
        <v>45646</v>
      </c>
      <c r="D1011" s="37" t="s">
        <v>429</v>
      </c>
      <c r="E1011">
        <v>4.7626393768653297E-2</v>
      </c>
      <c r="F1011">
        <v>4.7626393768653297E-2</v>
      </c>
    </row>
    <row r="1012" spans="1:6" x14ac:dyDescent="0.2">
      <c r="A1012">
        <v>468</v>
      </c>
      <c r="B1012" s="37" t="s">
        <v>1088</v>
      </c>
      <c r="C1012" s="1">
        <v>45306</v>
      </c>
      <c r="D1012" s="37" t="s">
        <v>1088</v>
      </c>
      <c r="E1012">
        <v>0.107515889073383</v>
      </c>
      <c r="F1012">
        <v>0.107515889073383</v>
      </c>
    </row>
    <row r="1013" spans="1:6" x14ac:dyDescent="0.2">
      <c r="A1013">
        <v>469</v>
      </c>
      <c r="B1013" s="37" t="s">
        <v>1089</v>
      </c>
      <c r="C1013" s="1">
        <v>45452</v>
      </c>
      <c r="D1013" s="37" t="s">
        <v>1089</v>
      </c>
      <c r="E1013">
        <v>9.75289927585547E-2</v>
      </c>
      <c r="F1013">
        <v>9.75289927585547E-2</v>
      </c>
    </row>
    <row r="1014" spans="1:6" x14ac:dyDescent="0.2">
      <c r="A1014">
        <v>469</v>
      </c>
      <c r="B1014" s="37" t="s">
        <v>1090</v>
      </c>
      <c r="C1014" s="1">
        <v>45432</v>
      </c>
      <c r="D1014" s="37" t="s">
        <v>1090</v>
      </c>
      <c r="E1014">
        <v>0.19154139658293601</v>
      </c>
      <c r="F1014">
        <v>0.19154139658293601</v>
      </c>
    </row>
    <row r="1015" spans="1:6" x14ac:dyDescent="0.2">
      <c r="A1015">
        <v>469</v>
      </c>
      <c r="B1015" s="37" t="s">
        <v>209</v>
      </c>
      <c r="C1015" s="1">
        <v>45292</v>
      </c>
      <c r="D1015" s="37" t="s">
        <v>209</v>
      </c>
      <c r="E1015">
        <v>0.16230497451675499</v>
      </c>
      <c r="F1015">
        <v>0.16230497451675499</v>
      </c>
    </row>
    <row r="1016" spans="1:6" x14ac:dyDescent="0.2">
      <c r="A1016">
        <v>470</v>
      </c>
      <c r="B1016" s="37" t="s">
        <v>210</v>
      </c>
      <c r="C1016" s="1">
        <v>45355</v>
      </c>
      <c r="D1016" s="37" t="s">
        <v>210</v>
      </c>
      <c r="E1016">
        <v>0.21704647726408099</v>
      </c>
      <c r="F1016">
        <v>0.21704647726408099</v>
      </c>
    </row>
    <row r="1017" spans="1:6" x14ac:dyDescent="0.2">
      <c r="A1017">
        <v>471</v>
      </c>
      <c r="B1017" s="37" t="s">
        <v>1091</v>
      </c>
      <c r="C1017" s="1">
        <v>45374</v>
      </c>
      <c r="D1017" s="37" t="s">
        <v>1091</v>
      </c>
      <c r="E1017">
        <v>4.8223686082509001E-2</v>
      </c>
      <c r="F1017">
        <v>4.8223686082509001E-2</v>
      </c>
    </row>
    <row r="1018" spans="1:6" x14ac:dyDescent="0.2">
      <c r="A1018">
        <v>471</v>
      </c>
      <c r="B1018" s="37" t="s">
        <v>1092</v>
      </c>
      <c r="C1018" s="1">
        <v>45610</v>
      </c>
      <c r="D1018" s="37" t="s">
        <v>1092</v>
      </c>
      <c r="E1018">
        <v>0.14441064325199199</v>
      </c>
      <c r="F1018">
        <v>0.14441064325199199</v>
      </c>
    </row>
    <row r="1019" spans="1:6" x14ac:dyDescent="0.2">
      <c r="A1019">
        <v>471</v>
      </c>
      <c r="B1019" s="37" t="s">
        <v>1093</v>
      </c>
      <c r="C1019" s="1">
        <v>45582</v>
      </c>
      <c r="D1019" s="37" t="s">
        <v>1093</v>
      </c>
      <c r="E1019">
        <v>0.132876454221383</v>
      </c>
      <c r="F1019">
        <v>0.132876454221383</v>
      </c>
    </row>
    <row r="1020" spans="1:6" x14ac:dyDescent="0.2">
      <c r="A1020">
        <v>472</v>
      </c>
      <c r="B1020" s="37" t="s">
        <v>211</v>
      </c>
      <c r="C1020" s="1">
        <v>45445</v>
      </c>
      <c r="D1020" s="37" t="s">
        <v>211</v>
      </c>
      <c r="E1020">
        <v>4.72128236364271E-2</v>
      </c>
      <c r="F1020">
        <v>4.72128236364271E-2</v>
      </c>
    </row>
    <row r="1021" spans="1:6" x14ac:dyDescent="0.2">
      <c r="A1021">
        <v>473</v>
      </c>
      <c r="B1021" s="37" t="s">
        <v>1094</v>
      </c>
      <c r="C1021" s="1">
        <v>45296</v>
      </c>
      <c r="D1021" s="37" t="s">
        <v>1094</v>
      </c>
      <c r="E1021">
        <v>0.388575058267151</v>
      </c>
      <c r="F1021">
        <v>0.388575058267151</v>
      </c>
    </row>
    <row r="1022" spans="1:6" x14ac:dyDescent="0.2">
      <c r="A1022">
        <v>473</v>
      </c>
      <c r="B1022" s="37" t="s">
        <v>1095</v>
      </c>
      <c r="C1022" s="1">
        <v>45313</v>
      </c>
      <c r="D1022" s="37" t="s">
        <v>1095</v>
      </c>
      <c r="E1022">
        <v>0.199148567876648</v>
      </c>
      <c r="F1022">
        <v>0.199148567876648</v>
      </c>
    </row>
    <row r="1023" spans="1:6" x14ac:dyDescent="0.2">
      <c r="A1023">
        <v>474</v>
      </c>
      <c r="B1023" s="37" t="s">
        <v>1096</v>
      </c>
      <c r="C1023" s="1">
        <v>45422</v>
      </c>
      <c r="D1023" s="37" t="s">
        <v>1096</v>
      </c>
      <c r="E1023">
        <v>0.18320105550049001</v>
      </c>
      <c r="F1023">
        <v>0.18320105550049001</v>
      </c>
    </row>
    <row r="1024" spans="1:6" x14ac:dyDescent="0.2">
      <c r="A1024">
        <v>475</v>
      </c>
      <c r="B1024" s="37" t="s">
        <v>1097</v>
      </c>
      <c r="C1024" s="1">
        <v>45379</v>
      </c>
      <c r="D1024" s="37" t="s">
        <v>1097</v>
      </c>
      <c r="E1024">
        <v>0.16722542012675301</v>
      </c>
      <c r="F1024">
        <v>0.16722542012675301</v>
      </c>
    </row>
    <row r="1025" spans="1:6" x14ac:dyDescent="0.2">
      <c r="A1025">
        <v>475</v>
      </c>
      <c r="B1025" s="37" t="s">
        <v>430</v>
      </c>
      <c r="C1025" s="1">
        <v>45537</v>
      </c>
      <c r="D1025" s="37" t="s">
        <v>430</v>
      </c>
      <c r="E1025">
        <v>0.240763776008105</v>
      </c>
      <c r="F1025">
        <v>0.240763776008105</v>
      </c>
    </row>
    <row r="1026" spans="1:6" x14ac:dyDescent="0.2">
      <c r="A1026">
        <v>476</v>
      </c>
      <c r="B1026" s="37" t="s">
        <v>1098</v>
      </c>
      <c r="C1026" s="1">
        <v>45597</v>
      </c>
      <c r="D1026" s="37" t="s">
        <v>1098</v>
      </c>
      <c r="E1026">
        <v>0.32020144010985302</v>
      </c>
      <c r="F1026">
        <v>0.32020144010985302</v>
      </c>
    </row>
    <row r="1027" spans="1:6" x14ac:dyDescent="0.2">
      <c r="A1027">
        <v>476</v>
      </c>
      <c r="B1027" s="37" t="s">
        <v>1099</v>
      </c>
      <c r="C1027" s="1">
        <v>45438</v>
      </c>
      <c r="D1027" s="37" t="s">
        <v>1099</v>
      </c>
      <c r="E1027">
        <v>0.14542031681200501</v>
      </c>
      <c r="F1027">
        <v>0.14542031681200501</v>
      </c>
    </row>
    <row r="1028" spans="1:6" x14ac:dyDescent="0.2">
      <c r="A1028">
        <v>477</v>
      </c>
      <c r="B1028" s="37" t="s">
        <v>212</v>
      </c>
      <c r="C1028" s="1">
        <v>45329</v>
      </c>
      <c r="D1028" s="37" t="s">
        <v>212</v>
      </c>
      <c r="E1028">
        <v>0.20974428280676999</v>
      </c>
      <c r="F1028">
        <v>0.20974428280676999</v>
      </c>
    </row>
    <row r="1029" spans="1:6" x14ac:dyDescent="0.2">
      <c r="A1029">
        <v>477</v>
      </c>
      <c r="B1029" s="37" t="s">
        <v>1100</v>
      </c>
      <c r="C1029" s="1">
        <v>45472</v>
      </c>
      <c r="D1029" s="37" t="s">
        <v>1100</v>
      </c>
      <c r="E1029">
        <v>0.33847194619958099</v>
      </c>
      <c r="F1029">
        <v>0.33847194619958099</v>
      </c>
    </row>
    <row r="1030" spans="1:6" x14ac:dyDescent="0.2">
      <c r="A1030">
        <v>478</v>
      </c>
      <c r="B1030" s="37" t="s">
        <v>1101</v>
      </c>
      <c r="C1030" s="1">
        <v>45504</v>
      </c>
      <c r="D1030" s="37" t="s">
        <v>1101</v>
      </c>
      <c r="E1030">
        <v>4.3777737301476598E-2</v>
      </c>
      <c r="F1030">
        <v>4.3777737301476598E-2</v>
      </c>
    </row>
    <row r="1031" spans="1:6" x14ac:dyDescent="0.2">
      <c r="A1031">
        <v>478</v>
      </c>
      <c r="B1031" s="37" t="s">
        <v>1102</v>
      </c>
      <c r="C1031" s="1">
        <v>45557</v>
      </c>
      <c r="D1031" s="37" t="s">
        <v>1102</v>
      </c>
      <c r="E1031">
        <v>3.9079865730591697E-2</v>
      </c>
      <c r="F1031">
        <v>3.9079865730591697E-2</v>
      </c>
    </row>
    <row r="1032" spans="1:6" x14ac:dyDescent="0.2">
      <c r="A1032">
        <v>478</v>
      </c>
      <c r="B1032" s="37" t="s">
        <v>1103</v>
      </c>
      <c r="C1032" s="1">
        <v>45435</v>
      </c>
      <c r="D1032" s="37" t="s">
        <v>1103</v>
      </c>
      <c r="E1032">
        <v>8.6942004689367205E-2</v>
      </c>
      <c r="F1032">
        <v>8.6942004689367205E-2</v>
      </c>
    </row>
    <row r="1033" spans="1:6" x14ac:dyDescent="0.2">
      <c r="A1033">
        <v>478</v>
      </c>
      <c r="B1033" s="37" t="s">
        <v>1104</v>
      </c>
      <c r="C1033" s="1">
        <v>45528</v>
      </c>
      <c r="D1033" s="37" t="s">
        <v>1104</v>
      </c>
      <c r="E1033">
        <v>6.8084184234161793E-2</v>
      </c>
      <c r="F1033">
        <v>6.8084184234161793E-2</v>
      </c>
    </row>
    <row r="1034" spans="1:6" x14ac:dyDescent="0.2">
      <c r="A1034">
        <v>479</v>
      </c>
      <c r="B1034" s="37" t="s">
        <v>1105</v>
      </c>
      <c r="C1034" s="1">
        <v>45365</v>
      </c>
      <c r="D1034" s="37" t="s">
        <v>1105</v>
      </c>
      <c r="E1034">
        <v>0.173404546826743</v>
      </c>
      <c r="F1034">
        <v>0.173404546826743</v>
      </c>
    </row>
    <row r="1035" spans="1:6" x14ac:dyDescent="0.2">
      <c r="A1035">
        <v>479</v>
      </c>
      <c r="B1035" s="37" t="s">
        <v>1106</v>
      </c>
      <c r="C1035" s="1">
        <v>45628</v>
      </c>
      <c r="D1035" s="37" t="s">
        <v>1106</v>
      </c>
      <c r="E1035">
        <v>0.27886818494313098</v>
      </c>
      <c r="F1035">
        <v>0.27886818494313098</v>
      </c>
    </row>
    <row r="1036" spans="1:6" x14ac:dyDescent="0.2">
      <c r="A1036">
        <v>479</v>
      </c>
      <c r="B1036" s="37" t="s">
        <v>1107</v>
      </c>
      <c r="C1036" s="1">
        <v>45356</v>
      </c>
      <c r="D1036" s="37" t="s">
        <v>1107</v>
      </c>
      <c r="E1036">
        <v>7.9458035079435593E-2</v>
      </c>
      <c r="F1036">
        <v>7.9458035079435593E-2</v>
      </c>
    </row>
    <row r="1037" spans="1:6" x14ac:dyDescent="0.2">
      <c r="A1037">
        <v>480</v>
      </c>
      <c r="B1037" s="37" t="s">
        <v>1108</v>
      </c>
      <c r="C1037" s="1">
        <v>45421</v>
      </c>
      <c r="D1037" s="37" t="s">
        <v>1108</v>
      </c>
      <c r="E1037">
        <v>4.0817470993358702E-2</v>
      </c>
      <c r="F1037">
        <v>4.0817470993358702E-2</v>
      </c>
    </row>
    <row r="1038" spans="1:6" x14ac:dyDescent="0.2">
      <c r="A1038">
        <v>480</v>
      </c>
      <c r="B1038" s="37" t="s">
        <v>1109</v>
      </c>
      <c r="C1038" s="1">
        <v>45584</v>
      </c>
      <c r="D1038" s="37" t="s">
        <v>1109</v>
      </c>
      <c r="E1038">
        <v>0.30673194734230502</v>
      </c>
      <c r="F1038">
        <v>0.30673194734230502</v>
      </c>
    </row>
    <row r="1039" spans="1:6" x14ac:dyDescent="0.2">
      <c r="A1039">
        <v>481</v>
      </c>
      <c r="B1039" s="37" t="s">
        <v>1110</v>
      </c>
      <c r="C1039" s="1">
        <v>45481</v>
      </c>
      <c r="D1039" s="37" t="s">
        <v>1110</v>
      </c>
      <c r="E1039">
        <v>0.22459225322729201</v>
      </c>
      <c r="F1039">
        <v>0.22459225322729201</v>
      </c>
    </row>
    <row r="1040" spans="1:6" x14ac:dyDescent="0.2">
      <c r="A1040">
        <v>481</v>
      </c>
      <c r="B1040" s="37" t="s">
        <v>1111</v>
      </c>
      <c r="C1040" s="1">
        <v>45529</v>
      </c>
      <c r="D1040" s="37" t="s">
        <v>1111</v>
      </c>
      <c r="E1040">
        <v>0.28568443938131699</v>
      </c>
      <c r="F1040">
        <v>0.28568443938131699</v>
      </c>
    </row>
    <row r="1041" spans="1:6" x14ac:dyDescent="0.2">
      <c r="A1041">
        <v>481</v>
      </c>
      <c r="B1041" s="37" t="s">
        <v>1112</v>
      </c>
      <c r="C1041" s="1">
        <v>45583</v>
      </c>
      <c r="D1041" s="37" t="s">
        <v>1112</v>
      </c>
      <c r="E1041">
        <v>0.25241853205193199</v>
      </c>
      <c r="F1041">
        <v>0.25241853205193199</v>
      </c>
    </row>
    <row r="1042" spans="1:6" x14ac:dyDescent="0.2">
      <c r="A1042">
        <v>482</v>
      </c>
      <c r="B1042" s="37" t="s">
        <v>1113</v>
      </c>
      <c r="C1042" s="1">
        <v>45479</v>
      </c>
      <c r="D1042" s="37" t="s">
        <v>1113</v>
      </c>
      <c r="E1042">
        <v>8.8992199025072494E-2</v>
      </c>
      <c r="F1042">
        <v>8.8992199025072494E-2</v>
      </c>
    </row>
    <row r="1043" spans="1:6" x14ac:dyDescent="0.2">
      <c r="A1043">
        <v>483</v>
      </c>
      <c r="B1043" s="37" t="s">
        <v>1114</v>
      </c>
      <c r="C1043" s="1">
        <v>45358</v>
      </c>
      <c r="D1043" s="37" t="s">
        <v>1114</v>
      </c>
      <c r="E1043">
        <v>9.1323198361229305E-2</v>
      </c>
      <c r="F1043">
        <v>9.1323198361229305E-2</v>
      </c>
    </row>
    <row r="1044" spans="1:6" x14ac:dyDescent="0.2">
      <c r="A1044">
        <v>483</v>
      </c>
      <c r="B1044" s="37" t="s">
        <v>1115</v>
      </c>
      <c r="C1044" s="1">
        <v>45416</v>
      </c>
      <c r="D1044" s="37" t="s">
        <v>1115</v>
      </c>
      <c r="E1044">
        <v>8.5370209729317095E-2</v>
      </c>
      <c r="F1044">
        <v>8.5370209729317095E-2</v>
      </c>
    </row>
    <row r="1045" spans="1:6" x14ac:dyDescent="0.2">
      <c r="A1045">
        <v>483</v>
      </c>
      <c r="B1045" s="37" t="s">
        <v>1116</v>
      </c>
      <c r="C1045" s="1">
        <v>45315</v>
      </c>
      <c r="D1045" s="37" t="s">
        <v>1116</v>
      </c>
      <c r="E1045">
        <v>0.18187087669472199</v>
      </c>
      <c r="F1045">
        <v>0.18187087669472199</v>
      </c>
    </row>
    <row r="1046" spans="1:6" x14ac:dyDescent="0.2">
      <c r="A1046">
        <v>484</v>
      </c>
      <c r="B1046" s="37" t="s">
        <v>431</v>
      </c>
      <c r="C1046" s="1">
        <v>45607</v>
      </c>
      <c r="D1046" s="37" t="s">
        <v>431</v>
      </c>
      <c r="E1046">
        <v>0.58634490625559998</v>
      </c>
      <c r="F1046">
        <v>0.58634490625559998</v>
      </c>
    </row>
    <row r="1047" spans="1:6" x14ac:dyDescent="0.2">
      <c r="A1047">
        <v>484</v>
      </c>
      <c r="B1047" s="37" t="s">
        <v>432</v>
      </c>
      <c r="C1047" s="1">
        <v>45601</v>
      </c>
      <c r="D1047" s="37" t="s">
        <v>432</v>
      </c>
      <c r="E1047">
        <v>9.4648671474772197E-2</v>
      </c>
      <c r="F1047">
        <v>9.4648671474772197E-2</v>
      </c>
    </row>
    <row r="1048" spans="1:6" x14ac:dyDescent="0.2">
      <c r="A1048">
        <v>485</v>
      </c>
      <c r="B1048" s="37" t="s">
        <v>1117</v>
      </c>
      <c r="C1048" s="1">
        <v>45380</v>
      </c>
      <c r="D1048" s="37" t="s">
        <v>1117</v>
      </c>
      <c r="E1048">
        <v>0.41012184604528801</v>
      </c>
      <c r="F1048">
        <v>0.41012184604528801</v>
      </c>
    </row>
    <row r="1049" spans="1:6" x14ac:dyDescent="0.2">
      <c r="A1049">
        <v>486</v>
      </c>
      <c r="B1049" s="37" t="s">
        <v>1118</v>
      </c>
      <c r="C1049" s="1">
        <v>45312</v>
      </c>
      <c r="D1049" s="37" t="s">
        <v>1118</v>
      </c>
      <c r="E1049">
        <v>0.426301989619364</v>
      </c>
      <c r="F1049">
        <v>0.426301989619364</v>
      </c>
    </row>
    <row r="1050" spans="1:6" x14ac:dyDescent="0.2">
      <c r="A1050">
        <v>486</v>
      </c>
      <c r="B1050" s="37" t="s">
        <v>1119</v>
      </c>
      <c r="C1050" s="1">
        <v>45295</v>
      </c>
      <c r="D1050" s="37" t="s">
        <v>1119</v>
      </c>
      <c r="E1050">
        <v>5.1847832903089502E-2</v>
      </c>
      <c r="F1050">
        <v>5.1847832903089502E-2</v>
      </c>
    </row>
    <row r="1051" spans="1:6" x14ac:dyDescent="0.2">
      <c r="A1051">
        <v>486</v>
      </c>
      <c r="B1051" s="37" t="s">
        <v>286</v>
      </c>
      <c r="C1051" s="1">
        <v>45338</v>
      </c>
      <c r="D1051" s="37" t="s">
        <v>286</v>
      </c>
      <c r="E1051">
        <v>0.349945388736985</v>
      </c>
      <c r="F1051">
        <v>0.349945388736985</v>
      </c>
    </row>
    <row r="1052" spans="1:6" x14ac:dyDescent="0.2">
      <c r="A1052">
        <v>487</v>
      </c>
      <c r="B1052" s="37" t="s">
        <v>1120</v>
      </c>
      <c r="C1052" s="1">
        <v>45388</v>
      </c>
      <c r="D1052" s="37" t="s">
        <v>1120</v>
      </c>
      <c r="E1052">
        <v>9.0113884447706502E-2</v>
      </c>
      <c r="F1052">
        <v>9.0113884447706502E-2</v>
      </c>
    </row>
    <row r="1053" spans="1:6" x14ac:dyDescent="0.2">
      <c r="A1053">
        <v>487</v>
      </c>
      <c r="B1053" s="37" t="s">
        <v>1121</v>
      </c>
      <c r="C1053" s="1">
        <v>45638</v>
      </c>
      <c r="D1053" s="37" t="s">
        <v>1121</v>
      </c>
      <c r="E1053">
        <v>0.231480804945702</v>
      </c>
      <c r="F1053">
        <v>0.231480804945702</v>
      </c>
    </row>
    <row r="1054" spans="1:6" x14ac:dyDescent="0.2">
      <c r="A1054">
        <v>487</v>
      </c>
      <c r="B1054" s="37" t="s">
        <v>1122</v>
      </c>
      <c r="C1054" s="1">
        <v>45299</v>
      </c>
      <c r="D1054" s="37" t="s">
        <v>1122</v>
      </c>
      <c r="E1054">
        <v>3.9550317140426602E-2</v>
      </c>
      <c r="F1054">
        <v>3.9550317140426602E-2</v>
      </c>
    </row>
    <row r="1055" spans="1:6" x14ac:dyDescent="0.2">
      <c r="A1055">
        <v>488</v>
      </c>
      <c r="B1055" s="37" t="s">
        <v>433</v>
      </c>
      <c r="C1055" s="1">
        <v>45387</v>
      </c>
      <c r="D1055" s="37" t="s">
        <v>433</v>
      </c>
      <c r="E1055">
        <v>0.102422023408374</v>
      </c>
      <c r="F1055">
        <v>0.102422023408374</v>
      </c>
    </row>
    <row r="1056" spans="1:6" x14ac:dyDescent="0.2">
      <c r="A1056">
        <v>488</v>
      </c>
      <c r="B1056" s="37" t="s">
        <v>1123</v>
      </c>
      <c r="C1056" s="1">
        <v>45406</v>
      </c>
      <c r="D1056" s="37" t="s">
        <v>1123</v>
      </c>
      <c r="E1056">
        <v>0.122476226444921</v>
      </c>
      <c r="F1056">
        <v>0.122476226444921</v>
      </c>
    </row>
    <row r="1057" spans="1:6" x14ac:dyDescent="0.2">
      <c r="A1057">
        <v>489</v>
      </c>
      <c r="B1057" s="37" t="s">
        <v>434</v>
      </c>
      <c r="C1057" s="1">
        <v>45307</v>
      </c>
      <c r="D1057" s="37" t="s">
        <v>434</v>
      </c>
      <c r="E1057">
        <v>0.15939653327863099</v>
      </c>
      <c r="F1057">
        <v>0.15939653327863099</v>
      </c>
    </row>
    <row r="1058" spans="1:6" x14ac:dyDescent="0.2">
      <c r="A1058">
        <v>489</v>
      </c>
      <c r="B1058" s="37" t="s">
        <v>1124</v>
      </c>
      <c r="C1058" s="1">
        <v>45321</v>
      </c>
      <c r="D1058" s="37" t="s">
        <v>1124</v>
      </c>
      <c r="E1058">
        <v>0.12628311444155299</v>
      </c>
      <c r="F1058">
        <v>0.12628311444155299</v>
      </c>
    </row>
    <row r="1059" spans="1:6" x14ac:dyDescent="0.2">
      <c r="A1059">
        <v>490</v>
      </c>
      <c r="B1059" s="37" t="s">
        <v>435</v>
      </c>
      <c r="C1059" s="1">
        <v>45528</v>
      </c>
      <c r="D1059" s="37" t="s">
        <v>435</v>
      </c>
      <c r="E1059">
        <v>0.15915206418130701</v>
      </c>
      <c r="F1059">
        <v>0.15915206418130701</v>
      </c>
    </row>
    <row r="1060" spans="1:6" x14ac:dyDescent="0.2">
      <c r="A1060">
        <v>492</v>
      </c>
      <c r="B1060" s="37" t="s">
        <v>1125</v>
      </c>
      <c r="C1060" s="1">
        <v>45401</v>
      </c>
      <c r="D1060" s="37" t="s">
        <v>1125</v>
      </c>
      <c r="E1060">
        <v>0.35976593489349101</v>
      </c>
      <c r="F1060">
        <v>0.35976593489349101</v>
      </c>
    </row>
    <row r="1061" spans="1:6" x14ac:dyDescent="0.2">
      <c r="A1061">
        <v>492</v>
      </c>
      <c r="B1061" s="37" t="s">
        <v>1126</v>
      </c>
      <c r="C1061" s="1">
        <v>45542</v>
      </c>
      <c r="D1061" s="37" t="s">
        <v>1126</v>
      </c>
      <c r="E1061">
        <v>0.19256140450644499</v>
      </c>
      <c r="F1061">
        <v>0.19256140450644499</v>
      </c>
    </row>
    <row r="1062" spans="1:6" x14ac:dyDescent="0.2">
      <c r="A1062">
        <v>492</v>
      </c>
      <c r="B1062" s="37" t="s">
        <v>1127</v>
      </c>
      <c r="C1062" s="1">
        <v>45320</v>
      </c>
      <c r="D1062" s="37" t="s">
        <v>1127</v>
      </c>
      <c r="E1062">
        <v>0.33715762583284797</v>
      </c>
      <c r="F1062">
        <v>0.33715762583284797</v>
      </c>
    </row>
    <row r="1063" spans="1:6" x14ac:dyDescent="0.2">
      <c r="A1063">
        <v>492</v>
      </c>
      <c r="B1063" s="37" t="s">
        <v>213</v>
      </c>
      <c r="C1063" s="1">
        <v>45635</v>
      </c>
      <c r="D1063" s="37" t="s">
        <v>213</v>
      </c>
      <c r="E1063">
        <v>0.44863378739878901</v>
      </c>
      <c r="F1063">
        <v>0.44863378739878901</v>
      </c>
    </row>
    <row r="1064" spans="1:6" x14ac:dyDescent="0.2">
      <c r="A1064">
        <v>493</v>
      </c>
      <c r="B1064" s="37" t="s">
        <v>1128</v>
      </c>
      <c r="C1064" s="1">
        <v>45372</v>
      </c>
      <c r="D1064" s="37" t="s">
        <v>1128</v>
      </c>
      <c r="E1064">
        <v>0.146814725088592</v>
      </c>
      <c r="F1064">
        <v>0.146814725088592</v>
      </c>
    </row>
    <row r="1065" spans="1:6" x14ac:dyDescent="0.2">
      <c r="A1065">
        <v>493</v>
      </c>
      <c r="B1065" s="37" t="s">
        <v>1129</v>
      </c>
      <c r="C1065" s="1">
        <v>45430</v>
      </c>
      <c r="D1065" s="37" t="s">
        <v>1129</v>
      </c>
      <c r="E1065">
        <v>5.6321623990083398E-2</v>
      </c>
      <c r="F1065">
        <v>5.6321623990083398E-2</v>
      </c>
    </row>
    <row r="1066" spans="1:6" x14ac:dyDescent="0.2">
      <c r="A1066">
        <v>494</v>
      </c>
      <c r="B1066" s="37" t="s">
        <v>1130</v>
      </c>
      <c r="C1066" s="1">
        <v>45363</v>
      </c>
      <c r="D1066" s="37" t="s">
        <v>1130</v>
      </c>
      <c r="E1066">
        <v>0.15014780433122599</v>
      </c>
      <c r="F1066">
        <v>0.15014780433122599</v>
      </c>
    </row>
    <row r="1067" spans="1:6" x14ac:dyDescent="0.2">
      <c r="A1067">
        <v>494</v>
      </c>
      <c r="B1067" s="37" t="s">
        <v>1131</v>
      </c>
      <c r="C1067" s="1">
        <v>45445</v>
      </c>
      <c r="D1067" s="37" t="s">
        <v>1131</v>
      </c>
      <c r="E1067">
        <v>0.13858451589380999</v>
      </c>
      <c r="F1067">
        <v>0.13858451589380999</v>
      </c>
    </row>
    <row r="1068" spans="1:6" x14ac:dyDescent="0.2">
      <c r="A1068">
        <v>495</v>
      </c>
      <c r="B1068" s="37" t="s">
        <v>1132</v>
      </c>
      <c r="C1068" s="1">
        <v>45533</v>
      </c>
      <c r="D1068" s="37" t="s">
        <v>1132</v>
      </c>
      <c r="E1068">
        <v>0.11840329547244299</v>
      </c>
      <c r="F1068">
        <v>0.11840329547244299</v>
      </c>
    </row>
    <row r="1069" spans="1:6" x14ac:dyDescent="0.2">
      <c r="A1069">
        <v>495</v>
      </c>
      <c r="B1069" s="37" t="s">
        <v>436</v>
      </c>
      <c r="C1069" s="1">
        <v>45439</v>
      </c>
      <c r="D1069" s="37" t="s">
        <v>436</v>
      </c>
      <c r="E1069">
        <v>0.32994696078777502</v>
      </c>
      <c r="F1069">
        <v>0.32994696078777502</v>
      </c>
    </row>
    <row r="1070" spans="1:6" x14ac:dyDescent="0.2">
      <c r="A1070">
        <v>495</v>
      </c>
      <c r="B1070" s="37" t="s">
        <v>437</v>
      </c>
      <c r="C1070" s="1">
        <v>45533</v>
      </c>
      <c r="D1070" s="37" t="s">
        <v>437</v>
      </c>
      <c r="E1070">
        <v>0.15370482756158901</v>
      </c>
      <c r="F1070">
        <v>0.15370482756158901</v>
      </c>
    </row>
    <row r="1071" spans="1:6" x14ac:dyDescent="0.2">
      <c r="A1071">
        <v>497</v>
      </c>
      <c r="B1071" s="37" t="s">
        <v>1133</v>
      </c>
      <c r="C1071" s="1">
        <v>45450</v>
      </c>
      <c r="D1071" s="37" t="s">
        <v>1133</v>
      </c>
      <c r="E1071">
        <v>0.20534114449333801</v>
      </c>
      <c r="F1071">
        <v>0.20534114449333801</v>
      </c>
    </row>
    <row r="1072" spans="1:6" x14ac:dyDescent="0.2">
      <c r="A1072">
        <v>497</v>
      </c>
      <c r="B1072" s="37" t="s">
        <v>1134</v>
      </c>
      <c r="C1072" s="1">
        <v>45655</v>
      </c>
      <c r="D1072" s="37" t="s">
        <v>1134</v>
      </c>
      <c r="E1072">
        <v>0.40876828857173397</v>
      </c>
      <c r="F1072">
        <v>0.40876828857173397</v>
      </c>
    </row>
    <row r="1073" spans="1:6" x14ac:dyDescent="0.2">
      <c r="A1073">
        <v>497</v>
      </c>
      <c r="B1073" s="37" t="s">
        <v>438</v>
      </c>
      <c r="C1073" s="1">
        <v>45599</v>
      </c>
      <c r="D1073" s="37" t="s">
        <v>438</v>
      </c>
      <c r="E1073">
        <v>0.10643552302105</v>
      </c>
      <c r="F1073">
        <v>0.10643552302105</v>
      </c>
    </row>
    <row r="1074" spans="1:6" x14ac:dyDescent="0.2">
      <c r="A1074">
        <v>498</v>
      </c>
      <c r="B1074" s="37" t="s">
        <v>1135</v>
      </c>
      <c r="C1074" s="1">
        <v>45395</v>
      </c>
      <c r="D1074" s="37" t="s">
        <v>1135</v>
      </c>
      <c r="E1074">
        <v>0.104883625885606</v>
      </c>
      <c r="F1074">
        <v>0.104883625885606</v>
      </c>
    </row>
    <row r="1075" spans="1:6" x14ac:dyDescent="0.2">
      <c r="A1075">
        <v>498</v>
      </c>
      <c r="B1075" s="37" t="s">
        <v>1136</v>
      </c>
      <c r="C1075" s="1">
        <v>45353</v>
      </c>
      <c r="D1075" s="37" t="s">
        <v>1136</v>
      </c>
      <c r="E1075">
        <v>0.196045263700414</v>
      </c>
      <c r="F1075">
        <v>0.196045263700414</v>
      </c>
    </row>
    <row r="1076" spans="1:6" x14ac:dyDescent="0.2">
      <c r="A1076">
        <v>498</v>
      </c>
      <c r="B1076" s="37" t="s">
        <v>1137</v>
      </c>
      <c r="C1076" s="1">
        <v>45297</v>
      </c>
      <c r="D1076" s="37" t="s">
        <v>1137</v>
      </c>
      <c r="E1076">
        <v>0.12424722715535</v>
      </c>
      <c r="F1076">
        <v>0.12424722715535</v>
      </c>
    </row>
    <row r="1077" spans="1:6" x14ac:dyDescent="0.2">
      <c r="A1077">
        <v>498</v>
      </c>
      <c r="B1077" s="37" t="s">
        <v>1138</v>
      </c>
      <c r="C1077" s="1">
        <v>45546</v>
      </c>
      <c r="D1077" s="37" t="s">
        <v>1138</v>
      </c>
      <c r="E1077">
        <v>0.15866734059426699</v>
      </c>
      <c r="F1077">
        <v>0.15866734059426699</v>
      </c>
    </row>
    <row r="1078" spans="1:6" x14ac:dyDescent="0.2">
      <c r="A1078">
        <v>499</v>
      </c>
      <c r="B1078" s="37" t="s">
        <v>1139</v>
      </c>
      <c r="C1078" s="1">
        <v>45341</v>
      </c>
      <c r="D1078" s="37" t="s">
        <v>1139</v>
      </c>
      <c r="E1078">
        <v>0.21296551258903301</v>
      </c>
      <c r="F1078">
        <v>0.21296551258903301</v>
      </c>
    </row>
    <row r="1079" spans="1:6" x14ac:dyDescent="0.2">
      <c r="A1079">
        <v>499</v>
      </c>
      <c r="B1079" s="37" t="s">
        <v>1140</v>
      </c>
      <c r="C1079" s="1">
        <v>45493</v>
      </c>
      <c r="D1079" s="37" t="s">
        <v>1140</v>
      </c>
      <c r="E1079">
        <v>0.29194618087912499</v>
      </c>
      <c r="F1079">
        <v>0.29194618087912499</v>
      </c>
    </row>
    <row r="1080" spans="1:6" x14ac:dyDescent="0.2">
      <c r="A1080">
        <v>500</v>
      </c>
      <c r="B1080" s="37" t="s">
        <v>1141</v>
      </c>
      <c r="C1080" s="1">
        <v>45556</v>
      </c>
      <c r="D1080" s="37" t="s">
        <v>1141</v>
      </c>
      <c r="E1080">
        <v>7.4066375877259893E-2</v>
      </c>
      <c r="F1080">
        <v>7.4066375877259893E-2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G1082"/>
  <sheetViews>
    <sheetView workbookViewId="0">
      <selection activeCell="H11" sqref="H11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7" max="7" width="13.1640625" customWidth="1"/>
    <col min="10" max="10" width="17.6640625" customWidth="1"/>
  </cols>
  <sheetData>
    <row r="1" spans="2:7" x14ac:dyDescent="0.2">
      <c r="B1" t="s">
        <v>29</v>
      </c>
    </row>
    <row r="3" spans="2:7" x14ac:dyDescent="0.2">
      <c r="B3" t="s">
        <v>28</v>
      </c>
      <c r="C3" t="s">
        <v>40</v>
      </c>
    </row>
    <row r="4" spans="2:7" x14ac:dyDescent="0.2">
      <c r="B4" cm="1">
        <f t="array" ref="B4:B1082">_xlfn._xlws.SORT(_xlfn.UNIQUE(claimSimResults[ValidClaimAmount]), 1, -1)</f>
        <v>1.3216959996089399</v>
      </c>
      <c r="C4" cm="1">
        <f t="array" ref="C4:C1082">_xlfn.BYROW(_xlfn.ANCHORARRAY(B4), _xlfn.LAMBDA(_xlpm.x, COUNTIF(claimSimResults[ValidClaimAmount], "&lt;=" &amp; _xlpm.x) / COUNT(claimSimResults[ValidClaimAmount])))</f>
        <v>1</v>
      </c>
    </row>
    <row r="5" spans="2:7" x14ac:dyDescent="0.2">
      <c r="B5">
        <v>0.82479703234787705</v>
      </c>
      <c r="C5">
        <v>0.99907321594068577</v>
      </c>
      <c r="G5" s="4"/>
    </row>
    <row r="6" spans="2:7" x14ac:dyDescent="0.2">
      <c r="B6">
        <v>0.82411373616204697</v>
      </c>
      <c r="C6">
        <v>0.99814643188137164</v>
      </c>
    </row>
    <row r="7" spans="2:7" x14ac:dyDescent="0.2">
      <c r="B7">
        <v>0.80117047458104595</v>
      </c>
      <c r="C7">
        <v>0.99721964782205741</v>
      </c>
    </row>
    <row r="8" spans="2:7" x14ac:dyDescent="0.2">
      <c r="B8">
        <v>0.74845850284328697</v>
      </c>
      <c r="C8">
        <v>0.99629286376274329</v>
      </c>
    </row>
    <row r="9" spans="2:7" x14ac:dyDescent="0.2">
      <c r="B9">
        <v>0.739180709379193</v>
      </c>
      <c r="C9">
        <v>0.99536607970342905</v>
      </c>
    </row>
    <row r="10" spans="2:7" x14ac:dyDescent="0.2">
      <c r="B10">
        <v>0.69741303600483695</v>
      </c>
      <c r="C10">
        <v>0.99443929564411493</v>
      </c>
    </row>
    <row r="11" spans="2:7" x14ac:dyDescent="0.2">
      <c r="B11">
        <v>0.69315674368800195</v>
      </c>
      <c r="C11">
        <v>0.99351251158480069</v>
      </c>
    </row>
    <row r="12" spans="2:7" x14ac:dyDescent="0.2">
      <c r="B12">
        <v>0.68824397677830496</v>
      </c>
      <c r="C12">
        <v>0.99258572752548657</v>
      </c>
    </row>
    <row r="13" spans="2:7" x14ac:dyDescent="0.2">
      <c r="B13">
        <v>0.68089106136285305</v>
      </c>
      <c r="C13">
        <v>0.99165894346617234</v>
      </c>
    </row>
    <row r="14" spans="2:7" x14ac:dyDescent="0.2">
      <c r="B14">
        <v>0.66647115688141501</v>
      </c>
      <c r="C14">
        <v>0.99073215940685821</v>
      </c>
    </row>
    <row r="15" spans="2:7" x14ac:dyDescent="0.2">
      <c r="B15">
        <v>0.66079939895464102</v>
      </c>
      <c r="C15">
        <v>0.98980537534754398</v>
      </c>
    </row>
    <row r="16" spans="2:7" x14ac:dyDescent="0.2">
      <c r="B16">
        <v>0.65903842511448596</v>
      </c>
      <c r="C16">
        <v>0.98887859128822986</v>
      </c>
    </row>
    <row r="17" spans="2:3" x14ac:dyDescent="0.2">
      <c r="B17">
        <v>0.63437632147206002</v>
      </c>
      <c r="C17">
        <v>0.98795180722891562</v>
      </c>
    </row>
    <row r="18" spans="2:3" x14ac:dyDescent="0.2">
      <c r="B18">
        <v>0.63341590624447996</v>
      </c>
      <c r="C18">
        <v>0.9870250231696015</v>
      </c>
    </row>
    <row r="19" spans="2:3" x14ac:dyDescent="0.2">
      <c r="B19">
        <v>0.63170735929396005</v>
      </c>
      <c r="C19">
        <v>0.98609823911028727</v>
      </c>
    </row>
    <row r="20" spans="2:3" x14ac:dyDescent="0.2">
      <c r="B20">
        <v>0.63125042610126203</v>
      </c>
      <c r="C20">
        <v>0.98517145505097314</v>
      </c>
    </row>
    <row r="21" spans="2:3" x14ac:dyDescent="0.2">
      <c r="B21">
        <v>0.63024794251342597</v>
      </c>
      <c r="C21">
        <v>0.98424467099165891</v>
      </c>
    </row>
    <row r="22" spans="2:3" x14ac:dyDescent="0.2">
      <c r="B22">
        <v>0.62924180795679896</v>
      </c>
      <c r="C22">
        <v>0.98331788693234479</v>
      </c>
    </row>
    <row r="23" spans="2:3" x14ac:dyDescent="0.2">
      <c r="B23">
        <v>0.60718763946318799</v>
      </c>
      <c r="C23">
        <v>0.98239110287303055</v>
      </c>
    </row>
    <row r="24" spans="2:3" x14ac:dyDescent="0.2">
      <c r="B24">
        <v>0.59389175402847305</v>
      </c>
      <c r="C24">
        <v>0.98146431881371643</v>
      </c>
    </row>
    <row r="25" spans="2:3" x14ac:dyDescent="0.2">
      <c r="B25">
        <v>0.59201291312631399</v>
      </c>
      <c r="C25">
        <v>0.9805375347544022</v>
      </c>
    </row>
    <row r="26" spans="2:3" x14ac:dyDescent="0.2">
      <c r="B26">
        <v>0.59187521059960502</v>
      </c>
      <c r="C26">
        <v>0.97961075069508807</v>
      </c>
    </row>
    <row r="27" spans="2:3" x14ac:dyDescent="0.2">
      <c r="B27">
        <v>0.59124913629422804</v>
      </c>
      <c r="C27">
        <v>0.97868396663577384</v>
      </c>
    </row>
    <row r="28" spans="2:3" x14ac:dyDescent="0.2">
      <c r="B28">
        <v>0.58634490625559998</v>
      </c>
      <c r="C28">
        <v>0.97775718257645972</v>
      </c>
    </row>
    <row r="29" spans="2:3" x14ac:dyDescent="0.2">
      <c r="B29">
        <v>0.58380621575957803</v>
      </c>
      <c r="C29">
        <v>0.97683039851714548</v>
      </c>
    </row>
    <row r="30" spans="2:3" x14ac:dyDescent="0.2">
      <c r="B30">
        <v>0.57378924087718397</v>
      </c>
      <c r="C30">
        <v>0.97590361445783136</v>
      </c>
    </row>
    <row r="31" spans="2:3" x14ac:dyDescent="0.2">
      <c r="B31">
        <v>0.56229895079520897</v>
      </c>
      <c r="C31">
        <v>0.97497683039851712</v>
      </c>
    </row>
    <row r="32" spans="2:3" x14ac:dyDescent="0.2">
      <c r="B32">
        <v>0.56017569687120605</v>
      </c>
      <c r="C32">
        <v>0.974050046339203</v>
      </c>
    </row>
    <row r="33" spans="2:3" x14ac:dyDescent="0.2">
      <c r="B33">
        <v>0.55930314589438701</v>
      </c>
      <c r="C33">
        <v>0.97312326227988877</v>
      </c>
    </row>
    <row r="34" spans="2:3" x14ac:dyDescent="0.2">
      <c r="B34">
        <v>0.55558513203422999</v>
      </c>
      <c r="C34">
        <v>0.97219647822057464</v>
      </c>
    </row>
    <row r="35" spans="2:3" x14ac:dyDescent="0.2">
      <c r="B35">
        <v>0.55268440035484301</v>
      </c>
      <c r="C35">
        <v>0.97126969416126041</v>
      </c>
    </row>
    <row r="36" spans="2:3" x14ac:dyDescent="0.2">
      <c r="B36">
        <v>0.55086646970735598</v>
      </c>
      <c r="C36">
        <v>0.97034291010194629</v>
      </c>
    </row>
    <row r="37" spans="2:3" x14ac:dyDescent="0.2">
      <c r="B37">
        <v>0.54528053839287305</v>
      </c>
      <c r="C37">
        <v>0.96941612604263205</v>
      </c>
    </row>
    <row r="38" spans="2:3" x14ac:dyDescent="0.2">
      <c r="B38">
        <v>0.53151125878660499</v>
      </c>
      <c r="C38">
        <v>0.96848934198331793</v>
      </c>
    </row>
    <row r="39" spans="2:3" x14ac:dyDescent="0.2">
      <c r="B39">
        <v>0.52817457935359702</v>
      </c>
      <c r="C39">
        <v>0.9675625579240037</v>
      </c>
    </row>
    <row r="40" spans="2:3" x14ac:dyDescent="0.2">
      <c r="B40">
        <v>0.52182773047275499</v>
      </c>
      <c r="C40">
        <v>0.96663577386468957</v>
      </c>
    </row>
    <row r="41" spans="2:3" x14ac:dyDescent="0.2">
      <c r="B41">
        <v>0.50474076993594896</v>
      </c>
      <c r="C41">
        <v>0.96570898980537534</v>
      </c>
    </row>
    <row r="42" spans="2:3" x14ac:dyDescent="0.2">
      <c r="B42">
        <v>0.50432700023852906</v>
      </c>
      <c r="C42">
        <v>0.96478220574606122</v>
      </c>
    </row>
    <row r="43" spans="2:3" x14ac:dyDescent="0.2">
      <c r="B43">
        <v>0.50197779609728699</v>
      </c>
      <c r="C43">
        <v>0.96385542168674698</v>
      </c>
    </row>
    <row r="44" spans="2:3" x14ac:dyDescent="0.2">
      <c r="B44">
        <v>0.50105841588789501</v>
      </c>
      <c r="C44">
        <v>0.96292863762743286</v>
      </c>
    </row>
    <row r="45" spans="2:3" x14ac:dyDescent="0.2">
      <c r="B45">
        <v>0.49643637333562801</v>
      </c>
      <c r="C45">
        <v>0.96200185356811863</v>
      </c>
    </row>
    <row r="46" spans="2:3" x14ac:dyDescent="0.2">
      <c r="B46">
        <v>0.49629040590179702</v>
      </c>
      <c r="C46">
        <v>0.9610750695088045</v>
      </c>
    </row>
    <row r="47" spans="2:3" x14ac:dyDescent="0.2">
      <c r="B47">
        <v>0.49550147252566301</v>
      </c>
      <c r="C47">
        <v>0.96014828544949027</v>
      </c>
    </row>
    <row r="48" spans="2:3" x14ac:dyDescent="0.2">
      <c r="B48">
        <v>0.490999001533235</v>
      </c>
      <c r="C48">
        <v>0.95922150139017603</v>
      </c>
    </row>
    <row r="49" spans="2:3" x14ac:dyDescent="0.2">
      <c r="B49">
        <v>0.49010743586837202</v>
      </c>
      <c r="C49">
        <v>0.95829471733086191</v>
      </c>
    </row>
    <row r="50" spans="2:3" x14ac:dyDescent="0.2">
      <c r="B50">
        <v>0.48746849873839798</v>
      </c>
      <c r="C50">
        <v>0.95736793327154768</v>
      </c>
    </row>
    <row r="51" spans="2:3" x14ac:dyDescent="0.2">
      <c r="B51">
        <v>0.47960398416517103</v>
      </c>
      <c r="C51">
        <v>0.95644114921223355</v>
      </c>
    </row>
    <row r="52" spans="2:3" x14ac:dyDescent="0.2">
      <c r="B52">
        <v>0.47766316449212298</v>
      </c>
      <c r="C52">
        <v>0.95551436515291932</v>
      </c>
    </row>
    <row r="53" spans="2:3" x14ac:dyDescent="0.2">
      <c r="B53">
        <v>0.47682087928962402</v>
      </c>
      <c r="C53">
        <v>0.9545875810936052</v>
      </c>
    </row>
    <row r="54" spans="2:3" x14ac:dyDescent="0.2">
      <c r="B54">
        <v>0.47397616659637998</v>
      </c>
      <c r="C54">
        <v>0.95366079703429096</v>
      </c>
    </row>
    <row r="55" spans="2:3" x14ac:dyDescent="0.2">
      <c r="B55">
        <v>0.46528762618601099</v>
      </c>
      <c r="C55">
        <v>0.95273401297497684</v>
      </c>
    </row>
    <row r="56" spans="2:3" x14ac:dyDescent="0.2">
      <c r="B56">
        <v>0.46427333921420499</v>
      </c>
      <c r="C56">
        <v>0.95180722891566261</v>
      </c>
    </row>
    <row r="57" spans="2:3" x14ac:dyDescent="0.2">
      <c r="B57">
        <v>0.45759539652638898</v>
      </c>
      <c r="C57">
        <v>0.95088044485634848</v>
      </c>
    </row>
    <row r="58" spans="2:3" x14ac:dyDescent="0.2">
      <c r="B58">
        <v>0.45479235941082502</v>
      </c>
      <c r="C58">
        <v>0.94995366079703425</v>
      </c>
    </row>
    <row r="59" spans="2:3" x14ac:dyDescent="0.2">
      <c r="B59">
        <v>0.454495055978478</v>
      </c>
      <c r="C59">
        <v>0.94902687673772013</v>
      </c>
    </row>
    <row r="60" spans="2:3" x14ac:dyDescent="0.2">
      <c r="B60">
        <v>0.45064743571176002</v>
      </c>
      <c r="C60">
        <v>0.94810009267840589</v>
      </c>
    </row>
    <row r="61" spans="2:3" x14ac:dyDescent="0.2">
      <c r="B61">
        <v>0.44942175780266802</v>
      </c>
      <c r="C61">
        <v>0.94717330861909177</v>
      </c>
    </row>
    <row r="62" spans="2:3" x14ac:dyDescent="0.2">
      <c r="B62">
        <v>0.44903848570090898</v>
      </c>
      <c r="C62">
        <v>0.94624652455977754</v>
      </c>
    </row>
    <row r="63" spans="2:3" x14ac:dyDescent="0.2">
      <c r="B63">
        <v>0.44863378739878901</v>
      </c>
      <c r="C63">
        <v>0.94531974050046341</v>
      </c>
    </row>
    <row r="64" spans="2:3" x14ac:dyDescent="0.2">
      <c r="B64">
        <v>0.44761159140213502</v>
      </c>
      <c r="C64">
        <v>0.94439295644114918</v>
      </c>
    </row>
    <row r="65" spans="2:3" x14ac:dyDescent="0.2">
      <c r="B65">
        <v>0.444768804888307</v>
      </c>
      <c r="C65">
        <v>0.94346617238183506</v>
      </c>
    </row>
    <row r="66" spans="2:3" x14ac:dyDescent="0.2">
      <c r="B66">
        <v>0.43850946331033203</v>
      </c>
      <c r="C66">
        <v>0.94253938832252082</v>
      </c>
    </row>
    <row r="67" spans="2:3" x14ac:dyDescent="0.2">
      <c r="B67">
        <v>0.43550514016862502</v>
      </c>
      <c r="C67">
        <v>0.9416126042632067</v>
      </c>
    </row>
    <row r="68" spans="2:3" x14ac:dyDescent="0.2">
      <c r="B68">
        <v>0.43441638346654099</v>
      </c>
      <c r="C68">
        <v>0.94068582020389246</v>
      </c>
    </row>
    <row r="69" spans="2:3" x14ac:dyDescent="0.2">
      <c r="B69">
        <v>0.43161776248361999</v>
      </c>
      <c r="C69">
        <v>0.93975903614457834</v>
      </c>
    </row>
    <row r="70" spans="2:3" x14ac:dyDescent="0.2">
      <c r="B70">
        <v>0.431428292099862</v>
      </c>
      <c r="C70">
        <v>0.93883225208526411</v>
      </c>
    </row>
    <row r="71" spans="2:3" x14ac:dyDescent="0.2">
      <c r="B71">
        <v>0.42904462929037201</v>
      </c>
      <c r="C71">
        <v>0.93790546802594998</v>
      </c>
    </row>
    <row r="72" spans="2:3" x14ac:dyDescent="0.2">
      <c r="B72">
        <v>0.42760064996911401</v>
      </c>
      <c r="C72">
        <v>0.93697868396663575</v>
      </c>
    </row>
    <row r="73" spans="2:3" x14ac:dyDescent="0.2">
      <c r="B73">
        <v>0.42682193059753099</v>
      </c>
      <c r="C73">
        <v>0.93605189990732163</v>
      </c>
    </row>
    <row r="74" spans="2:3" x14ac:dyDescent="0.2">
      <c r="B74">
        <v>0.426301989619364</v>
      </c>
      <c r="C74">
        <v>0.93512511584800739</v>
      </c>
    </row>
    <row r="75" spans="2:3" x14ac:dyDescent="0.2">
      <c r="B75">
        <v>0.42540339168410002</v>
      </c>
      <c r="C75">
        <v>0.93419833178869327</v>
      </c>
    </row>
    <row r="76" spans="2:3" x14ac:dyDescent="0.2">
      <c r="B76">
        <v>0.42251083860002298</v>
      </c>
      <c r="C76">
        <v>0.93327154772937904</v>
      </c>
    </row>
    <row r="77" spans="2:3" x14ac:dyDescent="0.2">
      <c r="B77">
        <v>0.420872810960289</v>
      </c>
      <c r="C77">
        <v>0.93234476367006491</v>
      </c>
    </row>
    <row r="78" spans="2:3" x14ac:dyDescent="0.2">
      <c r="B78">
        <v>0.41743538241147499</v>
      </c>
      <c r="C78">
        <v>0.93141797961075068</v>
      </c>
    </row>
    <row r="79" spans="2:3" x14ac:dyDescent="0.2">
      <c r="B79">
        <v>0.41651107107027802</v>
      </c>
      <c r="C79">
        <v>0.93049119555143656</v>
      </c>
    </row>
    <row r="80" spans="2:3" x14ac:dyDescent="0.2">
      <c r="B80">
        <v>0.41606964869207202</v>
      </c>
      <c r="C80">
        <v>0.92956441149212232</v>
      </c>
    </row>
    <row r="81" spans="2:3" x14ac:dyDescent="0.2">
      <c r="B81">
        <v>0.41542000447231398</v>
      </c>
      <c r="C81">
        <v>0.9286376274328082</v>
      </c>
    </row>
    <row r="82" spans="2:3" x14ac:dyDescent="0.2">
      <c r="B82">
        <v>0.414755820369623</v>
      </c>
      <c r="C82">
        <v>0.92771084337349397</v>
      </c>
    </row>
    <row r="83" spans="2:3" x14ac:dyDescent="0.2">
      <c r="B83">
        <v>0.413322598453296</v>
      </c>
      <c r="C83">
        <v>0.92678405931417984</v>
      </c>
    </row>
    <row r="84" spans="2:3" x14ac:dyDescent="0.2">
      <c r="B84">
        <v>0.41012184604528801</v>
      </c>
      <c r="C84">
        <v>0.92585727525486561</v>
      </c>
    </row>
    <row r="85" spans="2:3" x14ac:dyDescent="0.2">
      <c r="B85">
        <v>0.40965729921928601</v>
      </c>
      <c r="C85">
        <v>0.92493049119555149</v>
      </c>
    </row>
    <row r="86" spans="2:3" x14ac:dyDescent="0.2">
      <c r="B86">
        <v>0.40965300373313601</v>
      </c>
      <c r="C86">
        <v>0.92400370713623725</v>
      </c>
    </row>
    <row r="87" spans="2:3" x14ac:dyDescent="0.2">
      <c r="B87">
        <v>0.40876828857173397</v>
      </c>
      <c r="C87">
        <v>0.92307692307692313</v>
      </c>
    </row>
    <row r="88" spans="2:3" x14ac:dyDescent="0.2">
      <c r="B88">
        <v>0.40861786266796801</v>
      </c>
      <c r="C88">
        <v>0.92215013901760889</v>
      </c>
    </row>
    <row r="89" spans="2:3" x14ac:dyDescent="0.2">
      <c r="B89">
        <v>0.40782972343111001</v>
      </c>
      <c r="C89">
        <v>0.92122335495829477</v>
      </c>
    </row>
    <row r="90" spans="2:3" x14ac:dyDescent="0.2">
      <c r="B90">
        <v>0.405487033558801</v>
      </c>
      <c r="C90">
        <v>0.92029657089898054</v>
      </c>
    </row>
    <row r="91" spans="2:3" x14ac:dyDescent="0.2">
      <c r="B91">
        <v>0.40520496805306</v>
      </c>
      <c r="C91">
        <v>0.9193697868396663</v>
      </c>
    </row>
    <row r="92" spans="2:3" x14ac:dyDescent="0.2">
      <c r="B92">
        <v>0.40497486276182498</v>
      </c>
      <c r="C92">
        <v>0.91844300278035218</v>
      </c>
    </row>
    <row r="93" spans="2:3" x14ac:dyDescent="0.2">
      <c r="B93">
        <v>0.40391320746798798</v>
      </c>
      <c r="C93">
        <v>0.91751621872103795</v>
      </c>
    </row>
    <row r="94" spans="2:3" x14ac:dyDescent="0.2">
      <c r="B94">
        <v>0.40306667133982299</v>
      </c>
      <c r="C94">
        <v>0.91658943466172382</v>
      </c>
    </row>
    <row r="95" spans="2:3" x14ac:dyDescent="0.2">
      <c r="B95">
        <v>0.40170125111189903</v>
      </c>
      <c r="C95">
        <v>0.91566265060240959</v>
      </c>
    </row>
    <row r="96" spans="2:3" x14ac:dyDescent="0.2">
      <c r="B96">
        <v>0.39936550524465803</v>
      </c>
      <c r="C96">
        <v>0.91473586654309547</v>
      </c>
    </row>
    <row r="97" spans="2:3" x14ac:dyDescent="0.2">
      <c r="B97">
        <v>0.39845229544225003</v>
      </c>
      <c r="C97">
        <v>0.91380908248378123</v>
      </c>
    </row>
    <row r="98" spans="2:3" x14ac:dyDescent="0.2">
      <c r="B98">
        <v>0.396943307276165</v>
      </c>
      <c r="C98">
        <v>0.91288229842446711</v>
      </c>
    </row>
    <row r="99" spans="2:3" x14ac:dyDescent="0.2">
      <c r="B99">
        <v>0.39417863954350202</v>
      </c>
      <c r="C99">
        <v>0.91195551436515288</v>
      </c>
    </row>
    <row r="100" spans="2:3" x14ac:dyDescent="0.2">
      <c r="B100">
        <v>0.39397583782988199</v>
      </c>
      <c r="C100">
        <v>0.91102873030583875</v>
      </c>
    </row>
    <row r="101" spans="2:3" x14ac:dyDescent="0.2">
      <c r="B101">
        <v>0.393780300323959</v>
      </c>
      <c r="C101">
        <v>0.91010194624652452</v>
      </c>
    </row>
    <row r="102" spans="2:3" x14ac:dyDescent="0.2">
      <c r="B102">
        <v>0.39241335243050701</v>
      </c>
      <c r="C102">
        <v>0.9091751621872104</v>
      </c>
    </row>
    <row r="103" spans="2:3" x14ac:dyDescent="0.2">
      <c r="B103">
        <v>0.39240679603218898</v>
      </c>
      <c r="C103">
        <v>0.90824837812789616</v>
      </c>
    </row>
    <row r="104" spans="2:3" x14ac:dyDescent="0.2">
      <c r="B104">
        <v>0.38992992633411599</v>
      </c>
      <c r="C104">
        <v>0.90732159406858204</v>
      </c>
    </row>
    <row r="105" spans="2:3" x14ac:dyDescent="0.2">
      <c r="B105">
        <v>0.389020344395335</v>
      </c>
      <c r="C105">
        <v>0.9063948100092678</v>
      </c>
    </row>
    <row r="106" spans="2:3" x14ac:dyDescent="0.2">
      <c r="B106">
        <v>0.388575058267151</v>
      </c>
      <c r="C106">
        <v>0.90546802594995368</v>
      </c>
    </row>
    <row r="107" spans="2:3" x14ac:dyDescent="0.2">
      <c r="B107">
        <v>0.387619248061567</v>
      </c>
      <c r="C107">
        <v>0.90454124189063945</v>
      </c>
    </row>
    <row r="108" spans="2:3" x14ac:dyDescent="0.2">
      <c r="B108">
        <v>0.38755576970569799</v>
      </c>
      <c r="C108">
        <v>0.90361445783132532</v>
      </c>
    </row>
    <row r="109" spans="2:3" x14ac:dyDescent="0.2">
      <c r="B109">
        <v>0.38649445816924899</v>
      </c>
      <c r="C109">
        <v>0.90268767377201109</v>
      </c>
    </row>
    <row r="110" spans="2:3" x14ac:dyDescent="0.2">
      <c r="B110">
        <v>0.38547335461709797</v>
      </c>
      <c r="C110">
        <v>0.90176088971269697</v>
      </c>
    </row>
    <row r="111" spans="2:3" x14ac:dyDescent="0.2">
      <c r="B111">
        <v>0.38026875706553898</v>
      </c>
      <c r="C111">
        <v>0.90083410565338273</v>
      </c>
    </row>
    <row r="112" spans="2:3" x14ac:dyDescent="0.2">
      <c r="B112">
        <v>0.38017545400610098</v>
      </c>
      <c r="C112">
        <v>0.89990732159406861</v>
      </c>
    </row>
    <row r="113" spans="2:3" x14ac:dyDescent="0.2">
      <c r="B113">
        <v>0.378934681725275</v>
      </c>
      <c r="C113">
        <v>0.89898053753475438</v>
      </c>
    </row>
    <row r="114" spans="2:3" x14ac:dyDescent="0.2">
      <c r="B114">
        <v>0.37627743055712098</v>
      </c>
      <c r="C114">
        <v>0.89805375347544025</v>
      </c>
    </row>
    <row r="115" spans="2:3" x14ac:dyDescent="0.2">
      <c r="B115">
        <v>0.37543046195631502</v>
      </c>
      <c r="C115">
        <v>0.89712696941612602</v>
      </c>
    </row>
    <row r="116" spans="2:3" x14ac:dyDescent="0.2">
      <c r="B116">
        <v>0.375310808166747</v>
      </c>
      <c r="C116">
        <v>0.8962001853568119</v>
      </c>
    </row>
    <row r="117" spans="2:3" x14ac:dyDescent="0.2">
      <c r="B117">
        <v>0.37414543964321001</v>
      </c>
      <c r="C117">
        <v>0.89527340129749766</v>
      </c>
    </row>
    <row r="118" spans="2:3" x14ac:dyDescent="0.2">
      <c r="B118">
        <v>0.37042258476629603</v>
      </c>
      <c r="C118">
        <v>0.89434661723818354</v>
      </c>
    </row>
    <row r="119" spans="2:3" x14ac:dyDescent="0.2">
      <c r="B119">
        <v>0.37038271298808201</v>
      </c>
      <c r="C119">
        <v>0.8934198331788693</v>
      </c>
    </row>
    <row r="120" spans="2:3" x14ac:dyDescent="0.2">
      <c r="B120">
        <v>0.37031553148988799</v>
      </c>
      <c r="C120">
        <v>0.89249304911955518</v>
      </c>
    </row>
    <row r="121" spans="2:3" x14ac:dyDescent="0.2">
      <c r="B121">
        <v>0.370269997608347</v>
      </c>
      <c r="C121">
        <v>0.89156626506024095</v>
      </c>
    </row>
    <row r="122" spans="2:3" x14ac:dyDescent="0.2">
      <c r="B122">
        <v>0.37016251074628698</v>
      </c>
      <c r="C122">
        <v>0.89063948100092682</v>
      </c>
    </row>
    <row r="123" spans="2:3" x14ac:dyDescent="0.2">
      <c r="B123">
        <v>0.36672331791566898</v>
      </c>
      <c r="C123">
        <v>0.88971269694161259</v>
      </c>
    </row>
    <row r="124" spans="2:3" x14ac:dyDescent="0.2">
      <c r="B124">
        <v>0.366351061072338</v>
      </c>
      <c r="C124">
        <v>0.88878591288229847</v>
      </c>
    </row>
    <row r="125" spans="2:3" x14ac:dyDescent="0.2">
      <c r="B125">
        <v>0.36546880511642099</v>
      </c>
      <c r="C125">
        <v>0.88785912882298423</v>
      </c>
    </row>
    <row r="126" spans="2:3" x14ac:dyDescent="0.2">
      <c r="B126">
        <v>0.362551210004327</v>
      </c>
      <c r="C126">
        <v>0.88693234476367011</v>
      </c>
    </row>
    <row r="127" spans="2:3" x14ac:dyDescent="0.2">
      <c r="B127">
        <v>0.35998796502899699</v>
      </c>
      <c r="C127">
        <v>0.88600556070435588</v>
      </c>
    </row>
    <row r="128" spans="2:3" x14ac:dyDescent="0.2">
      <c r="B128">
        <v>0.35976593489349101</v>
      </c>
      <c r="C128">
        <v>0.88507877664504175</v>
      </c>
    </row>
    <row r="129" spans="2:3" x14ac:dyDescent="0.2">
      <c r="B129">
        <v>0.357942434081095</v>
      </c>
      <c r="C129">
        <v>0.88415199258572752</v>
      </c>
    </row>
    <row r="130" spans="2:3" x14ac:dyDescent="0.2">
      <c r="B130">
        <v>0.356610605822414</v>
      </c>
      <c r="C130">
        <v>0.8832252085264134</v>
      </c>
    </row>
    <row r="131" spans="2:3" x14ac:dyDescent="0.2">
      <c r="B131">
        <v>0.35538945284539902</v>
      </c>
      <c r="C131">
        <v>0.88229842446709916</v>
      </c>
    </row>
    <row r="132" spans="2:3" x14ac:dyDescent="0.2">
      <c r="B132">
        <v>0.35400805876130698</v>
      </c>
      <c r="C132">
        <v>0.88137164040778504</v>
      </c>
    </row>
    <row r="133" spans="2:3" x14ac:dyDescent="0.2">
      <c r="B133">
        <v>0.35335389966323999</v>
      </c>
      <c r="C133">
        <v>0.88044485634847081</v>
      </c>
    </row>
    <row r="134" spans="2:3" x14ac:dyDescent="0.2">
      <c r="B134">
        <v>0.35035859162384397</v>
      </c>
      <c r="C134">
        <v>0.87951807228915657</v>
      </c>
    </row>
    <row r="135" spans="2:3" x14ac:dyDescent="0.2">
      <c r="B135">
        <v>0.349945388736985</v>
      </c>
      <c r="C135">
        <v>0.87859128822984245</v>
      </c>
    </row>
    <row r="136" spans="2:3" x14ac:dyDescent="0.2">
      <c r="B136">
        <v>0.349842056360261</v>
      </c>
      <c r="C136">
        <v>0.87766450417052821</v>
      </c>
    </row>
    <row r="137" spans="2:3" x14ac:dyDescent="0.2">
      <c r="B137">
        <v>0.34963119377468799</v>
      </c>
      <c r="C137">
        <v>0.87673772011121409</v>
      </c>
    </row>
    <row r="138" spans="2:3" x14ac:dyDescent="0.2">
      <c r="B138">
        <v>0.349200299798407</v>
      </c>
      <c r="C138">
        <v>0.87581093605189986</v>
      </c>
    </row>
    <row r="139" spans="2:3" x14ac:dyDescent="0.2">
      <c r="B139">
        <v>0.34351188649900699</v>
      </c>
      <c r="C139">
        <v>0.87488415199258573</v>
      </c>
    </row>
    <row r="140" spans="2:3" x14ac:dyDescent="0.2">
      <c r="B140">
        <v>0.34241304877861301</v>
      </c>
      <c r="C140">
        <v>0.8739573679332715</v>
      </c>
    </row>
    <row r="141" spans="2:3" x14ac:dyDescent="0.2">
      <c r="B141">
        <v>0.34203487961483597</v>
      </c>
      <c r="C141">
        <v>0.87303058387395738</v>
      </c>
    </row>
    <row r="142" spans="2:3" x14ac:dyDescent="0.2">
      <c r="B142">
        <v>0.34121492515118501</v>
      </c>
      <c r="C142">
        <v>0.87210379981464314</v>
      </c>
    </row>
    <row r="143" spans="2:3" x14ac:dyDescent="0.2">
      <c r="B143">
        <v>0.34086182937598403</v>
      </c>
      <c r="C143">
        <v>0.87117701575532902</v>
      </c>
    </row>
    <row r="144" spans="2:3" x14ac:dyDescent="0.2">
      <c r="B144">
        <v>0.33969541023509098</v>
      </c>
      <c r="C144">
        <v>0.87025023169601479</v>
      </c>
    </row>
    <row r="145" spans="2:3" x14ac:dyDescent="0.2">
      <c r="B145">
        <v>0.33932585102914897</v>
      </c>
      <c r="C145">
        <v>0.86932344763670066</v>
      </c>
    </row>
    <row r="146" spans="2:3" x14ac:dyDescent="0.2">
      <c r="B146">
        <v>0.33881167879157098</v>
      </c>
      <c r="C146">
        <v>0.86839666357738643</v>
      </c>
    </row>
    <row r="147" spans="2:3" x14ac:dyDescent="0.2">
      <c r="B147">
        <v>0.33847194619958099</v>
      </c>
      <c r="C147">
        <v>0.86746987951807231</v>
      </c>
    </row>
    <row r="148" spans="2:3" x14ac:dyDescent="0.2">
      <c r="B148">
        <v>0.33715762583284797</v>
      </c>
      <c r="C148">
        <v>0.86654309545875807</v>
      </c>
    </row>
    <row r="149" spans="2:3" x14ac:dyDescent="0.2">
      <c r="B149">
        <v>0.33703937703320602</v>
      </c>
      <c r="C149">
        <v>0.86561631139944395</v>
      </c>
    </row>
    <row r="150" spans="2:3" x14ac:dyDescent="0.2">
      <c r="B150">
        <v>0.336281941993194</v>
      </c>
      <c r="C150">
        <v>0.86468952734012972</v>
      </c>
    </row>
    <row r="151" spans="2:3" x14ac:dyDescent="0.2">
      <c r="B151">
        <v>0.33614778528974498</v>
      </c>
      <c r="C151">
        <v>0.86376274328081559</v>
      </c>
    </row>
    <row r="152" spans="2:3" x14ac:dyDescent="0.2">
      <c r="B152">
        <v>0.333954826617548</v>
      </c>
      <c r="C152">
        <v>0.86283595922150136</v>
      </c>
    </row>
    <row r="153" spans="2:3" x14ac:dyDescent="0.2">
      <c r="B153">
        <v>0.333576522028046</v>
      </c>
      <c r="C153">
        <v>0.86190917516218724</v>
      </c>
    </row>
    <row r="154" spans="2:3" x14ac:dyDescent="0.2">
      <c r="B154">
        <v>0.33320815197294201</v>
      </c>
      <c r="C154">
        <v>0.860982391102873</v>
      </c>
    </row>
    <row r="155" spans="2:3" x14ac:dyDescent="0.2">
      <c r="B155">
        <v>0.331616764803426</v>
      </c>
      <c r="C155">
        <v>0.86005560704355888</v>
      </c>
    </row>
    <row r="156" spans="2:3" x14ac:dyDescent="0.2">
      <c r="B156">
        <v>0.33143859381305901</v>
      </c>
      <c r="C156">
        <v>0.85912882298424464</v>
      </c>
    </row>
    <row r="157" spans="2:3" x14ac:dyDescent="0.2">
      <c r="B157">
        <v>0.33114607432438298</v>
      </c>
      <c r="C157">
        <v>0.85820203892493052</v>
      </c>
    </row>
    <row r="158" spans="2:3" x14ac:dyDescent="0.2">
      <c r="B158">
        <v>0.330924801371556</v>
      </c>
      <c r="C158">
        <v>0.85727525486561629</v>
      </c>
    </row>
    <row r="159" spans="2:3" x14ac:dyDescent="0.2">
      <c r="B159">
        <v>0.32994696078777502</v>
      </c>
      <c r="C159">
        <v>0.85634847080630216</v>
      </c>
    </row>
    <row r="160" spans="2:3" x14ac:dyDescent="0.2">
      <c r="B160">
        <v>0.32962355932998599</v>
      </c>
      <c r="C160">
        <v>0.85542168674698793</v>
      </c>
    </row>
    <row r="161" spans="2:3" x14ac:dyDescent="0.2">
      <c r="B161">
        <v>0.32893399317774902</v>
      </c>
      <c r="C161">
        <v>0.85449490268767381</v>
      </c>
    </row>
    <row r="162" spans="2:3" x14ac:dyDescent="0.2">
      <c r="B162">
        <v>0.32665919789036602</v>
      </c>
      <c r="C162">
        <v>0.85356811862835957</v>
      </c>
    </row>
    <row r="163" spans="2:3" x14ac:dyDescent="0.2">
      <c r="B163">
        <v>0.32639414890966401</v>
      </c>
      <c r="C163">
        <v>0.85264133456904545</v>
      </c>
    </row>
    <row r="164" spans="2:3" x14ac:dyDescent="0.2">
      <c r="B164">
        <v>0.32305620188318401</v>
      </c>
      <c r="C164">
        <v>0.85171455050973122</v>
      </c>
    </row>
    <row r="165" spans="2:3" x14ac:dyDescent="0.2">
      <c r="B165">
        <v>0.32137380306899299</v>
      </c>
      <c r="C165">
        <v>0.85078776645041709</v>
      </c>
    </row>
    <row r="166" spans="2:3" x14ac:dyDescent="0.2">
      <c r="B166">
        <v>0.32020144010985302</v>
      </c>
      <c r="C166">
        <v>0.84986098239110286</v>
      </c>
    </row>
    <row r="167" spans="2:3" x14ac:dyDescent="0.2">
      <c r="B167">
        <v>0.31954375157466303</v>
      </c>
      <c r="C167">
        <v>0.84893419833178874</v>
      </c>
    </row>
    <row r="168" spans="2:3" x14ac:dyDescent="0.2">
      <c r="B168">
        <v>0.31772212185804499</v>
      </c>
      <c r="C168">
        <v>0.8480074142724745</v>
      </c>
    </row>
    <row r="169" spans="2:3" x14ac:dyDescent="0.2">
      <c r="B169">
        <v>0.317680430441451</v>
      </c>
      <c r="C169">
        <v>0.84708063021316038</v>
      </c>
    </row>
    <row r="170" spans="2:3" x14ac:dyDescent="0.2">
      <c r="B170">
        <v>0.31699490559481702</v>
      </c>
      <c r="C170">
        <v>0.84615384615384615</v>
      </c>
    </row>
    <row r="171" spans="2:3" x14ac:dyDescent="0.2">
      <c r="B171">
        <v>0.31550517923447902</v>
      </c>
      <c r="C171">
        <v>0.84522706209453202</v>
      </c>
    </row>
    <row r="172" spans="2:3" x14ac:dyDescent="0.2">
      <c r="B172">
        <v>0.314128500358203</v>
      </c>
      <c r="C172">
        <v>0.84430027803521779</v>
      </c>
    </row>
    <row r="173" spans="2:3" x14ac:dyDescent="0.2">
      <c r="B173">
        <v>0.31380430793483699</v>
      </c>
      <c r="C173">
        <v>0.84337349397590367</v>
      </c>
    </row>
    <row r="174" spans="2:3" x14ac:dyDescent="0.2">
      <c r="B174">
        <v>0.31331378089534301</v>
      </c>
      <c r="C174">
        <v>0.84244670991658943</v>
      </c>
    </row>
    <row r="175" spans="2:3" x14ac:dyDescent="0.2">
      <c r="B175">
        <v>0.31281780945645998</v>
      </c>
      <c r="C175">
        <v>0.84151992585727531</v>
      </c>
    </row>
    <row r="176" spans="2:3" x14ac:dyDescent="0.2">
      <c r="B176">
        <v>0.310997704807777</v>
      </c>
      <c r="C176">
        <v>0.84059314179796107</v>
      </c>
    </row>
    <row r="177" spans="2:3" x14ac:dyDescent="0.2">
      <c r="B177">
        <v>0.309761017203663</v>
      </c>
      <c r="C177">
        <v>0.83966635773864684</v>
      </c>
    </row>
    <row r="178" spans="2:3" x14ac:dyDescent="0.2">
      <c r="B178">
        <v>0.30936437265688899</v>
      </c>
      <c r="C178">
        <v>0.83873957367933272</v>
      </c>
    </row>
    <row r="179" spans="2:3" x14ac:dyDescent="0.2">
      <c r="B179">
        <v>0.30928498322617198</v>
      </c>
      <c r="C179">
        <v>0.83781278962001848</v>
      </c>
    </row>
    <row r="180" spans="2:3" x14ac:dyDescent="0.2">
      <c r="B180">
        <v>0.309062071451639</v>
      </c>
      <c r="C180">
        <v>0.83688600556070436</v>
      </c>
    </row>
    <row r="181" spans="2:3" x14ac:dyDescent="0.2">
      <c r="B181">
        <v>0.30844495243912101</v>
      </c>
      <c r="C181">
        <v>0.83595922150139013</v>
      </c>
    </row>
    <row r="182" spans="2:3" x14ac:dyDescent="0.2">
      <c r="B182">
        <v>0.30844272907260301</v>
      </c>
      <c r="C182">
        <v>0.835032437442076</v>
      </c>
    </row>
    <row r="183" spans="2:3" x14ac:dyDescent="0.2">
      <c r="B183">
        <v>0.30777379848163999</v>
      </c>
      <c r="C183">
        <v>0.83410565338276177</v>
      </c>
    </row>
    <row r="184" spans="2:3" x14ac:dyDescent="0.2">
      <c r="B184">
        <v>0.30704403011571901</v>
      </c>
      <c r="C184">
        <v>0.83317886932344765</v>
      </c>
    </row>
    <row r="185" spans="2:3" x14ac:dyDescent="0.2">
      <c r="B185">
        <v>0.30689272094112202</v>
      </c>
      <c r="C185">
        <v>0.83225208526413341</v>
      </c>
    </row>
    <row r="186" spans="2:3" x14ac:dyDescent="0.2">
      <c r="B186">
        <v>0.30673194734230502</v>
      </c>
      <c r="C186">
        <v>0.83132530120481929</v>
      </c>
    </row>
    <row r="187" spans="2:3" x14ac:dyDescent="0.2">
      <c r="B187">
        <v>0.30533596392454498</v>
      </c>
      <c r="C187">
        <v>0.83039851714550506</v>
      </c>
    </row>
    <row r="188" spans="2:3" x14ac:dyDescent="0.2">
      <c r="B188">
        <v>0.30477725765133701</v>
      </c>
      <c r="C188">
        <v>0.82947173308619093</v>
      </c>
    </row>
    <row r="189" spans="2:3" x14ac:dyDescent="0.2">
      <c r="B189">
        <v>0.30441483989829698</v>
      </c>
      <c r="C189">
        <v>0.8285449490268767</v>
      </c>
    </row>
    <row r="190" spans="2:3" x14ac:dyDescent="0.2">
      <c r="B190">
        <v>0.304171886925581</v>
      </c>
      <c r="C190">
        <v>0.82761816496756258</v>
      </c>
    </row>
    <row r="191" spans="2:3" x14ac:dyDescent="0.2">
      <c r="B191">
        <v>0.300799410752566</v>
      </c>
      <c r="C191">
        <v>0.82669138090824834</v>
      </c>
    </row>
    <row r="192" spans="2:3" x14ac:dyDescent="0.2">
      <c r="B192">
        <v>0.30076193149040598</v>
      </c>
      <c r="C192">
        <v>0.82576459684893422</v>
      </c>
    </row>
    <row r="193" spans="2:3" x14ac:dyDescent="0.2">
      <c r="B193">
        <v>0.30071855533682001</v>
      </c>
      <c r="C193">
        <v>0.82483781278961998</v>
      </c>
    </row>
    <row r="194" spans="2:3" x14ac:dyDescent="0.2">
      <c r="B194">
        <v>0.30051061168562399</v>
      </c>
      <c r="C194">
        <v>0.82391102873030586</v>
      </c>
    </row>
    <row r="195" spans="2:3" x14ac:dyDescent="0.2">
      <c r="B195">
        <v>0.300456980943412</v>
      </c>
      <c r="C195">
        <v>0.82298424467099163</v>
      </c>
    </row>
    <row r="196" spans="2:3" x14ac:dyDescent="0.2">
      <c r="B196">
        <v>0.29955995529922202</v>
      </c>
      <c r="C196">
        <v>0.8220574606116775</v>
      </c>
    </row>
    <row r="197" spans="2:3" x14ac:dyDescent="0.2">
      <c r="B197">
        <v>0.29859104071586001</v>
      </c>
      <c r="C197">
        <v>0.82113067655236327</v>
      </c>
    </row>
    <row r="198" spans="2:3" x14ac:dyDescent="0.2">
      <c r="B198">
        <v>0.29714903795740299</v>
      </c>
      <c r="C198">
        <v>0.82020389249304915</v>
      </c>
    </row>
    <row r="199" spans="2:3" x14ac:dyDescent="0.2">
      <c r="B199">
        <v>0.29684276659522302</v>
      </c>
      <c r="C199">
        <v>0.81927710843373491</v>
      </c>
    </row>
    <row r="200" spans="2:3" x14ac:dyDescent="0.2">
      <c r="B200">
        <v>0.296808696307723</v>
      </c>
      <c r="C200">
        <v>0.81835032437442079</v>
      </c>
    </row>
    <row r="201" spans="2:3" x14ac:dyDescent="0.2">
      <c r="B201">
        <v>0.29635101316537799</v>
      </c>
      <c r="C201">
        <v>0.81742354031510656</v>
      </c>
    </row>
    <row r="202" spans="2:3" x14ac:dyDescent="0.2">
      <c r="B202">
        <v>0.29570103188054098</v>
      </c>
      <c r="C202">
        <v>0.81649675625579243</v>
      </c>
    </row>
    <row r="203" spans="2:3" x14ac:dyDescent="0.2">
      <c r="B203">
        <v>0.29477736994807802</v>
      </c>
      <c r="C203">
        <v>0.8155699721964782</v>
      </c>
    </row>
    <row r="204" spans="2:3" x14ac:dyDescent="0.2">
      <c r="B204">
        <v>0.29417623476446098</v>
      </c>
      <c r="C204">
        <v>0.81464318813716408</v>
      </c>
    </row>
    <row r="205" spans="2:3" x14ac:dyDescent="0.2">
      <c r="B205">
        <v>0.29400346657736398</v>
      </c>
      <c r="C205">
        <v>0.81371640407784984</v>
      </c>
    </row>
    <row r="206" spans="2:3" x14ac:dyDescent="0.2">
      <c r="B206">
        <v>0.29272802813360499</v>
      </c>
      <c r="C206">
        <v>0.81278962001853572</v>
      </c>
    </row>
    <row r="207" spans="2:3" x14ac:dyDescent="0.2">
      <c r="B207">
        <v>0.29194618087912499</v>
      </c>
      <c r="C207">
        <v>0.81186283595922148</v>
      </c>
    </row>
    <row r="208" spans="2:3" x14ac:dyDescent="0.2">
      <c r="B208">
        <v>0.29110002223127301</v>
      </c>
      <c r="C208">
        <v>0.81093605189990736</v>
      </c>
    </row>
    <row r="209" spans="2:3" x14ac:dyDescent="0.2">
      <c r="B209">
        <v>0.29083105323700797</v>
      </c>
      <c r="C209">
        <v>0.81000926784059313</v>
      </c>
    </row>
    <row r="210" spans="2:3" x14ac:dyDescent="0.2">
      <c r="B210">
        <v>0.29044597467390798</v>
      </c>
      <c r="C210">
        <v>0.809082483781279</v>
      </c>
    </row>
    <row r="211" spans="2:3" x14ac:dyDescent="0.2">
      <c r="B211">
        <v>0.29011624659534502</v>
      </c>
      <c r="C211">
        <v>0.80815569972196477</v>
      </c>
    </row>
    <row r="212" spans="2:3" x14ac:dyDescent="0.2">
      <c r="B212">
        <v>0.28982600439579398</v>
      </c>
      <c r="C212">
        <v>0.80722891566265065</v>
      </c>
    </row>
    <row r="213" spans="2:3" x14ac:dyDescent="0.2">
      <c r="B213">
        <v>0.289403159481741</v>
      </c>
      <c r="C213">
        <v>0.80630213160333641</v>
      </c>
    </row>
    <row r="214" spans="2:3" x14ac:dyDescent="0.2">
      <c r="B214">
        <v>0.28936897239685799</v>
      </c>
      <c r="C214">
        <v>0.80537534754402229</v>
      </c>
    </row>
    <row r="215" spans="2:3" x14ac:dyDescent="0.2">
      <c r="B215">
        <v>0.289118777895775</v>
      </c>
      <c r="C215">
        <v>0.80444856348470806</v>
      </c>
    </row>
    <row r="216" spans="2:3" x14ac:dyDescent="0.2">
      <c r="B216">
        <v>0.28899880912178699</v>
      </c>
      <c r="C216">
        <v>0.80352177942539393</v>
      </c>
    </row>
    <row r="217" spans="2:3" x14ac:dyDescent="0.2">
      <c r="B217">
        <v>0.28842135841553002</v>
      </c>
      <c r="C217">
        <v>0.8025949953660797</v>
      </c>
    </row>
    <row r="218" spans="2:3" x14ac:dyDescent="0.2">
      <c r="B218">
        <v>0.28799366183463898</v>
      </c>
      <c r="C218">
        <v>0.80166821130676558</v>
      </c>
    </row>
    <row r="219" spans="2:3" x14ac:dyDescent="0.2">
      <c r="B219">
        <v>0.28736843689902603</v>
      </c>
      <c r="C219">
        <v>0.80074142724745134</v>
      </c>
    </row>
    <row r="220" spans="2:3" x14ac:dyDescent="0.2">
      <c r="B220">
        <v>0.28726857264332001</v>
      </c>
      <c r="C220">
        <v>0.79981464318813711</v>
      </c>
    </row>
    <row r="221" spans="2:3" x14ac:dyDescent="0.2">
      <c r="B221">
        <v>0.28717661525388799</v>
      </c>
      <c r="C221">
        <v>0.79888785912882299</v>
      </c>
    </row>
    <row r="222" spans="2:3" x14ac:dyDescent="0.2">
      <c r="B222">
        <v>0.28648376463220199</v>
      </c>
      <c r="C222">
        <v>0.79796107506950875</v>
      </c>
    </row>
    <row r="223" spans="2:3" x14ac:dyDescent="0.2">
      <c r="B223">
        <v>0.28568443938131699</v>
      </c>
      <c r="C223">
        <v>0.79703429101019463</v>
      </c>
    </row>
    <row r="224" spans="2:3" x14ac:dyDescent="0.2">
      <c r="B224">
        <v>0.28542715051864198</v>
      </c>
      <c r="C224">
        <v>0.79610750695088039</v>
      </c>
    </row>
    <row r="225" spans="2:3" x14ac:dyDescent="0.2">
      <c r="B225">
        <v>0.285305899130607</v>
      </c>
      <c r="C225">
        <v>0.79518072289156627</v>
      </c>
    </row>
    <row r="226" spans="2:3" x14ac:dyDescent="0.2">
      <c r="B226">
        <v>0.28499780212112402</v>
      </c>
      <c r="C226">
        <v>0.79425393883225204</v>
      </c>
    </row>
    <row r="227" spans="2:3" x14ac:dyDescent="0.2">
      <c r="B227">
        <v>0.28480792742648597</v>
      </c>
      <c r="C227">
        <v>0.79332715477293791</v>
      </c>
    </row>
    <row r="228" spans="2:3" x14ac:dyDescent="0.2">
      <c r="B228">
        <v>0.28342516569255499</v>
      </c>
      <c r="C228">
        <v>0.79240037071362368</v>
      </c>
    </row>
    <row r="229" spans="2:3" x14ac:dyDescent="0.2">
      <c r="B229">
        <v>0.28295664062345299</v>
      </c>
      <c r="C229">
        <v>0.79147358665430956</v>
      </c>
    </row>
    <row r="230" spans="2:3" x14ac:dyDescent="0.2">
      <c r="B230">
        <v>0.28295310313669803</v>
      </c>
      <c r="C230">
        <v>0.79054680259499532</v>
      </c>
    </row>
    <row r="231" spans="2:3" x14ac:dyDescent="0.2">
      <c r="B231">
        <v>0.28285279250231499</v>
      </c>
      <c r="C231">
        <v>0.7896200185356812</v>
      </c>
    </row>
    <row r="232" spans="2:3" x14ac:dyDescent="0.2">
      <c r="B232">
        <v>0.28196548357208001</v>
      </c>
      <c r="C232">
        <v>0.78869323447636697</v>
      </c>
    </row>
    <row r="233" spans="2:3" x14ac:dyDescent="0.2">
      <c r="B233">
        <v>0.281139153680806</v>
      </c>
      <c r="C233">
        <v>0.78776645041705284</v>
      </c>
    </row>
    <row r="234" spans="2:3" x14ac:dyDescent="0.2">
      <c r="B234">
        <v>0.28097194013579502</v>
      </c>
      <c r="C234">
        <v>0.78683966635773861</v>
      </c>
    </row>
    <row r="235" spans="2:3" x14ac:dyDescent="0.2">
      <c r="B235">
        <v>0.28081623089803898</v>
      </c>
      <c r="C235">
        <v>0.78591288229842449</v>
      </c>
    </row>
    <row r="236" spans="2:3" x14ac:dyDescent="0.2">
      <c r="B236">
        <v>0.28062264954773602</v>
      </c>
      <c r="C236">
        <v>0.78498609823911025</v>
      </c>
    </row>
    <row r="237" spans="2:3" x14ac:dyDescent="0.2">
      <c r="B237">
        <v>0.28051114685739398</v>
      </c>
      <c r="C237">
        <v>0.78405931417979613</v>
      </c>
    </row>
    <row r="238" spans="2:3" x14ac:dyDescent="0.2">
      <c r="B238">
        <v>0.27993781371256898</v>
      </c>
      <c r="C238">
        <v>0.7831325301204819</v>
      </c>
    </row>
    <row r="239" spans="2:3" x14ac:dyDescent="0.2">
      <c r="B239">
        <v>0.27978300272836998</v>
      </c>
      <c r="C239">
        <v>0.78220574606116777</v>
      </c>
    </row>
    <row r="240" spans="2:3" x14ac:dyDescent="0.2">
      <c r="B240">
        <v>0.27923426017684699</v>
      </c>
      <c r="C240">
        <v>0.78127896200185354</v>
      </c>
    </row>
    <row r="241" spans="2:3" x14ac:dyDescent="0.2">
      <c r="B241">
        <v>0.27886818494313098</v>
      </c>
      <c r="C241">
        <v>0.78035217794253942</v>
      </c>
    </row>
    <row r="242" spans="2:3" x14ac:dyDescent="0.2">
      <c r="B242">
        <v>0.27848324351727</v>
      </c>
      <c r="C242">
        <v>0.77942539388322518</v>
      </c>
    </row>
    <row r="243" spans="2:3" x14ac:dyDescent="0.2">
      <c r="B243">
        <v>0.27763758221607399</v>
      </c>
      <c r="C243">
        <v>0.77849860982391106</v>
      </c>
    </row>
    <row r="244" spans="2:3" x14ac:dyDescent="0.2">
      <c r="B244">
        <v>0.27750967204627602</v>
      </c>
      <c r="C244">
        <v>0.77757182576459682</v>
      </c>
    </row>
    <row r="245" spans="2:3" x14ac:dyDescent="0.2">
      <c r="B245">
        <v>0.27733382503352</v>
      </c>
      <c r="C245">
        <v>0.7766450417052827</v>
      </c>
    </row>
    <row r="246" spans="2:3" x14ac:dyDescent="0.2">
      <c r="B246">
        <v>0.27718303480863599</v>
      </c>
      <c r="C246">
        <v>0.77571825764596847</v>
      </c>
    </row>
    <row r="247" spans="2:3" x14ac:dyDescent="0.2">
      <c r="B247">
        <v>0.27684636414021402</v>
      </c>
      <c r="C247">
        <v>0.77479147358665434</v>
      </c>
    </row>
    <row r="248" spans="2:3" x14ac:dyDescent="0.2">
      <c r="B248">
        <v>0.27638722980925401</v>
      </c>
      <c r="C248">
        <v>0.77386468952734011</v>
      </c>
    </row>
    <row r="249" spans="2:3" x14ac:dyDescent="0.2">
      <c r="B249">
        <v>0.27526244490775098</v>
      </c>
      <c r="C249">
        <v>0.77293790546802599</v>
      </c>
    </row>
    <row r="250" spans="2:3" x14ac:dyDescent="0.2">
      <c r="B250">
        <v>0.27477523794575698</v>
      </c>
      <c r="C250">
        <v>0.77201112140871175</v>
      </c>
    </row>
    <row r="251" spans="2:3" x14ac:dyDescent="0.2">
      <c r="B251">
        <v>0.27391293294306501</v>
      </c>
      <c r="C251">
        <v>0.77108433734939763</v>
      </c>
    </row>
    <row r="252" spans="2:3" x14ac:dyDescent="0.2">
      <c r="B252">
        <v>0.27241740573416101</v>
      </c>
      <c r="C252">
        <v>0.7701575532900834</v>
      </c>
    </row>
    <row r="253" spans="2:3" x14ac:dyDescent="0.2">
      <c r="B253">
        <v>0.27211564616765999</v>
      </c>
      <c r="C253">
        <v>0.76923076923076927</v>
      </c>
    </row>
    <row r="254" spans="2:3" x14ac:dyDescent="0.2">
      <c r="B254">
        <v>0.270631229472859</v>
      </c>
      <c r="C254">
        <v>0.76830398517145504</v>
      </c>
    </row>
    <row r="255" spans="2:3" x14ac:dyDescent="0.2">
      <c r="B255">
        <v>0.27056027297623603</v>
      </c>
      <c r="C255">
        <v>0.76737720111214092</v>
      </c>
    </row>
    <row r="256" spans="2:3" x14ac:dyDescent="0.2">
      <c r="B256">
        <v>0.26959855348603901</v>
      </c>
      <c r="C256">
        <v>0.76645041705282668</v>
      </c>
    </row>
    <row r="257" spans="2:3" x14ac:dyDescent="0.2">
      <c r="B257">
        <v>0.26934727854370899</v>
      </c>
      <c r="C257">
        <v>0.76552363299351256</v>
      </c>
    </row>
    <row r="258" spans="2:3" x14ac:dyDescent="0.2">
      <c r="B258">
        <v>0.26912499848952398</v>
      </c>
      <c r="C258">
        <v>0.76459684893419833</v>
      </c>
    </row>
    <row r="259" spans="2:3" x14ac:dyDescent="0.2">
      <c r="B259">
        <v>0.26838387788212698</v>
      </c>
      <c r="C259">
        <v>0.7636700648748842</v>
      </c>
    </row>
    <row r="260" spans="2:3" x14ac:dyDescent="0.2">
      <c r="B260">
        <v>0.26717829288029099</v>
      </c>
      <c r="C260">
        <v>0.76274328081556997</v>
      </c>
    </row>
    <row r="261" spans="2:3" x14ac:dyDescent="0.2">
      <c r="B261">
        <v>0.26614147871636001</v>
      </c>
      <c r="C261">
        <v>0.76181649675625585</v>
      </c>
    </row>
    <row r="262" spans="2:3" x14ac:dyDescent="0.2">
      <c r="B262">
        <v>0.26608573633683102</v>
      </c>
      <c r="C262">
        <v>0.76088971269694161</v>
      </c>
    </row>
    <row r="263" spans="2:3" x14ac:dyDescent="0.2">
      <c r="B263">
        <v>0.26480122684993801</v>
      </c>
      <c r="C263">
        <v>0.75996292863762738</v>
      </c>
    </row>
    <row r="264" spans="2:3" x14ac:dyDescent="0.2">
      <c r="B264">
        <v>0.263589901704813</v>
      </c>
      <c r="C264">
        <v>0.75903614457831325</v>
      </c>
    </row>
    <row r="265" spans="2:3" x14ac:dyDescent="0.2">
      <c r="B265">
        <v>0.262564845275642</v>
      </c>
      <c r="C265">
        <v>0.75810936051899902</v>
      </c>
    </row>
    <row r="266" spans="2:3" x14ac:dyDescent="0.2">
      <c r="B266">
        <v>0.26226986206662001</v>
      </c>
      <c r="C266">
        <v>0.7571825764596849</v>
      </c>
    </row>
    <row r="267" spans="2:3" x14ac:dyDescent="0.2">
      <c r="B267">
        <v>0.26222676163081099</v>
      </c>
      <c r="C267">
        <v>0.75625579240037066</v>
      </c>
    </row>
    <row r="268" spans="2:3" x14ac:dyDescent="0.2">
      <c r="B268">
        <v>0.26197608291857299</v>
      </c>
      <c r="C268">
        <v>0.75532900834105654</v>
      </c>
    </row>
    <row r="269" spans="2:3" x14ac:dyDescent="0.2">
      <c r="B269">
        <v>0.26141402543703202</v>
      </c>
      <c r="C269">
        <v>0.75440222428174231</v>
      </c>
    </row>
    <row r="270" spans="2:3" x14ac:dyDescent="0.2">
      <c r="B270">
        <v>0.26132098977846202</v>
      </c>
      <c r="C270">
        <v>0.75347544022242818</v>
      </c>
    </row>
    <row r="271" spans="2:3" x14ac:dyDescent="0.2">
      <c r="B271">
        <v>0.26066277352241801</v>
      </c>
      <c r="C271">
        <v>0.75254865616311395</v>
      </c>
    </row>
    <row r="272" spans="2:3" x14ac:dyDescent="0.2">
      <c r="B272">
        <v>0.26043446960352401</v>
      </c>
      <c r="C272">
        <v>0.75162187210379983</v>
      </c>
    </row>
    <row r="273" spans="2:3" x14ac:dyDescent="0.2">
      <c r="B273">
        <v>0.259458804763194</v>
      </c>
      <c r="C273">
        <v>0.75069508804448559</v>
      </c>
    </row>
    <row r="274" spans="2:3" x14ac:dyDescent="0.2">
      <c r="B274">
        <v>0.25799810599184497</v>
      </c>
      <c r="C274">
        <v>0.74976830398517147</v>
      </c>
    </row>
    <row r="275" spans="2:3" x14ac:dyDescent="0.2">
      <c r="B275">
        <v>0.25674909936248502</v>
      </c>
      <c r="C275">
        <v>0.74884151992585724</v>
      </c>
    </row>
    <row r="276" spans="2:3" x14ac:dyDescent="0.2">
      <c r="B276">
        <v>0.256519580557524</v>
      </c>
      <c r="C276">
        <v>0.74791473586654311</v>
      </c>
    </row>
    <row r="277" spans="2:3" x14ac:dyDescent="0.2">
      <c r="B277">
        <v>0.25608817485359597</v>
      </c>
      <c r="C277">
        <v>0.74698795180722888</v>
      </c>
    </row>
    <row r="278" spans="2:3" x14ac:dyDescent="0.2">
      <c r="B278">
        <v>0.254701174381396</v>
      </c>
      <c r="C278">
        <v>0.74606116774791476</v>
      </c>
    </row>
    <row r="279" spans="2:3" x14ac:dyDescent="0.2">
      <c r="B279">
        <v>0.254528120365132</v>
      </c>
      <c r="C279">
        <v>0.74513438368860052</v>
      </c>
    </row>
    <row r="280" spans="2:3" x14ac:dyDescent="0.2">
      <c r="B280">
        <v>0.25446466956986902</v>
      </c>
      <c r="C280">
        <v>0.7442075996292864</v>
      </c>
    </row>
    <row r="281" spans="2:3" x14ac:dyDescent="0.2">
      <c r="B281">
        <v>0.25424479023332103</v>
      </c>
      <c r="C281">
        <v>0.74328081556997216</v>
      </c>
    </row>
    <row r="282" spans="2:3" x14ac:dyDescent="0.2">
      <c r="B282">
        <v>0.25403769641574397</v>
      </c>
      <c r="C282">
        <v>0.74235403151065804</v>
      </c>
    </row>
    <row r="283" spans="2:3" x14ac:dyDescent="0.2">
      <c r="B283">
        <v>0.25336230987698399</v>
      </c>
      <c r="C283">
        <v>0.74142724745134381</v>
      </c>
    </row>
    <row r="284" spans="2:3" x14ac:dyDescent="0.2">
      <c r="B284">
        <v>0.25285855342458102</v>
      </c>
      <c r="C284">
        <v>0.74050046339202968</v>
      </c>
    </row>
    <row r="285" spans="2:3" x14ac:dyDescent="0.2">
      <c r="B285">
        <v>0.25280326249962398</v>
      </c>
      <c r="C285">
        <v>0.73957367933271545</v>
      </c>
    </row>
    <row r="286" spans="2:3" x14ac:dyDescent="0.2">
      <c r="B286">
        <v>0.25241853205193199</v>
      </c>
      <c r="C286">
        <v>0.73864689527340133</v>
      </c>
    </row>
    <row r="287" spans="2:3" x14ac:dyDescent="0.2">
      <c r="B287">
        <v>0.252100403532174</v>
      </c>
      <c r="C287">
        <v>0.73772011121408709</v>
      </c>
    </row>
    <row r="288" spans="2:3" x14ac:dyDescent="0.2">
      <c r="B288">
        <v>0.25188323622833703</v>
      </c>
      <c r="C288">
        <v>0.73679332715477297</v>
      </c>
    </row>
    <row r="289" spans="2:3" x14ac:dyDescent="0.2">
      <c r="B289">
        <v>0.25147025378486598</v>
      </c>
      <c r="C289">
        <v>0.73586654309545874</v>
      </c>
    </row>
    <row r="290" spans="2:3" x14ac:dyDescent="0.2">
      <c r="B290">
        <v>0.25061629673596902</v>
      </c>
      <c r="C290">
        <v>0.73493975903614461</v>
      </c>
    </row>
    <row r="291" spans="2:3" x14ac:dyDescent="0.2">
      <c r="B291">
        <v>0.25022841028875997</v>
      </c>
      <c r="C291">
        <v>0.73401297497683038</v>
      </c>
    </row>
    <row r="292" spans="2:3" x14ac:dyDescent="0.2">
      <c r="B292">
        <v>0.24815424912476799</v>
      </c>
      <c r="C292">
        <v>0.73308619091751626</v>
      </c>
    </row>
    <row r="293" spans="2:3" x14ac:dyDescent="0.2">
      <c r="B293">
        <v>0.24810935670274101</v>
      </c>
      <c r="C293">
        <v>0.73215940685820202</v>
      </c>
    </row>
    <row r="294" spans="2:3" x14ac:dyDescent="0.2">
      <c r="B294">
        <v>0.24768866533370501</v>
      </c>
      <c r="C294">
        <v>0.7312326227988879</v>
      </c>
    </row>
    <row r="295" spans="2:3" x14ac:dyDescent="0.2">
      <c r="B295">
        <v>0.24744493934488701</v>
      </c>
      <c r="C295">
        <v>0.73030583873957367</v>
      </c>
    </row>
    <row r="296" spans="2:3" x14ac:dyDescent="0.2">
      <c r="B296">
        <v>0.24706047978916101</v>
      </c>
      <c r="C296">
        <v>0.72937905468025954</v>
      </c>
    </row>
    <row r="297" spans="2:3" x14ac:dyDescent="0.2">
      <c r="B297">
        <v>0.24700767987112099</v>
      </c>
      <c r="C297">
        <v>0.72845227062094531</v>
      </c>
    </row>
    <row r="298" spans="2:3" x14ac:dyDescent="0.2">
      <c r="B298">
        <v>0.246957061376121</v>
      </c>
      <c r="C298">
        <v>0.72752548656163119</v>
      </c>
    </row>
    <row r="299" spans="2:3" x14ac:dyDescent="0.2">
      <c r="B299">
        <v>0.24590990431112</v>
      </c>
      <c r="C299">
        <v>0.72659870250231695</v>
      </c>
    </row>
    <row r="300" spans="2:3" x14ac:dyDescent="0.2">
      <c r="B300">
        <v>0.245517431291979</v>
      </c>
      <c r="C300">
        <v>0.72567191844300283</v>
      </c>
    </row>
    <row r="301" spans="2:3" x14ac:dyDescent="0.2">
      <c r="B301">
        <v>0.245429080588635</v>
      </c>
      <c r="C301">
        <v>0.72474513438368859</v>
      </c>
    </row>
    <row r="302" spans="2:3" x14ac:dyDescent="0.2">
      <c r="B302">
        <v>0.245386485967034</v>
      </c>
      <c r="C302">
        <v>0.72381835032437447</v>
      </c>
    </row>
    <row r="303" spans="2:3" x14ac:dyDescent="0.2">
      <c r="B303">
        <v>0.245129034816299</v>
      </c>
      <c r="C303">
        <v>0.72289156626506024</v>
      </c>
    </row>
    <row r="304" spans="2:3" x14ac:dyDescent="0.2">
      <c r="B304">
        <v>0.24501024191690601</v>
      </c>
      <c r="C304">
        <v>0.72196478220574611</v>
      </c>
    </row>
    <row r="305" spans="2:3" x14ac:dyDescent="0.2">
      <c r="B305">
        <v>0.24496137313758201</v>
      </c>
      <c r="C305">
        <v>0.72103799814643188</v>
      </c>
    </row>
    <row r="306" spans="2:3" x14ac:dyDescent="0.2">
      <c r="B306">
        <v>0.244180026317317</v>
      </c>
      <c r="C306">
        <v>0.72011121408711776</v>
      </c>
    </row>
    <row r="307" spans="2:3" x14ac:dyDescent="0.2">
      <c r="B307">
        <v>0.24355274109368399</v>
      </c>
      <c r="C307">
        <v>0.71918443002780352</v>
      </c>
    </row>
    <row r="308" spans="2:3" x14ac:dyDescent="0.2">
      <c r="B308">
        <v>0.24308569552624901</v>
      </c>
      <c r="C308">
        <v>0.71825764596848929</v>
      </c>
    </row>
    <row r="309" spans="2:3" x14ac:dyDescent="0.2">
      <c r="B309">
        <v>0.242334112542687</v>
      </c>
      <c r="C309">
        <v>0.71733086190917517</v>
      </c>
    </row>
    <row r="310" spans="2:3" x14ac:dyDescent="0.2">
      <c r="B310">
        <v>0.240763776008105</v>
      </c>
      <c r="C310">
        <v>0.71640407784986093</v>
      </c>
    </row>
    <row r="311" spans="2:3" x14ac:dyDescent="0.2">
      <c r="B311">
        <v>0.23926534934500701</v>
      </c>
      <c r="C311">
        <v>0.71547729379054681</v>
      </c>
    </row>
    <row r="312" spans="2:3" x14ac:dyDescent="0.2">
      <c r="B312">
        <v>0.23867974850613799</v>
      </c>
      <c r="C312">
        <v>0.71455050973123257</v>
      </c>
    </row>
    <row r="313" spans="2:3" x14ac:dyDescent="0.2">
      <c r="B313">
        <v>0.23824943177355701</v>
      </c>
      <c r="C313">
        <v>0.71362372567191845</v>
      </c>
    </row>
    <row r="314" spans="2:3" x14ac:dyDescent="0.2">
      <c r="B314">
        <v>0.23799344007411799</v>
      </c>
      <c r="C314">
        <v>0.71269694161260422</v>
      </c>
    </row>
    <row r="315" spans="2:3" x14ac:dyDescent="0.2">
      <c r="B315">
        <v>0.23773630914881699</v>
      </c>
      <c r="C315">
        <v>0.71177015755329009</v>
      </c>
    </row>
    <row r="316" spans="2:3" x14ac:dyDescent="0.2">
      <c r="B316">
        <v>0.236737428267142</v>
      </c>
      <c r="C316">
        <v>0.71084337349397586</v>
      </c>
    </row>
    <row r="317" spans="2:3" x14ac:dyDescent="0.2">
      <c r="B317">
        <v>0.236595237430339</v>
      </c>
      <c r="C317">
        <v>0.70991658943466174</v>
      </c>
    </row>
    <row r="318" spans="2:3" x14ac:dyDescent="0.2">
      <c r="B318">
        <v>0.23648166946327301</v>
      </c>
      <c r="C318">
        <v>0.7089898053753475</v>
      </c>
    </row>
    <row r="319" spans="2:3" x14ac:dyDescent="0.2">
      <c r="B319">
        <v>0.236366219916089</v>
      </c>
      <c r="C319">
        <v>0.70806302131603338</v>
      </c>
    </row>
    <row r="320" spans="2:3" x14ac:dyDescent="0.2">
      <c r="B320">
        <v>0.236302804628722</v>
      </c>
      <c r="C320">
        <v>0.70713623725671915</v>
      </c>
    </row>
    <row r="321" spans="2:3" x14ac:dyDescent="0.2">
      <c r="B321">
        <v>0.23624941536536301</v>
      </c>
      <c r="C321">
        <v>0.70620945319740502</v>
      </c>
    </row>
    <row r="322" spans="2:3" x14ac:dyDescent="0.2">
      <c r="B322">
        <v>0.23618729052010601</v>
      </c>
      <c r="C322">
        <v>0.70528266913809079</v>
      </c>
    </row>
    <row r="323" spans="2:3" x14ac:dyDescent="0.2">
      <c r="B323">
        <v>0.23604729801031701</v>
      </c>
      <c r="C323">
        <v>0.70435588507877667</v>
      </c>
    </row>
    <row r="324" spans="2:3" x14ac:dyDescent="0.2">
      <c r="B324">
        <v>0.235829393350873</v>
      </c>
      <c r="C324">
        <v>0.70342910101946243</v>
      </c>
    </row>
    <row r="325" spans="2:3" x14ac:dyDescent="0.2">
      <c r="B325">
        <v>0.234330762037783</v>
      </c>
      <c r="C325">
        <v>0.70250231696014831</v>
      </c>
    </row>
    <row r="326" spans="2:3" x14ac:dyDescent="0.2">
      <c r="B326">
        <v>0.234271970780042</v>
      </c>
      <c r="C326">
        <v>0.70157553290083408</v>
      </c>
    </row>
    <row r="327" spans="2:3" x14ac:dyDescent="0.2">
      <c r="B327">
        <v>0.233432761252926</v>
      </c>
      <c r="C327">
        <v>0.70064874884151995</v>
      </c>
    </row>
    <row r="328" spans="2:3" x14ac:dyDescent="0.2">
      <c r="B328">
        <v>0.23177166663596199</v>
      </c>
      <c r="C328">
        <v>0.69972196478220572</v>
      </c>
    </row>
    <row r="329" spans="2:3" x14ac:dyDescent="0.2">
      <c r="B329">
        <v>0.23151979365020001</v>
      </c>
      <c r="C329">
        <v>0.6987951807228916</v>
      </c>
    </row>
    <row r="330" spans="2:3" x14ac:dyDescent="0.2">
      <c r="B330">
        <v>0.231480804945702</v>
      </c>
      <c r="C330">
        <v>0.69786839666357736</v>
      </c>
    </row>
    <row r="331" spans="2:3" x14ac:dyDescent="0.2">
      <c r="B331">
        <v>0.231350080483811</v>
      </c>
      <c r="C331">
        <v>0.69694161260426324</v>
      </c>
    </row>
    <row r="332" spans="2:3" x14ac:dyDescent="0.2">
      <c r="B332">
        <v>0.23035367642732199</v>
      </c>
      <c r="C332">
        <v>0.696014828544949</v>
      </c>
    </row>
    <row r="333" spans="2:3" x14ac:dyDescent="0.2">
      <c r="B333">
        <v>0.22954532769879701</v>
      </c>
      <c r="C333">
        <v>0.69508804448563488</v>
      </c>
    </row>
    <row r="334" spans="2:3" x14ac:dyDescent="0.2">
      <c r="B334">
        <v>0.229185382494735</v>
      </c>
      <c r="C334">
        <v>0.69416126042632065</v>
      </c>
    </row>
    <row r="335" spans="2:3" x14ac:dyDescent="0.2">
      <c r="B335">
        <v>0.22851834502993201</v>
      </c>
      <c r="C335">
        <v>0.69323447636700652</v>
      </c>
    </row>
    <row r="336" spans="2:3" x14ac:dyDescent="0.2">
      <c r="B336">
        <v>0.228255519666933</v>
      </c>
      <c r="C336">
        <v>0.69230769230769229</v>
      </c>
    </row>
    <row r="337" spans="2:3" x14ac:dyDescent="0.2">
      <c r="B337">
        <v>0.22816709475996999</v>
      </c>
      <c r="C337">
        <v>0.69138090824837817</v>
      </c>
    </row>
    <row r="338" spans="2:3" x14ac:dyDescent="0.2">
      <c r="B338">
        <v>0.22707879264078101</v>
      </c>
      <c r="C338">
        <v>0.69045412418906393</v>
      </c>
    </row>
    <row r="339" spans="2:3" x14ac:dyDescent="0.2">
      <c r="B339">
        <v>0.227008030288468</v>
      </c>
      <c r="C339">
        <v>0.68952734012974981</v>
      </c>
    </row>
    <row r="340" spans="2:3" x14ac:dyDescent="0.2">
      <c r="B340">
        <v>0.22673299410797301</v>
      </c>
      <c r="C340">
        <v>0.68860055607043558</v>
      </c>
    </row>
    <row r="341" spans="2:3" x14ac:dyDescent="0.2">
      <c r="B341">
        <v>0.22597635208536701</v>
      </c>
      <c r="C341">
        <v>0.68767377201112145</v>
      </c>
    </row>
    <row r="342" spans="2:3" x14ac:dyDescent="0.2">
      <c r="B342">
        <v>0.22589406265501799</v>
      </c>
      <c r="C342">
        <v>0.68674698795180722</v>
      </c>
    </row>
    <row r="343" spans="2:3" x14ac:dyDescent="0.2">
      <c r="B343">
        <v>0.22518476675179699</v>
      </c>
      <c r="C343">
        <v>0.6858202038924931</v>
      </c>
    </row>
    <row r="344" spans="2:3" x14ac:dyDescent="0.2">
      <c r="B344">
        <v>0.22493006103539601</v>
      </c>
      <c r="C344">
        <v>0.68489341983317886</v>
      </c>
    </row>
    <row r="345" spans="2:3" x14ac:dyDescent="0.2">
      <c r="B345">
        <v>0.224739780765491</v>
      </c>
      <c r="C345">
        <v>0.68396663577386474</v>
      </c>
    </row>
    <row r="346" spans="2:3" x14ac:dyDescent="0.2">
      <c r="B346">
        <v>0.22459225322729201</v>
      </c>
      <c r="C346">
        <v>0.68303985171455051</v>
      </c>
    </row>
    <row r="347" spans="2:3" x14ac:dyDescent="0.2">
      <c r="B347">
        <v>0.22426938472841099</v>
      </c>
      <c r="C347">
        <v>0.68211306765523638</v>
      </c>
    </row>
    <row r="348" spans="2:3" x14ac:dyDescent="0.2">
      <c r="B348">
        <v>0.22414825962620599</v>
      </c>
      <c r="C348">
        <v>0.68118628359592215</v>
      </c>
    </row>
    <row r="349" spans="2:3" x14ac:dyDescent="0.2">
      <c r="B349">
        <v>0.22397193165690399</v>
      </c>
      <c r="C349">
        <v>0.68025949953660803</v>
      </c>
    </row>
    <row r="350" spans="2:3" x14ac:dyDescent="0.2">
      <c r="B350">
        <v>0.22372469748461399</v>
      </c>
      <c r="C350">
        <v>0.67933271547729379</v>
      </c>
    </row>
    <row r="351" spans="2:3" x14ac:dyDescent="0.2">
      <c r="B351">
        <v>0.22361821096919501</v>
      </c>
      <c r="C351">
        <v>0.67840593141797956</v>
      </c>
    </row>
    <row r="352" spans="2:3" x14ac:dyDescent="0.2">
      <c r="B352">
        <v>0.22285096394544399</v>
      </c>
      <c r="C352">
        <v>0.67747914735866543</v>
      </c>
    </row>
    <row r="353" spans="2:3" x14ac:dyDescent="0.2">
      <c r="B353">
        <v>0.22206444882274701</v>
      </c>
      <c r="C353">
        <v>0.6765523632993512</v>
      </c>
    </row>
    <row r="354" spans="2:3" x14ac:dyDescent="0.2">
      <c r="B354">
        <v>0.22053896295145001</v>
      </c>
      <c r="C354">
        <v>0.67562557924003708</v>
      </c>
    </row>
    <row r="355" spans="2:3" x14ac:dyDescent="0.2">
      <c r="B355">
        <v>0.22022463668789299</v>
      </c>
      <c r="C355">
        <v>0.67469879518072284</v>
      </c>
    </row>
    <row r="356" spans="2:3" x14ac:dyDescent="0.2">
      <c r="B356">
        <v>0.218740333652231</v>
      </c>
      <c r="C356">
        <v>0.67377201112140872</v>
      </c>
    </row>
    <row r="357" spans="2:3" x14ac:dyDescent="0.2">
      <c r="B357">
        <v>0.21832867989027099</v>
      </c>
      <c r="C357">
        <v>0.67284522706209449</v>
      </c>
    </row>
    <row r="358" spans="2:3" x14ac:dyDescent="0.2">
      <c r="B358">
        <v>0.21821529892487401</v>
      </c>
      <c r="C358">
        <v>0.67191844300278036</v>
      </c>
    </row>
    <row r="359" spans="2:3" x14ac:dyDescent="0.2">
      <c r="B359">
        <v>0.21759155577693701</v>
      </c>
      <c r="C359">
        <v>0.67099165894346613</v>
      </c>
    </row>
    <row r="360" spans="2:3" x14ac:dyDescent="0.2">
      <c r="B360">
        <v>0.21745609621720899</v>
      </c>
      <c r="C360">
        <v>0.67006487488415201</v>
      </c>
    </row>
    <row r="361" spans="2:3" x14ac:dyDescent="0.2">
      <c r="B361">
        <v>0.21704647726408099</v>
      </c>
      <c r="C361">
        <v>0.66913809082483777</v>
      </c>
    </row>
    <row r="362" spans="2:3" x14ac:dyDescent="0.2">
      <c r="B362">
        <v>0.21657792620545499</v>
      </c>
      <c r="C362">
        <v>0.66821130676552365</v>
      </c>
    </row>
    <row r="363" spans="2:3" x14ac:dyDescent="0.2">
      <c r="B363">
        <v>0.215879849984219</v>
      </c>
      <c r="C363">
        <v>0.66728452270620942</v>
      </c>
    </row>
    <row r="364" spans="2:3" x14ac:dyDescent="0.2">
      <c r="B364">
        <v>0.21578884236753601</v>
      </c>
      <c r="C364">
        <v>0.66635773864689529</v>
      </c>
    </row>
    <row r="365" spans="2:3" x14ac:dyDescent="0.2">
      <c r="B365">
        <v>0.21507795740424199</v>
      </c>
      <c r="C365">
        <v>0.66543095458758106</v>
      </c>
    </row>
    <row r="366" spans="2:3" x14ac:dyDescent="0.2">
      <c r="B366">
        <v>0.214308502899691</v>
      </c>
      <c r="C366">
        <v>0.66450417052826694</v>
      </c>
    </row>
    <row r="367" spans="2:3" x14ac:dyDescent="0.2">
      <c r="B367">
        <v>0.21394446463558101</v>
      </c>
      <c r="C367">
        <v>0.6635773864689527</v>
      </c>
    </row>
    <row r="368" spans="2:3" x14ac:dyDescent="0.2">
      <c r="B368">
        <v>0.213873393374757</v>
      </c>
      <c r="C368">
        <v>0.66265060240963858</v>
      </c>
    </row>
    <row r="369" spans="2:3" x14ac:dyDescent="0.2">
      <c r="B369">
        <v>0.21380139814238799</v>
      </c>
      <c r="C369">
        <v>0.66172381835032434</v>
      </c>
    </row>
    <row r="370" spans="2:3" x14ac:dyDescent="0.2">
      <c r="B370">
        <v>0.21378254146990999</v>
      </c>
      <c r="C370">
        <v>0.66079703429101022</v>
      </c>
    </row>
    <row r="371" spans="2:3" x14ac:dyDescent="0.2">
      <c r="B371">
        <v>0.213296403376984</v>
      </c>
      <c r="C371">
        <v>0.65987025023169599</v>
      </c>
    </row>
    <row r="372" spans="2:3" x14ac:dyDescent="0.2">
      <c r="B372">
        <v>0.21296551258903301</v>
      </c>
      <c r="C372">
        <v>0.65894346617238186</v>
      </c>
    </row>
    <row r="373" spans="2:3" x14ac:dyDescent="0.2">
      <c r="B373">
        <v>0.212804779955205</v>
      </c>
      <c r="C373">
        <v>0.65801668211306763</v>
      </c>
    </row>
    <row r="374" spans="2:3" x14ac:dyDescent="0.2">
      <c r="B374">
        <v>0.212415703876246</v>
      </c>
      <c r="C374">
        <v>0.65708989805375351</v>
      </c>
    </row>
    <row r="375" spans="2:3" x14ac:dyDescent="0.2">
      <c r="B375">
        <v>0.21234777360137</v>
      </c>
      <c r="C375">
        <v>0.65616311399443927</v>
      </c>
    </row>
    <row r="376" spans="2:3" x14ac:dyDescent="0.2">
      <c r="B376">
        <v>0.21175148802541799</v>
      </c>
      <c r="C376">
        <v>0.65523632993512515</v>
      </c>
    </row>
    <row r="377" spans="2:3" x14ac:dyDescent="0.2">
      <c r="B377">
        <v>0.21130644536491899</v>
      </c>
      <c r="C377">
        <v>0.65430954587581092</v>
      </c>
    </row>
    <row r="378" spans="2:3" x14ac:dyDescent="0.2">
      <c r="B378">
        <v>0.210722028328762</v>
      </c>
      <c r="C378">
        <v>0.65338276181649679</v>
      </c>
    </row>
    <row r="379" spans="2:3" x14ac:dyDescent="0.2">
      <c r="B379">
        <v>0.21047846067617501</v>
      </c>
      <c r="C379">
        <v>0.65245597775718256</v>
      </c>
    </row>
    <row r="380" spans="2:3" x14ac:dyDescent="0.2">
      <c r="B380">
        <v>0.20974428280676999</v>
      </c>
      <c r="C380">
        <v>0.65152919369786844</v>
      </c>
    </row>
    <row r="381" spans="2:3" x14ac:dyDescent="0.2">
      <c r="B381">
        <v>0.209138606895266</v>
      </c>
      <c r="C381">
        <v>0.6506024096385542</v>
      </c>
    </row>
    <row r="382" spans="2:3" x14ac:dyDescent="0.2">
      <c r="B382">
        <v>0.20909752132769099</v>
      </c>
      <c r="C382">
        <v>0.64967562557924008</v>
      </c>
    </row>
    <row r="383" spans="2:3" x14ac:dyDescent="0.2">
      <c r="B383">
        <v>0.20907391719997101</v>
      </c>
      <c r="C383">
        <v>0.64874884151992585</v>
      </c>
    </row>
    <row r="384" spans="2:3" x14ac:dyDescent="0.2">
      <c r="B384">
        <v>0.20866566929955099</v>
      </c>
      <c r="C384">
        <v>0.64782205746061172</v>
      </c>
    </row>
    <row r="385" spans="2:3" x14ac:dyDescent="0.2">
      <c r="B385">
        <v>0.207808100916371</v>
      </c>
      <c r="C385">
        <v>0.64689527340129749</v>
      </c>
    </row>
    <row r="386" spans="2:3" x14ac:dyDescent="0.2">
      <c r="B386">
        <v>0.2076453864526</v>
      </c>
      <c r="C386">
        <v>0.64596848934198337</v>
      </c>
    </row>
    <row r="387" spans="2:3" x14ac:dyDescent="0.2">
      <c r="B387">
        <v>0.20710268493202</v>
      </c>
      <c r="C387">
        <v>0.64504170528266913</v>
      </c>
    </row>
    <row r="388" spans="2:3" x14ac:dyDescent="0.2">
      <c r="B388">
        <v>0.20702267441542799</v>
      </c>
      <c r="C388">
        <v>0.64411492122335501</v>
      </c>
    </row>
    <row r="389" spans="2:3" x14ac:dyDescent="0.2">
      <c r="B389">
        <v>0.20671397699354099</v>
      </c>
      <c r="C389">
        <v>0.64318813716404077</v>
      </c>
    </row>
    <row r="390" spans="2:3" x14ac:dyDescent="0.2">
      <c r="B390">
        <v>0.20612645205314301</v>
      </c>
      <c r="C390">
        <v>0.64226135310472665</v>
      </c>
    </row>
    <row r="391" spans="2:3" x14ac:dyDescent="0.2">
      <c r="B391">
        <v>0.20608526814610501</v>
      </c>
      <c r="C391">
        <v>0.64133456904541242</v>
      </c>
    </row>
    <row r="392" spans="2:3" x14ac:dyDescent="0.2">
      <c r="B392">
        <v>0.205588009793501</v>
      </c>
      <c r="C392">
        <v>0.64040778498609829</v>
      </c>
    </row>
    <row r="393" spans="2:3" x14ac:dyDescent="0.2">
      <c r="B393">
        <v>0.20534114449333801</v>
      </c>
      <c r="C393">
        <v>0.63948100092678406</v>
      </c>
    </row>
    <row r="394" spans="2:3" x14ac:dyDescent="0.2">
      <c r="B394">
        <v>0.20446015414417401</v>
      </c>
      <c r="C394">
        <v>0.63855421686746983</v>
      </c>
    </row>
    <row r="395" spans="2:3" x14ac:dyDescent="0.2">
      <c r="B395">
        <v>0.20445637339863901</v>
      </c>
      <c r="C395">
        <v>0.6376274328081557</v>
      </c>
    </row>
    <row r="396" spans="2:3" x14ac:dyDescent="0.2">
      <c r="B396">
        <v>0.20439651045577001</v>
      </c>
      <c r="C396">
        <v>0.63670064874884147</v>
      </c>
    </row>
    <row r="397" spans="2:3" x14ac:dyDescent="0.2">
      <c r="B397">
        <v>0.203166434775268</v>
      </c>
      <c r="C397">
        <v>0.63577386468952735</v>
      </c>
    </row>
    <row r="398" spans="2:3" x14ac:dyDescent="0.2">
      <c r="B398">
        <v>0.20268248106271</v>
      </c>
      <c r="C398">
        <v>0.63484708063021311</v>
      </c>
    </row>
    <row r="399" spans="2:3" x14ac:dyDescent="0.2">
      <c r="B399">
        <v>0.202587695977205</v>
      </c>
      <c r="C399">
        <v>0.63392029657089899</v>
      </c>
    </row>
    <row r="400" spans="2:3" x14ac:dyDescent="0.2">
      <c r="B400">
        <v>0.20156623003427501</v>
      </c>
      <c r="C400">
        <v>0.63299351251158475</v>
      </c>
    </row>
    <row r="401" spans="2:3" x14ac:dyDescent="0.2">
      <c r="B401">
        <v>0.201335511631311</v>
      </c>
      <c r="C401">
        <v>0.63206672845227063</v>
      </c>
    </row>
    <row r="402" spans="2:3" x14ac:dyDescent="0.2">
      <c r="B402">
        <v>0.20120167456983901</v>
      </c>
      <c r="C402">
        <v>0.6311399443929564</v>
      </c>
    </row>
    <row r="403" spans="2:3" x14ac:dyDescent="0.2">
      <c r="B403">
        <v>0.201099407213333</v>
      </c>
      <c r="C403">
        <v>0.63021316033364227</v>
      </c>
    </row>
    <row r="404" spans="2:3" x14ac:dyDescent="0.2">
      <c r="B404">
        <v>0.20101202339425001</v>
      </c>
      <c r="C404">
        <v>0.62928637627432804</v>
      </c>
    </row>
    <row r="405" spans="2:3" x14ac:dyDescent="0.2">
      <c r="B405">
        <v>0.20091866680826601</v>
      </c>
      <c r="C405">
        <v>0.62835959221501392</v>
      </c>
    </row>
    <row r="406" spans="2:3" x14ac:dyDescent="0.2">
      <c r="B406">
        <v>0.20035207442799899</v>
      </c>
      <c r="C406">
        <v>0.62743280815569968</v>
      </c>
    </row>
    <row r="407" spans="2:3" x14ac:dyDescent="0.2">
      <c r="B407">
        <v>0.20009046273747999</v>
      </c>
      <c r="C407">
        <v>0.62650602409638556</v>
      </c>
    </row>
    <row r="408" spans="2:3" x14ac:dyDescent="0.2">
      <c r="B408">
        <v>0.19994826296866999</v>
      </c>
      <c r="C408">
        <v>0.62557924003707133</v>
      </c>
    </row>
    <row r="409" spans="2:3" x14ac:dyDescent="0.2">
      <c r="B409">
        <v>0.19989117555222399</v>
      </c>
      <c r="C409">
        <v>0.6246524559777572</v>
      </c>
    </row>
    <row r="410" spans="2:3" x14ac:dyDescent="0.2">
      <c r="B410">
        <v>0.19965190326749099</v>
      </c>
      <c r="C410">
        <v>0.62372567191844297</v>
      </c>
    </row>
    <row r="411" spans="2:3" x14ac:dyDescent="0.2">
      <c r="B411">
        <v>0.19925786310087101</v>
      </c>
      <c r="C411">
        <v>0.62279888785912885</v>
      </c>
    </row>
    <row r="412" spans="2:3" x14ac:dyDescent="0.2">
      <c r="B412">
        <v>0.199148567876648</v>
      </c>
      <c r="C412">
        <v>0.62187210379981461</v>
      </c>
    </row>
    <row r="413" spans="2:3" x14ac:dyDescent="0.2">
      <c r="B413">
        <v>0.19770178529605101</v>
      </c>
      <c r="C413">
        <v>0.62094531974050049</v>
      </c>
    </row>
    <row r="414" spans="2:3" x14ac:dyDescent="0.2">
      <c r="B414">
        <v>0.19766801158729999</v>
      </c>
      <c r="C414">
        <v>0.62001853568118626</v>
      </c>
    </row>
    <row r="415" spans="2:3" x14ac:dyDescent="0.2">
      <c r="B415">
        <v>0.197664038337339</v>
      </c>
      <c r="C415">
        <v>0.61909175162187213</v>
      </c>
    </row>
    <row r="416" spans="2:3" x14ac:dyDescent="0.2">
      <c r="B416">
        <v>0.19766137182375901</v>
      </c>
      <c r="C416">
        <v>0.6181649675625579</v>
      </c>
    </row>
    <row r="417" spans="2:3" x14ac:dyDescent="0.2">
      <c r="B417">
        <v>0.19738100136852799</v>
      </c>
      <c r="C417">
        <v>0.61723818350324378</v>
      </c>
    </row>
    <row r="418" spans="2:3" x14ac:dyDescent="0.2">
      <c r="B418">
        <v>0.196617695294523</v>
      </c>
      <c r="C418">
        <v>0.61631139944392954</v>
      </c>
    </row>
    <row r="419" spans="2:3" x14ac:dyDescent="0.2">
      <c r="B419">
        <v>0.196045263700414</v>
      </c>
      <c r="C419">
        <v>0.61538461538461542</v>
      </c>
    </row>
    <row r="420" spans="2:3" x14ac:dyDescent="0.2">
      <c r="B420">
        <v>0.19596443073695499</v>
      </c>
      <c r="C420">
        <v>0.61445783132530118</v>
      </c>
    </row>
    <row r="421" spans="2:3" x14ac:dyDescent="0.2">
      <c r="B421">
        <v>0.19580435054409001</v>
      </c>
      <c r="C421">
        <v>0.61353104726598706</v>
      </c>
    </row>
    <row r="422" spans="2:3" x14ac:dyDescent="0.2">
      <c r="B422">
        <v>0.19531885478726799</v>
      </c>
      <c r="C422">
        <v>0.61260426320667283</v>
      </c>
    </row>
    <row r="423" spans="2:3" x14ac:dyDescent="0.2">
      <c r="B423">
        <v>0.195208355964721</v>
      </c>
      <c r="C423">
        <v>0.6116774791473587</v>
      </c>
    </row>
    <row r="424" spans="2:3" x14ac:dyDescent="0.2">
      <c r="B424">
        <v>0.19421542047481299</v>
      </c>
      <c r="C424">
        <v>0.61075069508804447</v>
      </c>
    </row>
    <row r="425" spans="2:3" x14ac:dyDescent="0.2">
      <c r="B425">
        <v>0.19333390488212299</v>
      </c>
      <c r="C425">
        <v>0.60982391102873035</v>
      </c>
    </row>
    <row r="426" spans="2:3" x14ac:dyDescent="0.2">
      <c r="B426">
        <v>0.193255728728879</v>
      </c>
      <c r="C426">
        <v>0.60889712696941611</v>
      </c>
    </row>
    <row r="427" spans="2:3" x14ac:dyDescent="0.2">
      <c r="B427">
        <v>0.19256140450644499</v>
      </c>
      <c r="C427">
        <v>0.60797034291010199</v>
      </c>
    </row>
    <row r="428" spans="2:3" x14ac:dyDescent="0.2">
      <c r="B428">
        <v>0.19219809883573599</v>
      </c>
      <c r="C428">
        <v>0.60704355885078776</v>
      </c>
    </row>
    <row r="429" spans="2:3" x14ac:dyDescent="0.2">
      <c r="B429">
        <v>0.19154139658293601</v>
      </c>
      <c r="C429">
        <v>0.60611677479147363</v>
      </c>
    </row>
    <row r="430" spans="2:3" x14ac:dyDescent="0.2">
      <c r="B430">
        <v>0.19152899280164301</v>
      </c>
      <c r="C430">
        <v>0.6051899907321594</v>
      </c>
    </row>
    <row r="431" spans="2:3" x14ac:dyDescent="0.2">
      <c r="B431">
        <v>0.191257374187492</v>
      </c>
      <c r="C431">
        <v>0.60426320667284528</v>
      </c>
    </row>
    <row r="432" spans="2:3" x14ac:dyDescent="0.2">
      <c r="B432">
        <v>0.19114053501629799</v>
      </c>
      <c r="C432">
        <v>0.60333642261353104</v>
      </c>
    </row>
    <row r="433" spans="2:3" x14ac:dyDescent="0.2">
      <c r="B433">
        <v>0.19099849015635101</v>
      </c>
      <c r="C433">
        <v>0.60240963855421692</v>
      </c>
    </row>
    <row r="434" spans="2:3" x14ac:dyDescent="0.2">
      <c r="B434">
        <v>0.19081533979736201</v>
      </c>
      <c r="C434">
        <v>0.60148285449490269</v>
      </c>
    </row>
    <row r="435" spans="2:3" x14ac:dyDescent="0.2">
      <c r="B435">
        <v>0.19075917360441599</v>
      </c>
      <c r="C435">
        <v>0.60055607043558856</v>
      </c>
    </row>
    <row r="436" spans="2:3" x14ac:dyDescent="0.2">
      <c r="B436">
        <v>0.189914414649067</v>
      </c>
      <c r="C436">
        <v>0.59962928637627433</v>
      </c>
    </row>
    <row r="437" spans="2:3" x14ac:dyDescent="0.2">
      <c r="B437">
        <v>0.189785995056896</v>
      </c>
      <c r="C437">
        <v>0.59870250231696009</v>
      </c>
    </row>
    <row r="438" spans="2:3" x14ac:dyDescent="0.2">
      <c r="B438">
        <v>0.18913568096265301</v>
      </c>
      <c r="C438">
        <v>0.59777571825764597</v>
      </c>
    </row>
    <row r="439" spans="2:3" x14ac:dyDescent="0.2">
      <c r="B439">
        <v>0.188691608760128</v>
      </c>
      <c r="C439">
        <v>0.59684893419833174</v>
      </c>
    </row>
    <row r="440" spans="2:3" x14ac:dyDescent="0.2">
      <c r="B440">
        <v>0.1880920979255</v>
      </c>
      <c r="C440">
        <v>0.59592215013901761</v>
      </c>
    </row>
    <row r="441" spans="2:3" x14ac:dyDescent="0.2">
      <c r="B441">
        <v>0.187987251583391</v>
      </c>
      <c r="C441">
        <v>0.59499536607970338</v>
      </c>
    </row>
    <row r="442" spans="2:3" x14ac:dyDescent="0.2">
      <c r="B442">
        <v>0.187970739500326</v>
      </c>
      <c r="C442">
        <v>0.59406858202038926</v>
      </c>
    </row>
    <row r="443" spans="2:3" x14ac:dyDescent="0.2">
      <c r="B443">
        <v>0.18780704866252301</v>
      </c>
      <c r="C443">
        <v>0.59314179796107502</v>
      </c>
    </row>
    <row r="444" spans="2:3" x14ac:dyDescent="0.2">
      <c r="B444">
        <v>0.187748438188242</v>
      </c>
      <c r="C444">
        <v>0.5922150139017609</v>
      </c>
    </row>
    <row r="445" spans="2:3" x14ac:dyDescent="0.2">
      <c r="B445">
        <v>0.18674451940933501</v>
      </c>
      <c r="C445">
        <v>0.59128822984244667</v>
      </c>
    </row>
    <row r="446" spans="2:3" x14ac:dyDescent="0.2">
      <c r="B446">
        <v>0.18653602130746499</v>
      </c>
      <c r="C446">
        <v>0.59036144578313254</v>
      </c>
    </row>
    <row r="447" spans="2:3" x14ac:dyDescent="0.2">
      <c r="B447">
        <v>0.18650122864007401</v>
      </c>
      <c r="C447">
        <v>0.58943466172381831</v>
      </c>
    </row>
    <row r="448" spans="2:3" x14ac:dyDescent="0.2">
      <c r="B448">
        <v>0.18613834692688999</v>
      </c>
      <c r="C448">
        <v>0.58850787766450419</v>
      </c>
    </row>
    <row r="449" spans="2:3" x14ac:dyDescent="0.2">
      <c r="B449">
        <v>0.185750359919402</v>
      </c>
      <c r="C449">
        <v>0.58758109360518995</v>
      </c>
    </row>
    <row r="450" spans="2:3" x14ac:dyDescent="0.2">
      <c r="B450">
        <v>0.18383172847022999</v>
      </c>
      <c r="C450">
        <v>0.58665430954587583</v>
      </c>
    </row>
    <row r="451" spans="2:3" x14ac:dyDescent="0.2">
      <c r="B451">
        <v>0.18342743401716799</v>
      </c>
      <c r="C451">
        <v>0.5857275254865616</v>
      </c>
    </row>
    <row r="452" spans="2:3" x14ac:dyDescent="0.2">
      <c r="B452">
        <v>0.18320105550049001</v>
      </c>
      <c r="C452">
        <v>0.58480074142724747</v>
      </c>
    </row>
    <row r="453" spans="2:3" x14ac:dyDescent="0.2">
      <c r="B453">
        <v>0.182909740627312</v>
      </c>
      <c r="C453">
        <v>0.58387395736793324</v>
      </c>
    </row>
    <row r="454" spans="2:3" x14ac:dyDescent="0.2">
      <c r="B454">
        <v>0.18219156269762399</v>
      </c>
      <c r="C454">
        <v>0.58294717330861912</v>
      </c>
    </row>
    <row r="455" spans="2:3" x14ac:dyDescent="0.2">
      <c r="B455">
        <v>0.18214410502056899</v>
      </c>
      <c r="C455">
        <v>0.58202038924930488</v>
      </c>
    </row>
    <row r="456" spans="2:3" x14ac:dyDescent="0.2">
      <c r="B456">
        <v>0.18196197865615399</v>
      </c>
      <c r="C456">
        <v>0.58109360518999076</v>
      </c>
    </row>
    <row r="457" spans="2:3" x14ac:dyDescent="0.2">
      <c r="B457">
        <v>0.18187087669472199</v>
      </c>
      <c r="C457">
        <v>0.58016682113067652</v>
      </c>
    </row>
    <row r="458" spans="2:3" x14ac:dyDescent="0.2">
      <c r="B458">
        <v>0.18171781805402401</v>
      </c>
      <c r="C458">
        <v>0.5792400370713624</v>
      </c>
    </row>
    <row r="459" spans="2:3" x14ac:dyDescent="0.2">
      <c r="B459">
        <v>0.180639025379218</v>
      </c>
      <c r="C459">
        <v>0.57831325301204817</v>
      </c>
    </row>
    <row r="460" spans="2:3" x14ac:dyDescent="0.2">
      <c r="B460">
        <v>0.18057463470897001</v>
      </c>
      <c r="C460">
        <v>0.57738646895273404</v>
      </c>
    </row>
    <row r="461" spans="2:3" x14ac:dyDescent="0.2">
      <c r="B461">
        <v>0.17957653374045801</v>
      </c>
      <c r="C461">
        <v>0.57645968489341981</v>
      </c>
    </row>
    <row r="462" spans="2:3" x14ac:dyDescent="0.2">
      <c r="B462">
        <v>0.17929835533303401</v>
      </c>
      <c r="C462">
        <v>0.57553290083410569</v>
      </c>
    </row>
    <row r="463" spans="2:3" x14ac:dyDescent="0.2">
      <c r="B463">
        <v>0.17907012858145799</v>
      </c>
      <c r="C463">
        <v>0.57460611677479145</v>
      </c>
    </row>
    <row r="464" spans="2:3" x14ac:dyDescent="0.2">
      <c r="B464">
        <v>0.178939977418729</v>
      </c>
      <c r="C464">
        <v>0.57367933271547733</v>
      </c>
    </row>
    <row r="465" spans="2:3" x14ac:dyDescent="0.2">
      <c r="B465">
        <v>0.178827596116477</v>
      </c>
      <c r="C465">
        <v>0.5727525486561631</v>
      </c>
    </row>
    <row r="466" spans="2:3" x14ac:dyDescent="0.2">
      <c r="B466">
        <v>0.17798922732109199</v>
      </c>
      <c r="C466">
        <v>0.57182576459684897</v>
      </c>
    </row>
    <row r="467" spans="2:3" x14ac:dyDescent="0.2">
      <c r="B467">
        <v>0.177641741445596</v>
      </c>
      <c r="C467">
        <v>0.57089898053753474</v>
      </c>
    </row>
    <row r="468" spans="2:3" x14ac:dyDescent="0.2">
      <c r="B468">
        <v>0.17764121973411001</v>
      </c>
      <c r="C468">
        <v>0.56997219647822062</v>
      </c>
    </row>
    <row r="469" spans="2:3" x14ac:dyDescent="0.2">
      <c r="B469">
        <v>0.177426367687258</v>
      </c>
      <c r="C469">
        <v>0.56904541241890638</v>
      </c>
    </row>
    <row r="470" spans="2:3" x14ac:dyDescent="0.2">
      <c r="B470">
        <v>0.17741828655053299</v>
      </c>
      <c r="C470">
        <v>0.56811862835959226</v>
      </c>
    </row>
    <row r="471" spans="2:3" x14ac:dyDescent="0.2">
      <c r="B471">
        <v>0.17734884425233199</v>
      </c>
      <c r="C471">
        <v>0.56719184430027803</v>
      </c>
    </row>
    <row r="472" spans="2:3" x14ac:dyDescent="0.2">
      <c r="B472">
        <v>0.17722977561797201</v>
      </c>
      <c r="C472">
        <v>0.5662650602409639</v>
      </c>
    </row>
    <row r="473" spans="2:3" x14ac:dyDescent="0.2">
      <c r="B473">
        <v>0.177080430653028</v>
      </c>
      <c r="C473">
        <v>0.56533827618164967</v>
      </c>
    </row>
    <row r="474" spans="2:3" x14ac:dyDescent="0.2">
      <c r="B474">
        <v>0.176793672335192</v>
      </c>
      <c r="C474">
        <v>0.56441149212233555</v>
      </c>
    </row>
    <row r="475" spans="2:3" x14ac:dyDescent="0.2">
      <c r="B475">
        <v>0.17677284915019401</v>
      </c>
      <c r="C475">
        <v>0.56348470806302131</v>
      </c>
    </row>
    <row r="476" spans="2:3" x14ac:dyDescent="0.2">
      <c r="B476">
        <v>0.17671685314578001</v>
      </c>
      <c r="C476">
        <v>0.56255792400370719</v>
      </c>
    </row>
    <row r="477" spans="2:3" x14ac:dyDescent="0.2">
      <c r="B477">
        <v>0.176531689906819</v>
      </c>
      <c r="C477">
        <v>0.56163113994439295</v>
      </c>
    </row>
    <row r="478" spans="2:3" x14ac:dyDescent="0.2">
      <c r="B478">
        <v>0.17648725946819299</v>
      </c>
      <c r="C478">
        <v>0.56070435588507883</v>
      </c>
    </row>
    <row r="479" spans="2:3" x14ac:dyDescent="0.2">
      <c r="B479">
        <v>0.176258960164585</v>
      </c>
      <c r="C479">
        <v>0.5597775718257646</v>
      </c>
    </row>
    <row r="480" spans="2:3" x14ac:dyDescent="0.2">
      <c r="B480">
        <v>0.176141106289949</v>
      </c>
      <c r="C480">
        <v>0.55885078776645036</v>
      </c>
    </row>
    <row r="481" spans="2:3" x14ac:dyDescent="0.2">
      <c r="B481">
        <v>0.176029305633425</v>
      </c>
      <c r="C481">
        <v>0.55792400370713624</v>
      </c>
    </row>
    <row r="482" spans="2:3" x14ac:dyDescent="0.2">
      <c r="B482">
        <v>0.17595769291761401</v>
      </c>
      <c r="C482">
        <v>0.55699721964782201</v>
      </c>
    </row>
    <row r="483" spans="2:3" x14ac:dyDescent="0.2">
      <c r="B483">
        <v>0.17592513008407701</v>
      </c>
      <c r="C483">
        <v>0.55607043558850788</v>
      </c>
    </row>
    <row r="484" spans="2:3" x14ac:dyDescent="0.2">
      <c r="B484">
        <v>0.17516633001550599</v>
      </c>
      <c r="C484">
        <v>0.55514365152919365</v>
      </c>
    </row>
    <row r="485" spans="2:3" x14ac:dyDescent="0.2">
      <c r="B485">
        <v>0.17494519988784801</v>
      </c>
      <c r="C485">
        <v>0.55421686746987953</v>
      </c>
    </row>
    <row r="486" spans="2:3" x14ac:dyDescent="0.2">
      <c r="B486">
        <v>0.17468868372570301</v>
      </c>
      <c r="C486">
        <v>0.55329008341056529</v>
      </c>
    </row>
    <row r="487" spans="2:3" x14ac:dyDescent="0.2">
      <c r="B487">
        <v>0.17409693877680199</v>
      </c>
      <c r="C487">
        <v>0.55236329935125117</v>
      </c>
    </row>
    <row r="488" spans="2:3" x14ac:dyDescent="0.2">
      <c r="B488">
        <v>0.173404546826743</v>
      </c>
      <c r="C488">
        <v>0.55143651529193694</v>
      </c>
    </row>
    <row r="489" spans="2:3" x14ac:dyDescent="0.2">
      <c r="B489">
        <v>0.17331396795813001</v>
      </c>
      <c r="C489">
        <v>0.55050973123262281</v>
      </c>
    </row>
    <row r="490" spans="2:3" x14ac:dyDescent="0.2">
      <c r="B490">
        <v>0.172963498014398</v>
      </c>
      <c r="C490">
        <v>0.54958294717330858</v>
      </c>
    </row>
    <row r="491" spans="2:3" x14ac:dyDescent="0.2">
      <c r="B491">
        <v>0.17285950783583601</v>
      </c>
      <c r="C491">
        <v>0.54865616311399446</v>
      </c>
    </row>
    <row r="492" spans="2:3" x14ac:dyDescent="0.2">
      <c r="B492">
        <v>0.17272885316596201</v>
      </c>
      <c r="C492">
        <v>0.54772937905468022</v>
      </c>
    </row>
    <row r="493" spans="2:3" x14ac:dyDescent="0.2">
      <c r="B493">
        <v>0.172275874635649</v>
      </c>
      <c r="C493">
        <v>0.5468025949953661</v>
      </c>
    </row>
    <row r="494" spans="2:3" x14ac:dyDescent="0.2">
      <c r="B494">
        <v>0.172250639388872</v>
      </c>
      <c r="C494">
        <v>0.54587581093605186</v>
      </c>
    </row>
    <row r="495" spans="2:3" x14ac:dyDescent="0.2">
      <c r="B495">
        <v>0.17217277065238201</v>
      </c>
      <c r="C495">
        <v>0.54494902687673774</v>
      </c>
    </row>
    <row r="496" spans="2:3" x14ac:dyDescent="0.2">
      <c r="B496">
        <v>0.17216275870508099</v>
      </c>
      <c r="C496">
        <v>0.54402224281742351</v>
      </c>
    </row>
    <row r="497" spans="2:3" x14ac:dyDescent="0.2">
      <c r="B497">
        <v>0.172061307899774</v>
      </c>
      <c r="C497">
        <v>0.54309545875810938</v>
      </c>
    </row>
    <row r="498" spans="2:3" x14ac:dyDescent="0.2">
      <c r="B498">
        <v>0.17169908677828899</v>
      </c>
      <c r="C498">
        <v>0.54216867469879515</v>
      </c>
    </row>
    <row r="499" spans="2:3" x14ac:dyDescent="0.2">
      <c r="B499">
        <v>0.171273589810613</v>
      </c>
      <c r="C499">
        <v>0.54124189063948103</v>
      </c>
    </row>
    <row r="500" spans="2:3" x14ac:dyDescent="0.2">
      <c r="B500">
        <v>0.171106386407889</v>
      </c>
      <c r="C500">
        <v>0.54031510658016679</v>
      </c>
    </row>
    <row r="501" spans="2:3" x14ac:dyDescent="0.2">
      <c r="B501">
        <v>0.170272131756247</v>
      </c>
      <c r="C501">
        <v>0.53938832252085267</v>
      </c>
    </row>
    <row r="502" spans="2:3" x14ac:dyDescent="0.2">
      <c r="B502">
        <v>0.16979198429807901</v>
      </c>
      <c r="C502">
        <v>0.53846153846153844</v>
      </c>
    </row>
    <row r="503" spans="2:3" x14ac:dyDescent="0.2">
      <c r="B503">
        <v>0.169152166384993</v>
      </c>
      <c r="C503">
        <v>0.53753475440222431</v>
      </c>
    </row>
    <row r="504" spans="2:3" x14ac:dyDescent="0.2">
      <c r="B504">
        <v>0.168974512544667</v>
      </c>
      <c r="C504">
        <v>0.53660797034291008</v>
      </c>
    </row>
    <row r="505" spans="2:3" x14ac:dyDescent="0.2">
      <c r="B505">
        <v>0.16891001003363701</v>
      </c>
      <c r="C505">
        <v>0.53568118628359596</v>
      </c>
    </row>
    <row r="506" spans="2:3" x14ac:dyDescent="0.2">
      <c r="B506">
        <v>0.168903220028225</v>
      </c>
      <c r="C506">
        <v>0.53475440222428172</v>
      </c>
    </row>
    <row r="507" spans="2:3" x14ac:dyDescent="0.2">
      <c r="B507">
        <v>0.168506130837626</v>
      </c>
      <c r="C507">
        <v>0.5338276181649676</v>
      </c>
    </row>
    <row r="508" spans="2:3" x14ac:dyDescent="0.2">
      <c r="B508">
        <v>0.16816829847300099</v>
      </c>
      <c r="C508">
        <v>0.53290083410565336</v>
      </c>
    </row>
    <row r="509" spans="2:3" x14ac:dyDescent="0.2">
      <c r="B509">
        <v>0.16816165210070999</v>
      </c>
      <c r="C509">
        <v>0.53197405004633924</v>
      </c>
    </row>
    <row r="510" spans="2:3" x14ac:dyDescent="0.2">
      <c r="B510">
        <v>0.167519644064719</v>
      </c>
      <c r="C510">
        <v>0.53104726598702501</v>
      </c>
    </row>
    <row r="511" spans="2:3" x14ac:dyDescent="0.2">
      <c r="B511">
        <v>0.16747497099819</v>
      </c>
      <c r="C511">
        <v>0.53012048192771088</v>
      </c>
    </row>
    <row r="512" spans="2:3" x14ac:dyDescent="0.2">
      <c r="B512">
        <v>0.16745420489969001</v>
      </c>
      <c r="C512">
        <v>0.52919369786839665</v>
      </c>
    </row>
    <row r="513" spans="2:3" x14ac:dyDescent="0.2">
      <c r="B513">
        <v>0.16744251336739899</v>
      </c>
      <c r="C513">
        <v>0.52826691380908253</v>
      </c>
    </row>
    <row r="514" spans="2:3" x14ac:dyDescent="0.2">
      <c r="B514">
        <v>0.16722542012675301</v>
      </c>
      <c r="C514">
        <v>0.52734012974976829</v>
      </c>
    </row>
    <row r="515" spans="2:3" x14ac:dyDescent="0.2">
      <c r="B515">
        <v>0.16634505537760599</v>
      </c>
      <c r="C515">
        <v>0.52641334569045417</v>
      </c>
    </row>
    <row r="516" spans="2:3" x14ac:dyDescent="0.2">
      <c r="B516">
        <v>0.166085427811199</v>
      </c>
      <c r="C516">
        <v>0.52548656163113994</v>
      </c>
    </row>
    <row r="517" spans="2:3" x14ac:dyDescent="0.2">
      <c r="B517">
        <v>0.166009562214886</v>
      </c>
      <c r="C517">
        <v>0.52455977757182581</v>
      </c>
    </row>
    <row r="518" spans="2:3" x14ac:dyDescent="0.2">
      <c r="B518">
        <v>0.16596245834712001</v>
      </c>
      <c r="C518">
        <v>0.52363299351251158</v>
      </c>
    </row>
    <row r="519" spans="2:3" x14ac:dyDescent="0.2">
      <c r="B519">
        <v>0.165847624667882</v>
      </c>
      <c r="C519">
        <v>0.52270620945319746</v>
      </c>
    </row>
    <row r="520" spans="2:3" x14ac:dyDescent="0.2">
      <c r="B520">
        <v>0.165259002601225</v>
      </c>
      <c r="C520">
        <v>0.52177942539388322</v>
      </c>
    </row>
    <row r="521" spans="2:3" x14ac:dyDescent="0.2">
      <c r="B521">
        <v>0.16514936685380099</v>
      </c>
      <c r="C521">
        <v>0.5208526413345691</v>
      </c>
    </row>
    <row r="522" spans="2:3" x14ac:dyDescent="0.2">
      <c r="B522">
        <v>0.165133452626157</v>
      </c>
      <c r="C522">
        <v>0.51992585727525487</v>
      </c>
    </row>
    <row r="523" spans="2:3" x14ac:dyDescent="0.2">
      <c r="B523">
        <v>0.165100690364547</v>
      </c>
      <c r="C523">
        <v>0.51899907321594063</v>
      </c>
    </row>
    <row r="524" spans="2:3" x14ac:dyDescent="0.2">
      <c r="B524">
        <v>0.16490915304715101</v>
      </c>
      <c r="C524">
        <v>0.51807228915662651</v>
      </c>
    </row>
    <row r="525" spans="2:3" x14ac:dyDescent="0.2">
      <c r="B525">
        <v>0.16473072123728799</v>
      </c>
      <c r="C525">
        <v>0.51714550509731227</v>
      </c>
    </row>
    <row r="526" spans="2:3" x14ac:dyDescent="0.2">
      <c r="B526">
        <v>0.16415615935706299</v>
      </c>
      <c r="C526">
        <v>0.51621872103799815</v>
      </c>
    </row>
    <row r="527" spans="2:3" x14ac:dyDescent="0.2">
      <c r="B527">
        <v>0.16359324955087101</v>
      </c>
      <c r="C527">
        <v>0.51529193697868392</v>
      </c>
    </row>
    <row r="528" spans="2:3" x14ac:dyDescent="0.2">
      <c r="B528">
        <v>0.163415131396033</v>
      </c>
      <c r="C528">
        <v>0.51436515291936979</v>
      </c>
    </row>
    <row r="529" spans="2:3" x14ac:dyDescent="0.2">
      <c r="B529">
        <v>0.16336718244578299</v>
      </c>
      <c r="C529">
        <v>0.51343836886005556</v>
      </c>
    </row>
    <row r="530" spans="2:3" x14ac:dyDescent="0.2">
      <c r="B530">
        <v>0.163326804418884</v>
      </c>
      <c r="C530">
        <v>0.51251158480074144</v>
      </c>
    </row>
    <row r="531" spans="2:3" x14ac:dyDescent="0.2">
      <c r="B531">
        <v>0.163256581969033</v>
      </c>
      <c r="C531">
        <v>0.5115848007414272</v>
      </c>
    </row>
    <row r="532" spans="2:3" x14ac:dyDescent="0.2">
      <c r="B532">
        <v>0.163158675693928</v>
      </c>
      <c r="C532">
        <v>0.51065801668211308</v>
      </c>
    </row>
    <row r="533" spans="2:3" x14ac:dyDescent="0.2">
      <c r="B533">
        <v>0.16274473294755601</v>
      </c>
      <c r="C533">
        <v>0.50973123262279885</v>
      </c>
    </row>
    <row r="534" spans="2:3" x14ac:dyDescent="0.2">
      <c r="B534">
        <v>0.16270593072789699</v>
      </c>
      <c r="C534">
        <v>0.50880444856348472</v>
      </c>
    </row>
    <row r="535" spans="2:3" x14ac:dyDescent="0.2">
      <c r="B535">
        <v>0.16261472842333499</v>
      </c>
      <c r="C535">
        <v>0.50787766450417049</v>
      </c>
    </row>
    <row r="536" spans="2:3" x14ac:dyDescent="0.2">
      <c r="B536">
        <v>0.16241174541835501</v>
      </c>
      <c r="C536">
        <v>0.50695088044485637</v>
      </c>
    </row>
    <row r="537" spans="2:3" x14ac:dyDescent="0.2">
      <c r="B537">
        <v>0.16230497451675499</v>
      </c>
      <c r="C537">
        <v>0.50602409638554213</v>
      </c>
    </row>
    <row r="538" spans="2:3" x14ac:dyDescent="0.2">
      <c r="B538">
        <v>0.16219818796416999</v>
      </c>
      <c r="C538">
        <v>0.50509731232622801</v>
      </c>
    </row>
    <row r="539" spans="2:3" x14ac:dyDescent="0.2">
      <c r="B539">
        <v>0.16213120289337399</v>
      </c>
      <c r="C539">
        <v>0.50417052826691378</v>
      </c>
    </row>
    <row r="540" spans="2:3" x14ac:dyDescent="0.2">
      <c r="B540">
        <v>0.16187758497476401</v>
      </c>
      <c r="C540">
        <v>0.50324374420759965</v>
      </c>
    </row>
    <row r="541" spans="2:3" x14ac:dyDescent="0.2">
      <c r="B541">
        <v>0.161392603110805</v>
      </c>
      <c r="C541">
        <v>0.50231696014828542</v>
      </c>
    </row>
    <row r="542" spans="2:3" x14ac:dyDescent="0.2">
      <c r="B542">
        <v>0.16116340211102601</v>
      </c>
      <c r="C542">
        <v>0.5013901760889713</v>
      </c>
    </row>
    <row r="543" spans="2:3" x14ac:dyDescent="0.2">
      <c r="B543">
        <v>0.16111859401763701</v>
      </c>
      <c r="C543">
        <v>0.50046339202965706</v>
      </c>
    </row>
    <row r="544" spans="2:3" x14ac:dyDescent="0.2">
      <c r="B544">
        <v>0.16010256461893299</v>
      </c>
      <c r="C544">
        <v>0.49953660797034288</v>
      </c>
    </row>
    <row r="545" spans="2:3" x14ac:dyDescent="0.2">
      <c r="B545">
        <v>0.15953374967043299</v>
      </c>
      <c r="C545">
        <v>0.4986098239110287</v>
      </c>
    </row>
    <row r="546" spans="2:3" x14ac:dyDescent="0.2">
      <c r="B546">
        <v>0.15939653327863099</v>
      </c>
      <c r="C546">
        <v>0.49768303985171453</v>
      </c>
    </row>
    <row r="547" spans="2:3" x14ac:dyDescent="0.2">
      <c r="B547">
        <v>0.15915206418130701</v>
      </c>
      <c r="C547">
        <v>0.49675625579240035</v>
      </c>
    </row>
    <row r="548" spans="2:3" x14ac:dyDescent="0.2">
      <c r="B548">
        <v>0.15866734059426699</v>
      </c>
      <c r="C548">
        <v>0.49582947173308617</v>
      </c>
    </row>
    <row r="549" spans="2:3" x14ac:dyDescent="0.2">
      <c r="B549">
        <v>0.158280380113481</v>
      </c>
      <c r="C549">
        <v>0.49490268767377199</v>
      </c>
    </row>
    <row r="550" spans="2:3" x14ac:dyDescent="0.2">
      <c r="B550">
        <v>0.15808582035101301</v>
      </c>
      <c r="C550">
        <v>0.49397590361445781</v>
      </c>
    </row>
    <row r="551" spans="2:3" x14ac:dyDescent="0.2">
      <c r="B551">
        <v>0.15804175985418101</v>
      </c>
      <c r="C551">
        <v>0.49304911955514363</v>
      </c>
    </row>
    <row r="552" spans="2:3" x14ac:dyDescent="0.2">
      <c r="B552">
        <v>0.15800736602107901</v>
      </c>
      <c r="C552">
        <v>0.49212233549582945</v>
      </c>
    </row>
    <row r="553" spans="2:3" x14ac:dyDescent="0.2">
      <c r="B553">
        <v>0.15689731181883901</v>
      </c>
      <c r="C553">
        <v>0.49119555143651528</v>
      </c>
    </row>
    <row r="554" spans="2:3" x14ac:dyDescent="0.2">
      <c r="B554">
        <v>0.15675578221831599</v>
      </c>
      <c r="C554">
        <v>0.4902687673772011</v>
      </c>
    </row>
    <row r="555" spans="2:3" x14ac:dyDescent="0.2">
      <c r="B555">
        <v>0.15666029125931899</v>
      </c>
      <c r="C555">
        <v>0.48934198331788692</v>
      </c>
    </row>
    <row r="556" spans="2:3" x14ac:dyDescent="0.2">
      <c r="B556">
        <v>0.156659143725598</v>
      </c>
      <c r="C556">
        <v>0.48841519925857274</v>
      </c>
    </row>
    <row r="557" spans="2:3" x14ac:dyDescent="0.2">
      <c r="B557">
        <v>0.15646977352204799</v>
      </c>
      <c r="C557">
        <v>0.48748841519925856</v>
      </c>
    </row>
    <row r="558" spans="2:3" x14ac:dyDescent="0.2">
      <c r="B558">
        <v>0.15566711740049199</v>
      </c>
      <c r="C558">
        <v>0.48656163113994438</v>
      </c>
    </row>
    <row r="559" spans="2:3" x14ac:dyDescent="0.2">
      <c r="B559">
        <v>0.155491841839727</v>
      </c>
      <c r="C559">
        <v>0.48563484708063021</v>
      </c>
    </row>
    <row r="560" spans="2:3" x14ac:dyDescent="0.2">
      <c r="B560">
        <v>0.15514206892313001</v>
      </c>
      <c r="C560">
        <v>0.48470806302131603</v>
      </c>
    </row>
    <row r="561" spans="2:3" x14ac:dyDescent="0.2">
      <c r="B561">
        <v>0.15476930039369699</v>
      </c>
      <c r="C561">
        <v>0.48378127896200185</v>
      </c>
    </row>
    <row r="562" spans="2:3" x14ac:dyDescent="0.2">
      <c r="B562">
        <v>0.15475525973165</v>
      </c>
      <c r="C562">
        <v>0.48285449490268767</v>
      </c>
    </row>
    <row r="563" spans="2:3" x14ac:dyDescent="0.2">
      <c r="B563">
        <v>0.15370482756158901</v>
      </c>
      <c r="C563">
        <v>0.48192771084337349</v>
      </c>
    </row>
    <row r="564" spans="2:3" x14ac:dyDescent="0.2">
      <c r="B564">
        <v>0.15343048135256801</v>
      </c>
      <c r="C564">
        <v>0.48100092678405931</v>
      </c>
    </row>
    <row r="565" spans="2:3" x14ac:dyDescent="0.2">
      <c r="B565">
        <v>0.15321364225510001</v>
      </c>
      <c r="C565">
        <v>0.48007414272474513</v>
      </c>
    </row>
    <row r="566" spans="2:3" x14ac:dyDescent="0.2">
      <c r="B566">
        <v>0.153037277236236</v>
      </c>
      <c r="C566">
        <v>0.47914735866543096</v>
      </c>
    </row>
    <row r="567" spans="2:3" x14ac:dyDescent="0.2">
      <c r="B567">
        <v>0.152515145825215</v>
      </c>
      <c r="C567">
        <v>0.47822057460611678</v>
      </c>
    </row>
    <row r="568" spans="2:3" x14ac:dyDescent="0.2">
      <c r="B568">
        <v>0.15197975571078801</v>
      </c>
      <c r="C568">
        <v>0.4772937905468026</v>
      </c>
    </row>
    <row r="569" spans="2:3" x14ac:dyDescent="0.2">
      <c r="B569">
        <v>0.15156302573657501</v>
      </c>
      <c r="C569">
        <v>0.47636700648748842</v>
      </c>
    </row>
    <row r="570" spans="2:3" x14ac:dyDescent="0.2">
      <c r="B570">
        <v>0.15136689994871</v>
      </c>
      <c r="C570">
        <v>0.47544022242817424</v>
      </c>
    </row>
    <row r="571" spans="2:3" x14ac:dyDescent="0.2">
      <c r="B571">
        <v>0.150894178708181</v>
      </c>
      <c r="C571">
        <v>0.47451343836886006</v>
      </c>
    </row>
    <row r="572" spans="2:3" x14ac:dyDescent="0.2">
      <c r="B572">
        <v>0.150805866266079</v>
      </c>
      <c r="C572">
        <v>0.47358665430954588</v>
      </c>
    </row>
    <row r="573" spans="2:3" x14ac:dyDescent="0.2">
      <c r="B573">
        <v>0.15050988725036801</v>
      </c>
      <c r="C573">
        <v>0.47265987025023171</v>
      </c>
    </row>
    <row r="574" spans="2:3" x14ac:dyDescent="0.2">
      <c r="B574">
        <v>0.15032984095471599</v>
      </c>
      <c r="C574">
        <v>0.47173308619091753</v>
      </c>
    </row>
    <row r="575" spans="2:3" x14ac:dyDescent="0.2">
      <c r="B575">
        <v>0.150306340239442</v>
      </c>
      <c r="C575">
        <v>0.47080630213160335</v>
      </c>
    </row>
    <row r="576" spans="2:3" x14ac:dyDescent="0.2">
      <c r="B576">
        <v>0.150227912036588</v>
      </c>
      <c r="C576">
        <v>0.46987951807228917</v>
      </c>
    </row>
    <row r="577" spans="2:3" x14ac:dyDescent="0.2">
      <c r="B577">
        <v>0.15014780433122599</v>
      </c>
      <c r="C577">
        <v>0.46895273401297499</v>
      </c>
    </row>
    <row r="578" spans="2:3" x14ac:dyDescent="0.2">
      <c r="B578">
        <v>0.149804707511108</v>
      </c>
      <c r="C578">
        <v>0.46802594995366081</v>
      </c>
    </row>
    <row r="579" spans="2:3" x14ac:dyDescent="0.2">
      <c r="B579">
        <v>0.14957146980283401</v>
      </c>
      <c r="C579">
        <v>0.46709916589434664</v>
      </c>
    </row>
    <row r="580" spans="2:3" x14ac:dyDescent="0.2">
      <c r="B580">
        <v>0.148765841880794</v>
      </c>
      <c r="C580">
        <v>0.46617238183503246</v>
      </c>
    </row>
    <row r="581" spans="2:3" x14ac:dyDescent="0.2">
      <c r="B581">
        <v>0.14867650221989201</v>
      </c>
      <c r="C581">
        <v>0.46524559777571828</v>
      </c>
    </row>
    <row r="582" spans="2:3" x14ac:dyDescent="0.2">
      <c r="B582">
        <v>0.148543366279835</v>
      </c>
      <c r="C582">
        <v>0.4643188137164041</v>
      </c>
    </row>
    <row r="583" spans="2:3" x14ac:dyDescent="0.2">
      <c r="B583">
        <v>0.14832582003726799</v>
      </c>
      <c r="C583">
        <v>0.46339202965708992</v>
      </c>
    </row>
    <row r="584" spans="2:3" x14ac:dyDescent="0.2">
      <c r="B584">
        <v>0.147805961483014</v>
      </c>
      <c r="C584">
        <v>0.46246524559777574</v>
      </c>
    </row>
    <row r="585" spans="2:3" x14ac:dyDescent="0.2">
      <c r="B585">
        <v>0.146814725088592</v>
      </c>
      <c r="C585">
        <v>0.46153846153846156</v>
      </c>
    </row>
    <row r="586" spans="2:3" x14ac:dyDescent="0.2">
      <c r="B586">
        <v>0.146771537804361</v>
      </c>
      <c r="C586">
        <v>0.46061167747914739</v>
      </c>
    </row>
    <row r="587" spans="2:3" x14ac:dyDescent="0.2">
      <c r="B587">
        <v>0.146669390727966</v>
      </c>
      <c r="C587">
        <v>0.45968489341983315</v>
      </c>
    </row>
    <row r="588" spans="2:3" x14ac:dyDescent="0.2">
      <c r="B588">
        <v>0.146387185344379</v>
      </c>
      <c r="C588">
        <v>0.45875810936051897</v>
      </c>
    </row>
    <row r="589" spans="2:3" x14ac:dyDescent="0.2">
      <c r="B589">
        <v>0.14568038126504201</v>
      </c>
      <c r="C589">
        <v>0.45783132530120479</v>
      </c>
    </row>
    <row r="590" spans="2:3" x14ac:dyDescent="0.2">
      <c r="B590">
        <v>0.14542031681200501</v>
      </c>
      <c r="C590">
        <v>0.45690454124189062</v>
      </c>
    </row>
    <row r="591" spans="2:3" x14ac:dyDescent="0.2">
      <c r="B591">
        <v>0.145400676453769</v>
      </c>
      <c r="C591">
        <v>0.45597775718257644</v>
      </c>
    </row>
    <row r="592" spans="2:3" x14ac:dyDescent="0.2">
      <c r="B592">
        <v>0.145387178629759</v>
      </c>
      <c r="C592">
        <v>0.45505097312326226</v>
      </c>
    </row>
    <row r="593" spans="2:3" x14ac:dyDescent="0.2">
      <c r="B593">
        <v>0.14536518560115799</v>
      </c>
      <c r="C593">
        <v>0.45412418906394808</v>
      </c>
    </row>
    <row r="594" spans="2:3" x14ac:dyDescent="0.2">
      <c r="B594">
        <v>0.14497959347936501</v>
      </c>
      <c r="C594">
        <v>0.4531974050046339</v>
      </c>
    </row>
    <row r="595" spans="2:3" x14ac:dyDescent="0.2">
      <c r="B595">
        <v>0.14479269971894601</v>
      </c>
      <c r="C595">
        <v>0.45227062094531972</v>
      </c>
    </row>
    <row r="596" spans="2:3" x14ac:dyDescent="0.2">
      <c r="B596">
        <v>0.14441064325199199</v>
      </c>
      <c r="C596">
        <v>0.45134383688600554</v>
      </c>
    </row>
    <row r="597" spans="2:3" x14ac:dyDescent="0.2">
      <c r="B597">
        <v>0.144227324742045</v>
      </c>
      <c r="C597">
        <v>0.45041705282669137</v>
      </c>
    </row>
    <row r="598" spans="2:3" x14ac:dyDescent="0.2">
      <c r="B598">
        <v>0.143603114797308</v>
      </c>
      <c r="C598">
        <v>0.44949026876737719</v>
      </c>
    </row>
    <row r="599" spans="2:3" x14ac:dyDescent="0.2">
      <c r="B599">
        <v>0.14342977394026099</v>
      </c>
      <c r="C599">
        <v>0.44856348470806301</v>
      </c>
    </row>
    <row r="600" spans="2:3" x14ac:dyDescent="0.2">
      <c r="B600">
        <v>0.14321313346730699</v>
      </c>
      <c r="C600">
        <v>0.44763670064874883</v>
      </c>
    </row>
    <row r="601" spans="2:3" x14ac:dyDescent="0.2">
      <c r="B601">
        <v>0.14251191465391899</v>
      </c>
      <c r="C601">
        <v>0.44670991658943465</v>
      </c>
    </row>
    <row r="602" spans="2:3" x14ac:dyDescent="0.2">
      <c r="B602">
        <v>0.14151829365823701</v>
      </c>
      <c r="C602">
        <v>0.44578313253012047</v>
      </c>
    </row>
    <row r="603" spans="2:3" x14ac:dyDescent="0.2">
      <c r="B603">
        <v>0.14081608534731199</v>
      </c>
      <c r="C603">
        <v>0.4448563484708063</v>
      </c>
    </row>
    <row r="604" spans="2:3" x14ac:dyDescent="0.2">
      <c r="B604">
        <v>0.140733597669355</v>
      </c>
      <c r="C604">
        <v>0.44392956441149212</v>
      </c>
    </row>
    <row r="605" spans="2:3" x14ac:dyDescent="0.2">
      <c r="B605">
        <v>0.13973251437664699</v>
      </c>
      <c r="C605">
        <v>0.44300278035217794</v>
      </c>
    </row>
    <row r="606" spans="2:3" x14ac:dyDescent="0.2">
      <c r="B606">
        <v>0.13967819783133201</v>
      </c>
      <c r="C606">
        <v>0.44207599629286376</v>
      </c>
    </row>
    <row r="607" spans="2:3" x14ac:dyDescent="0.2">
      <c r="B607">
        <v>0.13966874958904901</v>
      </c>
      <c r="C607">
        <v>0.44114921223354958</v>
      </c>
    </row>
    <row r="608" spans="2:3" x14ac:dyDescent="0.2">
      <c r="B608">
        <v>0.13934266934225201</v>
      </c>
      <c r="C608">
        <v>0.4402224281742354</v>
      </c>
    </row>
    <row r="609" spans="2:3" x14ac:dyDescent="0.2">
      <c r="B609">
        <v>0.13925486164821299</v>
      </c>
      <c r="C609">
        <v>0.43929564411492122</v>
      </c>
    </row>
    <row r="610" spans="2:3" x14ac:dyDescent="0.2">
      <c r="B610">
        <v>0.13858451589380999</v>
      </c>
      <c r="C610">
        <v>0.43836886005560705</v>
      </c>
    </row>
    <row r="611" spans="2:3" x14ac:dyDescent="0.2">
      <c r="B611">
        <v>0.13830212677592299</v>
      </c>
      <c r="C611">
        <v>0.43744207599629287</v>
      </c>
    </row>
    <row r="612" spans="2:3" x14ac:dyDescent="0.2">
      <c r="B612">
        <v>0.138011098442334</v>
      </c>
      <c r="C612">
        <v>0.43651529193697869</v>
      </c>
    </row>
    <row r="613" spans="2:3" x14ac:dyDescent="0.2">
      <c r="B613">
        <v>0.13772703346682899</v>
      </c>
      <c r="C613">
        <v>0.43558850787766451</v>
      </c>
    </row>
    <row r="614" spans="2:3" x14ac:dyDescent="0.2">
      <c r="B614">
        <v>0.13735017666655799</v>
      </c>
      <c r="C614">
        <v>0.43466172381835033</v>
      </c>
    </row>
    <row r="615" spans="2:3" x14ac:dyDescent="0.2">
      <c r="B615">
        <v>0.137006025091817</v>
      </c>
      <c r="C615">
        <v>0.43373493975903615</v>
      </c>
    </row>
    <row r="616" spans="2:3" x14ac:dyDescent="0.2">
      <c r="B616">
        <v>0.13695733915304201</v>
      </c>
      <c r="C616">
        <v>0.43280815569972197</v>
      </c>
    </row>
    <row r="617" spans="2:3" x14ac:dyDescent="0.2">
      <c r="B617">
        <v>0.13694291644571299</v>
      </c>
      <c r="C617">
        <v>0.4318813716404078</v>
      </c>
    </row>
    <row r="618" spans="2:3" x14ac:dyDescent="0.2">
      <c r="B618">
        <v>0.13692279650544301</v>
      </c>
      <c r="C618">
        <v>0.43095458758109362</v>
      </c>
    </row>
    <row r="619" spans="2:3" x14ac:dyDescent="0.2">
      <c r="B619">
        <v>0.13630927148153801</v>
      </c>
      <c r="C619">
        <v>0.43002780352177944</v>
      </c>
    </row>
    <row r="620" spans="2:3" x14ac:dyDescent="0.2">
      <c r="B620">
        <v>0.13614133101904499</v>
      </c>
      <c r="C620">
        <v>0.42910101946246526</v>
      </c>
    </row>
    <row r="621" spans="2:3" x14ac:dyDescent="0.2">
      <c r="B621">
        <v>0.13608754191501801</v>
      </c>
      <c r="C621">
        <v>0.42817423540315108</v>
      </c>
    </row>
    <row r="622" spans="2:3" x14ac:dyDescent="0.2">
      <c r="B622">
        <v>0.13597445133223501</v>
      </c>
      <c r="C622">
        <v>0.4272474513438369</v>
      </c>
    </row>
    <row r="623" spans="2:3" x14ac:dyDescent="0.2">
      <c r="B623">
        <v>0.135699210161946</v>
      </c>
      <c r="C623">
        <v>0.42632066728452273</v>
      </c>
    </row>
    <row r="624" spans="2:3" x14ac:dyDescent="0.2">
      <c r="B624">
        <v>0.13568938241808801</v>
      </c>
      <c r="C624">
        <v>0.42539388322520855</v>
      </c>
    </row>
    <row r="625" spans="2:3" x14ac:dyDescent="0.2">
      <c r="B625">
        <v>0.13561719489981899</v>
      </c>
      <c r="C625">
        <v>0.42446709916589437</v>
      </c>
    </row>
    <row r="626" spans="2:3" x14ac:dyDescent="0.2">
      <c r="B626">
        <v>0.13549115718913601</v>
      </c>
      <c r="C626">
        <v>0.42354031510658019</v>
      </c>
    </row>
    <row r="627" spans="2:3" x14ac:dyDescent="0.2">
      <c r="B627">
        <v>0.135430783106433</v>
      </c>
      <c r="C627">
        <v>0.42261353104726601</v>
      </c>
    </row>
    <row r="628" spans="2:3" x14ac:dyDescent="0.2">
      <c r="B628">
        <v>0.134790374308392</v>
      </c>
      <c r="C628">
        <v>0.42168674698795183</v>
      </c>
    </row>
    <row r="629" spans="2:3" x14ac:dyDescent="0.2">
      <c r="B629">
        <v>0.13434926768798899</v>
      </c>
      <c r="C629">
        <v>0.42075996292863765</v>
      </c>
    </row>
    <row r="630" spans="2:3" x14ac:dyDescent="0.2">
      <c r="B630">
        <v>0.134338693650633</v>
      </c>
      <c r="C630">
        <v>0.41983317886932342</v>
      </c>
    </row>
    <row r="631" spans="2:3" x14ac:dyDescent="0.2">
      <c r="B631">
        <v>0.13418341061706801</v>
      </c>
      <c r="C631">
        <v>0.41890639481000924</v>
      </c>
    </row>
    <row r="632" spans="2:3" x14ac:dyDescent="0.2">
      <c r="B632">
        <v>0.13411022155631599</v>
      </c>
      <c r="C632">
        <v>0.41797961075069506</v>
      </c>
    </row>
    <row r="633" spans="2:3" x14ac:dyDescent="0.2">
      <c r="B633">
        <v>0.13390159592231601</v>
      </c>
      <c r="C633">
        <v>0.41705282669138088</v>
      </c>
    </row>
    <row r="634" spans="2:3" x14ac:dyDescent="0.2">
      <c r="B634">
        <v>0.133284229339204</v>
      </c>
      <c r="C634">
        <v>0.41612604263206671</v>
      </c>
    </row>
    <row r="635" spans="2:3" x14ac:dyDescent="0.2">
      <c r="B635">
        <v>0.132876454221383</v>
      </c>
      <c r="C635">
        <v>0.41519925857275253</v>
      </c>
    </row>
    <row r="636" spans="2:3" x14ac:dyDescent="0.2">
      <c r="B636">
        <v>0.13285147943371101</v>
      </c>
      <c r="C636">
        <v>0.41427247451343835</v>
      </c>
    </row>
    <row r="637" spans="2:3" x14ac:dyDescent="0.2">
      <c r="B637">
        <v>0.13280156074302599</v>
      </c>
      <c r="C637">
        <v>0.41334569045412417</v>
      </c>
    </row>
    <row r="638" spans="2:3" x14ac:dyDescent="0.2">
      <c r="B638">
        <v>0.13257347012135001</v>
      </c>
      <c r="C638">
        <v>0.41241890639480999</v>
      </c>
    </row>
    <row r="639" spans="2:3" x14ac:dyDescent="0.2">
      <c r="B639">
        <v>0.13157746270102</v>
      </c>
      <c r="C639">
        <v>0.41149212233549581</v>
      </c>
    </row>
    <row r="640" spans="2:3" x14ac:dyDescent="0.2">
      <c r="B640">
        <v>0.13125308058680299</v>
      </c>
      <c r="C640">
        <v>0.41056533827618164</v>
      </c>
    </row>
    <row r="641" spans="2:3" x14ac:dyDescent="0.2">
      <c r="B641">
        <v>0.131133916447809</v>
      </c>
      <c r="C641">
        <v>0.40963855421686746</v>
      </c>
    </row>
    <row r="642" spans="2:3" x14ac:dyDescent="0.2">
      <c r="B642">
        <v>0.13103313547974499</v>
      </c>
      <c r="C642">
        <v>0.40871177015755328</v>
      </c>
    </row>
    <row r="643" spans="2:3" x14ac:dyDescent="0.2">
      <c r="B643">
        <v>0.13057629913535199</v>
      </c>
      <c r="C643">
        <v>0.4077849860982391</v>
      </c>
    </row>
    <row r="644" spans="2:3" x14ac:dyDescent="0.2">
      <c r="B644">
        <v>0.13031459651233901</v>
      </c>
      <c r="C644">
        <v>0.40685820203892492</v>
      </c>
    </row>
    <row r="645" spans="2:3" x14ac:dyDescent="0.2">
      <c r="B645">
        <v>0.13017802619170199</v>
      </c>
      <c r="C645">
        <v>0.40593141797961074</v>
      </c>
    </row>
    <row r="646" spans="2:3" x14ac:dyDescent="0.2">
      <c r="B646">
        <v>0.130099001320921</v>
      </c>
      <c r="C646">
        <v>0.40500463392029656</v>
      </c>
    </row>
    <row r="647" spans="2:3" x14ac:dyDescent="0.2">
      <c r="B647">
        <v>0.12909854299579099</v>
      </c>
      <c r="C647">
        <v>0.40407784986098239</v>
      </c>
    </row>
    <row r="648" spans="2:3" x14ac:dyDescent="0.2">
      <c r="B648">
        <v>0.12816022431062901</v>
      </c>
      <c r="C648">
        <v>0.40315106580166821</v>
      </c>
    </row>
    <row r="649" spans="2:3" x14ac:dyDescent="0.2">
      <c r="B649">
        <v>0.12774742932822999</v>
      </c>
      <c r="C649">
        <v>0.40222428174235403</v>
      </c>
    </row>
    <row r="650" spans="2:3" x14ac:dyDescent="0.2">
      <c r="B650">
        <v>0.127343272781129</v>
      </c>
      <c r="C650">
        <v>0.40129749768303985</v>
      </c>
    </row>
    <row r="651" spans="2:3" x14ac:dyDescent="0.2">
      <c r="B651">
        <v>0.12728908886415599</v>
      </c>
      <c r="C651">
        <v>0.40037071362372567</v>
      </c>
    </row>
    <row r="652" spans="2:3" x14ac:dyDescent="0.2">
      <c r="B652">
        <v>0.12724644352660999</v>
      </c>
      <c r="C652">
        <v>0.39944392956441149</v>
      </c>
    </row>
    <row r="653" spans="2:3" x14ac:dyDescent="0.2">
      <c r="B653">
        <v>0.12696787965867001</v>
      </c>
      <c r="C653">
        <v>0.39851714550509731</v>
      </c>
    </row>
    <row r="654" spans="2:3" x14ac:dyDescent="0.2">
      <c r="B654">
        <v>0.126966797117326</v>
      </c>
      <c r="C654">
        <v>0.39759036144578314</v>
      </c>
    </row>
    <row r="655" spans="2:3" x14ac:dyDescent="0.2">
      <c r="B655">
        <v>0.12683184407780301</v>
      </c>
      <c r="C655">
        <v>0.39666357738646896</v>
      </c>
    </row>
    <row r="656" spans="2:3" x14ac:dyDescent="0.2">
      <c r="B656">
        <v>0.12681349449207399</v>
      </c>
      <c r="C656">
        <v>0.39573679332715478</v>
      </c>
    </row>
    <row r="657" spans="2:3" x14ac:dyDescent="0.2">
      <c r="B657">
        <v>0.12681292204359901</v>
      </c>
      <c r="C657">
        <v>0.3948100092678406</v>
      </c>
    </row>
    <row r="658" spans="2:3" x14ac:dyDescent="0.2">
      <c r="B658">
        <v>0.12648856793267799</v>
      </c>
      <c r="C658">
        <v>0.39388322520852642</v>
      </c>
    </row>
    <row r="659" spans="2:3" x14ac:dyDescent="0.2">
      <c r="B659">
        <v>0.12628311444155299</v>
      </c>
      <c r="C659">
        <v>0.39295644114921224</v>
      </c>
    </row>
    <row r="660" spans="2:3" x14ac:dyDescent="0.2">
      <c r="B660">
        <v>0.12621494050693499</v>
      </c>
      <c r="C660">
        <v>0.39202965708989806</v>
      </c>
    </row>
    <row r="661" spans="2:3" x14ac:dyDescent="0.2">
      <c r="B661">
        <v>0.12559376000884401</v>
      </c>
      <c r="C661">
        <v>0.39110287303058389</v>
      </c>
    </row>
    <row r="662" spans="2:3" x14ac:dyDescent="0.2">
      <c r="B662">
        <v>0.125536838531698</v>
      </c>
      <c r="C662">
        <v>0.39017608897126971</v>
      </c>
    </row>
    <row r="663" spans="2:3" x14ac:dyDescent="0.2">
      <c r="B663">
        <v>0.125527268280205</v>
      </c>
      <c r="C663">
        <v>0.38924930491195553</v>
      </c>
    </row>
    <row r="664" spans="2:3" x14ac:dyDescent="0.2">
      <c r="B664">
        <v>0.12524352987787299</v>
      </c>
      <c r="C664">
        <v>0.38832252085264135</v>
      </c>
    </row>
    <row r="665" spans="2:3" x14ac:dyDescent="0.2">
      <c r="B665">
        <v>0.125163731143969</v>
      </c>
      <c r="C665">
        <v>0.38739573679332717</v>
      </c>
    </row>
    <row r="666" spans="2:3" x14ac:dyDescent="0.2">
      <c r="B666">
        <v>0.12514216859353</v>
      </c>
      <c r="C666">
        <v>0.38646895273401299</v>
      </c>
    </row>
    <row r="667" spans="2:3" x14ac:dyDescent="0.2">
      <c r="B667">
        <v>0.125087068535253</v>
      </c>
      <c r="C667">
        <v>0.38554216867469882</v>
      </c>
    </row>
    <row r="668" spans="2:3" x14ac:dyDescent="0.2">
      <c r="B668">
        <v>0.12442241580794</v>
      </c>
      <c r="C668">
        <v>0.38461538461538464</v>
      </c>
    </row>
    <row r="669" spans="2:3" x14ac:dyDescent="0.2">
      <c r="B669">
        <v>0.12437149389525699</v>
      </c>
      <c r="C669">
        <v>0.38368860055607046</v>
      </c>
    </row>
    <row r="670" spans="2:3" x14ac:dyDescent="0.2">
      <c r="B670">
        <v>0.12424722715535</v>
      </c>
      <c r="C670">
        <v>0.38276181649675628</v>
      </c>
    </row>
    <row r="671" spans="2:3" x14ac:dyDescent="0.2">
      <c r="B671">
        <v>0.12418933727881</v>
      </c>
      <c r="C671">
        <v>0.3818350324374421</v>
      </c>
    </row>
    <row r="672" spans="2:3" x14ac:dyDescent="0.2">
      <c r="B672">
        <v>0.124117824552295</v>
      </c>
      <c r="C672">
        <v>0.38090824837812792</v>
      </c>
    </row>
    <row r="673" spans="2:3" x14ac:dyDescent="0.2">
      <c r="B673">
        <v>0.12382332501255</v>
      </c>
      <c r="C673">
        <v>0.37998146431881369</v>
      </c>
    </row>
    <row r="674" spans="2:3" x14ac:dyDescent="0.2">
      <c r="B674">
        <v>0.123198325669352</v>
      </c>
      <c r="C674">
        <v>0.37905468025949951</v>
      </c>
    </row>
    <row r="675" spans="2:3" x14ac:dyDescent="0.2">
      <c r="B675">
        <v>0.12315589315592999</v>
      </c>
      <c r="C675">
        <v>0.37812789620018533</v>
      </c>
    </row>
    <row r="676" spans="2:3" x14ac:dyDescent="0.2">
      <c r="B676">
        <v>0.122731339733475</v>
      </c>
      <c r="C676">
        <v>0.37720111214087115</v>
      </c>
    </row>
    <row r="677" spans="2:3" x14ac:dyDescent="0.2">
      <c r="B677">
        <v>0.122476226444921</v>
      </c>
      <c r="C677">
        <v>0.37627432808155697</v>
      </c>
    </row>
    <row r="678" spans="2:3" x14ac:dyDescent="0.2">
      <c r="B678">
        <v>0.122262884331428</v>
      </c>
      <c r="C678">
        <v>0.3753475440222428</v>
      </c>
    </row>
    <row r="679" spans="2:3" x14ac:dyDescent="0.2">
      <c r="B679">
        <v>0.1222579797111</v>
      </c>
      <c r="C679">
        <v>0.37442075996292862</v>
      </c>
    </row>
    <row r="680" spans="2:3" x14ac:dyDescent="0.2">
      <c r="B680">
        <v>0.122177283364791</v>
      </c>
      <c r="C680">
        <v>0.37349397590361444</v>
      </c>
    </row>
    <row r="681" spans="2:3" x14ac:dyDescent="0.2">
      <c r="B681">
        <v>0.12198396900501</v>
      </c>
      <c r="C681">
        <v>0.37256719184430026</v>
      </c>
    </row>
    <row r="682" spans="2:3" x14ac:dyDescent="0.2">
      <c r="B682">
        <v>0.121643788565271</v>
      </c>
      <c r="C682">
        <v>0.37164040778498608</v>
      </c>
    </row>
    <row r="683" spans="2:3" x14ac:dyDescent="0.2">
      <c r="B683">
        <v>0.121613785943334</v>
      </c>
      <c r="C683">
        <v>0.3707136237256719</v>
      </c>
    </row>
    <row r="684" spans="2:3" x14ac:dyDescent="0.2">
      <c r="B684">
        <v>0.1215438425481</v>
      </c>
      <c r="C684">
        <v>0.36978683966635773</v>
      </c>
    </row>
    <row r="685" spans="2:3" x14ac:dyDescent="0.2">
      <c r="B685">
        <v>0.12150718637851</v>
      </c>
      <c r="C685">
        <v>0.36886005560704355</v>
      </c>
    </row>
    <row r="686" spans="2:3" x14ac:dyDescent="0.2">
      <c r="B686">
        <v>0.12128868058079</v>
      </c>
      <c r="C686">
        <v>0.36793327154772937</v>
      </c>
    </row>
    <row r="687" spans="2:3" x14ac:dyDescent="0.2">
      <c r="B687">
        <v>0.121236496221721</v>
      </c>
      <c r="C687">
        <v>0.36700648748841519</v>
      </c>
    </row>
    <row r="688" spans="2:3" x14ac:dyDescent="0.2">
      <c r="B688">
        <v>0.120772727570112</v>
      </c>
      <c r="C688">
        <v>0.36607970342910101</v>
      </c>
    </row>
    <row r="689" spans="2:3" x14ac:dyDescent="0.2">
      <c r="B689">
        <v>0.120657119185114</v>
      </c>
      <c r="C689">
        <v>0.36515291936978683</v>
      </c>
    </row>
    <row r="690" spans="2:3" x14ac:dyDescent="0.2">
      <c r="B690">
        <v>0.120484747972115</v>
      </c>
      <c r="C690">
        <v>0.36422613531047265</v>
      </c>
    </row>
    <row r="691" spans="2:3" x14ac:dyDescent="0.2">
      <c r="B691">
        <v>0.119344099873414</v>
      </c>
      <c r="C691">
        <v>0.36329935125115848</v>
      </c>
    </row>
    <row r="692" spans="2:3" x14ac:dyDescent="0.2">
      <c r="B692">
        <v>0.11922872308669</v>
      </c>
      <c r="C692">
        <v>0.3623725671918443</v>
      </c>
    </row>
    <row r="693" spans="2:3" x14ac:dyDescent="0.2">
      <c r="B693">
        <v>0.118533260529331</v>
      </c>
      <c r="C693">
        <v>0.36144578313253012</v>
      </c>
    </row>
    <row r="694" spans="2:3" x14ac:dyDescent="0.2">
      <c r="B694">
        <v>0.11850741361492501</v>
      </c>
      <c r="C694">
        <v>0.36051899907321594</v>
      </c>
    </row>
    <row r="695" spans="2:3" x14ac:dyDescent="0.2">
      <c r="B695">
        <v>0.11840329547244299</v>
      </c>
      <c r="C695">
        <v>0.35959221501390176</v>
      </c>
    </row>
    <row r="696" spans="2:3" x14ac:dyDescent="0.2">
      <c r="B696">
        <v>0.118322983223795</v>
      </c>
      <c r="C696">
        <v>0.35866543095458758</v>
      </c>
    </row>
    <row r="697" spans="2:3" x14ac:dyDescent="0.2">
      <c r="B697">
        <v>0.11826452117277</v>
      </c>
      <c r="C697">
        <v>0.3577386468952734</v>
      </c>
    </row>
    <row r="698" spans="2:3" x14ac:dyDescent="0.2">
      <c r="B698">
        <v>0.118165035765738</v>
      </c>
      <c r="C698">
        <v>0.35681186283595923</v>
      </c>
    </row>
    <row r="699" spans="2:3" x14ac:dyDescent="0.2">
      <c r="B699">
        <v>0.11811334444980399</v>
      </c>
      <c r="C699">
        <v>0.35588507877664505</v>
      </c>
    </row>
    <row r="700" spans="2:3" x14ac:dyDescent="0.2">
      <c r="B700">
        <v>0.11810740041798801</v>
      </c>
      <c r="C700">
        <v>0.35495829471733087</v>
      </c>
    </row>
    <row r="701" spans="2:3" x14ac:dyDescent="0.2">
      <c r="B701">
        <v>0.118088636540411</v>
      </c>
      <c r="C701">
        <v>0.35403151065801669</v>
      </c>
    </row>
    <row r="702" spans="2:3" x14ac:dyDescent="0.2">
      <c r="B702">
        <v>0.11770729267573</v>
      </c>
      <c r="C702">
        <v>0.35310472659870251</v>
      </c>
    </row>
    <row r="703" spans="2:3" x14ac:dyDescent="0.2">
      <c r="B703">
        <v>0.117590977819916</v>
      </c>
      <c r="C703">
        <v>0.35217794253938833</v>
      </c>
    </row>
    <row r="704" spans="2:3" x14ac:dyDescent="0.2">
      <c r="B704">
        <v>0.117392473641937</v>
      </c>
      <c r="C704">
        <v>0.35125115848007415</v>
      </c>
    </row>
    <row r="705" spans="2:3" x14ac:dyDescent="0.2">
      <c r="B705">
        <v>0.117033918499273</v>
      </c>
      <c r="C705">
        <v>0.35032437442075998</v>
      </c>
    </row>
    <row r="706" spans="2:3" x14ac:dyDescent="0.2">
      <c r="B706">
        <v>0.116884159656395</v>
      </c>
      <c r="C706">
        <v>0.3493975903614458</v>
      </c>
    </row>
    <row r="707" spans="2:3" x14ac:dyDescent="0.2">
      <c r="B707">
        <v>0.11687220128668301</v>
      </c>
      <c r="C707">
        <v>0.34847080630213162</v>
      </c>
    </row>
    <row r="708" spans="2:3" x14ac:dyDescent="0.2">
      <c r="B708">
        <v>0.11669038445053601</v>
      </c>
      <c r="C708">
        <v>0.34754402224281744</v>
      </c>
    </row>
    <row r="709" spans="2:3" x14ac:dyDescent="0.2">
      <c r="B709">
        <v>0.11617879783386099</v>
      </c>
      <c r="C709">
        <v>0.34661723818350326</v>
      </c>
    </row>
    <row r="710" spans="2:3" x14ac:dyDescent="0.2">
      <c r="B710">
        <v>0.116175307791655</v>
      </c>
      <c r="C710">
        <v>0.34569045412418908</v>
      </c>
    </row>
    <row r="711" spans="2:3" x14ac:dyDescent="0.2">
      <c r="B711">
        <v>0.116101482307066</v>
      </c>
      <c r="C711">
        <v>0.34476367006487491</v>
      </c>
    </row>
    <row r="712" spans="2:3" x14ac:dyDescent="0.2">
      <c r="B712">
        <v>0.11548804591916099</v>
      </c>
      <c r="C712">
        <v>0.34383688600556073</v>
      </c>
    </row>
    <row r="713" spans="2:3" x14ac:dyDescent="0.2">
      <c r="B713">
        <v>0.115320008325875</v>
      </c>
      <c r="C713">
        <v>0.34291010194624655</v>
      </c>
    </row>
    <row r="714" spans="2:3" x14ac:dyDescent="0.2">
      <c r="B714">
        <v>0.11475264116098099</v>
      </c>
      <c r="C714">
        <v>0.34198331788693237</v>
      </c>
    </row>
    <row r="715" spans="2:3" x14ac:dyDescent="0.2">
      <c r="B715">
        <v>0.114578322179896</v>
      </c>
      <c r="C715">
        <v>0.34105653382761819</v>
      </c>
    </row>
    <row r="716" spans="2:3" x14ac:dyDescent="0.2">
      <c r="B716">
        <v>0.114465968416136</v>
      </c>
      <c r="C716">
        <v>0.34012974976830401</v>
      </c>
    </row>
    <row r="717" spans="2:3" x14ac:dyDescent="0.2">
      <c r="B717">
        <v>0.11440642442915799</v>
      </c>
      <c r="C717">
        <v>0.33920296570898978</v>
      </c>
    </row>
    <row r="718" spans="2:3" x14ac:dyDescent="0.2">
      <c r="B718">
        <v>0.114277724600036</v>
      </c>
      <c r="C718">
        <v>0.3382761816496756</v>
      </c>
    </row>
    <row r="719" spans="2:3" x14ac:dyDescent="0.2">
      <c r="B719">
        <v>0.114227128235437</v>
      </c>
      <c r="C719">
        <v>0.33734939759036142</v>
      </c>
    </row>
    <row r="720" spans="2:3" x14ac:dyDescent="0.2">
      <c r="B720">
        <v>0.113362039684915</v>
      </c>
      <c r="C720">
        <v>0.33642261353104724</v>
      </c>
    </row>
    <row r="721" spans="2:3" x14ac:dyDescent="0.2">
      <c r="B721">
        <v>0.113227146105219</v>
      </c>
      <c r="C721">
        <v>0.33549582947173306</v>
      </c>
    </row>
    <row r="722" spans="2:3" x14ac:dyDescent="0.2">
      <c r="B722">
        <v>0.113197223134351</v>
      </c>
      <c r="C722">
        <v>0.33456904541241889</v>
      </c>
    </row>
    <row r="723" spans="2:3" x14ac:dyDescent="0.2">
      <c r="B723">
        <v>0.113004127827445</v>
      </c>
      <c r="C723">
        <v>0.33364226135310471</v>
      </c>
    </row>
    <row r="724" spans="2:3" x14ac:dyDescent="0.2">
      <c r="B724">
        <v>0.112692680001935</v>
      </c>
      <c r="C724">
        <v>0.33271547729379053</v>
      </c>
    </row>
    <row r="725" spans="2:3" x14ac:dyDescent="0.2">
      <c r="B725">
        <v>0.112664703960091</v>
      </c>
      <c r="C725">
        <v>0.33178869323447635</v>
      </c>
    </row>
    <row r="726" spans="2:3" x14ac:dyDescent="0.2">
      <c r="B726">
        <v>0.112603611069508</v>
      </c>
      <c r="C726">
        <v>0.33086190917516217</v>
      </c>
    </row>
    <row r="727" spans="2:3" x14ac:dyDescent="0.2">
      <c r="B727">
        <v>0.11246424020839201</v>
      </c>
      <c r="C727">
        <v>0.32993512511584799</v>
      </c>
    </row>
    <row r="728" spans="2:3" x14ac:dyDescent="0.2">
      <c r="B728">
        <v>0.112407468871704</v>
      </c>
      <c r="C728">
        <v>0.32900834105653382</v>
      </c>
    </row>
    <row r="729" spans="2:3" x14ac:dyDescent="0.2">
      <c r="B729">
        <v>0.112141776277931</v>
      </c>
      <c r="C729">
        <v>0.32808155699721964</v>
      </c>
    </row>
    <row r="730" spans="2:3" x14ac:dyDescent="0.2">
      <c r="B730">
        <v>0.112083595339382</v>
      </c>
      <c r="C730">
        <v>0.32715477293790546</v>
      </c>
    </row>
    <row r="731" spans="2:3" x14ac:dyDescent="0.2">
      <c r="B731">
        <v>0.11197542683806901</v>
      </c>
      <c r="C731">
        <v>0.32622798887859128</v>
      </c>
    </row>
    <row r="732" spans="2:3" x14ac:dyDescent="0.2">
      <c r="B732">
        <v>0.11174229114961701</v>
      </c>
      <c r="C732">
        <v>0.3253012048192771</v>
      </c>
    </row>
    <row r="733" spans="2:3" x14ac:dyDescent="0.2">
      <c r="B733">
        <v>0.11138562410115201</v>
      </c>
      <c r="C733">
        <v>0.32437442075996292</v>
      </c>
    </row>
    <row r="734" spans="2:3" x14ac:dyDescent="0.2">
      <c r="B734">
        <v>0.111300408535309</v>
      </c>
      <c r="C734">
        <v>0.32344763670064874</v>
      </c>
    </row>
    <row r="735" spans="2:3" x14ac:dyDescent="0.2">
      <c r="B735">
        <v>0.111169209224</v>
      </c>
      <c r="C735">
        <v>0.32252085264133457</v>
      </c>
    </row>
    <row r="736" spans="2:3" x14ac:dyDescent="0.2">
      <c r="B736">
        <v>0.111161689183256</v>
      </c>
      <c r="C736">
        <v>0.32159406858202039</v>
      </c>
    </row>
    <row r="737" spans="2:3" x14ac:dyDescent="0.2">
      <c r="B737">
        <v>0.11094542415193</v>
      </c>
      <c r="C737">
        <v>0.32066728452270621</v>
      </c>
    </row>
    <row r="738" spans="2:3" x14ac:dyDescent="0.2">
      <c r="B738">
        <v>0.11075603661637</v>
      </c>
      <c r="C738">
        <v>0.31974050046339203</v>
      </c>
    </row>
    <row r="739" spans="2:3" x14ac:dyDescent="0.2">
      <c r="B739">
        <v>0.110605058249733</v>
      </c>
      <c r="C739">
        <v>0.31881371640407785</v>
      </c>
    </row>
    <row r="740" spans="2:3" x14ac:dyDescent="0.2">
      <c r="B740">
        <v>0.110178319282367</v>
      </c>
      <c r="C740">
        <v>0.31788693234476367</v>
      </c>
    </row>
    <row r="741" spans="2:3" x14ac:dyDescent="0.2">
      <c r="B741">
        <v>0.11011389382207</v>
      </c>
      <c r="C741">
        <v>0.31696014828544949</v>
      </c>
    </row>
    <row r="742" spans="2:3" x14ac:dyDescent="0.2">
      <c r="B742">
        <v>0.10993905662515099</v>
      </c>
      <c r="C742">
        <v>0.31603336422613532</v>
      </c>
    </row>
    <row r="743" spans="2:3" x14ac:dyDescent="0.2">
      <c r="B743">
        <v>0.10978097046975401</v>
      </c>
      <c r="C743">
        <v>0.31510658016682114</v>
      </c>
    </row>
    <row r="744" spans="2:3" x14ac:dyDescent="0.2">
      <c r="B744">
        <v>0.10951873080352401</v>
      </c>
      <c r="C744">
        <v>0.31417979610750696</v>
      </c>
    </row>
    <row r="745" spans="2:3" x14ac:dyDescent="0.2">
      <c r="B745">
        <v>0.109469150864413</v>
      </c>
      <c r="C745">
        <v>0.31325301204819278</v>
      </c>
    </row>
    <row r="746" spans="2:3" x14ac:dyDescent="0.2">
      <c r="B746">
        <v>0.10926031519000701</v>
      </c>
      <c r="C746">
        <v>0.3123262279888786</v>
      </c>
    </row>
    <row r="747" spans="2:3" x14ac:dyDescent="0.2">
      <c r="B747">
        <v>0.109213370843064</v>
      </c>
      <c r="C747">
        <v>0.31139944392956442</v>
      </c>
    </row>
    <row r="748" spans="2:3" x14ac:dyDescent="0.2">
      <c r="B748">
        <v>0.10920439858597</v>
      </c>
      <c r="C748">
        <v>0.31047265987025024</v>
      </c>
    </row>
    <row r="749" spans="2:3" x14ac:dyDescent="0.2">
      <c r="B749">
        <v>0.109151784185519</v>
      </c>
      <c r="C749">
        <v>0.30954587581093607</v>
      </c>
    </row>
    <row r="750" spans="2:3" x14ac:dyDescent="0.2">
      <c r="B750">
        <v>0.108278297765051</v>
      </c>
      <c r="C750">
        <v>0.30861909175162189</v>
      </c>
    </row>
    <row r="751" spans="2:3" x14ac:dyDescent="0.2">
      <c r="B751">
        <v>0.108126567344503</v>
      </c>
      <c r="C751">
        <v>0.30769230769230771</v>
      </c>
    </row>
    <row r="752" spans="2:3" x14ac:dyDescent="0.2">
      <c r="B752">
        <v>0.108091695102993</v>
      </c>
      <c r="C752">
        <v>0.30676552363299353</v>
      </c>
    </row>
    <row r="753" spans="2:3" x14ac:dyDescent="0.2">
      <c r="B753">
        <v>0.108035336039424</v>
      </c>
      <c r="C753">
        <v>0.30583873957367935</v>
      </c>
    </row>
    <row r="754" spans="2:3" x14ac:dyDescent="0.2">
      <c r="B754">
        <v>0.10783859851112999</v>
      </c>
      <c r="C754">
        <v>0.30491195551436517</v>
      </c>
    </row>
    <row r="755" spans="2:3" x14ac:dyDescent="0.2">
      <c r="B755">
        <v>0.107525168854414</v>
      </c>
      <c r="C755">
        <v>0.303985171455051</v>
      </c>
    </row>
    <row r="756" spans="2:3" x14ac:dyDescent="0.2">
      <c r="B756">
        <v>0.107515889073383</v>
      </c>
      <c r="C756">
        <v>0.30305838739573682</v>
      </c>
    </row>
    <row r="757" spans="2:3" x14ac:dyDescent="0.2">
      <c r="B757">
        <v>0.106970719663098</v>
      </c>
      <c r="C757">
        <v>0.30213160333642264</v>
      </c>
    </row>
    <row r="758" spans="2:3" x14ac:dyDescent="0.2">
      <c r="B758">
        <v>0.10643552302105</v>
      </c>
      <c r="C758">
        <v>0.30120481927710846</v>
      </c>
    </row>
    <row r="759" spans="2:3" x14ac:dyDescent="0.2">
      <c r="B759">
        <v>0.106384092227038</v>
      </c>
      <c r="C759">
        <v>0.30027803521779428</v>
      </c>
    </row>
    <row r="760" spans="2:3" x14ac:dyDescent="0.2">
      <c r="B760">
        <v>0.106139315802636</v>
      </c>
      <c r="C760">
        <v>0.29935125115848005</v>
      </c>
    </row>
    <row r="761" spans="2:3" x14ac:dyDescent="0.2">
      <c r="B761">
        <v>0.105998932611369</v>
      </c>
      <c r="C761">
        <v>0.29842446709916587</v>
      </c>
    </row>
    <row r="762" spans="2:3" x14ac:dyDescent="0.2">
      <c r="B762">
        <v>0.105966926421571</v>
      </c>
      <c r="C762">
        <v>0.29749768303985169</v>
      </c>
    </row>
    <row r="763" spans="2:3" x14ac:dyDescent="0.2">
      <c r="B763">
        <v>0.105853685116077</v>
      </c>
      <c r="C763">
        <v>0.29657089898053751</v>
      </c>
    </row>
    <row r="764" spans="2:3" x14ac:dyDescent="0.2">
      <c r="B764">
        <v>0.105441249463959</v>
      </c>
      <c r="C764">
        <v>0.29564411492122333</v>
      </c>
    </row>
    <row r="765" spans="2:3" x14ac:dyDescent="0.2">
      <c r="B765">
        <v>0.10494838573139199</v>
      </c>
      <c r="C765">
        <v>0.29471733086190915</v>
      </c>
    </row>
    <row r="766" spans="2:3" x14ac:dyDescent="0.2">
      <c r="B766">
        <v>0.104883625885606</v>
      </c>
      <c r="C766">
        <v>0.29379054680259498</v>
      </c>
    </row>
    <row r="767" spans="2:3" x14ac:dyDescent="0.2">
      <c r="B767">
        <v>0.10468437056991101</v>
      </c>
      <c r="C767">
        <v>0.2928637627432808</v>
      </c>
    </row>
    <row r="768" spans="2:3" x14ac:dyDescent="0.2">
      <c r="B768">
        <v>0.104288193254921</v>
      </c>
      <c r="C768">
        <v>0.29193697868396662</v>
      </c>
    </row>
    <row r="769" spans="2:3" x14ac:dyDescent="0.2">
      <c r="B769">
        <v>0.104241398015173</v>
      </c>
      <c r="C769">
        <v>0.29101019462465244</v>
      </c>
    </row>
    <row r="770" spans="2:3" x14ac:dyDescent="0.2">
      <c r="B770">
        <v>0.10399668850848599</v>
      </c>
      <c r="C770">
        <v>0.29008341056533826</v>
      </c>
    </row>
    <row r="771" spans="2:3" x14ac:dyDescent="0.2">
      <c r="B771">
        <v>0.103040801317809</v>
      </c>
      <c r="C771">
        <v>0.28915662650602408</v>
      </c>
    </row>
    <row r="772" spans="2:3" x14ac:dyDescent="0.2">
      <c r="B772">
        <v>0.102422023408374</v>
      </c>
      <c r="C772">
        <v>0.28822984244670991</v>
      </c>
    </row>
    <row r="773" spans="2:3" x14ac:dyDescent="0.2">
      <c r="B773">
        <v>0.102098282760077</v>
      </c>
      <c r="C773">
        <v>0.28730305838739573</v>
      </c>
    </row>
    <row r="774" spans="2:3" x14ac:dyDescent="0.2">
      <c r="B774">
        <v>0.101884794105049</v>
      </c>
      <c r="C774">
        <v>0.28637627432808155</v>
      </c>
    </row>
    <row r="775" spans="2:3" x14ac:dyDescent="0.2">
      <c r="B775">
        <v>0.10179081075237199</v>
      </c>
      <c r="C775">
        <v>0.28544949026876737</v>
      </c>
    </row>
    <row r="776" spans="2:3" x14ac:dyDescent="0.2">
      <c r="B776">
        <v>0.10173621150935599</v>
      </c>
      <c r="C776">
        <v>0.28452270620945319</v>
      </c>
    </row>
    <row r="777" spans="2:3" x14ac:dyDescent="0.2">
      <c r="B777">
        <v>0.101347802386416</v>
      </c>
      <c r="C777">
        <v>0.28359592215013901</v>
      </c>
    </row>
    <row r="778" spans="2:3" x14ac:dyDescent="0.2">
      <c r="B778">
        <v>0.101236821811999</v>
      </c>
      <c r="C778">
        <v>0.28266913809082483</v>
      </c>
    </row>
    <row r="779" spans="2:3" x14ac:dyDescent="0.2">
      <c r="B779">
        <v>0.10098946905421501</v>
      </c>
      <c r="C779">
        <v>0.28174235403151066</v>
      </c>
    </row>
    <row r="780" spans="2:3" x14ac:dyDescent="0.2">
      <c r="B780">
        <v>0.100790853866553</v>
      </c>
      <c r="C780">
        <v>0.28081556997219648</v>
      </c>
    </row>
    <row r="781" spans="2:3" x14ac:dyDescent="0.2">
      <c r="B781">
        <v>0.100473180592543</v>
      </c>
      <c r="C781">
        <v>0.2798887859128823</v>
      </c>
    </row>
    <row r="782" spans="2:3" x14ac:dyDescent="0.2">
      <c r="B782">
        <v>0.10047133052077099</v>
      </c>
      <c r="C782">
        <v>0.27896200185356812</v>
      </c>
    </row>
    <row r="783" spans="2:3" x14ac:dyDescent="0.2">
      <c r="B783">
        <v>9.9679167375063105E-2</v>
      </c>
      <c r="C783">
        <v>0.27803521779425394</v>
      </c>
    </row>
    <row r="784" spans="2:3" x14ac:dyDescent="0.2">
      <c r="B784">
        <v>9.9580936557146102E-2</v>
      </c>
      <c r="C784">
        <v>0.27710843373493976</v>
      </c>
    </row>
    <row r="785" spans="2:3" x14ac:dyDescent="0.2">
      <c r="B785">
        <v>9.95077963637538E-2</v>
      </c>
      <c r="C785">
        <v>0.27618164967562558</v>
      </c>
    </row>
    <row r="786" spans="2:3" x14ac:dyDescent="0.2">
      <c r="B786">
        <v>9.9402818561252299E-2</v>
      </c>
      <c r="C786">
        <v>0.27525486561631141</v>
      </c>
    </row>
    <row r="787" spans="2:3" x14ac:dyDescent="0.2">
      <c r="B787">
        <v>9.9297380369181107E-2</v>
      </c>
      <c r="C787">
        <v>0.27432808155699723</v>
      </c>
    </row>
    <row r="788" spans="2:3" x14ac:dyDescent="0.2">
      <c r="B788">
        <v>9.9111940795440404E-2</v>
      </c>
      <c r="C788">
        <v>0.27340129749768305</v>
      </c>
    </row>
    <row r="789" spans="2:3" x14ac:dyDescent="0.2">
      <c r="B789">
        <v>9.8641121896142506E-2</v>
      </c>
      <c r="C789">
        <v>0.27247451343836887</v>
      </c>
    </row>
    <row r="790" spans="2:3" x14ac:dyDescent="0.2">
      <c r="B790">
        <v>9.8284953209316003E-2</v>
      </c>
      <c r="C790">
        <v>0.27154772937905469</v>
      </c>
    </row>
    <row r="791" spans="2:3" x14ac:dyDescent="0.2">
      <c r="B791">
        <v>9.8088221938146605E-2</v>
      </c>
      <c r="C791">
        <v>0.27062094531974051</v>
      </c>
    </row>
    <row r="792" spans="2:3" x14ac:dyDescent="0.2">
      <c r="B792">
        <v>9.7529431253091894E-2</v>
      </c>
      <c r="C792">
        <v>0.26969416126042633</v>
      </c>
    </row>
    <row r="793" spans="2:3" x14ac:dyDescent="0.2">
      <c r="B793">
        <v>9.75289927585547E-2</v>
      </c>
      <c r="C793">
        <v>0.26876737720111216</v>
      </c>
    </row>
    <row r="794" spans="2:3" x14ac:dyDescent="0.2">
      <c r="B794">
        <v>9.7021929520964501E-2</v>
      </c>
      <c r="C794">
        <v>0.26784059314179798</v>
      </c>
    </row>
    <row r="795" spans="2:3" x14ac:dyDescent="0.2">
      <c r="B795">
        <v>9.6708826654022598E-2</v>
      </c>
      <c r="C795">
        <v>0.2669138090824838</v>
      </c>
    </row>
    <row r="796" spans="2:3" x14ac:dyDescent="0.2">
      <c r="B796">
        <v>9.6547392603200805E-2</v>
      </c>
      <c r="C796">
        <v>0.26598702502316962</v>
      </c>
    </row>
    <row r="797" spans="2:3" x14ac:dyDescent="0.2">
      <c r="B797">
        <v>9.6520197116294407E-2</v>
      </c>
      <c r="C797">
        <v>0.26506024096385544</v>
      </c>
    </row>
    <row r="798" spans="2:3" x14ac:dyDescent="0.2">
      <c r="B798">
        <v>9.6489640688382006E-2</v>
      </c>
      <c r="C798">
        <v>0.26413345690454126</v>
      </c>
    </row>
    <row r="799" spans="2:3" x14ac:dyDescent="0.2">
      <c r="B799">
        <v>9.6105035165991601E-2</v>
      </c>
      <c r="C799">
        <v>0.26320667284522709</v>
      </c>
    </row>
    <row r="800" spans="2:3" x14ac:dyDescent="0.2">
      <c r="B800">
        <v>9.6083654396579607E-2</v>
      </c>
      <c r="C800">
        <v>0.26227988878591291</v>
      </c>
    </row>
    <row r="801" spans="2:3" x14ac:dyDescent="0.2">
      <c r="B801">
        <v>9.5551491780516806E-2</v>
      </c>
      <c r="C801">
        <v>0.26135310472659873</v>
      </c>
    </row>
    <row r="802" spans="2:3" x14ac:dyDescent="0.2">
      <c r="B802">
        <v>9.4942675652628997E-2</v>
      </c>
      <c r="C802">
        <v>0.26042632066728455</v>
      </c>
    </row>
    <row r="803" spans="2:3" x14ac:dyDescent="0.2">
      <c r="B803">
        <v>9.4648671474772197E-2</v>
      </c>
      <c r="C803">
        <v>0.25949953660797032</v>
      </c>
    </row>
    <row r="804" spans="2:3" x14ac:dyDescent="0.2">
      <c r="B804">
        <v>9.4636202945113698E-2</v>
      </c>
      <c r="C804">
        <v>0.25857275254865614</v>
      </c>
    </row>
    <row r="805" spans="2:3" x14ac:dyDescent="0.2">
      <c r="B805">
        <v>9.4393656224018699E-2</v>
      </c>
      <c r="C805">
        <v>0.25764596848934196</v>
      </c>
    </row>
    <row r="806" spans="2:3" x14ac:dyDescent="0.2">
      <c r="B806">
        <v>9.4184895823419795E-2</v>
      </c>
      <c r="C806">
        <v>0.25671918443002778</v>
      </c>
    </row>
    <row r="807" spans="2:3" x14ac:dyDescent="0.2">
      <c r="B807">
        <v>9.4181918010827495E-2</v>
      </c>
      <c r="C807">
        <v>0.2557924003707136</v>
      </c>
    </row>
    <row r="808" spans="2:3" x14ac:dyDescent="0.2">
      <c r="B808">
        <v>9.4130680244775403E-2</v>
      </c>
      <c r="C808">
        <v>0.25486561631139942</v>
      </c>
    </row>
    <row r="809" spans="2:3" x14ac:dyDescent="0.2">
      <c r="B809">
        <v>9.4098370060146402E-2</v>
      </c>
      <c r="C809">
        <v>0.25393883225208524</v>
      </c>
    </row>
    <row r="810" spans="2:3" x14ac:dyDescent="0.2">
      <c r="B810">
        <v>9.3438685342577904E-2</v>
      </c>
      <c r="C810">
        <v>0.25301204819277107</v>
      </c>
    </row>
    <row r="811" spans="2:3" x14ac:dyDescent="0.2">
      <c r="B811">
        <v>9.3375402174336097E-2</v>
      </c>
      <c r="C811">
        <v>0.25208526413345689</v>
      </c>
    </row>
    <row r="812" spans="2:3" x14ac:dyDescent="0.2">
      <c r="B812">
        <v>9.2995737945195403E-2</v>
      </c>
      <c r="C812">
        <v>0.25115848007414271</v>
      </c>
    </row>
    <row r="813" spans="2:3" x14ac:dyDescent="0.2">
      <c r="B813">
        <v>9.2651953989203298E-2</v>
      </c>
      <c r="C813">
        <v>0.25023169601482853</v>
      </c>
    </row>
    <row r="814" spans="2:3" x14ac:dyDescent="0.2">
      <c r="B814">
        <v>9.2465480417646004E-2</v>
      </c>
      <c r="C814">
        <v>0.24930491195551435</v>
      </c>
    </row>
    <row r="815" spans="2:3" x14ac:dyDescent="0.2">
      <c r="B815">
        <v>9.2405387581680307E-2</v>
      </c>
      <c r="C815">
        <v>0.24837812789620017</v>
      </c>
    </row>
    <row r="816" spans="2:3" x14ac:dyDescent="0.2">
      <c r="B816">
        <v>9.1811632779701696E-2</v>
      </c>
      <c r="C816">
        <v>0.247451343836886</v>
      </c>
    </row>
    <row r="817" spans="2:3" x14ac:dyDescent="0.2">
      <c r="B817">
        <v>9.1800384507268601E-2</v>
      </c>
      <c r="C817">
        <v>0.24652455977757182</v>
      </c>
    </row>
    <row r="818" spans="2:3" x14ac:dyDescent="0.2">
      <c r="B818">
        <v>9.1611782829453606E-2</v>
      </c>
      <c r="C818">
        <v>0.24559777571825764</v>
      </c>
    </row>
    <row r="819" spans="2:3" x14ac:dyDescent="0.2">
      <c r="B819">
        <v>9.1561582774552799E-2</v>
      </c>
      <c r="C819">
        <v>0.24467099165894346</v>
      </c>
    </row>
    <row r="820" spans="2:3" x14ac:dyDescent="0.2">
      <c r="B820">
        <v>9.1323198361229305E-2</v>
      </c>
      <c r="C820">
        <v>0.24374420759962928</v>
      </c>
    </row>
    <row r="821" spans="2:3" x14ac:dyDescent="0.2">
      <c r="B821">
        <v>9.0426988616110496E-2</v>
      </c>
      <c r="C821">
        <v>0.2428174235403151</v>
      </c>
    </row>
    <row r="822" spans="2:3" x14ac:dyDescent="0.2">
      <c r="B822">
        <v>9.0388632852864498E-2</v>
      </c>
      <c r="C822">
        <v>0.24189063948100092</v>
      </c>
    </row>
    <row r="823" spans="2:3" x14ac:dyDescent="0.2">
      <c r="B823">
        <v>9.0290606979493704E-2</v>
      </c>
      <c r="C823">
        <v>0.24096385542168675</v>
      </c>
    </row>
    <row r="824" spans="2:3" x14ac:dyDescent="0.2">
      <c r="B824">
        <v>9.01802835917863E-2</v>
      </c>
      <c r="C824">
        <v>0.24003707136237257</v>
      </c>
    </row>
    <row r="825" spans="2:3" x14ac:dyDescent="0.2">
      <c r="B825">
        <v>9.0113884447706502E-2</v>
      </c>
      <c r="C825">
        <v>0.23911028730305839</v>
      </c>
    </row>
    <row r="826" spans="2:3" x14ac:dyDescent="0.2">
      <c r="B826">
        <v>8.9888553008778696E-2</v>
      </c>
      <c r="C826">
        <v>0.23818350324374421</v>
      </c>
    </row>
    <row r="827" spans="2:3" x14ac:dyDescent="0.2">
      <c r="B827">
        <v>8.9588755327503003E-2</v>
      </c>
      <c r="C827">
        <v>0.23725671918443003</v>
      </c>
    </row>
    <row r="828" spans="2:3" x14ac:dyDescent="0.2">
      <c r="B828">
        <v>8.8992199025072494E-2</v>
      </c>
      <c r="C828">
        <v>0.23632993512511585</v>
      </c>
    </row>
    <row r="829" spans="2:3" x14ac:dyDescent="0.2">
      <c r="B829">
        <v>8.88891546077126E-2</v>
      </c>
      <c r="C829">
        <v>0.23540315106580167</v>
      </c>
    </row>
    <row r="830" spans="2:3" x14ac:dyDescent="0.2">
      <c r="B830">
        <v>8.8767698706785497E-2</v>
      </c>
      <c r="C830">
        <v>0.2344763670064875</v>
      </c>
    </row>
    <row r="831" spans="2:3" x14ac:dyDescent="0.2">
      <c r="B831">
        <v>8.8678044208672702E-2</v>
      </c>
      <c r="C831">
        <v>0.23354958294717332</v>
      </c>
    </row>
    <row r="832" spans="2:3" x14ac:dyDescent="0.2">
      <c r="B832">
        <v>8.8466304123740305E-2</v>
      </c>
      <c r="C832">
        <v>0.23262279888785914</v>
      </c>
    </row>
    <row r="833" spans="2:3" x14ac:dyDescent="0.2">
      <c r="B833">
        <v>8.8457167073144993E-2</v>
      </c>
      <c r="C833">
        <v>0.23169601482854496</v>
      </c>
    </row>
    <row r="834" spans="2:3" x14ac:dyDescent="0.2">
      <c r="B834">
        <v>8.8101432357136703E-2</v>
      </c>
      <c r="C834">
        <v>0.23076923076923078</v>
      </c>
    </row>
    <row r="835" spans="2:3" x14ac:dyDescent="0.2">
      <c r="B835">
        <v>8.7803656041641198E-2</v>
      </c>
      <c r="C835">
        <v>0.22984244670991658</v>
      </c>
    </row>
    <row r="836" spans="2:3" x14ac:dyDescent="0.2">
      <c r="B836">
        <v>8.7606756730698898E-2</v>
      </c>
      <c r="C836">
        <v>0.2289156626506024</v>
      </c>
    </row>
    <row r="837" spans="2:3" x14ac:dyDescent="0.2">
      <c r="B837">
        <v>8.7545471307375597E-2</v>
      </c>
      <c r="C837">
        <v>0.22798887859128822</v>
      </c>
    </row>
    <row r="838" spans="2:3" x14ac:dyDescent="0.2">
      <c r="B838">
        <v>8.7404200516332298E-2</v>
      </c>
      <c r="C838">
        <v>0.22706209453197404</v>
      </c>
    </row>
    <row r="839" spans="2:3" x14ac:dyDescent="0.2">
      <c r="B839">
        <v>8.7198809502110397E-2</v>
      </c>
      <c r="C839">
        <v>0.22613531047265986</v>
      </c>
    </row>
    <row r="840" spans="2:3" x14ac:dyDescent="0.2">
      <c r="B840">
        <v>8.71504463583095E-2</v>
      </c>
      <c r="C840">
        <v>0.22520852641334568</v>
      </c>
    </row>
    <row r="841" spans="2:3" x14ac:dyDescent="0.2">
      <c r="B841">
        <v>8.7138581474274904E-2</v>
      </c>
      <c r="C841">
        <v>0.2242817423540315</v>
      </c>
    </row>
    <row r="842" spans="2:3" x14ac:dyDescent="0.2">
      <c r="B842">
        <v>8.6942004689367205E-2</v>
      </c>
      <c r="C842">
        <v>0.22335495829471733</v>
      </c>
    </row>
    <row r="843" spans="2:3" x14ac:dyDescent="0.2">
      <c r="B843">
        <v>8.6910807692016506E-2</v>
      </c>
      <c r="C843">
        <v>0.22242817423540315</v>
      </c>
    </row>
    <row r="844" spans="2:3" x14ac:dyDescent="0.2">
      <c r="B844">
        <v>8.6894172255472801E-2</v>
      </c>
      <c r="C844">
        <v>0.22150139017608897</v>
      </c>
    </row>
    <row r="845" spans="2:3" x14ac:dyDescent="0.2">
      <c r="B845">
        <v>8.6195912653327003E-2</v>
      </c>
      <c r="C845">
        <v>0.22057460611677479</v>
      </c>
    </row>
    <row r="846" spans="2:3" x14ac:dyDescent="0.2">
      <c r="B846">
        <v>8.60836202476183E-2</v>
      </c>
      <c r="C846">
        <v>0.21964782205746061</v>
      </c>
    </row>
    <row r="847" spans="2:3" x14ac:dyDescent="0.2">
      <c r="B847">
        <v>8.6075794611859199E-2</v>
      </c>
      <c r="C847">
        <v>0.21872103799814643</v>
      </c>
    </row>
    <row r="848" spans="2:3" x14ac:dyDescent="0.2">
      <c r="B848">
        <v>8.6054574817671495E-2</v>
      </c>
      <c r="C848">
        <v>0.21779425393883226</v>
      </c>
    </row>
    <row r="849" spans="2:3" x14ac:dyDescent="0.2">
      <c r="B849">
        <v>8.5972001254873101E-2</v>
      </c>
      <c r="C849">
        <v>0.21686746987951808</v>
      </c>
    </row>
    <row r="850" spans="2:3" x14ac:dyDescent="0.2">
      <c r="B850">
        <v>8.5370209729317095E-2</v>
      </c>
      <c r="C850">
        <v>0.2159406858202039</v>
      </c>
    </row>
    <row r="851" spans="2:3" x14ac:dyDescent="0.2">
      <c r="B851">
        <v>8.5350416300028098E-2</v>
      </c>
      <c r="C851">
        <v>0.21501390176088972</v>
      </c>
    </row>
    <row r="852" spans="2:3" x14ac:dyDescent="0.2">
      <c r="B852">
        <v>8.5340357326454896E-2</v>
      </c>
      <c r="C852">
        <v>0.21408711770157554</v>
      </c>
    </row>
    <row r="853" spans="2:3" x14ac:dyDescent="0.2">
      <c r="B853">
        <v>8.4725817672871906E-2</v>
      </c>
      <c r="C853">
        <v>0.21316033364226136</v>
      </c>
    </row>
    <row r="854" spans="2:3" x14ac:dyDescent="0.2">
      <c r="B854">
        <v>8.4402053820102393E-2</v>
      </c>
      <c r="C854">
        <v>0.21223354958294718</v>
      </c>
    </row>
    <row r="855" spans="2:3" x14ac:dyDescent="0.2">
      <c r="B855">
        <v>8.4379929911062801E-2</v>
      </c>
      <c r="C855">
        <v>0.21130676552363301</v>
      </c>
    </row>
    <row r="856" spans="2:3" x14ac:dyDescent="0.2">
      <c r="B856">
        <v>8.4246414470230499E-2</v>
      </c>
      <c r="C856">
        <v>0.21037998146431883</v>
      </c>
    </row>
    <row r="857" spans="2:3" x14ac:dyDescent="0.2">
      <c r="B857">
        <v>8.3834003794618694E-2</v>
      </c>
      <c r="C857">
        <v>0.20945319740500462</v>
      </c>
    </row>
    <row r="858" spans="2:3" x14ac:dyDescent="0.2">
      <c r="B858">
        <v>8.2753949834904098E-2</v>
      </c>
      <c r="C858">
        <v>0.20852641334569044</v>
      </c>
    </row>
    <row r="859" spans="2:3" x14ac:dyDescent="0.2">
      <c r="B859">
        <v>8.2675545348415494E-2</v>
      </c>
      <c r="C859">
        <v>0.20759962928637626</v>
      </c>
    </row>
    <row r="860" spans="2:3" x14ac:dyDescent="0.2">
      <c r="B860">
        <v>8.2413180063733799E-2</v>
      </c>
      <c r="C860">
        <v>0.20667284522706209</v>
      </c>
    </row>
    <row r="861" spans="2:3" x14ac:dyDescent="0.2">
      <c r="B861">
        <v>8.2332165787932093E-2</v>
      </c>
      <c r="C861">
        <v>0.20574606116774791</v>
      </c>
    </row>
    <row r="862" spans="2:3" x14ac:dyDescent="0.2">
      <c r="B862">
        <v>8.22097744866052E-2</v>
      </c>
      <c r="C862">
        <v>0.20481927710843373</v>
      </c>
    </row>
    <row r="863" spans="2:3" x14ac:dyDescent="0.2">
      <c r="B863">
        <v>8.1533888875488306E-2</v>
      </c>
      <c r="C863">
        <v>0.20389249304911955</v>
      </c>
    </row>
    <row r="864" spans="2:3" x14ac:dyDescent="0.2">
      <c r="B864">
        <v>8.1220119373863101E-2</v>
      </c>
      <c r="C864">
        <v>0.20296570898980537</v>
      </c>
    </row>
    <row r="865" spans="2:3" x14ac:dyDescent="0.2">
      <c r="B865">
        <v>8.0898889358140394E-2</v>
      </c>
      <c r="C865">
        <v>0.20203892493049119</v>
      </c>
    </row>
    <row r="866" spans="2:3" x14ac:dyDescent="0.2">
      <c r="B866">
        <v>8.0845082751080696E-2</v>
      </c>
      <c r="C866">
        <v>0.20111214087117701</v>
      </c>
    </row>
    <row r="867" spans="2:3" x14ac:dyDescent="0.2">
      <c r="B867">
        <v>8.0704650938914393E-2</v>
      </c>
      <c r="C867">
        <v>0.20018535681186284</v>
      </c>
    </row>
    <row r="868" spans="2:3" x14ac:dyDescent="0.2">
      <c r="B868">
        <v>8.0023608110375302E-2</v>
      </c>
      <c r="C868">
        <v>0.19925857275254866</v>
      </c>
    </row>
    <row r="869" spans="2:3" x14ac:dyDescent="0.2">
      <c r="B869">
        <v>7.9912336707287701E-2</v>
      </c>
      <c r="C869">
        <v>0.19833178869323448</v>
      </c>
    </row>
    <row r="870" spans="2:3" x14ac:dyDescent="0.2">
      <c r="B870">
        <v>7.9832018408424396E-2</v>
      </c>
      <c r="C870">
        <v>0.1974050046339203</v>
      </c>
    </row>
    <row r="871" spans="2:3" x14ac:dyDescent="0.2">
      <c r="B871">
        <v>7.9458035079435593E-2</v>
      </c>
      <c r="C871">
        <v>0.19647822057460612</v>
      </c>
    </row>
    <row r="872" spans="2:3" x14ac:dyDescent="0.2">
      <c r="B872">
        <v>7.9354414918275995E-2</v>
      </c>
      <c r="C872">
        <v>0.19555143651529194</v>
      </c>
    </row>
    <row r="873" spans="2:3" x14ac:dyDescent="0.2">
      <c r="B873">
        <v>7.8983027774321493E-2</v>
      </c>
      <c r="C873">
        <v>0.19462465245597776</v>
      </c>
    </row>
    <row r="874" spans="2:3" x14ac:dyDescent="0.2">
      <c r="B874">
        <v>7.8382879597760399E-2</v>
      </c>
      <c r="C874">
        <v>0.19369786839666359</v>
      </c>
    </row>
    <row r="875" spans="2:3" x14ac:dyDescent="0.2">
      <c r="B875">
        <v>7.7815501759205902E-2</v>
      </c>
      <c r="C875">
        <v>0.19277108433734941</v>
      </c>
    </row>
    <row r="876" spans="2:3" x14ac:dyDescent="0.2">
      <c r="B876">
        <v>7.7769489524828497E-2</v>
      </c>
      <c r="C876">
        <v>0.19184430027803523</v>
      </c>
    </row>
    <row r="877" spans="2:3" x14ac:dyDescent="0.2">
      <c r="B877">
        <v>7.6999334005112399E-2</v>
      </c>
      <c r="C877">
        <v>0.19091751621872105</v>
      </c>
    </row>
    <row r="878" spans="2:3" x14ac:dyDescent="0.2">
      <c r="B878">
        <v>7.6421616386917496E-2</v>
      </c>
      <c r="C878">
        <v>0.18999073215940684</v>
      </c>
    </row>
    <row r="879" spans="2:3" x14ac:dyDescent="0.2">
      <c r="B879">
        <v>7.6046370389680804E-2</v>
      </c>
      <c r="C879">
        <v>0.18906394810009267</v>
      </c>
    </row>
    <row r="880" spans="2:3" x14ac:dyDescent="0.2">
      <c r="B880">
        <v>7.5362601840670507E-2</v>
      </c>
      <c r="C880">
        <v>0.18813716404077849</v>
      </c>
    </row>
    <row r="881" spans="2:3" x14ac:dyDescent="0.2">
      <c r="B881">
        <v>7.5282390079538505E-2</v>
      </c>
      <c r="C881">
        <v>0.18721037998146431</v>
      </c>
    </row>
    <row r="882" spans="2:3" x14ac:dyDescent="0.2">
      <c r="B882">
        <v>7.5190364599178994E-2</v>
      </c>
      <c r="C882">
        <v>0.18628359592215013</v>
      </c>
    </row>
    <row r="883" spans="2:3" x14ac:dyDescent="0.2">
      <c r="B883">
        <v>7.4950657124881401E-2</v>
      </c>
      <c r="C883">
        <v>0.18535681186283595</v>
      </c>
    </row>
    <row r="884" spans="2:3" x14ac:dyDescent="0.2">
      <c r="B884">
        <v>7.4711484807580802E-2</v>
      </c>
      <c r="C884">
        <v>0.18443002780352177</v>
      </c>
    </row>
    <row r="885" spans="2:3" x14ac:dyDescent="0.2">
      <c r="B885">
        <v>7.4141245281228493E-2</v>
      </c>
      <c r="C885">
        <v>0.18350324374420759</v>
      </c>
    </row>
    <row r="886" spans="2:3" x14ac:dyDescent="0.2">
      <c r="B886">
        <v>7.4069314679518605E-2</v>
      </c>
      <c r="C886">
        <v>0.18257645968489342</v>
      </c>
    </row>
    <row r="887" spans="2:3" x14ac:dyDescent="0.2">
      <c r="B887">
        <v>7.4066375877259893E-2</v>
      </c>
      <c r="C887">
        <v>0.18164967562557924</v>
      </c>
    </row>
    <row r="888" spans="2:3" x14ac:dyDescent="0.2">
      <c r="B888">
        <v>7.3746846861566601E-2</v>
      </c>
      <c r="C888">
        <v>0.18072289156626506</v>
      </c>
    </row>
    <row r="889" spans="2:3" x14ac:dyDescent="0.2">
      <c r="B889">
        <v>7.3384986276761904E-2</v>
      </c>
      <c r="C889">
        <v>0.17979610750695088</v>
      </c>
    </row>
    <row r="890" spans="2:3" x14ac:dyDescent="0.2">
      <c r="B890">
        <v>7.3330669040061705E-2</v>
      </c>
      <c r="C890">
        <v>0.1788693234476367</v>
      </c>
    </row>
    <row r="891" spans="2:3" x14ac:dyDescent="0.2">
      <c r="B891">
        <v>7.2382641430891001E-2</v>
      </c>
      <c r="C891">
        <v>0.17794253938832252</v>
      </c>
    </row>
    <row r="892" spans="2:3" x14ac:dyDescent="0.2">
      <c r="B892">
        <v>7.2234799289061305E-2</v>
      </c>
      <c r="C892">
        <v>0.17701575532900835</v>
      </c>
    </row>
    <row r="893" spans="2:3" x14ac:dyDescent="0.2">
      <c r="B893">
        <v>7.18024112228242E-2</v>
      </c>
      <c r="C893">
        <v>0.17608897126969417</v>
      </c>
    </row>
    <row r="894" spans="2:3" x14ac:dyDescent="0.2">
      <c r="B894">
        <v>7.1499228230494094E-2</v>
      </c>
      <c r="C894">
        <v>0.17516218721037999</v>
      </c>
    </row>
    <row r="895" spans="2:3" x14ac:dyDescent="0.2">
      <c r="B895">
        <v>7.1161795677812403E-2</v>
      </c>
      <c r="C895">
        <v>0.17423540315106581</v>
      </c>
    </row>
    <row r="896" spans="2:3" x14ac:dyDescent="0.2">
      <c r="B896">
        <v>7.1116626766049101E-2</v>
      </c>
      <c r="C896">
        <v>0.17330861909175163</v>
      </c>
    </row>
    <row r="897" spans="2:3" x14ac:dyDescent="0.2">
      <c r="B897">
        <v>7.0970829508718095E-2</v>
      </c>
      <c r="C897">
        <v>0.17238183503243745</v>
      </c>
    </row>
    <row r="898" spans="2:3" x14ac:dyDescent="0.2">
      <c r="B898">
        <v>7.0852326083825898E-2</v>
      </c>
      <c r="C898">
        <v>0.17145505097312327</v>
      </c>
    </row>
    <row r="899" spans="2:3" x14ac:dyDescent="0.2">
      <c r="B899">
        <v>7.0328327750525804E-2</v>
      </c>
      <c r="C899">
        <v>0.1705282669138091</v>
      </c>
    </row>
    <row r="900" spans="2:3" x14ac:dyDescent="0.2">
      <c r="B900">
        <v>6.9878590306322694E-2</v>
      </c>
      <c r="C900">
        <v>0.16960148285449489</v>
      </c>
    </row>
    <row r="901" spans="2:3" x14ac:dyDescent="0.2">
      <c r="B901">
        <v>6.9832476987081102E-2</v>
      </c>
      <c r="C901">
        <v>0.16867469879518071</v>
      </c>
    </row>
    <row r="902" spans="2:3" x14ac:dyDescent="0.2">
      <c r="B902">
        <v>6.9334410671917396E-2</v>
      </c>
      <c r="C902">
        <v>0.16774791473586653</v>
      </c>
    </row>
    <row r="903" spans="2:3" x14ac:dyDescent="0.2">
      <c r="B903">
        <v>6.9085532822141998E-2</v>
      </c>
      <c r="C903">
        <v>0.16682113067655235</v>
      </c>
    </row>
    <row r="904" spans="2:3" x14ac:dyDescent="0.2">
      <c r="B904">
        <v>6.9085245191538705E-2</v>
      </c>
      <c r="C904">
        <v>0.16589434661723818</v>
      </c>
    </row>
    <row r="905" spans="2:3" x14ac:dyDescent="0.2">
      <c r="B905">
        <v>6.8084184234161793E-2</v>
      </c>
      <c r="C905">
        <v>0.164967562557924</v>
      </c>
    </row>
    <row r="906" spans="2:3" x14ac:dyDescent="0.2">
      <c r="B906">
        <v>6.8060502624202407E-2</v>
      </c>
      <c r="C906">
        <v>0.16404077849860982</v>
      </c>
    </row>
    <row r="907" spans="2:3" x14ac:dyDescent="0.2">
      <c r="B907">
        <v>6.7640977281744799E-2</v>
      </c>
      <c r="C907">
        <v>0.16311399443929564</v>
      </c>
    </row>
    <row r="908" spans="2:3" x14ac:dyDescent="0.2">
      <c r="B908">
        <v>6.7486807204888505E-2</v>
      </c>
      <c r="C908">
        <v>0.16218721037998146</v>
      </c>
    </row>
    <row r="909" spans="2:3" x14ac:dyDescent="0.2">
      <c r="B909">
        <v>6.6766099716594404E-2</v>
      </c>
      <c r="C909">
        <v>0.16126042632066728</v>
      </c>
    </row>
    <row r="910" spans="2:3" x14ac:dyDescent="0.2">
      <c r="B910">
        <v>6.6278420955583103E-2</v>
      </c>
      <c r="C910">
        <v>0.1603336422613531</v>
      </c>
    </row>
    <row r="911" spans="2:3" x14ac:dyDescent="0.2">
      <c r="B911">
        <v>6.5610982627530595E-2</v>
      </c>
      <c r="C911">
        <v>0.15940685820203893</v>
      </c>
    </row>
    <row r="912" spans="2:3" x14ac:dyDescent="0.2">
      <c r="B912">
        <v>6.5559884218763395E-2</v>
      </c>
      <c r="C912">
        <v>0.15848007414272475</v>
      </c>
    </row>
    <row r="913" spans="2:3" x14ac:dyDescent="0.2">
      <c r="B913">
        <v>6.5229974302028204E-2</v>
      </c>
      <c r="C913">
        <v>0.15755329008341057</v>
      </c>
    </row>
    <row r="914" spans="2:3" x14ac:dyDescent="0.2">
      <c r="B914">
        <v>6.4941206139427901E-2</v>
      </c>
      <c r="C914">
        <v>0.15662650602409639</v>
      </c>
    </row>
    <row r="915" spans="2:3" x14ac:dyDescent="0.2">
      <c r="B915">
        <v>6.4849087753618306E-2</v>
      </c>
      <c r="C915">
        <v>0.15569972196478221</v>
      </c>
    </row>
    <row r="916" spans="2:3" x14ac:dyDescent="0.2">
      <c r="B916">
        <v>6.45600769288701E-2</v>
      </c>
      <c r="C916">
        <v>0.15477293790546803</v>
      </c>
    </row>
    <row r="917" spans="2:3" x14ac:dyDescent="0.2">
      <c r="B917">
        <v>6.4393867046725603E-2</v>
      </c>
      <c r="C917">
        <v>0.15384615384615385</v>
      </c>
    </row>
    <row r="918" spans="2:3" x14ac:dyDescent="0.2">
      <c r="B918">
        <v>6.4034293213933002E-2</v>
      </c>
      <c r="C918">
        <v>0.15291936978683968</v>
      </c>
    </row>
    <row r="919" spans="2:3" x14ac:dyDescent="0.2">
      <c r="B919">
        <v>6.3850039061716504E-2</v>
      </c>
      <c r="C919">
        <v>0.1519925857275255</v>
      </c>
    </row>
    <row r="920" spans="2:3" x14ac:dyDescent="0.2">
      <c r="B920">
        <v>6.3811219385492293E-2</v>
      </c>
      <c r="C920">
        <v>0.15106580166821132</v>
      </c>
    </row>
    <row r="921" spans="2:3" x14ac:dyDescent="0.2">
      <c r="B921">
        <v>6.3757356218893405E-2</v>
      </c>
      <c r="C921">
        <v>0.15013901760889714</v>
      </c>
    </row>
    <row r="922" spans="2:3" x14ac:dyDescent="0.2">
      <c r="B922">
        <v>6.3457820316743394E-2</v>
      </c>
      <c r="C922">
        <v>0.14921223354958293</v>
      </c>
    </row>
    <row r="923" spans="2:3" x14ac:dyDescent="0.2">
      <c r="B923">
        <v>6.3442863034593996E-2</v>
      </c>
      <c r="C923">
        <v>0.14828544949026876</v>
      </c>
    </row>
    <row r="924" spans="2:3" x14ac:dyDescent="0.2">
      <c r="B924">
        <v>6.2912173637547003E-2</v>
      </c>
      <c r="C924">
        <v>0.14735866543095458</v>
      </c>
    </row>
    <row r="925" spans="2:3" x14ac:dyDescent="0.2">
      <c r="B925">
        <v>6.2683005758047999E-2</v>
      </c>
      <c r="C925">
        <v>0.1464318813716404</v>
      </c>
    </row>
    <row r="926" spans="2:3" x14ac:dyDescent="0.2">
      <c r="B926">
        <v>6.2459505127009998E-2</v>
      </c>
      <c r="C926">
        <v>0.14550509731232622</v>
      </c>
    </row>
    <row r="927" spans="2:3" x14ac:dyDescent="0.2">
      <c r="B927">
        <v>6.2427040536807303E-2</v>
      </c>
      <c r="C927">
        <v>0.14457831325301204</v>
      </c>
    </row>
    <row r="928" spans="2:3" x14ac:dyDescent="0.2">
      <c r="B928">
        <v>6.2324116870799397E-2</v>
      </c>
      <c r="C928">
        <v>0.14365152919369786</v>
      </c>
    </row>
    <row r="929" spans="2:3" x14ac:dyDescent="0.2">
      <c r="B929">
        <v>6.2131415073824699E-2</v>
      </c>
      <c r="C929">
        <v>0.14272474513438368</v>
      </c>
    </row>
    <row r="930" spans="2:3" x14ac:dyDescent="0.2">
      <c r="B930">
        <v>6.1955338050144602E-2</v>
      </c>
      <c r="C930">
        <v>0.14179796107506951</v>
      </c>
    </row>
    <row r="931" spans="2:3" x14ac:dyDescent="0.2">
      <c r="B931">
        <v>6.1924507511342902E-2</v>
      </c>
      <c r="C931">
        <v>0.14087117701575533</v>
      </c>
    </row>
    <row r="932" spans="2:3" x14ac:dyDescent="0.2">
      <c r="B932">
        <v>6.1810238506091998E-2</v>
      </c>
      <c r="C932">
        <v>0.13994439295644115</v>
      </c>
    </row>
    <row r="933" spans="2:3" x14ac:dyDescent="0.2">
      <c r="B933">
        <v>6.16945138016253E-2</v>
      </c>
      <c r="C933">
        <v>0.13901760889712697</v>
      </c>
    </row>
    <row r="934" spans="2:3" x14ac:dyDescent="0.2">
      <c r="B934">
        <v>6.1633401820854403E-2</v>
      </c>
      <c r="C934">
        <v>0.13809082483781279</v>
      </c>
    </row>
    <row r="935" spans="2:3" x14ac:dyDescent="0.2">
      <c r="B935">
        <v>6.1097398103100997E-2</v>
      </c>
      <c r="C935">
        <v>0.13716404077849861</v>
      </c>
    </row>
    <row r="936" spans="2:3" x14ac:dyDescent="0.2">
      <c r="B936">
        <v>6.0845312170133697E-2</v>
      </c>
      <c r="C936">
        <v>0.13623725671918444</v>
      </c>
    </row>
    <row r="937" spans="2:3" x14ac:dyDescent="0.2">
      <c r="B937">
        <v>6.0550355028792101E-2</v>
      </c>
      <c r="C937">
        <v>0.13531047265987026</v>
      </c>
    </row>
    <row r="938" spans="2:3" x14ac:dyDescent="0.2">
      <c r="B938">
        <v>6.0110353900179103E-2</v>
      </c>
      <c r="C938">
        <v>0.13438368860055608</v>
      </c>
    </row>
    <row r="939" spans="2:3" x14ac:dyDescent="0.2">
      <c r="B939">
        <v>5.9988514087103401E-2</v>
      </c>
      <c r="C939">
        <v>0.1334569045412419</v>
      </c>
    </row>
    <row r="940" spans="2:3" x14ac:dyDescent="0.2">
      <c r="B940">
        <v>5.9939561253688399E-2</v>
      </c>
      <c r="C940">
        <v>0.13253012048192772</v>
      </c>
    </row>
    <row r="941" spans="2:3" x14ac:dyDescent="0.2">
      <c r="B941">
        <v>5.9119582483222202E-2</v>
      </c>
      <c r="C941">
        <v>0.13160333642261354</v>
      </c>
    </row>
    <row r="942" spans="2:3" x14ac:dyDescent="0.2">
      <c r="B942">
        <v>5.9095450425793998E-2</v>
      </c>
      <c r="C942">
        <v>0.13067655236329936</v>
      </c>
    </row>
    <row r="943" spans="2:3" x14ac:dyDescent="0.2">
      <c r="B943">
        <v>5.8791361270971197E-2</v>
      </c>
      <c r="C943">
        <v>0.12974976830398516</v>
      </c>
    </row>
    <row r="944" spans="2:3" x14ac:dyDescent="0.2">
      <c r="B944">
        <v>5.8367590690691397E-2</v>
      </c>
      <c r="C944">
        <v>0.12882298424467098</v>
      </c>
    </row>
    <row r="945" spans="2:3" x14ac:dyDescent="0.2">
      <c r="B945">
        <v>5.8351847051244202E-2</v>
      </c>
      <c r="C945">
        <v>0.1278962001853568</v>
      </c>
    </row>
    <row r="946" spans="2:3" x14ac:dyDescent="0.2">
      <c r="B946">
        <v>5.82383957516035E-2</v>
      </c>
      <c r="C946">
        <v>0.12696941612604262</v>
      </c>
    </row>
    <row r="947" spans="2:3" x14ac:dyDescent="0.2">
      <c r="B947">
        <v>5.7742941235597298E-2</v>
      </c>
      <c r="C947">
        <v>0.12604263206672844</v>
      </c>
    </row>
    <row r="948" spans="2:3" x14ac:dyDescent="0.2">
      <c r="B948">
        <v>5.7223226766352699E-2</v>
      </c>
      <c r="C948">
        <v>0.12511584800741427</v>
      </c>
    </row>
    <row r="949" spans="2:3" x14ac:dyDescent="0.2">
      <c r="B949">
        <v>5.65564847204457E-2</v>
      </c>
      <c r="C949">
        <v>0.12418906394810009</v>
      </c>
    </row>
    <row r="950" spans="2:3" x14ac:dyDescent="0.2">
      <c r="B950">
        <v>5.6321623990083398E-2</v>
      </c>
      <c r="C950">
        <v>0.12326227988878591</v>
      </c>
    </row>
    <row r="951" spans="2:3" x14ac:dyDescent="0.2">
      <c r="B951">
        <v>5.6035602044341201E-2</v>
      </c>
      <c r="C951">
        <v>0.12233549582947173</v>
      </c>
    </row>
    <row r="952" spans="2:3" x14ac:dyDescent="0.2">
      <c r="B952">
        <v>5.5979664048979201E-2</v>
      </c>
      <c r="C952">
        <v>0.12140871177015755</v>
      </c>
    </row>
    <row r="953" spans="2:3" x14ac:dyDescent="0.2">
      <c r="B953">
        <v>5.5523860415409999E-2</v>
      </c>
      <c r="C953">
        <v>0.12048192771084337</v>
      </c>
    </row>
    <row r="954" spans="2:3" x14ac:dyDescent="0.2">
      <c r="B954">
        <v>5.5106158872818799E-2</v>
      </c>
      <c r="C954">
        <v>0.11955514365152919</v>
      </c>
    </row>
    <row r="955" spans="2:3" x14ac:dyDescent="0.2">
      <c r="B955">
        <v>5.48721118843234E-2</v>
      </c>
      <c r="C955">
        <v>0.11862835959221502</v>
      </c>
    </row>
    <row r="956" spans="2:3" x14ac:dyDescent="0.2">
      <c r="B956">
        <v>5.4426042562297799E-2</v>
      </c>
      <c r="C956">
        <v>0.11770157553290084</v>
      </c>
    </row>
    <row r="957" spans="2:3" x14ac:dyDescent="0.2">
      <c r="B957">
        <v>5.4032152692592803E-2</v>
      </c>
      <c r="C957">
        <v>0.11677479147358666</v>
      </c>
    </row>
    <row r="958" spans="2:3" x14ac:dyDescent="0.2">
      <c r="B958">
        <v>5.3631937887296199E-2</v>
      </c>
      <c r="C958">
        <v>0.11584800741427248</v>
      </c>
    </row>
    <row r="959" spans="2:3" x14ac:dyDescent="0.2">
      <c r="B959">
        <v>5.3216756785121597E-2</v>
      </c>
      <c r="C959">
        <v>0.11492122335495829</v>
      </c>
    </row>
    <row r="960" spans="2:3" x14ac:dyDescent="0.2">
      <c r="B960">
        <v>5.2926345707951801E-2</v>
      </c>
      <c r="C960">
        <v>0.11399443929564411</v>
      </c>
    </row>
    <row r="961" spans="2:3" x14ac:dyDescent="0.2">
      <c r="B961">
        <v>5.2779480724768603E-2</v>
      </c>
      <c r="C961">
        <v>0.11306765523632993</v>
      </c>
    </row>
    <row r="962" spans="2:3" x14ac:dyDescent="0.2">
      <c r="B962">
        <v>5.2493583824633303E-2</v>
      </c>
      <c r="C962">
        <v>0.11214087117701575</v>
      </c>
    </row>
    <row r="963" spans="2:3" x14ac:dyDescent="0.2">
      <c r="B963">
        <v>5.2343998585024303E-2</v>
      </c>
      <c r="C963">
        <v>0.11121408711770157</v>
      </c>
    </row>
    <row r="964" spans="2:3" x14ac:dyDescent="0.2">
      <c r="B964">
        <v>5.2136498352404297E-2</v>
      </c>
      <c r="C964">
        <v>0.1102873030583874</v>
      </c>
    </row>
    <row r="965" spans="2:3" x14ac:dyDescent="0.2">
      <c r="B965">
        <v>5.1847832903089502E-2</v>
      </c>
      <c r="C965">
        <v>0.10936051899907322</v>
      </c>
    </row>
    <row r="966" spans="2:3" x14ac:dyDescent="0.2">
      <c r="B966">
        <v>5.1620034391402697E-2</v>
      </c>
      <c r="C966">
        <v>0.10843373493975904</v>
      </c>
    </row>
    <row r="967" spans="2:3" x14ac:dyDescent="0.2">
      <c r="B967">
        <v>5.1578753212535397E-2</v>
      </c>
      <c r="C967">
        <v>0.10750695088044486</v>
      </c>
    </row>
    <row r="968" spans="2:3" x14ac:dyDescent="0.2">
      <c r="B968">
        <v>5.1548052545921E-2</v>
      </c>
      <c r="C968">
        <v>0.10658016682113068</v>
      </c>
    </row>
    <row r="969" spans="2:3" x14ac:dyDescent="0.2">
      <c r="B969">
        <v>5.1507575682555103E-2</v>
      </c>
      <c r="C969">
        <v>0.1056533827618165</v>
      </c>
    </row>
    <row r="970" spans="2:3" x14ac:dyDescent="0.2">
      <c r="B970">
        <v>5.1499298049186903E-2</v>
      </c>
      <c r="C970">
        <v>0.10472659870250231</v>
      </c>
    </row>
    <row r="971" spans="2:3" x14ac:dyDescent="0.2">
      <c r="B971">
        <v>5.0918386760780802E-2</v>
      </c>
      <c r="C971">
        <v>0.10379981464318813</v>
      </c>
    </row>
    <row r="972" spans="2:3" x14ac:dyDescent="0.2">
      <c r="B972">
        <v>5.07971959710894E-2</v>
      </c>
      <c r="C972">
        <v>0.10287303058387395</v>
      </c>
    </row>
    <row r="973" spans="2:3" x14ac:dyDescent="0.2">
      <c r="B973">
        <v>5.0243242686634701E-2</v>
      </c>
      <c r="C973">
        <v>0.10194624652455977</v>
      </c>
    </row>
    <row r="974" spans="2:3" x14ac:dyDescent="0.2">
      <c r="B974">
        <v>5.00331100570688E-2</v>
      </c>
      <c r="C974">
        <v>0.1010194624652456</v>
      </c>
    </row>
    <row r="975" spans="2:3" x14ac:dyDescent="0.2">
      <c r="B975">
        <v>4.9756234251051003E-2</v>
      </c>
      <c r="C975">
        <v>0.10009267840593142</v>
      </c>
    </row>
    <row r="976" spans="2:3" x14ac:dyDescent="0.2">
      <c r="B976">
        <v>4.9681859840540098E-2</v>
      </c>
      <c r="C976">
        <v>9.9165894346617239E-2</v>
      </c>
    </row>
    <row r="977" spans="2:3" x14ac:dyDescent="0.2">
      <c r="B977">
        <v>4.9395955164926897E-2</v>
      </c>
      <c r="C977">
        <v>9.8239110287303061E-2</v>
      </c>
    </row>
    <row r="978" spans="2:3" x14ac:dyDescent="0.2">
      <c r="B978">
        <v>4.9027221037410598E-2</v>
      </c>
      <c r="C978">
        <v>9.7312326227988882E-2</v>
      </c>
    </row>
    <row r="979" spans="2:3" x14ac:dyDescent="0.2">
      <c r="B979">
        <v>4.8595414325401397E-2</v>
      </c>
      <c r="C979">
        <v>9.6385542168674704E-2</v>
      </c>
    </row>
    <row r="980" spans="2:3" x14ac:dyDescent="0.2">
      <c r="B980">
        <v>4.8249802103817199E-2</v>
      </c>
      <c r="C980">
        <v>9.5458758109360525E-2</v>
      </c>
    </row>
    <row r="981" spans="2:3" x14ac:dyDescent="0.2">
      <c r="B981">
        <v>4.8223686082509001E-2</v>
      </c>
      <c r="C981">
        <v>9.4531974050046333E-2</v>
      </c>
    </row>
    <row r="982" spans="2:3" x14ac:dyDescent="0.2">
      <c r="B982">
        <v>4.8122562070582298E-2</v>
      </c>
      <c r="C982">
        <v>9.3605189990732154E-2</v>
      </c>
    </row>
    <row r="983" spans="2:3" x14ac:dyDescent="0.2">
      <c r="B983">
        <v>4.7968824768212501E-2</v>
      </c>
      <c r="C983">
        <v>9.2678405931417976E-2</v>
      </c>
    </row>
    <row r="984" spans="2:3" x14ac:dyDescent="0.2">
      <c r="B984">
        <v>4.7626393768653297E-2</v>
      </c>
      <c r="C984">
        <v>9.1751621872103797E-2</v>
      </c>
    </row>
    <row r="985" spans="2:3" x14ac:dyDescent="0.2">
      <c r="B985">
        <v>4.74081726235989E-2</v>
      </c>
      <c r="C985">
        <v>9.0824837812789619E-2</v>
      </c>
    </row>
    <row r="986" spans="2:3" x14ac:dyDescent="0.2">
      <c r="B986">
        <v>4.72128236364271E-2</v>
      </c>
      <c r="C986">
        <v>8.989805375347544E-2</v>
      </c>
    </row>
    <row r="987" spans="2:3" x14ac:dyDescent="0.2">
      <c r="B987">
        <v>4.6258890772695203E-2</v>
      </c>
      <c r="C987">
        <v>8.8971269694161262E-2</v>
      </c>
    </row>
    <row r="988" spans="2:3" x14ac:dyDescent="0.2">
      <c r="B988">
        <v>4.6205861488646E-2</v>
      </c>
      <c r="C988">
        <v>8.8044485634847083E-2</v>
      </c>
    </row>
    <row r="989" spans="2:3" x14ac:dyDescent="0.2">
      <c r="B989">
        <v>4.6146274249014498E-2</v>
      </c>
      <c r="C989">
        <v>8.7117701575532905E-2</v>
      </c>
    </row>
    <row r="990" spans="2:3" x14ac:dyDescent="0.2">
      <c r="B990">
        <v>4.6079606744591099E-2</v>
      </c>
      <c r="C990">
        <v>8.6190917516218726E-2</v>
      </c>
    </row>
    <row r="991" spans="2:3" x14ac:dyDescent="0.2">
      <c r="B991">
        <v>4.5455103433331701E-2</v>
      </c>
      <c r="C991">
        <v>8.5264133456904548E-2</v>
      </c>
    </row>
    <row r="992" spans="2:3" x14ac:dyDescent="0.2">
      <c r="B992">
        <v>4.5425303328972502E-2</v>
      </c>
      <c r="C992">
        <v>8.4337349397590355E-2</v>
      </c>
    </row>
    <row r="993" spans="2:3" x14ac:dyDescent="0.2">
      <c r="B993">
        <v>4.5275242657841698E-2</v>
      </c>
      <c r="C993">
        <v>8.3410565338276177E-2</v>
      </c>
    </row>
    <row r="994" spans="2:3" x14ac:dyDescent="0.2">
      <c r="B994">
        <v>4.46855097432785E-2</v>
      </c>
      <c r="C994">
        <v>8.2483781278961998E-2</v>
      </c>
    </row>
    <row r="995" spans="2:3" x14ac:dyDescent="0.2">
      <c r="B995">
        <v>4.3883077563019797E-2</v>
      </c>
      <c r="C995">
        <v>8.155699721964782E-2</v>
      </c>
    </row>
    <row r="996" spans="2:3" x14ac:dyDescent="0.2">
      <c r="B996">
        <v>4.3777737301476598E-2</v>
      </c>
      <c r="C996">
        <v>8.0630213160333641E-2</v>
      </c>
    </row>
    <row r="997" spans="2:3" x14ac:dyDescent="0.2">
      <c r="B997">
        <v>4.32983597444212E-2</v>
      </c>
      <c r="C997">
        <v>7.9703429101019463E-2</v>
      </c>
    </row>
    <row r="998" spans="2:3" x14ac:dyDescent="0.2">
      <c r="B998">
        <v>4.32614342326096E-2</v>
      </c>
      <c r="C998">
        <v>7.8776645041705284E-2</v>
      </c>
    </row>
    <row r="999" spans="2:3" x14ac:dyDescent="0.2">
      <c r="B999">
        <v>4.3141052113305302E-2</v>
      </c>
      <c r="C999">
        <v>7.7849860982391106E-2</v>
      </c>
    </row>
    <row r="1000" spans="2:3" x14ac:dyDescent="0.2">
      <c r="B1000">
        <v>4.3072747898854E-2</v>
      </c>
      <c r="C1000">
        <v>7.6923076923076927E-2</v>
      </c>
    </row>
    <row r="1001" spans="2:3" x14ac:dyDescent="0.2">
      <c r="B1001">
        <v>4.2652229445199502E-2</v>
      </c>
      <c r="C1001">
        <v>7.5996292863762749E-2</v>
      </c>
    </row>
    <row r="1002" spans="2:3" x14ac:dyDescent="0.2">
      <c r="B1002">
        <v>4.2504977860365903E-2</v>
      </c>
      <c r="C1002">
        <v>7.506950880444857E-2</v>
      </c>
    </row>
    <row r="1003" spans="2:3" x14ac:dyDescent="0.2">
      <c r="B1003">
        <v>4.13811392084555E-2</v>
      </c>
      <c r="C1003">
        <v>7.4142724745134378E-2</v>
      </c>
    </row>
    <row r="1004" spans="2:3" x14ac:dyDescent="0.2">
      <c r="B1004">
        <v>4.0978121764210403E-2</v>
      </c>
      <c r="C1004">
        <v>7.3215940685820199E-2</v>
      </c>
    </row>
    <row r="1005" spans="2:3" x14ac:dyDescent="0.2">
      <c r="B1005">
        <v>4.0817470993358702E-2</v>
      </c>
      <c r="C1005">
        <v>7.2289156626506021E-2</v>
      </c>
    </row>
    <row r="1006" spans="2:3" x14ac:dyDescent="0.2">
      <c r="B1006">
        <v>4.0655198771845202E-2</v>
      </c>
      <c r="C1006">
        <v>7.1362372567191842E-2</v>
      </c>
    </row>
    <row r="1007" spans="2:3" x14ac:dyDescent="0.2">
      <c r="B1007">
        <v>3.9897108398648101E-2</v>
      </c>
      <c r="C1007">
        <v>7.0435588507877664E-2</v>
      </c>
    </row>
    <row r="1008" spans="2:3" x14ac:dyDescent="0.2">
      <c r="B1008">
        <v>3.9756537443982803E-2</v>
      </c>
      <c r="C1008">
        <v>6.9508804448563485E-2</v>
      </c>
    </row>
    <row r="1009" spans="2:3" x14ac:dyDescent="0.2">
      <c r="B1009">
        <v>3.9550317140426602E-2</v>
      </c>
      <c r="C1009">
        <v>6.8582020389249307E-2</v>
      </c>
    </row>
    <row r="1010" spans="2:3" x14ac:dyDescent="0.2">
      <c r="B1010">
        <v>3.9222321302819899E-2</v>
      </c>
      <c r="C1010">
        <v>6.7655236329935128E-2</v>
      </c>
    </row>
    <row r="1011" spans="2:3" x14ac:dyDescent="0.2">
      <c r="B1011">
        <v>3.9079865730591697E-2</v>
      </c>
      <c r="C1011">
        <v>6.672845227062095E-2</v>
      </c>
    </row>
    <row r="1012" spans="2:3" x14ac:dyDescent="0.2">
      <c r="B1012">
        <v>3.8893439316356797E-2</v>
      </c>
      <c r="C1012">
        <v>6.5801668211306771E-2</v>
      </c>
    </row>
    <row r="1013" spans="2:3" x14ac:dyDescent="0.2">
      <c r="B1013">
        <v>3.8478318252682199E-2</v>
      </c>
      <c r="C1013">
        <v>6.4874884151992579E-2</v>
      </c>
    </row>
    <row r="1014" spans="2:3" x14ac:dyDescent="0.2">
      <c r="B1014">
        <v>3.8074343252809499E-2</v>
      </c>
      <c r="C1014">
        <v>6.39481000926784E-2</v>
      </c>
    </row>
    <row r="1015" spans="2:3" x14ac:dyDescent="0.2">
      <c r="B1015">
        <v>3.7870357608560098E-2</v>
      </c>
      <c r="C1015">
        <v>6.3021316033364222E-2</v>
      </c>
    </row>
    <row r="1016" spans="2:3" x14ac:dyDescent="0.2">
      <c r="B1016">
        <v>3.78028048074978E-2</v>
      </c>
      <c r="C1016">
        <v>6.2094531974050043E-2</v>
      </c>
    </row>
    <row r="1017" spans="2:3" x14ac:dyDescent="0.2">
      <c r="B1017">
        <v>3.76449021346578E-2</v>
      </c>
      <c r="C1017">
        <v>6.1167747914735865E-2</v>
      </c>
    </row>
    <row r="1018" spans="2:3" x14ac:dyDescent="0.2">
      <c r="B1018">
        <v>3.7510777079243003E-2</v>
      </c>
      <c r="C1018">
        <v>6.0240963855421686E-2</v>
      </c>
    </row>
    <row r="1019" spans="2:3" x14ac:dyDescent="0.2">
      <c r="B1019">
        <v>3.7152610004538802E-2</v>
      </c>
      <c r="C1019">
        <v>5.9314179796107508E-2</v>
      </c>
    </row>
    <row r="1020" spans="2:3" x14ac:dyDescent="0.2">
      <c r="B1020">
        <v>3.6862937417290499E-2</v>
      </c>
      <c r="C1020">
        <v>5.8387395736793329E-2</v>
      </c>
    </row>
    <row r="1021" spans="2:3" x14ac:dyDescent="0.2">
      <c r="B1021">
        <v>3.66112413068619E-2</v>
      </c>
      <c r="C1021">
        <v>5.7460611677479144E-2</v>
      </c>
    </row>
    <row r="1022" spans="2:3" x14ac:dyDescent="0.2">
      <c r="B1022">
        <v>3.58840100109497E-2</v>
      </c>
      <c r="C1022">
        <v>5.6533827618164965E-2</v>
      </c>
    </row>
    <row r="1023" spans="2:3" x14ac:dyDescent="0.2">
      <c r="B1023">
        <v>3.4456491216211603E-2</v>
      </c>
      <c r="C1023">
        <v>5.5607043558850787E-2</v>
      </c>
    </row>
    <row r="1024" spans="2:3" x14ac:dyDescent="0.2">
      <c r="B1024">
        <v>3.4001847723957097E-2</v>
      </c>
      <c r="C1024">
        <v>5.4680259499536608E-2</v>
      </c>
    </row>
    <row r="1025" spans="2:3" x14ac:dyDescent="0.2">
      <c r="B1025">
        <v>3.38843081827708E-2</v>
      </c>
      <c r="C1025">
        <v>5.375347544022243E-2</v>
      </c>
    </row>
    <row r="1026" spans="2:3" x14ac:dyDescent="0.2">
      <c r="B1026">
        <v>3.3523747672566301E-2</v>
      </c>
      <c r="C1026">
        <v>5.2826691380908251E-2</v>
      </c>
    </row>
    <row r="1027" spans="2:3" x14ac:dyDescent="0.2">
      <c r="B1027">
        <v>3.1893873141482398E-2</v>
      </c>
      <c r="C1027">
        <v>5.1899907321594066E-2</v>
      </c>
    </row>
    <row r="1028" spans="2:3" x14ac:dyDescent="0.2">
      <c r="B1028">
        <v>3.1727232123632002E-2</v>
      </c>
      <c r="C1028">
        <v>5.0973123262279887E-2</v>
      </c>
    </row>
    <row r="1029" spans="2:3" x14ac:dyDescent="0.2">
      <c r="B1029">
        <v>3.1434722963201302E-2</v>
      </c>
      <c r="C1029">
        <v>5.0046339202965709E-2</v>
      </c>
    </row>
    <row r="1030" spans="2:3" x14ac:dyDescent="0.2">
      <c r="B1030">
        <v>3.0903724361248702E-2</v>
      </c>
      <c r="C1030">
        <v>4.911955514365153E-2</v>
      </c>
    </row>
    <row r="1031" spans="2:3" x14ac:dyDescent="0.2">
      <c r="B1031">
        <v>3.0842220579841401E-2</v>
      </c>
      <c r="C1031">
        <v>4.8192771084337352E-2</v>
      </c>
    </row>
    <row r="1032" spans="2:3" x14ac:dyDescent="0.2">
      <c r="B1032">
        <v>3.02139102497864E-2</v>
      </c>
      <c r="C1032">
        <v>4.7265987025023166E-2</v>
      </c>
    </row>
    <row r="1033" spans="2:3" x14ac:dyDescent="0.2">
      <c r="B1033">
        <v>3.0172338031601201E-2</v>
      </c>
      <c r="C1033">
        <v>4.6339202965708988E-2</v>
      </c>
    </row>
    <row r="1034" spans="2:3" x14ac:dyDescent="0.2">
      <c r="B1034">
        <v>2.96326160122437E-2</v>
      </c>
      <c r="C1034">
        <v>4.5412418906394809E-2</v>
      </c>
    </row>
    <row r="1035" spans="2:3" x14ac:dyDescent="0.2">
      <c r="B1035">
        <v>2.9418706657066699E-2</v>
      </c>
      <c r="C1035">
        <v>4.4485634847080631E-2</v>
      </c>
    </row>
    <row r="1036" spans="2:3" x14ac:dyDescent="0.2">
      <c r="B1036">
        <v>2.9144557068867E-2</v>
      </c>
      <c r="C1036">
        <v>4.3558850787766452E-2</v>
      </c>
    </row>
    <row r="1037" spans="2:3" x14ac:dyDescent="0.2">
      <c r="B1037">
        <v>2.8064917776899501E-2</v>
      </c>
      <c r="C1037">
        <v>4.2632066728452274E-2</v>
      </c>
    </row>
    <row r="1038" spans="2:3" x14ac:dyDescent="0.2">
      <c r="B1038">
        <v>2.7784252370094999E-2</v>
      </c>
      <c r="C1038">
        <v>4.1705282669138088E-2</v>
      </c>
    </row>
    <row r="1039" spans="2:3" x14ac:dyDescent="0.2">
      <c r="B1039">
        <v>2.7352882116967198E-2</v>
      </c>
      <c r="C1039">
        <v>4.077849860982391E-2</v>
      </c>
    </row>
    <row r="1040" spans="2:3" x14ac:dyDescent="0.2">
      <c r="B1040">
        <v>2.6908286195217401E-2</v>
      </c>
      <c r="C1040">
        <v>3.9851714550509731E-2</v>
      </c>
    </row>
    <row r="1041" spans="2:3" x14ac:dyDescent="0.2">
      <c r="B1041">
        <v>2.6408182538345301E-2</v>
      </c>
      <c r="C1041">
        <v>3.8924930491195553E-2</v>
      </c>
    </row>
    <row r="1042" spans="2:3" x14ac:dyDescent="0.2">
      <c r="B1042">
        <v>2.6178831650184298E-2</v>
      </c>
      <c r="C1042">
        <v>3.7998146431881374E-2</v>
      </c>
    </row>
    <row r="1043" spans="2:3" x14ac:dyDescent="0.2">
      <c r="B1043">
        <v>2.6123460545039501E-2</v>
      </c>
      <c r="C1043">
        <v>3.7071362372567189E-2</v>
      </c>
    </row>
    <row r="1044" spans="2:3" x14ac:dyDescent="0.2">
      <c r="B1044">
        <v>2.5440968504713599E-2</v>
      </c>
      <c r="C1044">
        <v>3.614457831325301E-2</v>
      </c>
    </row>
    <row r="1045" spans="2:3" x14ac:dyDescent="0.2">
      <c r="B1045">
        <v>2.5244603520247901E-2</v>
      </c>
      <c r="C1045">
        <v>3.5217794253938832E-2</v>
      </c>
    </row>
    <row r="1046" spans="2:3" x14ac:dyDescent="0.2">
      <c r="B1046">
        <v>2.5002058626641E-2</v>
      </c>
      <c r="C1046">
        <v>3.4291010194624653E-2</v>
      </c>
    </row>
    <row r="1047" spans="2:3" x14ac:dyDescent="0.2">
      <c r="B1047">
        <v>2.4916435184537299E-2</v>
      </c>
      <c r="C1047">
        <v>3.3364226135310475E-2</v>
      </c>
    </row>
    <row r="1048" spans="2:3" x14ac:dyDescent="0.2">
      <c r="B1048">
        <v>2.4859490838480599E-2</v>
      </c>
      <c r="C1048">
        <v>3.2437442075996289E-2</v>
      </c>
    </row>
    <row r="1049" spans="2:3" x14ac:dyDescent="0.2">
      <c r="B1049">
        <v>2.3364096773893499E-2</v>
      </c>
      <c r="C1049">
        <v>3.1510658016682111E-2</v>
      </c>
    </row>
    <row r="1050" spans="2:3" x14ac:dyDescent="0.2">
      <c r="B1050">
        <v>2.21051932679046E-2</v>
      </c>
      <c r="C1050">
        <v>3.0583873957367932E-2</v>
      </c>
    </row>
    <row r="1051" spans="2:3" x14ac:dyDescent="0.2">
      <c r="B1051">
        <v>2.2085607500528501E-2</v>
      </c>
      <c r="C1051">
        <v>2.9657089898053754E-2</v>
      </c>
    </row>
    <row r="1052" spans="2:3" x14ac:dyDescent="0.2">
      <c r="B1052">
        <v>2.1495257316331898E-2</v>
      </c>
      <c r="C1052">
        <v>2.8730305838739572E-2</v>
      </c>
    </row>
    <row r="1053" spans="2:3" x14ac:dyDescent="0.2">
      <c r="B1053">
        <v>2.1395675530745999E-2</v>
      </c>
      <c r="C1053">
        <v>2.7803521779425393E-2</v>
      </c>
    </row>
    <row r="1054" spans="2:3" x14ac:dyDescent="0.2">
      <c r="B1054">
        <v>2.0485996501535202E-2</v>
      </c>
      <c r="C1054">
        <v>2.6876737720111215E-2</v>
      </c>
    </row>
    <row r="1055" spans="2:3" x14ac:dyDescent="0.2">
      <c r="B1055">
        <v>2.0407727821575E-2</v>
      </c>
      <c r="C1055">
        <v>2.5949953660797033E-2</v>
      </c>
    </row>
    <row r="1056" spans="2:3" x14ac:dyDescent="0.2">
      <c r="B1056">
        <v>2.03271673378351E-2</v>
      </c>
      <c r="C1056">
        <v>2.5023169601482854E-2</v>
      </c>
    </row>
    <row r="1057" spans="2:3" x14ac:dyDescent="0.2">
      <c r="B1057">
        <v>2.01518778958522E-2</v>
      </c>
      <c r="C1057">
        <v>2.4096385542168676E-2</v>
      </c>
    </row>
    <row r="1058" spans="2:3" x14ac:dyDescent="0.2">
      <c r="B1058">
        <v>1.9545593698035602E-2</v>
      </c>
      <c r="C1058">
        <v>2.3169601482854494E-2</v>
      </c>
    </row>
    <row r="1059" spans="2:3" x14ac:dyDescent="0.2">
      <c r="B1059">
        <v>1.94630811821867E-2</v>
      </c>
      <c r="C1059">
        <v>2.2242817423540315E-2</v>
      </c>
    </row>
    <row r="1060" spans="2:3" x14ac:dyDescent="0.2">
      <c r="B1060">
        <v>1.9270675416609099E-2</v>
      </c>
      <c r="C1060">
        <v>2.1316033364226137E-2</v>
      </c>
    </row>
    <row r="1061" spans="2:3" x14ac:dyDescent="0.2">
      <c r="B1061">
        <v>1.9225016552264499E-2</v>
      </c>
      <c r="C1061">
        <v>2.0389249304911955E-2</v>
      </c>
    </row>
    <row r="1062" spans="2:3" x14ac:dyDescent="0.2">
      <c r="B1062">
        <v>1.8832178106280101E-2</v>
      </c>
      <c r="C1062">
        <v>1.9462465245597776E-2</v>
      </c>
    </row>
    <row r="1063" spans="2:3" x14ac:dyDescent="0.2">
      <c r="B1063">
        <v>1.741788597696E-2</v>
      </c>
      <c r="C1063">
        <v>1.8535681186283594E-2</v>
      </c>
    </row>
    <row r="1064" spans="2:3" x14ac:dyDescent="0.2">
      <c r="B1064">
        <v>1.7293786676642098E-2</v>
      </c>
      <c r="C1064">
        <v>1.7608897126969416E-2</v>
      </c>
    </row>
    <row r="1065" spans="2:3" x14ac:dyDescent="0.2">
      <c r="B1065">
        <v>1.6554617886673801E-2</v>
      </c>
      <c r="C1065">
        <v>1.6682113067655237E-2</v>
      </c>
    </row>
    <row r="1066" spans="2:3" x14ac:dyDescent="0.2">
      <c r="B1066">
        <v>1.61858963781434E-2</v>
      </c>
      <c r="C1066">
        <v>1.5755329008341055E-2</v>
      </c>
    </row>
    <row r="1067" spans="2:3" x14ac:dyDescent="0.2">
      <c r="B1067">
        <v>1.4579038144222199E-2</v>
      </c>
      <c r="C1067">
        <v>1.4828544949026877E-2</v>
      </c>
    </row>
    <row r="1068" spans="2:3" x14ac:dyDescent="0.2">
      <c r="B1068">
        <v>1.43499791994887E-2</v>
      </c>
      <c r="C1068">
        <v>1.3901760889712697E-2</v>
      </c>
    </row>
    <row r="1069" spans="2:3" x14ac:dyDescent="0.2">
      <c r="B1069">
        <v>1.41322842211441E-2</v>
      </c>
      <c r="C1069">
        <v>1.2974976830398516E-2</v>
      </c>
    </row>
    <row r="1070" spans="2:3" x14ac:dyDescent="0.2">
      <c r="B1070">
        <v>1.30027033077511E-2</v>
      </c>
      <c r="C1070">
        <v>1.2048192771084338E-2</v>
      </c>
    </row>
    <row r="1071" spans="2:3" x14ac:dyDescent="0.2">
      <c r="B1071">
        <v>1.29836538554638E-2</v>
      </c>
      <c r="C1071">
        <v>1.1121408711770158E-2</v>
      </c>
    </row>
    <row r="1072" spans="2:3" x14ac:dyDescent="0.2">
      <c r="B1072">
        <v>1.1696701302718601E-2</v>
      </c>
      <c r="C1072">
        <v>1.0194624652455977E-2</v>
      </c>
    </row>
    <row r="1073" spans="2:3" x14ac:dyDescent="0.2">
      <c r="B1073">
        <v>1.1238436642469001E-2</v>
      </c>
      <c r="C1073">
        <v>9.2678405931417972E-3</v>
      </c>
    </row>
    <row r="1074" spans="2:3" x14ac:dyDescent="0.2">
      <c r="B1074">
        <v>1.09561108054229E-2</v>
      </c>
      <c r="C1074">
        <v>8.3410565338276187E-3</v>
      </c>
    </row>
    <row r="1075" spans="2:3" x14ac:dyDescent="0.2">
      <c r="B1075">
        <v>1.0573985078425999E-2</v>
      </c>
      <c r="C1075">
        <v>7.4142724745134385E-3</v>
      </c>
    </row>
    <row r="1076" spans="2:3" x14ac:dyDescent="0.2">
      <c r="B1076">
        <v>1.0224956931832599E-2</v>
      </c>
      <c r="C1076">
        <v>6.4874884151992582E-3</v>
      </c>
    </row>
    <row r="1077" spans="2:3" x14ac:dyDescent="0.2">
      <c r="B1077">
        <v>8.3137919278832399E-3</v>
      </c>
      <c r="C1077">
        <v>5.5607043558850789E-3</v>
      </c>
    </row>
    <row r="1078" spans="2:3" x14ac:dyDescent="0.2">
      <c r="B1078">
        <v>8.0602358092400697E-3</v>
      </c>
      <c r="C1078">
        <v>4.6339202965708986E-3</v>
      </c>
    </row>
    <row r="1079" spans="2:3" x14ac:dyDescent="0.2">
      <c r="B1079">
        <v>7.0367634688514201E-3</v>
      </c>
      <c r="C1079">
        <v>3.7071362372567192E-3</v>
      </c>
    </row>
    <row r="1080" spans="2:3" x14ac:dyDescent="0.2">
      <c r="B1080">
        <v>6.49101956559391E-3</v>
      </c>
      <c r="C1080">
        <v>2.7803521779425394E-3</v>
      </c>
    </row>
    <row r="1081" spans="2:3" x14ac:dyDescent="0.2">
      <c r="B1081">
        <v>6.2678859208384298E-3</v>
      </c>
      <c r="C1081">
        <v>1.8535681186283596E-3</v>
      </c>
    </row>
    <row r="1082" spans="2:3" x14ac:dyDescent="0.2">
      <c r="B1082">
        <v>5.0945552467504601E-3</v>
      </c>
      <c r="C1082">
        <v>9.2678405931417981E-4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9976-3870-CF42-92C2-85C908A6FFD5}">
  <sheetPr codeName="Sheet6"/>
  <dimension ref="B1:F475"/>
  <sheetViews>
    <sheetView workbookViewId="0">
      <selection activeCell="H11" sqref="H11"/>
    </sheetView>
  </sheetViews>
  <sheetFormatPr baseColWidth="10" defaultRowHeight="16" x14ac:dyDescent="0.2"/>
  <cols>
    <col min="2" max="2" width="18" customWidth="1"/>
    <col min="3" max="3" width="20.83203125" customWidth="1"/>
  </cols>
  <sheetData>
    <row r="1" spans="2:6" x14ac:dyDescent="0.2">
      <c r="B1" t="s">
        <v>38</v>
      </c>
      <c r="C1" t="s">
        <v>39</v>
      </c>
    </row>
    <row r="2" spans="2:6" x14ac:dyDescent="0.2">
      <c r="B2" cm="1">
        <f t="array" ref="B2:B475">_xlfn._xlws.SORT(_xlfn.UNIQUE(TblPolicyLevelAggregate[TotalClaimAmount]), 1, -1)</f>
        <v>1.5205696457499669</v>
      </c>
      <c r="C2" cm="1">
        <f t="array" ref="C2:C475">_xlfn.BYROW(_xlfn.ANCHORARRAY(B2), _xlfn.LAMBDA(_xlpm.x, COUNTIF(TblPolicyLevelAggregate[TotalClaimAmount], "&lt;=" &amp; _xlpm.x) / COUNT(TblPolicyLevelAggregate[PolicyID])))</f>
        <v>1</v>
      </c>
    </row>
    <row r="3" spans="2:6" x14ac:dyDescent="0.2">
      <c r="B3">
        <v>1.504188092727857</v>
      </c>
      <c r="C3">
        <v>0.998</v>
      </c>
      <c r="F3" t="s">
        <v>37</v>
      </c>
    </row>
    <row r="4" spans="2:6" x14ac:dyDescent="0.2">
      <c r="B4">
        <v>1.423527370391702</v>
      </c>
      <c r="C4">
        <v>0.996</v>
      </c>
    </row>
    <row r="5" spans="2:6" x14ac:dyDescent="0.2">
      <c r="B5">
        <v>1.3866702178757229</v>
      </c>
      <c r="C5">
        <v>0.99399999999999999</v>
      </c>
    </row>
    <row r="6" spans="2:6" x14ac:dyDescent="0.2">
      <c r="B6">
        <v>1.3381187526315728</v>
      </c>
      <c r="C6">
        <v>0.99199999999999999</v>
      </c>
    </row>
    <row r="7" spans="2:6" x14ac:dyDescent="0.2">
      <c r="B7">
        <v>1.328292063027829</v>
      </c>
      <c r="C7">
        <v>0.99</v>
      </c>
    </row>
    <row r="8" spans="2:6" x14ac:dyDescent="0.2">
      <c r="B8">
        <v>1.252993673542022</v>
      </c>
      <c r="C8">
        <v>0.98799999999999999</v>
      </c>
    </row>
    <row r="9" spans="2:6" x14ac:dyDescent="0.2">
      <c r="B9">
        <v>1.208944476719702</v>
      </c>
      <c r="C9">
        <v>0.98599999999999999</v>
      </c>
    </row>
    <row r="10" spans="2:6" x14ac:dyDescent="0.2">
      <c r="B10">
        <v>1.1423715316546299</v>
      </c>
      <c r="C10">
        <v>0.98399999999999999</v>
      </c>
    </row>
    <row r="11" spans="2:6" x14ac:dyDescent="0.2">
      <c r="B11">
        <v>1.04701081991981</v>
      </c>
      <c r="C11">
        <v>0.98199999999999998</v>
      </c>
    </row>
    <row r="12" spans="2:6" x14ac:dyDescent="0.2">
      <c r="B12">
        <v>1.0262475278698659</v>
      </c>
      <c r="C12">
        <v>0.98</v>
      </c>
    </row>
    <row r="13" spans="2:6" x14ac:dyDescent="0.2">
      <c r="B13">
        <v>1.024494607284171</v>
      </c>
      <c r="C13">
        <v>0.97799999999999998</v>
      </c>
    </row>
    <row r="14" spans="2:6" x14ac:dyDescent="0.2">
      <c r="B14">
        <v>1.021923238009649</v>
      </c>
      <c r="C14">
        <v>0.97599999999999998</v>
      </c>
    </row>
    <row r="15" spans="2:6" x14ac:dyDescent="0.2">
      <c r="B15">
        <v>0.99781685013348964</v>
      </c>
      <c r="C15">
        <v>0.97399999999999998</v>
      </c>
    </row>
    <row r="16" spans="2:6" x14ac:dyDescent="0.2">
      <c r="B16">
        <v>0.94097583018173803</v>
      </c>
      <c r="C16">
        <v>0.97199999999999998</v>
      </c>
    </row>
    <row r="17" spans="2:3" x14ac:dyDescent="0.2">
      <c r="B17">
        <v>0.93660148873384497</v>
      </c>
      <c r="C17">
        <v>0.97</v>
      </c>
    </row>
    <row r="18" spans="2:3" x14ac:dyDescent="0.2">
      <c r="B18">
        <v>0.92813835423971591</v>
      </c>
      <c r="C18">
        <v>0.96799999999999997</v>
      </c>
    </row>
    <row r="19" spans="2:3" x14ac:dyDescent="0.2">
      <c r="B19">
        <v>0.92217574448360595</v>
      </c>
      <c r="C19">
        <v>0.96599999999999997</v>
      </c>
    </row>
    <row r="20" spans="2:3" x14ac:dyDescent="0.2">
      <c r="B20">
        <v>0.91030191742791755</v>
      </c>
      <c r="C20">
        <v>0.96399999999999997</v>
      </c>
    </row>
    <row r="21" spans="2:3" x14ac:dyDescent="0.2">
      <c r="B21">
        <v>0.90131191227256702</v>
      </c>
      <c r="C21">
        <v>0.96199999999999997</v>
      </c>
    </row>
    <row r="22" spans="2:3" x14ac:dyDescent="0.2">
      <c r="B22">
        <v>0.90057092311680997</v>
      </c>
      <c r="C22">
        <v>0.96</v>
      </c>
    </row>
    <row r="23" spans="2:3" x14ac:dyDescent="0.2">
      <c r="B23">
        <v>0.89800172316406002</v>
      </c>
      <c r="C23">
        <v>0.95799999999999996</v>
      </c>
    </row>
    <row r="24" spans="2:3" x14ac:dyDescent="0.2">
      <c r="B24">
        <v>0.88787909746868698</v>
      </c>
      <c r="C24">
        <v>0.95599999999999996</v>
      </c>
    </row>
    <row r="25" spans="2:3" x14ac:dyDescent="0.2">
      <c r="B25">
        <v>0.88559606019897197</v>
      </c>
      <c r="C25">
        <v>0.95399999999999996</v>
      </c>
    </row>
    <row r="26" spans="2:3" x14ac:dyDescent="0.2">
      <c r="B26">
        <v>0.87610512625171422</v>
      </c>
      <c r="C26">
        <v>0.95199999999999996</v>
      </c>
    </row>
    <row r="27" spans="2:3" x14ac:dyDescent="0.2">
      <c r="B27">
        <v>0.87490409772285904</v>
      </c>
      <c r="C27">
        <v>0.95</v>
      </c>
    </row>
    <row r="28" spans="2:3" x14ac:dyDescent="0.2">
      <c r="B28">
        <v>0.86845285414497209</v>
      </c>
      <c r="C28">
        <v>0.94799999999999995</v>
      </c>
    </row>
    <row r="29" spans="2:3" x14ac:dyDescent="0.2">
      <c r="B29">
        <v>0.8590043683558839</v>
      </c>
      <c r="C29">
        <v>0.94599999999999995</v>
      </c>
    </row>
    <row r="30" spans="2:3" x14ac:dyDescent="0.2">
      <c r="B30">
        <v>0.85425774215878592</v>
      </c>
      <c r="C30">
        <v>0.94399999999999995</v>
      </c>
    </row>
    <row r="31" spans="2:3" x14ac:dyDescent="0.2">
      <c r="B31">
        <v>0.85419181665406696</v>
      </c>
      <c r="C31">
        <v>0.94199999999999995</v>
      </c>
    </row>
    <row r="32" spans="2:3" x14ac:dyDescent="0.2">
      <c r="B32">
        <v>0.85055678560336401</v>
      </c>
      <c r="C32">
        <v>0.94</v>
      </c>
    </row>
    <row r="33" spans="2:3" x14ac:dyDescent="0.2">
      <c r="B33">
        <v>0.84996076002860199</v>
      </c>
      <c r="C33">
        <v>0.93799999999999994</v>
      </c>
    </row>
    <row r="34" spans="2:3" x14ac:dyDescent="0.2">
      <c r="B34">
        <v>0.84805563008950713</v>
      </c>
      <c r="C34">
        <v>0.93600000000000005</v>
      </c>
    </row>
    <row r="35" spans="2:3" x14ac:dyDescent="0.2">
      <c r="B35">
        <v>0.8466166700336667</v>
      </c>
      <c r="C35">
        <v>0.93400000000000005</v>
      </c>
    </row>
    <row r="36" spans="2:3" x14ac:dyDescent="0.2">
      <c r="B36">
        <v>0.84487164170399986</v>
      </c>
      <c r="C36">
        <v>0.93200000000000005</v>
      </c>
    </row>
    <row r="37" spans="2:3" x14ac:dyDescent="0.2">
      <c r="B37">
        <v>0.84209346678479835</v>
      </c>
      <c r="C37">
        <v>0.93</v>
      </c>
    </row>
    <row r="38" spans="2:3" x14ac:dyDescent="0.2">
      <c r="B38">
        <v>0.83812871683005752</v>
      </c>
      <c r="C38">
        <v>0.92800000000000005</v>
      </c>
    </row>
    <row r="39" spans="2:3" x14ac:dyDescent="0.2">
      <c r="B39">
        <v>0.83651048815156503</v>
      </c>
      <c r="C39">
        <v>0.92600000000000005</v>
      </c>
    </row>
    <row r="40" spans="2:3" x14ac:dyDescent="0.2">
      <c r="B40">
        <v>0.83151209582852004</v>
      </c>
      <c r="C40">
        <v>0.92400000000000004</v>
      </c>
    </row>
    <row r="41" spans="2:3" x14ac:dyDescent="0.2">
      <c r="B41">
        <v>0.82809521125943852</v>
      </c>
      <c r="C41">
        <v>0.92200000000000004</v>
      </c>
    </row>
    <row r="42" spans="2:3" x14ac:dyDescent="0.2">
      <c r="B42">
        <v>0.82411373616204697</v>
      </c>
      <c r="C42">
        <v>0.92</v>
      </c>
    </row>
    <row r="43" spans="2:3" x14ac:dyDescent="0.2">
      <c r="B43">
        <v>0.82235731336228191</v>
      </c>
      <c r="C43">
        <v>0.91800000000000004</v>
      </c>
    </row>
    <row r="44" spans="2:3" x14ac:dyDescent="0.2">
      <c r="B44">
        <v>0.81734473865642299</v>
      </c>
      <c r="C44">
        <v>0.91600000000000004</v>
      </c>
    </row>
    <row r="45" spans="2:3" x14ac:dyDescent="0.2">
      <c r="B45">
        <v>0.81180946927388997</v>
      </c>
      <c r="C45">
        <v>0.91400000000000003</v>
      </c>
    </row>
    <row r="46" spans="2:3" x14ac:dyDescent="0.2">
      <c r="B46">
        <v>0.80703523774311003</v>
      </c>
      <c r="C46">
        <v>0.91200000000000003</v>
      </c>
    </row>
    <row r="47" spans="2:3" x14ac:dyDescent="0.2">
      <c r="B47">
        <v>0.80689831867488593</v>
      </c>
      <c r="C47">
        <v>0.91</v>
      </c>
    </row>
    <row r="48" spans="2:3" x14ac:dyDescent="0.2">
      <c r="B48">
        <v>0.80315177633396662</v>
      </c>
      <c r="C48">
        <v>0.90800000000000003</v>
      </c>
    </row>
    <row r="49" spans="2:3" x14ac:dyDescent="0.2">
      <c r="B49">
        <v>0.78835268900986155</v>
      </c>
      <c r="C49">
        <v>0.90600000000000003</v>
      </c>
    </row>
    <row r="50" spans="2:3" x14ac:dyDescent="0.2">
      <c r="B50">
        <v>0.78291149308458197</v>
      </c>
      <c r="C50">
        <v>0.90400000000000003</v>
      </c>
    </row>
    <row r="51" spans="2:3" x14ac:dyDescent="0.2">
      <c r="B51">
        <v>0.78147919468924798</v>
      </c>
      <c r="C51">
        <v>0.90200000000000002</v>
      </c>
    </row>
    <row r="52" spans="2:3" x14ac:dyDescent="0.2">
      <c r="B52">
        <v>0.78016360766441384</v>
      </c>
      <c r="C52">
        <v>0.9</v>
      </c>
    </row>
    <row r="53" spans="2:3" x14ac:dyDescent="0.2">
      <c r="B53">
        <v>0.76604080040965405</v>
      </c>
      <c r="C53">
        <v>0.89800000000000002</v>
      </c>
    </row>
    <row r="54" spans="2:3" x14ac:dyDescent="0.2">
      <c r="B54">
        <v>0.76579376196299354</v>
      </c>
      <c r="C54">
        <v>0.89600000000000002</v>
      </c>
    </row>
    <row r="55" spans="2:3" x14ac:dyDescent="0.2">
      <c r="B55">
        <v>0.76269522466054096</v>
      </c>
      <c r="C55">
        <v>0.89400000000000002</v>
      </c>
    </row>
    <row r="56" spans="2:3" x14ac:dyDescent="0.2">
      <c r="B56">
        <v>0.75866218067088198</v>
      </c>
      <c r="C56">
        <v>0.89200000000000002</v>
      </c>
    </row>
    <row r="57" spans="2:3" x14ac:dyDescent="0.2">
      <c r="B57">
        <v>0.7573711020642</v>
      </c>
      <c r="C57">
        <v>0.89</v>
      </c>
    </row>
    <row r="58" spans="2:3" x14ac:dyDescent="0.2">
      <c r="B58">
        <v>0.75129365125375902</v>
      </c>
      <c r="C58">
        <v>0.88800000000000001</v>
      </c>
    </row>
    <row r="59" spans="2:3" x14ac:dyDescent="0.2">
      <c r="B59">
        <v>0.750170458065894</v>
      </c>
      <c r="C59">
        <v>0.88600000000000001</v>
      </c>
    </row>
    <row r="60" spans="2:3" x14ac:dyDescent="0.2">
      <c r="B60">
        <v>0.74695648377215895</v>
      </c>
      <c r="C60">
        <v>0.88400000000000001</v>
      </c>
    </row>
    <row r="61" spans="2:3" x14ac:dyDescent="0.2">
      <c r="B61">
        <v>0.74642325030508094</v>
      </c>
      <c r="C61">
        <v>0.88200000000000001</v>
      </c>
    </row>
    <row r="62" spans="2:3" x14ac:dyDescent="0.2">
      <c r="B62">
        <v>0.74121850799409561</v>
      </c>
      <c r="C62">
        <v>0.88</v>
      </c>
    </row>
    <row r="63" spans="2:3" x14ac:dyDescent="0.2">
      <c r="B63">
        <v>0.73734989145247587</v>
      </c>
      <c r="C63">
        <v>0.878</v>
      </c>
    </row>
    <row r="64" spans="2:3" x14ac:dyDescent="0.2">
      <c r="B64">
        <v>0.72586583992410902</v>
      </c>
      <c r="C64">
        <v>0.876</v>
      </c>
    </row>
    <row r="65" spans="2:3" x14ac:dyDescent="0.2">
      <c r="B65">
        <v>0.72500075590138402</v>
      </c>
      <c r="C65">
        <v>0.874</v>
      </c>
    </row>
    <row r="66" spans="2:3" x14ac:dyDescent="0.2">
      <c r="B66">
        <v>0.72054495608612201</v>
      </c>
      <c r="C66">
        <v>0.872</v>
      </c>
    </row>
    <row r="67" spans="2:3" x14ac:dyDescent="0.2">
      <c r="B67">
        <v>0.71785341593872798</v>
      </c>
      <c r="C67">
        <v>0.87</v>
      </c>
    </row>
    <row r="68" spans="2:3" x14ac:dyDescent="0.2">
      <c r="B68">
        <v>0.71726161870600702</v>
      </c>
      <c r="C68">
        <v>0.86799999999999999</v>
      </c>
    </row>
    <row r="69" spans="2:3" x14ac:dyDescent="0.2">
      <c r="B69">
        <v>0.71584328834385202</v>
      </c>
      <c r="C69">
        <v>0.86599999999999999</v>
      </c>
    </row>
    <row r="70" spans="2:3" x14ac:dyDescent="0.2">
      <c r="B70">
        <v>0.71279346919962339</v>
      </c>
      <c r="C70">
        <v>0.86399999999999999</v>
      </c>
    </row>
    <row r="71" spans="2:3" x14ac:dyDescent="0.2">
      <c r="B71">
        <v>0.70597253662235304</v>
      </c>
      <c r="C71">
        <v>0.86199999999999999</v>
      </c>
    </row>
    <row r="72" spans="2:3" x14ac:dyDescent="0.2">
      <c r="B72">
        <v>0.70591868415905601</v>
      </c>
      <c r="C72">
        <v>0.86</v>
      </c>
    </row>
    <row r="73" spans="2:3" x14ac:dyDescent="0.2">
      <c r="B73">
        <v>0.70476353172709705</v>
      </c>
      <c r="C73">
        <v>0.85799999999999998</v>
      </c>
    </row>
    <row r="74" spans="2:3" x14ac:dyDescent="0.2">
      <c r="B74">
        <v>0.70151065811045699</v>
      </c>
      <c r="C74">
        <v>0.85599999999999998</v>
      </c>
    </row>
    <row r="75" spans="2:3" x14ac:dyDescent="0.2">
      <c r="B75">
        <v>0.69928856422918195</v>
      </c>
      <c r="C75">
        <v>0.85399999999999998</v>
      </c>
    </row>
    <row r="76" spans="2:3" x14ac:dyDescent="0.2">
      <c r="B76">
        <v>0.69053180087943367</v>
      </c>
      <c r="C76">
        <v>0.85199999999999998</v>
      </c>
    </row>
    <row r="77" spans="2:3" x14ac:dyDescent="0.2">
      <c r="B77">
        <v>0.68573895373555827</v>
      </c>
      <c r="C77">
        <v>0.85</v>
      </c>
    </row>
    <row r="78" spans="2:3" x14ac:dyDescent="0.2">
      <c r="B78">
        <v>0.68520991140709997</v>
      </c>
      <c r="C78">
        <v>0.84799999999999998</v>
      </c>
    </row>
    <row r="79" spans="2:3" x14ac:dyDescent="0.2">
      <c r="B79">
        <v>0.68099357773037217</v>
      </c>
      <c r="C79">
        <v>0.84599999999999997</v>
      </c>
    </row>
    <row r="80" spans="2:3" x14ac:dyDescent="0.2">
      <c r="B80">
        <v>0.68081015233687103</v>
      </c>
      <c r="C80">
        <v>0.84399999999999997</v>
      </c>
    </row>
    <row r="81" spans="2:3" x14ac:dyDescent="0.2">
      <c r="B81">
        <v>0.67983281820649499</v>
      </c>
      <c r="C81">
        <v>0.84199999999999997</v>
      </c>
    </row>
    <row r="82" spans="2:3" x14ac:dyDescent="0.2">
      <c r="B82">
        <v>0.67876048392900901</v>
      </c>
      <c r="C82">
        <v>0.84</v>
      </c>
    </row>
    <row r="83" spans="2:3" x14ac:dyDescent="0.2">
      <c r="B83">
        <v>0.673957236842472</v>
      </c>
      <c r="C83">
        <v>0.83799999999999997</v>
      </c>
    </row>
    <row r="84" spans="2:3" x14ac:dyDescent="0.2">
      <c r="B84">
        <v>0.67337083655482499</v>
      </c>
      <c r="C84">
        <v>0.83599999999999997</v>
      </c>
    </row>
    <row r="85" spans="2:3" x14ac:dyDescent="0.2">
      <c r="B85">
        <v>0.66473124322219312</v>
      </c>
      <c r="C85">
        <v>0.83399999999999996</v>
      </c>
    </row>
    <row r="86" spans="2:3" x14ac:dyDescent="0.2">
      <c r="B86">
        <v>0.6626783954848966</v>
      </c>
      <c r="C86">
        <v>0.83199999999999996</v>
      </c>
    </row>
    <row r="87" spans="2:3" x14ac:dyDescent="0.2">
      <c r="B87">
        <v>0.66069603616302475</v>
      </c>
      <c r="C87">
        <v>0.83</v>
      </c>
    </row>
    <row r="88" spans="2:3" x14ac:dyDescent="0.2">
      <c r="B88">
        <v>0.65559127158288066</v>
      </c>
      <c r="C88">
        <v>0.82799999999999996</v>
      </c>
    </row>
    <row r="89" spans="2:3" x14ac:dyDescent="0.2">
      <c r="B89">
        <v>0.65378185263914401</v>
      </c>
      <c r="C89">
        <v>0.82599999999999996</v>
      </c>
    </row>
    <row r="90" spans="2:3" x14ac:dyDescent="0.2">
      <c r="B90">
        <v>0.65331674794712702</v>
      </c>
      <c r="C90">
        <v>0.82399999999999995</v>
      </c>
    </row>
    <row r="91" spans="2:3" x14ac:dyDescent="0.2">
      <c r="B91">
        <v>0.6513992522717249</v>
      </c>
      <c r="C91">
        <v>0.82199999999999995</v>
      </c>
    </row>
    <row r="92" spans="2:3" x14ac:dyDescent="0.2">
      <c r="B92">
        <v>0.64947054448309294</v>
      </c>
      <c r="C92">
        <v>0.82</v>
      </c>
    </row>
    <row r="93" spans="2:3" x14ac:dyDescent="0.2">
      <c r="B93">
        <v>0.64623183258111905</v>
      </c>
      <c r="C93">
        <v>0.81799999999999995</v>
      </c>
    </row>
    <row r="94" spans="2:3" x14ac:dyDescent="0.2">
      <c r="B94">
        <v>0.64394933786901909</v>
      </c>
      <c r="C94">
        <v>0.81599999999999995</v>
      </c>
    </row>
    <row r="95" spans="2:3" x14ac:dyDescent="0.2">
      <c r="B95">
        <v>0.64169780023053735</v>
      </c>
      <c r="C95">
        <v>0.81399999999999995</v>
      </c>
    </row>
    <row r="96" spans="2:3" x14ac:dyDescent="0.2">
      <c r="B96">
        <v>0.64060084762382496</v>
      </c>
      <c r="C96">
        <v>0.81200000000000006</v>
      </c>
    </row>
    <row r="97" spans="2:3" x14ac:dyDescent="0.2">
      <c r="B97">
        <v>0.64046926944611071</v>
      </c>
      <c r="C97">
        <v>0.81</v>
      </c>
    </row>
    <row r="98" spans="2:3" x14ac:dyDescent="0.2">
      <c r="B98">
        <v>0.64037159887585293</v>
      </c>
      <c r="C98">
        <v>0.80800000000000005</v>
      </c>
    </row>
    <row r="99" spans="2:3" x14ac:dyDescent="0.2">
      <c r="B99">
        <v>0.63987229403766155</v>
      </c>
      <c r="C99">
        <v>0.80600000000000005</v>
      </c>
    </row>
    <row r="100" spans="2:3" x14ac:dyDescent="0.2">
      <c r="B100">
        <v>0.6393689895553466</v>
      </c>
      <c r="C100">
        <v>0.80400000000000005</v>
      </c>
    </row>
    <row r="101" spans="2:3" x14ac:dyDescent="0.2">
      <c r="B101">
        <v>0.6393272600084583</v>
      </c>
      <c r="C101">
        <v>0.80200000000000005</v>
      </c>
    </row>
    <row r="102" spans="2:3" x14ac:dyDescent="0.2">
      <c r="B102">
        <v>0.63599496637684805</v>
      </c>
      <c r="C102">
        <v>0.8</v>
      </c>
    </row>
    <row r="103" spans="2:3" x14ac:dyDescent="0.2">
      <c r="B103">
        <v>0.63437632147206002</v>
      </c>
      <c r="C103">
        <v>0.79800000000000004</v>
      </c>
    </row>
    <row r="104" spans="2:3" x14ac:dyDescent="0.2">
      <c r="B104">
        <v>0.63214744118754806</v>
      </c>
      <c r="C104">
        <v>0.79600000000000004</v>
      </c>
    </row>
    <row r="105" spans="2:3" x14ac:dyDescent="0.2">
      <c r="B105">
        <v>0.63179412838573301</v>
      </c>
      <c r="C105">
        <v>0.79400000000000004</v>
      </c>
    </row>
    <row r="106" spans="2:3" x14ac:dyDescent="0.2">
      <c r="B106">
        <v>0.62994892282430603</v>
      </c>
      <c r="C106">
        <v>0.79200000000000004</v>
      </c>
    </row>
    <row r="107" spans="2:3" x14ac:dyDescent="0.2">
      <c r="B107">
        <v>0.62234573430347195</v>
      </c>
      <c r="C107">
        <v>0.79</v>
      </c>
    </row>
    <row r="108" spans="2:3" x14ac:dyDescent="0.2">
      <c r="B108">
        <v>0.62210020438254898</v>
      </c>
      <c r="C108">
        <v>0.78800000000000003</v>
      </c>
    </row>
    <row r="109" spans="2:3" x14ac:dyDescent="0.2">
      <c r="B109">
        <v>0.62061273372888526</v>
      </c>
      <c r="C109">
        <v>0.78600000000000003</v>
      </c>
    </row>
    <row r="110" spans="2:3" x14ac:dyDescent="0.2">
      <c r="B110">
        <v>0.62010547776504676</v>
      </c>
      <c r="C110">
        <v>0.78400000000000003</v>
      </c>
    </row>
    <row r="111" spans="2:3" x14ac:dyDescent="0.2">
      <c r="B111">
        <v>0.61800974800826503</v>
      </c>
      <c r="C111">
        <v>0.78200000000000003</v>
      </c>
    </row>
    <row r="112" spans="2:3" x14ac:dyDescent="0.2">
      <c r="B112">
        <v>0.61649139830200239</v>
      </c>
      <c r="C112">
        <v>0.78</v>
      </c>
    </row>
    <row r="113" spans="2:3" x14ac:dyDescent="0.2">
      <c r="B113">
        <v>0.61604385121918703</v>
      </c>
      <c r="C113">
        <v>0.77800000000000002</v>
      </c>
    </row>
    <row r="114" spans="2:3" x14ac:dyDescent="0.2">
      <c r="B114">
        <v>0.61494378695055296</v>
      </c>
      <c r="C114">
        <v>0.77600000000000002</v>
      </c>
    </row>
    <row r="115" spans="2:3" x14ac:dyDescent="0.2">
      <c r="B115">
        <v>0.61409611197531022</v>
      </c>
      <c r="C115">
        <v>0.77400000000000002</v>
      </c>
    </row>
    <row r="116" spans="2:3" x14ac:dyDescent="0.2">
      <c r="B116">
        <v>0.61312209285914143</v>
      </c>
      <c r="C116">
        <v>0.77200000000000002</v>
      </c>
    </row>
    <row r="117" spans="2:3" x14ac:dyDescent="0.2">
      <c r="B117">
        <v>0.61311949925743847</v>
      </c>
      <c r="C117">
        <v>0.77</v>
      </c>
    </row>
    <row r="118" spans="2:3" x14ac:dyDescent="0.2">
      <c r="B118">
        <v>0.61098905150762861</v>
      </c>
      <c r="C118">
        <v>0.76800000000000002</v>
      </c>
    </row>
    <row r="119" spans="2:3" x14ac:dyDescent="0.2">
      <c r="B119">
        <v>0.60792479095591201</v>
      </c>
      <c r="C119">
        <v>0.76600000000000001</v>
      </c>
    </row>
    <row r="120" spans="2:3" x14ac:dyDescent="0.2">
      <c r="B120">
        <v>0.60505785419512226</v>
      </c>
      <c r="C120">
        <v>0.76400000000000001</v>
      </c>
    </row>
    <row r="121" spans="2:3" x14ac:dyDescent="0.2">
      <c r="B121">
        <v>0.60425876100013398</v>
      </c>
      <c r="C121">
        <v>0.76200000000000001</v>
      </c>
    </row>
    <row r="122" spans="2:3" x14ac:dyDescent="0.2">
      <c r="B122">
        <v>0.60205508382180706</v>
      </c>
      <c r="C122">
        <v>0.76</v>
      </c>
    </row>
    <row r="123" spans="2:3" x14ac:dyDescent="0.2">
      <c r="B123">
        <v>0.6008471973548235</v>
      </c>
      <c r="C123">
        <v>0.75800000000000001</v>
      </c>
    </row>
    <row r="124" spans="2:3" x14ac:dyDescent="0.2">
      <c r="B124">
        <v>0.599100992259055</v>
      </c>
      <c r="C124">
        <v>0.75600000000000001</v>
      </c>
    </row>
    <row r="125" spans="2:3" x14ac:dyDescent="0.2">
      <c r="B125">
        <v>0.59882978266218279</v>
      </c>
      <c r="C125">
        <v>0.754</v>
      </c>
    </row>
    <row r="126" spans="2:3" x14ac:dyDescent="0.2">
      <c r="B126">
        <v>0.59700012662868374</v>
      </c>
      <c r="C126">
        <v>0.752</v>
      </c>
    </row>
    <row r="127" spans="2:3" x14ac:dyDescent="0.2">
      <c r="B127">
        <v>0.59696354450967604</v>
      </c>
      <c r="C127">
        <v>0.75</v>
      </c>
    </row>
    <row r="128" spans="2:3" x14ac:dyDescent="0.2">
      <c r="B128">
        <v>0.58772362614379903</v>
      </c>
      <c r="C128">
        <v>0.748</v>
      </c>
    </row>
    <row r="129" spans="2:3" x14ac:dyDescent="0.2">
      <c r="B129">
        <v>0.58622516706809102</v>
      </c>
      <c r="C129">
        <v>0.746</v>
      </c>
    </row>
    <row r="130" spans="2:3" x14ac:dyDescent="0.2">
      <c r="B130">
        <v>0.58384345733563703</v>
      </c>
      <c r="C130">
        <v>0.74399999999999999</v>
      </c>
    </row>
    <row r="131" spans="2:3" x14ac:dyDescent="0.2">
      <c r="B131">
        <v>0.583261951207249</v>
      </c>
      <c r="C131">
        <v>0.74199999999999999</v>
      </c>
    </row>
    <row r="132" spans="2:3" x14ac:dyDescent="0.2">
      <c r="B132">
        <v>0.58140963822159508</v>
      </c>
      <c r="C132">
        <v>0.74</v>
      </c>
    </row>
    <row r="133" spans="2:3" x14ac:dyDescent="0.2">
      <c r="B133">
        <v>0.57959451313107091</v>
      </c>
      <c r="C133">
        <v>0.73799999999999999</v>
      </c>
    </row>
    <row r="134" spans="2:3" x14ac:dyDescent="0.2">
      <c r="B134">
        <v>0.57930494760972551</v>
      </c>
      <c r="C134">
        <v>0.73599999999999999</v>
      </c>
    </row>
    <row r="135" spans="2:3" x14ac:dyDescent="0.2">
      <c r="B135">
        <v>0.57812536885955657</v>
      </c>
      <c r="C135">
        <v>0.73399999999999999</v>
      </c>
    </row>
    <row r="136" spans="2:3" x14ac:dyDescent="0.2">
      <c r="B136">
        <v>0.57256952473798506</v>
      </c>
      <c r="C136">
        <v>0.73199999999999998</v>
      </c>
    </row>
    <row r="137" spans="2:3" x14ac:dyDescent="0.2">
      <c r="B137">
        <v>0.56971707007380801</v>
      </c>
      <c r="C137">
        <v>0.73</v>
      </c>
    </row>
    <row r="138" spans="2:3" x14ac:dyDescent="0.2">
      <c r="B138">
        <v>0.56843428285815401</v>
      </c>
      <c r="C138">
        <v>0.72799999999999998</v>
      </c>
    </row>
    <row r="139" spans="2:3" x14ac:dyDescent="0.2">
      <c r="B139">
        <v>0.56836448894980296</v>
      </c>
      <c r="C139">
        <v>0.72599999999999998</v>
      </c>
    </row>
    <row r="140" spans="2:3" x14ac:dyDescent="0.2">
      <c r="B140">
        <v>0.56458172343719604</v>
      </c>
      <c r="C140">
        <v>0.72399999999999998</v>
      </c>
    </row>
    <row r="141" spans="2:3" x14ac:dyDescent="0.2">
      <c r="B141">
        <v>0.56229895079520897</v>
      </c>
      <c r="C141">
        <v>0.72199999999999998</v>
      </c>
    </row>
    <row r="142" spans="2:3" x14ac:dyDescent="0.2">
      <c r="B142">
        <v>0.5531920224387038</v>
      </c>
      <c r="C142">
        <v>0.72</v>
      </c>
    </row>
    <row r="143" spans="2:3" x14ac:dyDescent="0.2">
      <c r="B143">
        <v>0.55065524402686705</v>
      </c>
      <c r="C143">
        <v>0.71799999999999997</v>
      </c>
    </row>
    <row r="144" spans="2:3" x14ac:dyDescent="0.2">
      <c r="B144">
        <v>0.54821622900635103</v>
      </c>
      <c r="C144">
        <v>0.71599999999999997</v>
      </c>
    </row>
    <row r="145" spans="2:3" x14ac:dyDescent="0.2">
      <c r="B145">
        <v>0.54799894821271999</v>
      </c>
      <c r="C145">
        <v>0.71399999999999997</v>
      </c>
    </row>
    <row r="146" spans="2:3" x14ac:dyDescent="0.2">
      <c r="B146">
        <v>0.54291161095093954</v>
      </c>
      <c r="C146">
        <v>0.71199999999999997</v>
      </c>
    </row>
    <row r="147" spans="2:3" x14ac:dyDescent="0.2">
      <c r="B147">
        <v>0.54288300895809749</v>
      </c>
      <c r="C147">
        <v>0.71</v>
      </c>
    </row>
    <row r="148" spans="2:3" x14ac:dyDescent="0.2">
      <c r="B148">
        <v>0.54156488860448926</v>
      </c>
      <c r="C148">
        <v>0.70799999999999996</v>
      </c>
    </row>
    <row r="149" spans="2:3" x14ac:dyDescent="0.2">
      <c r="B149">
        <v>0.54126889715417592</v>
      </c>
      <c r="C149">
        <v>0.70599999999999996</v>
      </c>
    </row>
    <row r="150" spans="2:3" x14ac:dyDescent="0.2">
      <c r="B150">
        <v>0.53893735268272636</v>
      </c>
      <c r="C150">
        <v>0.70399999999999996</v>
      </c>
    </row>
    <row r="151" spans="2:3" x14ac:dyDescent="0.2">
      <c r="B151">
        <v>0.53761513279480044</v>
      </c>
      <c r="C151">
        <v>0.70199999999999996</v>
      </c>
    </row>
    <row r="152" spans="2:3" x14ac:dyDescent="0.2">
      <c r="B152">
        <v>0.53622704143624889</v>
      </c>
      <c r="C152">
        <v>0.7</v>
      </c>
    </row>
    <row r="153" spans="2:3" x14ac:dyDescent="0.2">
      <c r="B153">
        <v>0.53568145395591749</v>
      </c>
      <c r="C153">
        <v>0.69799999999999995</v>
      </c>
    </row>
    <row r="154" spans="2:3" x14ac:dyDescent="0.2">
      <c r="B154">
        <v>0.53432549827514708</v>
      </c>
      <c r="C154">
        <v>0.69599999999999995</v>
      </c>
    </row>
    <row r="155" spans="2:3" x14ac:dyDescent="0.2">
      <c r="B155">
        <v>0.53418260394589001</v>
      </c>
      <c r="C155">
        <v>0.69399999999999995</v>
      </c>
    </row>
    <row r="156" spans="2:3" x14ac:dyDescent="0.2">
      <c r="B156">
        <v>0.53326093521478612</v>
      </c>
      <c r="C156">
        <v>0.69199999999999995</v>
      </c>
    </row>
    <row r="157" spans="2:3" x14ac:dyDescent="0.2">
      <c r="B157">
        <v>0.53325844488391694</v>
      </c>
      <c r="C157">
        <v>0.69</v>
      </c>
    </row>
    <row r="158" spans="2:3" x14ac:dyDescent="0.2">
      <c r="B158">
        <v>0.53207817383789802</v>
      </c>
      <c r="C158">
        <v>0.68799999999999994</v>
      </c>
    </row>
    <row r="159" spans="2:3" x14ac:dyDescent="0.2">
      <c r="B159">
        <v>0.53173076684930953</v>
      </c>
      <c r="C159">
        <v>0.68600000000000005</v>
      </c>
    </row>
    <row r="160" spans="2:3" x14ac:dyDescent="0.2">
      <c r="B160">
        <v>0.52786510295172395</v>
      </c>
      <c r="C160">
        <v>0.68400000000000005</v>
      </c>
    </row>
    <row r="161" spans="2:3" x14ac:dyDescent="0.2">
      <c r="B161">
        <v>0.526663454433411</v>
      </c>
      <c r="C161">
        <v>0.68200000000000005</v>
      </c>
    </row>
    <row r="162" spans="2:3" x14ac:dyDescent="0.2">
      <c r="B162">
        <v>0.52663326519401399</v>
      </c>
      <c r="C162">
        <v>0.68</v>
      </c>
    </row>
    <row r="163" spans="2:3" x14ac:dyDescent="0.2">
      <c r="B163">
        <v>0.52606449504497566</v>
      </c>
      <c r="C163">
        <v>0.67800000000000005</v>
      </c>
    </row>
    <row r="164" spans="2:3" x14ac:dyDescent="0.2">
      <c r="B164">
        <v>0.52531983050426401</v>
      </c>
      <c r="C164">
        <v>0.67600000000000005</v>
      </c>
    </row>
    <row r="165" spans="2:3" x14ac:dyDescent="0.2">
      <c r="B165">
        <v>0.5247535087778108</v>
      </c>
      <c r="C165">
        <v>0.67400000000000004</v>
      </c>
    </row>
    <row r="166" spans="2:3" x14ac:dyDescent="0.2">
      <c r="B166">
        <v>0.52280127588087655</v>
      </c>
      <c r="C166">
        <v>0.67200000000000004</v>
      </c>
    </row>
    <row r="167" spans="2:3" x14ac:dyDescent="0.2">
      <c r="B167">
        <v>0.52239072413541199</v>
      </c>
      <c r="C167">
        <v>0.67</v>
      </c>
    </row>
    <row r="168" spans="2:3" x14ac:dyDescent="0.2">
      <c r="B168">
        <v>0.51837917588412397</v>
      </c>
      <c r="C168">
        <v>0.66800000000000004</v>
      </c>
    </row>
    <row r="169" spans="2:3" x14ac:dyDescent="0.2">
      <c r="B169">
        <v>0.51523715638086176</v>
      </c>
      <c r="C169">
        <v>0.66600000000000004</v>
      </c>
    </row>
    <row r="170" spans="2:3" x14ac:dyDescent="0.2">
      <c r="B170">
        <v>0.51181596712104205</v>
      </c>
      <c r="C170">
        <v>0.66400000000000003</v>
      </c>
    </row>
    <row r="171" spans="2:3" x14ac:dyDescent="0.2">
      <c r="B171">
        <v>0.51021378678213303</v>
      </c>
      <c r="C171">
        <v>0.66200000000000003</v>
      </c>
    </row>
    <row r="172" spans="2:3" x14ac:dyDescent="0.2">
      <c r="B172">
        <v>0.50563979218893251</v>
      </c>
      <c r="C172">
        <v>0.66</v>
      </c>
    </row>
    <row r="173" spans="2:3" x14ac:dyDescent="0.2">
      <c r="B173">
        <v>0.50515328033418694</v>
      </c>
      <c r="C173">
        <v>0.65800000000000003</v>
      </c>
    </row>
    <row r="174" spans="2:3" x14ac:dyDescent="0.2">
      <c r="B174">
        <v>0.50491169346815801</v>
      </c>
      <c r="C174">
        <v>0.65600000000000003</v>
      </c>
    </row>
    <row r="175" spans="2:3" x14ac:dyDescent="0.2">
      <c r="B175">
        <v>0.50365090489198128</v>
      </c>
      <c r="C175">
        <v>0.65400000000000003</v>
      </c>
    </row>
    <row r="176" spans="2:3" x14ac:dyDescent="0.2">
      <c r="B176">
        <v>0.49838210151534296</v>
      </c>
      <c r="C176">
        <v>0.65200000000000002</v>
      </c>
    </row>
    <row r="177" spans="2:3" x14ac:dyDescent="0.2">
      <c r="B177">
        <v>0.49647200248056544</v>
      </c>
      <c r="C177">
        <v>0.65</v>
      </c>
    </row>
    <row r="178" spans="2:3" x14ac:dyDescent="0.2">
      <c r="B178">
        <v>0.496288803653746</v>
      </c>
      <c r="C178">
        <v>0.64800000000000002</v>
      </c>
    </row>
    <row r="179" spans="2:3" x14ac:dyDescent="0.2">
      <c r="B179">
        <v>0.4946489449298524</v>
      </c>
      <c r="C179">
        <v>0.64600000000000002</v>
      </c>
    </row>
    <row r="180" spans="2:3" x14ac:dyDescent="0.2">
      <c r="B180">
        <v>0.49287436548905089</v>
      </c>
      <c r="C180">
        <v>0.64400000000000002</v>
      </c>
    </row>
    <row r="181" spans="2:3" x14ac:dyDescent="0.2">
      <c r="B181">
        <v>0.49128985421287497</v>
      </c>
      <c r="C181">
        <v>0.64200000000000002</v>
      </c>
    </row>
    <row r="182" spans="2:3" x14ac:dyDescent="0.2">
      <c r="B182">
        <v>0.49116132783778776</v>
      </c>
      <c r="C182">
        <v>0.64</v>
      </c>
    </row>
    <row r="183" spans="2:3" x14ac:dyDescent="0.2">
      <c r="B183">
        <v>0.48939238827686204</v>
      </c>
      <c r="C183">
        <v>0.63800000000000001</v>
      </c>
    </row>
    <row r="184" spans="2:3" x14ac:dyDescent="0.2">
      <c r="B184">
        <v>0.48868177590998296</v>
      </c>
      <c r="C184">
        <v>0.63600000000000001</v>
      </c>
    </row>
    <row r="185" spans="2:3" x14ac:dyDescent="0.2">
      <c r="B185">
        <v>0.48805075171818502</v>
      </c>
      <c r="C185">
        <v>0.63400000000000001</v>
      </c>
    </row>
    <row r="186" spans="2:3" x14ac:dyDescent="0.2">
      <c r="B186">
        <v>0.4855070228853724</v>
      </c>
      <c r="C186">
        <v>0.63200000000000001</v>
      </c>
    </row>
    <row r="187" spans="2:3" x14ac:dyDescent="0.2">
      <c r="B187">
        <v>0.48498115098085176</v>
      </c>
      <c r="C187">
        <v>0.63</v>
      </c>
    </row>
    <row r="188" spans="2:3" x14ac:dyDescent="0.2">
      <c r="B188">
        <v>0.4840035057581405</v>
      </c>
      <c r="C188">
        <v>0.628</v>
      </c>
    </row>
    <row r="189" spans="2:3" x14ac:dyDescent="0.2">
      <c r="B189">
        <v>0.47899953913334903</v>
      </c>
      <c r="C189">
        <v>0.626</v>
      </c>
    </row>
    <row r="190" spans="2:3" x14ac:dyDescent="0.2">
      <c r="B190">
        <v>0.47712793815299204</v>
      </c>
      <c r="C190">
        <v>0.624</v>
      </c>
    </row>
    <row r="191" spans="2:3" x14ac:dyDescent="0.2">
      <c r="B191">
        <v>0.47328687360440402</v>
      </c>
      <c r="C191">
        <v>0.622</v>
      </c>
    </row>
    <row r="192" spans="2:3" x14ac:dyDescent="0.2">
      <c r="B192">
        <v>0.47011565094490404</v>
      </c>
      <c r="C192">
        <v>0.62</v>
      </c>
    </row>
    <row r="193" spans="2:3" x14ac:dyDescent="0.2">
      <c r="B193">
        <v>0.46838215631042701</v>
      </c>
      <c r="C193">
        <v>0.61799999999999999</v>
      </c>
    </row>
    <row r="194" spans="2:3" x14ac:dyDescent="0.2">
      <c r="B194">
        <v>0.46571373116370995</v>
      </c>
      <c r="C194">
        <v>0.61599999999999999</v>
      </c>
    </row>
    <row r="195" spans="2:3" x14ac:dyDescent="0.2">
      <c r="B195">
        <v>0.46562175692185803</v>
      </c>
      <c r="C195">
        <v>0.61399999999999999</v>
      </c>
    </row>
    <row r="196" spans="2:3" x14ac:dyDescent="0.2">
      <c r="B196">
        <v>0.46511545724588998</v>
      </c>
      <c r="C196">
        <v>0.61199999999999999</v>
      </c>
    </row>
    <row r="197" spans="2:3" x14ac:dyDescent="0.2">
      <c r="B197">
        <v>0.46427333921420499</v>
      </c>
      <c r="C197">
        <v>0.61</v>
      </c>
    </row>
    <row r="198" spans="2:3" x14ac:dyDescent="0.2">
      <c r="B198">
        <v>0.46352773784566803</v>
      </c>
      <c r="C198">
        <v>0.60799999999999998</v>
      </c>
    </row>
    <row r="199" spans="2:3" x14ac:dyDescent="0.2">
      <c r="B199">
        <v>0.46246340035384698</v>
      </c>
      <c r="C199">
        <v>0.60599999999999998</v>
      </c>
    </row>
    <row r="200" spans="2:3" x14ac:dyDescent="0.2">
      <c r="B200">
        <v>0.46219943032692185</v>
      </c>
      <c r="C200">
        <v>0.60399999999999998</v>
      </c>
    </row>
    <row r="201" spans="2:3" x14ac:dyDescent="0.2">
      <c r="B201">
        <v>0.4606612244667751</v>
      </c>
      <c r="C201">
        <v>0.60199999999999998</v>
      </c>
    </row>
    <row r="202" spans="2:3" x14ac:dyDescent="0.2">
      <c r="B202">
        <v>0.45557555054539972</v>
      </c>
      <c r="C202">
        <v>0.6</v>
      </c>
    </row>
    <row r="203" spans="2:3" x14ac:dyDescent="0.2">
      <c r="B203">
        <v>0.45137536385824573</v>
      </c>
      <c r="C203">
        <v>0.59799999999999998</v>
      </c>
    </row>
    <row r="204" spans="2:3" x14ac:dyDescent="0.2">
      <c r="B204">
        <v>0.44791954818148483</v>
      </c>
      <c r="C204">
        <v>0.59599999999999997</v>
      </c>
    </row>
    <row r="205" spans="2:3" x14ac:dyDescent="0.2">
      <c r="B205">
        <v>0.44349604936148201</v>
      </c>
      <c r="C205">
        <v>0.59399999999999997</v>
      </c>
    </row>
    <row r="206" spans="2:3" x14ac:dyDescent="0.2">
      <c r="B206">
        <v>0.4420438154054408</v>
      </c>
      <c r="C206">
        <v>0.59199999999999997</v>
      </c>
    </row>
    <row r="207" spans="2:3" x14ac:dyDescent="0.2">
      <c r="B207">
        <v>0.43976077402444003</v>
      </c>
      <c r="C207">
        <v>0.59</v>
      </c>
    </row>
    <row r="208" spans="2:3" x14ac:dyDescent="0.2">
      <c r="B208">
        <v>0.43927719232418899</v>
      </c>
      <c r="C208">
        <v>0.58799999999999997</v>
      </c>
    </row>
    <row r="209" spans="2:3" x14ac:dyDescent="0.2">
      <c r="B209">
        <v>0.4392221172749281</v>
      </c>
      <c r="C209">
        <v>0.58599999999999997</v>
      </c>
    </row>
    <row r="210" spans="2:3" x14ac:dyDescent="0.2">
      <c r="B210">
        <v>0.4382667915140897</v>
      </c>
      <c r="C210">
        <v>0.58399999999999996</v>
      </c>
    </row>
    <row r="211" spans="2:3" x14ac:dyDescent="0.2">
      <c r="B211">
        <v>0.43680670500263169</v>
      </c>
      <c r="C211">
        <v>0.58199999999999996</v>
      </c>
    </row>
    <row r="212" spans="2:3" x14ac:dyDescent="0.2">
      <c r="B212">
        <v>0.42978556115993932</v>
      </c>
      <c r="C212">
        <v>0.57999999999999996</v>
      </c>
    </row>
    <row r="213" spans="2:3" x14ac:dyDescent="0.2">
      <c r="B213">
        <v>0.42753042749763598</v>
      </c>
      <c r="C213">
        <v>0.57799999999999996</v>
      </c>
    </row>
    <row r="214" spans="2:3" x14ac:dyDescent="0.2">
      <c r="B214">
        <v>0.42638641456371396</v>
      </c>
      <c r="C214">
        <v>0.57599999999999996</v>
      </c>
    </row>
    <row r="215" spans="2:3" x14ac:dyDescent="0.2">
      <c r="B215">
        <v>0.424117197750981</v>
      </c>
      <c r="C215">
        <v>0.57399999999999995</v>
      </c>
    </row>
    <row r="216" spans="2:3" x14ac:dyDescent="0.2">
      <c r="B216">
        <v>0.42156436807340408</v>
      </c>
      <c r="C216">
        <v>0.57199999999999995</v>
      </c>
    </row>
    <row r="217" spans="2:3" x14ac:dyDescent="0.2">
      <c r="B217">
        <v>0.42096342430954958</v>
      </c>
      <c r="C217">
        <v>0.56999999999999995</v>
      </c>
    </row>
    <row r="218" spans="2:3" x14ac:dyDescent="0.2">
      <c r="B218">
        <v>0.42044421238487883</v>
      </c>
      <c r="C218">
        <v>0.56799999999999995</v>
      </c>
    </row>
    <row r="219" spans="2:3" x14ac:dyDescent="0.2">
      <c r="B219">
        <v>0.41668710700329548</v>
      </c>
      <c r="C219">
        <v>0.56599999999999995</v>
      </c>
    </row>
    <row r="220" spans="2:3" x14ac:dyDescent="0.2">
      <c r="B220">
        <v>0.41651107107027802</v>
      </c>
      <c r="C220">
        <v>0.56399999999999995</v>
      </c>
    </row>
    <row r="221" spans="2:3" x14ac:dyDescent="0.2">
      <c r="B221">
        <v>0.41594340093869303</v>
      </c>
      <c r="C221">
        <v>0.56200000000000006</v>
      </c>
    </row>
    <row r="222" spans="2:3" x14ac:dyDescent="0.2">
      <c r="B222">
        <v>0.41143145557658783</v>
      </c>
      <c r="C222">
        <v>0.56000000000000005</v>
      </c>
    </row>
    <row r="223" spans="2:3" x14ac:dyDescent="0.2">
      <c r="B223">
        <v>0.41130642851518801</v>
      </c>
      <c r="C223">
        <v>0.55800000000000005</v>
      </c>
    </row>
    <row r="224" spans="2:3" x14ac:dyDescent="0.2">
      <c r="B224">
        <v>0.41081047466616899</v>
      </c>
      <c r="C224">
        <v>0.55600000000000005</v>
      </c>
    </row>
    <row r="225" spans="2:3" x14ac:dyDescent="0.2">
      <c r="B225">
        <v>0.41043339828126102</v>
      </c>
      <c r="C225">
        <v>0.55400000000000005</v>
      </c>
    </row>
    <row r="226" spans="2:3" x14ac:dyDescent="0.2">
      <c r="B226">
        <v>0.41012184604528801</v>
      </c>
      <c r="C226">
        <v>0.55200000000000005</v>
      </c>
    </row>
    <row r="227" spans="2:3" x14ac:dyDescent="0.2">
      <c r="B227">
        <v>0.409530251120448</v>
      </c>
      <c r="C227">
        <v>0.55000000000000004</v>
      </c>
    </row>
    <row r="228" spans="2:3" x14ac:dyDescent="0.2">
      <c r="B228">
        <v>0.40810860591009102</v>
      </c>
      <c r="C228">
        <v>0.54800000000000004</v>
      </c>
    </row>
    <row r="229" spans="2:3" x14ac:dyDescent="0.2">
      <c r="B229">
        <v>0.40798919613485801</v>
      </c>
      <c r="C229">
        <v>0.54600000000000004</v>
      </c>
    </row>
    <row r="230" spans="2:3" x14ac:dyDescent="0.2">
      <c r="B230">
        <v>0.40543344060147801</v>
      </c>
      <c r="C230">
        <v>0.54400000000000004</v>
      </c>
    </row>
    <row r="231" spans="2:3" x14ac:dyDescent="0.2">
      <c r="B231">
        <v>0.40426560845233195</v>
      </c>
      <c r="C231">
        <v>0.54200000000000004</v>
      </c>
    </row>
    <row r="232" spans="2:3" x14ac:dyDescent="0.2">
      <c r="B232">
        <v>0.39916287105863901</v>
      </c>
      <c r="C232">
        <v>0.54</v>
      </c>
    </row>
    <row r="233" spans="2:3" x14ac:dyDescent="0.2">
      <c r="B233">
        <v>0.3990618748277473</v>
      </c>
      <c r="C233">
        <v>0.53800000000000003</v>
      </c>
    </row>
    <row r="234" spans="2:3" x14ac:dyDescent="0.2">
      <c r="B234">
        <v>0.39878189529201541</v>
      </c>
      <c r="C234">
        <v>0.53600000000000003</v>
      </c>
    </row>
    <row r="235" spans="2:3" x14ac:dyDescent="0.2">
      <c r="B235">
        <v>0.398295744259479</v>
      </c>
      <c r="C235">
        <v>0.53400000000000003</v>
      </c>
    </row>
    <row r="236" spans="2:3" x14ac:dyDescent="0.2">
      <c r="B236">
        <v>0.39758412078555938</v>
      </c>
      <c r="C236">
        <v>0.53200000000000003</v>
      </c>
    </row>
    <row r="237" spans="2:3" x14ac:dyDescent="0.2">
      <c r="B237">
        <v>0.39616298375162906</v>
      </c>
      <c r="C237">
        <v>0.53</v>
      </c>
    </row>
    <row r="238" spans="2:3" x14ac:dyDescent="0.2">
      <c r="B238">
        <v>0.39202543571686804</v>
      </c>
      <c r="C238">
        <v>0.52800000000000002</v>
      </c>
    </row>
    <row r="239" spans="2:3" x14ac:dyDescent="0.2">
      <c r="B239">
        <v>0.38992992633411599</v>
      </c>
      <c r="C239">
        <v>0.52600000000000002</v>
      </c>
    </row>
    <row r="240" spans="2:3" x14ac:dyDescent="0.2">
      <c r="B240">
        <v>0.38747067918363148</v>
      </c>
      <c r="C240">
        <v>0.52400000000000002</v>
      </c>
    </row>
    <row r="241" spans="2:3" x14ac:dyDescent="0.2">
      <c r="B241">
        <v>0.38520853861323889</v>
      </c>
      <c r="C241">
        <v>0.52200000000000002</v>
      </c>
    </row>
    <row r="242" spans="2:3" x14ac:dyDescent="0.2">
      <c r="B242">
        <v>0.38480574576646631</v>
      </c>
      <c r="C242">
        <v>0.52</v>
      </c>
    </row>
    <row r="243" spans="2:3" x14ac:dyDescent="0.2">
      <c r="B243">
        <v>0.38478049042989027</v>
      </c>
      <c r="C243">
        <v>0.51800000000000002</v>
      </c>
    </row>
    <row r="244" spans="2:3" x14ac:dyDescent="0.2">
      <c r="B244">
        <v>0.38436223959838001</v>
      </c>
      <c r="C244">
        <v>0.51600000000000001</v>
      </c>
    </row>
    <row r="245" spans="2:3" x14ac:dyDescent="0.2">
      <c r="B245">
        <v>0.38219005662998656</v>
      </c>
      <c r="C245">
        <v>0.51400000000000001</v>
      </c>
    </row>
    <row r="246" spans="2:3" x14ac:dyDescent="0.2">
      <c r="B246">
        <v>0.38080470942411193</v>
      </c>
      <c r="C246">
        <v>0.51200000000000001</v>
      </c>
    </row>
    <row r="247" spans="2:3" x14ac:dyDescent="0.2">
      <c r="B247">
        <v>0.3801249295913483</v>
      </c>
      <c r="C247">
        <v>0.51</v>
      </c>
    </row>
    <row r="248" spans="2:3" x14ac:dyDescent="0.2">
      <c r="B248">
        <v>0.37887366511410642</v>
      </c>
      <c r="C248">
        <v>0.50800000000000001</v>
      </c>
    </row>
    <row r="249" spans="2:3" x14ac:dyDescent="0.2">
      <c r="B249">
        <v>0.37885176468588772</v>
      </c>
      <c r="C249">
        <v>0.50600000000000001</v>
      </c>
    </row>
    <row r="250" spans="2:3" x14ac:dyDescent="0.2">
      <c r="B250">
        <v>0.37764552702479298</v>
      </c>
      <c r="C250">
        <v>0.504</v>
      </c>
    </row>
    <row r="251" spans="2:3" x14ac:dyDescent="0.2">
      <c r="B251">
        <v>0.37627743055712098</v>
      </c>
      <c r="C251">
        <v>0.502</v>
      </c>
    </row>
    <row r="252" spans="2:3" x14ac:dyDescent="0.2">
      <c r="B252">
        <v>0.37490440815568399</v>
      </c>
      <c r="C252">
        <v>0.5</v>
      </c>
    </row>
    <row r="253" spans="2:3" x14ac:dyDescent="0.2">
      <c r="B253">
        <v>0.37364829199611971</v>
      </c>
      <c r="C253">
        <v>0.498</v>
      </c>
    </row>
    <row r="254" spans="2:3" x14ac:dyDescent="0.2">
      <c r="B254">
        <v>0.37075709478378127</v>
      </c>
      <c r="C254">
        <v>0.496</v>
      </c>
    </row>
    <row r="255" spans="2:3" x14ac:dyDescent="0.2">
      <c r="B255">
        <v>0.366351061072338</v>
      </c>
      <c r="C255">
        <v>0.49399999999999999</v>
      </c>
    </row>
    <row r="256" spans="2:3" x14ac:dyDescent="0.2">
      <c r="B256">
        <v>0.36576490371189413</v>
      </c>
      <c r="C256">
        <v>0.49199999999999999</v>
      </c>
    </row>
    <row r="257" spans="2:3" x14ac:dyDescent="0.2">
      <c r="B257">
        <v>0.36456464374056602</v>
      </c>
      <c r="C257">
        <v>0.49</v>
      </c>
    </row>
    <row r="258" spans="2:3" x14ac:dyDescent="0.2">
      <c r="B258">
        <v>0.36114500653383513</v>
      </c>
      <c r="C258">
        <v>0.48799999999999999</v>
      </c>
    </row>
    <row r="259" spans="2:3" x14ac:dyDescent="0.2">
      <c r="B259">
        <v>0.360560753279692</v>
      </c>
      <c r="C259">
        <v>0.48599999999999999</v>
      </c>
    </row>
    <row r="260" spans="2:3" x14ac:dyDescent="0.2">
      <c r="B260">
        <v>0.36005995165166399</v>
      </c>
      <c r="C260">
        <v>0.48399999999999999</v>
      </c>
    </row>
    <row r="261" spans="2:3" x14ac:dyDescent="0.2">
      <c r="B261">
        <v>0.35856428478526836</v>
      </c>
      <c r="C261">
        <v>0.48199999999999998</v>
      </c>
    </row>
    <row r="262" spans="2:3" x14ac:dyDescent="0.2">
      <c r="B262">
        <v>0.35563622176011389</v>
      </c>
      <c r="C262">
        <v>0.48</v>
      </c>
    </row>
    <row r="263" spans="2:3" x14ac:dyDescent="0.2">
      <c r="B263">
        <v>0.35482787556724904</v>
      </c>
      <c r="C263">
        <v>0.47799999999999998</v>
      </c>
    </row>
    <row r="264" spans="2:3" x14ac:dyDescent="0.2">
      <c r="B264">
        <v>0.35424547268207246</v>
      </c>
      <c r="C264">
        <v>0.47599999999999998</v>
      </c>
    </row>
    <row r="265" spans="2:3" x14ac:dyDescent="0.2">
      <c r="B265">
        <v>0.35422004002245</v>
      </c>
      <c r="C265">
        <v>0.47399999999999998</v>
      </c>
    </row>
    <row r="266" spans="2:3" x14ac:dyDescent="0.2">
      <c r="B266">
        <v>0.35339431004908439</v>
      </c>
      <c r="C266">
        <v>0.47199999999999998</v>
      </c>
    </row>
    <row r="267" spans="2:3" x14ac:dyDescent="0.2">
      <c r="B267">
        <v>0.35335469932857266</v>
      </c>
      <c r="C267">
        <v>0.47</v>
      </c>
    </row>
    <row r="268" spans="2:3" x14ac:dyDescent="0.2">
      <c r="B268">
        <v>0.35313665636406599</v>
      </c>
      <c r="C268">
        <v>0.46800000000000003</v>
      </c>
    </row>
    <row r="269" spans="2:3" x14ac:dyDescent="0.2">
      <c r="B269">
        <v>0.35212582675761084</v>
      </c>
      <c r="C269">
        <v>0.46600000000000003</v>
      </c>
    </row>
    <row r="270" spans="2:3" x14ac:dyDescent="0.2">
      <c r="B270">
        <v>0.35210395583208859</v>
      </c>
      <c r="C270">
        <v>0.46400000000000002</v>
      </c>
    </row>
    <row r="271" spans="2:3" x14ac:dyDescent="0.2">
      <c r="B271">
        <v>0.34786521623622801</v>
      </c>
      <c r="C271">
        <v>0.46200000000000002</v>
      </c>
    </row>
    <row r="272" spans="2:3" x14ac:dyDescent="0.2">
      <c r="B272">
        <v>0.34754941833566372</v>
      </c>
      <c r="C272">
        <v>0.46</v>
      </c>
    </row>
    <row r="273" spans="2:3" x14ac:dyDescent="0.2">
      <c r="B273">
        <v>0.34698656146744072</v>
      </c>
      <c r="C273">
        <v>0.45800000000000002</v>
      </c>
    </row>
    <row r="274" spans="2:3" x14ac:dyDescent="0.2">
      <c r="B274">
        <v>0.34538321188723936</v>
      </c>
      <c r="C274">
        <v>0.45600000000000002</v>
      </c>
    </row>
    <row r="275" spans="2:3" x14ac:dyDescent="0.2">
      <c r="B275">
        <v>0.34480004716505203</v>
      </c>
      <c r="C275">
        <v>0.45400000000000001</v>
      </c>
    </row>
    <row r="276" spans="2:3" x14ac:dyDescent="0.2">
      <c r="B276">
        <v>0.34450961261469804</v>
      </c>
      <c r="C276">
        <v>0.45200000000000001</v>
      </c>
    </row>
    <row r="277" spans="2:3" x14ac:dyDescent="0.2">
      <c r="B277">
        <v>0.34202057631757221</v>
      </c>
      <c r="C277">
        <v>0.45</v>
      </c>
    </row>
    <row r="278" spans="2:3" x14ac:dyDescent="0.2">
      <c r="B278">
        <v>0.339662147402856</v>
      </c>
      <c r="C278">
        <v>0.44800000000000001</v>
      </c>
    </row>
    <row r="279" spans="2:3" x14ac:dyDescent="0.2">
      <c r="B279">
        <v>0.3393775494324095</v>
      </c>
      <c r="C279">
        <v>0.44600000000000001</v>
      </c>
    </row>
    <row r="280" spans="2:3" x14ac:dyDescent="0.2">
      <c r="B280">
        <v>0.33932585102914897</v>
      </c>
      <c r="C280">
        <v>0.44400000000000001</v>
      </c>
    </row>
    <row r="281" spans="2:3" x14ac:dyDescent="0.2">
      <c r="B281">
        <v>0.33917521696492781</v>
      </c>
      <c r="C281">
        <v>0.442</v>
      </c>
    </row>
    <row r="282" spans="2:3" x14ac:dyDescent="0.2">
      <c r="B282">
        <v>0.33902818095481113</v>
      </c>
      <c r="C282">
        <v>0.44</v>
      </c>
    </row>
    <row r="283" spans="2:3" x14ac:dyDescent="0.2">
      <c r="B283">
        <v>0.33703937703320602</v>
      </c>
      <c r="C283">
        <v>0.438</v>
      </c>
    </row>
    <row r="284" spans="2:3" x14ac:dyDescent="0.2">
      <c r="B284">
        <v>0.33322578788018387</v>
      </c>
      <c r="C284">
        <v>0.436</v>
      </c>
    </row>
    <row r="285" spans="2:3" x14ac:dyDescent="0.2">
      <c r="B285">
        <v>0.33106822054906104</v>
      </c>
      <c r="C285">
        <v>0.434</v>
      </c>
    </row>
    <row r="286" spans="2:3" x14ac:dyDescent="0.2">
      <c r="B286">
        <v>0.32830510350946096</v>
      </c>
      <c r="C286">
        <v>0.432</v>
      </c>
    </row>
    <row r="287" spans="2:3" x14ac:dyDescent="0.2">
      <c r="B287">
        <v>0.32665919789036602</v>
      </c>
      <c r="C287">
        <v>0.43</v>
      </c>
    </row>
    <row r="288" spans="2:3" x14ac:dyDescent="0.2">
      <c r="B288">
        <v>0.32588476754481499</v>
      </c>
      <c r="C288">
        <v>0.42799999999999999</v>
      </c>
    </row>
    <row r="289" spans="2:3" x14ac:dyDescent="0.2">
      <c r="B289">
        <v>0.32581259508937804</v>
      </c>
      <c r="C289">
        <v>0.42599999999999999</v>
      </c>
    </row>
    <row r="290" spans="2:3" x14ac:dyDescent="0.2">
      <c r="B290">
        <v>0.32571057440998818</v>
      </c>
      <c r="C290">
        <v>0.42399999999999999</v>
      </c>
    </row>
    <row r="291" spans="2:3" x14ac:dyDescent="0.2">
      <c r="B291">
        <v>0.32551078355588398</v>
      </c>
      <c r="C291">
        <v>0.42199999999999999</v>
      </c>
    </row>
    <row r="292" spans="2:3" x14ac:dyDescent="0.2">
      <c r="B292">
        <v>0.3250604293877557</v>
      </c>
      <c r="C292">
        <v>0.42</v>
      </c>
    </row>
    <row r="293" spans="2:3" x14ac:dyDescent="0.2">
      <c r="B293">
        <v>0.32279800151310711</v>
      </c>
      <c r="C293">
        <v>0.41799999999999998</v>
      </c>
    </row>
    <row r="294" spans="2:3" x14ac:dyDescent="0.2">
      <c r="B294">
        <v>0.31959785983462952</v>
      </c>
      <c r="C294">
        <v>0.41599999999999998</v>
      </c>
    </row>
    <row r="295" spans="2:3" x14ac:dyDescent="0.2">
      <c r="B295">
        <v>0.31854306806438404</v>
      </c>
      <c r="C295">
        <v>0.41399999999999998</v>
      </c>
    </row>
    <row r="296" spans="2:3" x14ac:dyDescent="0.2">
      <c r="B296">
        <v>0.31363429826096523</v>
      </c>
      <c r="C296">
        <v>0.41199999999999998</v>
      </c>
    </row>
    <row r="297" spans="2:3" x14ac:dyDescent="0.2">
      <c r="B297">
        <v>0.31197106929569951</v>
      </c>
      <c r="C297">
        <v>0.41</v>
      </c>
    </row>
    <row r="298" spans="2:3" x14ac:dyDescent="0.2">
      <c r="B298">
        <v>0.31083373283704696</v>
      </c>
      <c r="C298">
        <v>0.40799999999999997</v>
      </c>
    </row>
    <row r="299" spans="2:3" x14ac:dyDescent="0.2">
      <c r="B299">
        <v>0.30993222983454288</v>
      </c>
      <c r="C299">
        <v>0.40600000000000003</v>
      </c>
    </row>
    <row r="300" spans="2:3" x14ac:dyDescent="0.2">
      <c r="B300">
        <v>0.309761017203663</v>
      </c>
      <c r="C300">
        <v>0.40400000000000003</v>
      </c>
    </row>
    <row r="301" spans="2:3" x14ac:dyDescent="0.2">
      <c r="B301">
        <v>0.3095817256442791</v>
      </c>
      <c r="C301">
        <v>0.40200000000000002</v>
      </c>
    </row>
    <row r="302" spans="2:3" x14ac:dyDescent="0.2">
      <c r="B302">
        <v>0.30948632734326997</v>
      </c>
      <c r="C302">
        <v>0.4</v>
      </c>
    </row>
    <row r="303" spans="2:3" x14ac:dyDescent="0.2">
      <c r="B303">
        <v>0.30928498322617198</v>
      </c>
      <c r="C303">
        <v>0.39800000000000002</v>
      </c>
    </row>
    <row r="304" spans="2:3" x14ac:dyDescent="0.2">
      <c r="B304">
        <v>0.307474827433947</v>
      </c>
      <c r="C304">
        <v>0.39600000000000002</v>
      </c>
    </row>
    <row r="305" spans="2:3" x14ac:dyDescent="0.2">
      <c r="B305">
        <v>0.30694955525209622</v>
      </c>
      <c r="C305">
        <v>0.39400000000000002</v>
      </c>
    </row>
    <row r="306" spans="2:3" x14ac:dyDescent="0.2">
      <c r="B306">
        <v>0.30512079652379798</v>
      </c>
      <c r="C306">
        <v>0.39200000000000002</v>
      </c>
    </row>
    <row r="307" spans="2:3" x14ac:dyDescent="0.2">
      <c r="B307">
        <v>0.30469191421744801</v>
      </c>
      <c r="C307">
        <v>0.39</v>
      </c>
    </row>
    <row r="308" spans="2:3" x14ac:dyDescent="0.2">
      <c r="B308">
        <v>0.30465879880320329</v>
      </c>
      <c r="C308">
        <v>0.38800000000000001</v>
      </c>
    </row>
    <row r="309" spans="2:3" x14ac:dyDescent="0.2">
      <c r="B309">
        <v>0.304171886925581</v>
      </c>
      <c r="C309">
        <v>0.38600000000000001</v>
      </c>
    </row>
    <row r="310" spans="2:3" x14ac:dyDescent="0.2">
      <c r="B310">
        <v>0.30266636914997852</v>
      </c>
      <c r="C310">
        <v>0.38400000000000001</v>
      </c>
    </row>
    <row r="311" spans="2:3" x14ac:dyDescent="0.2">
      <c r="B311">
        <v>0.30076193149040598</v>
      </c>
      <c r="C311">
        <v>0.38200000000000001</v>
      </c>
    </row>
    <row r="312" spans="2:3" x14ac:dyDescent="0.2">
      <c r="B312">
        <v>0.30006332789388201</v>
      </c>
      <c r="C312">
        <v>0.38</v>
      </c>
    </row>
    <row r="313" spans="2:3" x14ac:dyDescent="0.2">
      <c r="B313">
        <v>0.29887356418324301</v>
      </c>
      <c r="C313">
        <v>0.378</v>
      </c>
    </row>
    <row r="314" spans="2:3" x14ac:dyDescent="0.2">
      <c r="B314">
        <v>0.29828975123196433</v>
      </c>
      <c r="C314">
        <v>0.376</v>
      </c>
    </row>
    <row r="315" spans="2:3" x14ac:dyDescent="0.2">
      <c r="B315">
        <v>0.29760248141042883</v>
      </c>
      <c r="C315">
        <v>0.374</v>
      </c>
    </row>
    <row r="316" spans="2:3" x14ac:dyDescent="0.2">
      <c r="B316">
        <v>0.296625854262064</v>
      </c>
      <c r="C316">
        <v>0.372</v>
      </c>
    </row>
    <row r="317" spans="2:3" x14ac:dyDescent="0.2">
      <c r="B317">
        <v>0.29191958891547753</v>
      </c>
      <c r="C317">
        <v>0.37</v>
      </c>
    </row>
    <row r="318" spans="2:3" x14ac:dyDescent="0.2">
      <c r="B318">
        <v>0.2908493756504425</v>
      </c>
      <c r="C318">
        <v>0.36799999999999999</v>
      </c>
    </row>
    <row r="319" spans="2:3" x14ac:dyDescent="0.2">
      <c r="B319">
        <v>0.29083105323700797</v>
      </c>
      <c r="C319">
        <v>0.36599999999999999</v>
      </c>
    </row>
    <row r="320" spans="2:3" x14ac:dyDescent="0.2">
      <c r="B320">
        <v>0.29011624659534502</v>
      </c>
      <c r="C320">
        <v>0.36399999999999999</v>
      </c>
    </row>
    <row r="321" spans="2:3" x14ac:dyDescent="0.2">
      <c r="B321">
        <v>0.28928902965234715</v>
      </c>
      <c r="C321">
        <v>0.36199999999999999</v>
      </c>
    </row>
    <row r="322" spans="2:3" x14ac:dyDescent="0.2">
      <c r="B322">
        <v>0.28873232022503598</v>
      </c>
      <c r="C322">
        <v>0.36</v>
      </c>
    </row>
    <row r="323" spans="2:3" x14ac:dyDescent="0.2">
      <c r="B323">
        <v>0.28862617673479529</v>
      </c>
      <c r="C323">
        <v>0.35799999999999998</v>
      </c>
    </row>
    <row r="324" spans="2:3" x14ac:dyDescent="0.2">
      <c r="B324">
        <v>0.28859511498004198</v>
      </c>
      <c r="C324">
        <v>0.35599999999999998</v>
      </c>
    </row>
    <row r="325" spans="2:3" x14ac:dyDescent="0.2">
      <c r="B325">
        <v>0.28648376463220199</v>
      </c>
      <c r="C325">
        <v>0.35399999999999998</v>
      </c>
    </row>
    <row r="326" spans="2:3" x14ac:dyDescent="0.2">
      <c r="B326">
        <v>0.28567964772018395</v>
      </c>
      <c r="C326">
        <v>0.35199999999999998</v>
      </c>
    </row>
    <row r="327" spans="2:3" x14ac:dyDescent="0.2">
      <c r="B327">
        <v>0.28542715051864198</v>
      </c>
      <c r="C327">
        <v>0.35</v>
      </c>
    </row>
    <row r="328" spans="2:3" x14ac:dyDescent="0.2">
      <c r="B328">
        <v>0.28497426308286389</v>
      </c>
      <c r="C328">
        <v>0.34799999999999998</v>
      </c>
    </row>
    <row r="329" spans="2:3" x14ac:dyDescent="0.2">
      <c r="B329">
        <v>0.284256700361116</v>
      </c>
      <c r="C329">
        <v>0.34599999999999997</v>
      </c>
    </row>
    <row r="330" spans="2:3" x14ac:dyDescent="0.2">
      <c r="B330">
        <v>0.28401911253351603</v>
      </c>
      <c r="C330">
        <v>0.34399999999999997</v>
      </c>
    </row>
    <row r="331" spans="2:3" x14ac:dyDescent="0.2">
      <c r="B331">
        <v>0.28342516569255499</v>
      </c>
      <c r="C331">
        <v>0.34200000000000003</v>
      </c>
    </row>
    <row r="332" spans="2:3" x14ac:dyDescent="0.2">
      <c r="B332">
        <v>0.28097194013579502</v>
      </c>
      <c r="C332">
        <v>0.34</v>
      </c>
    </row>
    <row r="333" spans="2:3" x14ac:dyDescent="0.2">
      <c r="B333">
        <v>0.27816902315058101</v>
      </c>
      <c r="C333">
        <v>0.33800000000000002</v>
      </c>
    </row>
    <row r="334" spans="2:3" x14ac:dyDescent="0.2">
      <c r="B334">
        <v>0.27719569021598589</v>
      </c>
      <c r="C334">
        <v>0.33600000000000002</v>
      </c>
    </row>
    <row r="335" spans="2:3" x14ac:dyDescent="0.2">
      <c r="B335">
        <v>0.2770681541525048</v>
      </c>
      <c r="C335">
        <v>0.33400000000000002</v>
      </c>
    </row>
    <row r="336" spans="2:3" x14ac:dyDescent="0.2">
      <c r="B336">
        <v>0.27635914136024947</v>
      </c>
      <c r="C336">
        <v>0.33200000000000002</v>
      </c>
    </row>
    <row r="337" spans="2:3" x14ac:dyDescent="0.2">
      <c r="B337">
        <v>0.27477523794575698</v>
      </c>
      <c r="C337">
        <v>0.33</v>
      </c>
    </row>
    <row r="338" spans="2:3" x14ac:dyDescent="0.2">
      <c r="B338">
        <v>0.27330168366207402</v>
      </c>
      <c r="C338">
        <v>0.32800000000000001</v>
      </c>
    </row>
    <row r="339" spans="2:3" x14ac:dyDescent="0.2">
      <c r="B339">
        <v>0.270631229472859</v>
      </c>
      <c r="C339">
        <v>0.32600000000000001</v>
      </c>
    </row>
    <row r="340" spans="2:3" x14ac:dyDescent="0.2">
      <c r="B340">
        <v>0.26717829288029099</v>
      </c>
      <c r="C340">
        <v>0.32400000000000001</v>
      </c>
    </row>
    <row r="341" spans="2:3" x14ac:dyDescent="0.2">
      <c r="B341">
        <v>0.26587834621519102</v>
      </c>
      <c r="C341">
        <v>0.32200000000000001</v>
      </c>
    </row>
    <row r="342" spans="2:3" x14ac:dyDescent="0.2">
      <c r="B342">
        <v>0.26507731657856748</v>
      </c>
      <c r="C342">
        <v>0.32</v>
      </c>
    </row>
    <row r="343" spans="2:3" x14ac:dyDescent="0.2">
      <c r="B343">
        <v>0.26480122684993801</v>
      </c>
      <c r="C343">
        <v>0.318</v>
      </c>
    </row>
    <row r="344" spans="2:3" x14ac:dyDescent="0.2">
      <c r="B344">
        <v>0.26284933324646581</v>
      </c>
      <c r="C344">
        <v>0.316</v>
      </c>
    </row>
    <row r="345" spans="2:3" x14ac:dyDescent="0.2">
      <c r="B345">
        <v>0.26226986206662001</v>
      </c>
      <c r="C345">
        <v>0.314</v>
      </c>
    </row>
    <row r="346" spans="2:3" x14ac:dyDescent="0.2">
      <c r="B346">
        <v>0.26222676163081099</v>
      </c>
      <c r="C346">
        <v>0.312</v>
      </c>
    </row>
    <row r="347" spans="2:3" x14ac:dyDescent="0.2">
      <c r="B347">
        <v>0.26154221551942014</v>
      </c>
      <c r="C347">
        <v>0.31</v>
      </c>
    </row>
    <row r="348" spans="2:3" x14ac:dyDescent="0.2">
      <c r="B348">
        <v>0.25995163401928567</v>
      </c>
      <c r="C348">
        <v>0.308</v>
      </c>
    </row>
    <row r="349" spans="2:3" x14ac:dyDescent="0.2">
      <c r="B349">
        <v>0.25936976796455352</v>
      </c>
      <c r="C349">
        <v>0.30599999999999999</v>
      </c>
    </row>
    <row r="350" spans="2:3" x14ac:dyDescent="0.2">
      <c r="B350">
        <v>0.25891260761887108</v>
      </c>
      <c r="C350">
        <v>0.30399999999999999</v>
      </c>
    </row>
    <row r="351" spans="2:3" x14ac:dyDescent="0.2">
      <c r="B351">
        <v>0.25858667288827897</v>
      </c>
      <c r="C351">
        <v>0.30199999999999999</v>
      </c>
    </row>
    <row r="352" spans="2:3" x14ac:dyDescent="0.2">
      <c r="B352">
        <v>0.25806209708335903</v>
      </c>
      <c r="C352">
        <v>0.3</v>
      </c>
    </row>
    <row r="353" spans="2:3" x14ac:dyDescent="0.2">
      <c r="B353">
        <v>0.25530736887437139</v>
      </c>
      <c r="C353">
        <v>0.29799999999999999</v>
      </c>
    </row>
    <row r="354" spans="2:3" x14ac:dyDescent="0.2">
      <c r="B354">
        <v>0.25336230987698399</v>
      </c>
      <c r="C354">
        <v>0.29599999999999999</v>
      </c>
    </row>
    <row r="355" spans="2:3" x14ac:dyDescent="0.2">
      <c r="B355">
        <v>0.25280326249962398</v>
      </c>
      <c r="C355">
        <v>0.29399999999999998</v>
      </c>
    </row>
    <row r="356" spans="2:3" x14ac:dyDescent="0.2">
      <c r="B356">
        <v>0.25230457359087449</v>
      </c>
      <c r="C356">
        <v>0.29199999999999998</v>
      </c>
    </row>
    <row r="357" spans="2:3" x14ac:dyDescent="0.2">
      <c r="B357">
        <v>0.251660582759413</v>
      </c>
      <c r="C357">
        <v>0.28999999999999998</v>
      </c>
    </row>
    <row r="358" spans="2:3" x14ac:dyDescent="0.2">
      <c r="B358">
        <v>0.25067951329239369</v>
      </c>
      <c r="C358">
        <v>0.28799999999999998</v>
      </c>
    </row>
    <row r="359" spans="2:3" x14ac:dyDescent="0.2">
      <c r="B359">
        <v>0.24797628155419849</v>
      </c>
      <c r="C359">
        <v>0.28599999999999998</v>
      </c>
    </row>
    <row r="360" spans="2:3" x14ac:dyDescent="0.2">
      <c r="B360">
        <v>0.24641349535129559</v>
      </c>
      <c r="C360">
        <v>0.28399999999999997</v>
      </c>
    </row>
    <row r="361" spans="2:3" x14ac:dyDescent="0.2">
      <c r="B361">
        <v>0.2461069955656604</v>
      </c>
      <c r="C361">
        <v>0.28199999999999997</v>
      </c>
    </row>
    <row r="362" spans="2:3" x14ac:dyDescent="0.2">
      <c r="B362">
        <v>0.24523476652224202</v>
      </c>
      <c r="C362">
        <v>0.28000000000000003</v>
      </c>
    </row>
    <row r="363" spans="2:3" x14ac:dyDescent="0.2">
      <c r="B363">
        <v>0.242334112542687</v>
      </c>
      <c r="C363">
        <v>0.27800000000000002</v>
      </c>
    </row>
    <row r="364" spans="2:3" x14ac:dyDescent="0.2">
      <c r="B364">
        <v>0.24224376382677942</v>
      </c>
      <c r="C364">
        <v>0.27600000000000002</v>
      </c>
    </row>
    <row r="365" spans="2:3" x14ac:dyDescent="0.2">
      <c r="B365">
        <v>0.23788379195559728</v>
      </c>
      <c r="C365">
        <v>0.27400000000000002</v>
      </c>
    </row>
    <row r="366" spans="2:3" x14ac:dyDescent="0.2">
      <c r="B366">
        <v>0.23707423057005722</v>
      </c>
      <c r="C366">
        <v>0.27200000000000002</v>
      </c>
    </row>
    <row r="367" spans="2:3" x14ac:dyDescent="0.2">
      <c r="B367">
        <v>0.236549355245121</v>
      </c>
      <c r="C367">
        <v>0.27</v>
      </c>
    </row>
    <row r="368" spans="2:3" x14ac:dyDescent="0.2">
      <c r="B368">
        <v>0.23144098021301718</v>
      </c>
      <c r="C368">
        <v>0.26800000000000002</v>
      </c>
    </row>
    <row r="369" spans="2:3" x14ac:dyDescent="0.2">
      <c r="B369">
        <v>0.23090474904109429</v>
      </c>
      <c r="C369">
        <v>0.26600000000000001</v>
      </c>
    </row>
    <row r="370" spans="2:3" x14ac:dyDescent="0.2">
      <c r="B370">
        <v>0.22489824985329498</v>
      </c>
      <c r="C370">
        <v>0.26400000000000001</v>
      </c>
    </row>
    <row r="371" spans="2:3" x14ac:dyDescent="0.2">
      <c r="B371">
        <v>0.22298386583192231</v>
      </c>
      <c r="C371">
        <v>0.26200000000000001</v>
      </c>
    </row>
    <row r="372" spans="2:3" x14ac:dyDescent="0.2">
      <c r="B372">
        <v>0.21941946397697062</v>
      </c>
      <c r="C372">
        <v>0.26</v>
      </c>
    </row>
    <row r="373" spans="2:3" x14ac:dyDescent="0.2">
      <c r="B373">
        <v>0.21704647726408099</v>
      </c>
      <c r="C373">
        <v>0.25800000000000001</v>
      </c>
    </row>
    <row r="374" spans="2:3" x14ac:dyDescent="0.2">
      <c r="B374">
        <v>0.2170201285508401</v>
      </c>
      <c r="C374">
        <v>0.25600000000000001</v>
      </c>
    </row>
    <row r="375" spans="2:3" x14ac:dyDescent="0.2">
      <c r="B375">
        <v>0.213864750819491</v>
      </c>
      <c r="C375">
        <v>0.254</v>
      </c>
    </row>
    <row r="376" spans="2:3" x14ac:dyDescent="0.2">
      <c r="B376">
        <v>0.213296403376984</v>
      </c>
      <c r="C376">
        <v>0.252</v>
      </c>
    </row>
    <row r="377" spans="2:3" x14ac:dyDescent="0.2">
      <c r="B377">
        <v>0.21234777360137</v>
      </c>
      <c r="C377">
        <v>0.25</v>
      </c>
    </row>
    <row r="378" spans="2:3" x14ac:dyDescent="0.2">
      <c r="B378">
        <v>0.21130935058630629</v>
      </c>
      <c r="C378">
        <v>0.248</v>
      </c>
    </row>
    <row r="379" spans="2:3" x14ac:dyDescent="0.2">
      <c r="B379">
        <v>0.209487773456246</v>
      </c>
      <c r="C379">
        <v>0.246</v>
      </c>
    </row>
    <row r="380" spans="2:3" x14ac:dyDescent="0.2">
      <c r="B380">
        <v>0.2084035039485892</v>
      </c>
      <c r="C380">
        <v>0.24399999999999999</v>
      </c>
    </row>
    <row r="381" spans="2:3" x14ac:dyDescent="0.2">
      <c r="B381">
        <v>0.20673382166586809</v>
      </c>
      <c r="C381">
        <v>0.24199999999999999</v>
      </c>
    </row>
    <row r="382" spans="2:3" x14ac:dyDescent="0.2">
      <c r="B382">
        <v>0.20612645205314301</v>
      </c>
      <c r="C382">
        <v>0.24</v>
      </c>
    </row>
    <row r="383" spans="2:3" x14ac:dyDescent="0.2">
      <c r="B383">
        <v>0.2037648891680465</v>
      </c>
      <c r="C383">
        <v>0.23799999999999999</v>
      </c>
    </row>
    <row r="384" spans="2:3" x14ac:dyDescent="0.2">
      <c r="B384">
        <v>0.20313634907867539</v>
      </c>
      <c r="C384">
        <v>0.23599999999999999</v>
      </c>
    </row>
    <row r="385" spans="2:3" x14ac:dyDescent="0.2">
      <c r="B385">
        <v>0.202587695977205</v>
      </c>
      <c r="C385">
        <v>0.23400000000000001</v>
      </c>
    </row>
    <row r="386" spans="2:3" x14ac:dyDescent="0.2">
      <c r="B386">
        <v>0.20176060816066288</v>
      </c>
      <c r="C386">
        <v>0.23200000000000001</v>
      </c>
    </row>
    <row r="387" spans="2:3" x14ac:dyDescent="0.2">
      <c r="B387">
        <v>0.20091866680826601</v>
      </c>
      <c r="C387">
        <v>0.23</v>
      </c>
    </row>
    <row r="388" spans="2:3" x14ac:dyDescent="0.2">
      <c r="B388">
        <v>0.19994826296866999</v>
      </c>
      <c r="C388">
        <v>0.22800000000000001</v>
      </c>
    </row>
    <row r="389" spans="2:3" x14ac:dyDescent="0.2">
      <c r="B389">
        <v>0.19964771956555089</v>
      </c>
      <c r="C389">
        <v>0.22600000000000001</v>
      </c>
    </row>
    <row r="390" spans="2:3" x14ac:dyDescent="0.2">
      <c r="B390">
        <v>0.19925786310087101</v>
      </c>
      <c r="C390">
        <v>0.224</v>
      </c>
    </row>
    <row r="391" spans="2:3" x14ac:dyDescent="0.2">
      <c r="B391">
        <v>0.19605576358683119</v>
      </c>
      <c r="C391">
        <v>0.222</v>
      </c>
    </row>
    <row r="392" spans="2:3" x14ac:dyDescent="0.2">
      <c r="B392">
        <v>0.1943278597042177</v>
      </c>
      <c r="C392">
        <v>0.22</v>
      </c>
    </row>
    <row r="393" spans="2:3" x14ac:dyDescent="0.2">
      <c r="B393">
        <v>0.19333390488212299</v>
      </c>
      <c r="C393">
        <v>0.218</v>
      </c>
    </row>
    <row r="394" spans="2:3" x14ac:dyDescent="0.2">
      <c r="B394">
        <v>0.1932775899398621</v>
      </c>
      <c r="C394">
        <v>0.216</v>
      </c>
    </row>
    <row r="395" spans="2:3" x14ac:dyDescent="0.2">
      <c r="B395">
        <v>0.19152899280164301</v>
      </c>
      <c r="C395">
        <v>0.214</v>
      </c>
    </row>
    <row r="396" spans="2:3" x14ac:dyDescent="0.2">
      <c r="B396">
        <v>0.18849096899163398</v>
      </c>
      <c r="C396">
        <v>0.21199999999999999</v>
      </c>
    </row>
    <row r="397" spans="2:3" x14ac:dyDescent="0.2">
      <c r="B397">
        <v>0.187987251583391</v>
      </c>
      <c r="C397">
        <v>0.21</v>
      </c>
    </row>
    <row r="398" spans="2:3" x14ac:dyDescent="0.2">
      <c r="B398">
        <v>0.18653602130746499</v>
      </c>
      <c r="C398">
        <v>0.20799999999999999</v>
      </c>
    </row>
    <row r="399" spans="2:3" x14ac:dyDescent="0.2">
      <c r="B399">
        <v>0.18589756527009599</v>
      </c>
      <c r="C399">
        <v>0.20599999999999999</v>
      </c>
    </row>
    <row r="400" spans="2:3" x14ac:dyDescent="0.2">
      <c r="B400">
        <v>0.18536041311483092</v>
      </c>
      <c r="C400">
        <v>0.20399999999999999</v>
      </c>
    </row>
    <row r="401" spans="2:3" x14ac:dyDescent="0.2">
      <c r="B401">
        <v>0.18416992922611791</v>
      </c>
      <c r="C401">
        <v>0.20200000000000001</v>
      </c>
    </row>
    <row r="402" spans="2:3" x14ac:dyDescent="0.2">
      <c r="B402">
        <v>0.18320105550049001</v>
      </c>
      <c r="C402">
        <v>0.2</v>
      </c>
    </row>
    <row r="403" spans="2:3" x14ac:dyDescent="0.2">
      <c r="B403">
        <v>0.182909740627312</v>
      </c>
      <c r="C403">
        <v>0.19800000000000001</v>
      </c>
    </row>
    <row r="404" spans="2:3" x14ac:dyDescent="0.2">
      <c r="B404">
        <v>0.18038551729983071</v>
      </c>
      <c r="C404">
        <v>0.19600000000000001</v>
      </c>
    </row>
    <row r="405" spans="2:3" x14ac:dyDescent="0.2">
      <c r="B405">
        <v>0.17960931300275232</v>
      </c>
      <c r="C405">
        <v>0.19400000000000001</v>
      </c>
    </row>
    <row r="406" spans="2:3" x14ac:dyDescent="0.2">
      <c r="B406">
        <v>0.17648725946819299</v>
      </c>
      <c r="C406">
        <v>0.192</v>
      </c>
    </row>
    <row r="407" spans="2:3" x14ac:dyDescent="0.2">
      <c r="B407">
        <v>0.17217277065238201</v>
      </c>
      <c r="C407">
        <v>0.19</v>
      </c>
    </row>
    <row r="408" spans="2:3" x14ac:dyDescent="0.2">
      <c r="B408">
        <v>0.17169908677828899</v>
      </c>
      <c r="C408">
        <v>0.188</v>
      </c>
    </row>
    <row r="409" spans="2:3" x14ac:dyDescent="0.2">
      <c r="B409">
        <v>0.16863921311384922</v>
      </c>
      <c r="C409">
        <v>0.186</v>
      </c>
    </row>
    <row r="410" spans="2:3" x14ac:dyDescent="0.2">
      <c r="B410">
        <v>0.163256581969033</v>
      </c>
      <c r="C410">
        <v>0.184</v>
      </c>
    </row>
    <row r="411" spans="2:3" x14ac:dyDescent="0.2">
      <c r="B411">
        <v>0.16261472842333499</v>
      </c>
      <c r="C411">
        <v>0.182</v>
      </c>
    </row>
    <row r="412" spans="2:3" x14ac:dyDescent="0.2">
      <c r="B412">
        <v>0.16255260990680082</v>
      </c>
      <c r="C412">
        <v>0.18</v>
      </c>
    </row>
    <row r="413" spans="2:3" x14ac:dyDescent="0.2">
      <c r="B413">
        <v>0.15915206418130701</v>
      </c>
      <c r="C413">
        <v>0.17799999999999999</v>
      </c>
    </row>
    <row r="414" spans="2:3" x14ac:dyDescent="0.2">
      <c r="B414">
        <v>0.15689731181883901</v>
      </c>
      <c r="C414">
        <v>0.17599999999999999</v>
      </c>
    </row>
    <row r="415" spans="2:3" x14ac:dyDescent="0.2">
      <c r="B415">
        <v>0.15514228284203629</v>
      </c>
      <c r="C415">
        <v>0.17399999999999999</v>
      </c>
    </row>
    <row r="416" spans="2:3" x14ac:dyDescent="0.2">
      <c r="B416">
        <v>0.14957146980283401</v>
      </c>
      <c r="C416">
        <v>0.17199999999999999</v>
      </c>
    </row>
    <row r="417" spans="2:3" x14ac:dyDescent="0.2">
      <c r="B417">
        <v>0.14935801878229271</v>
      </c>
      <c r="C417">
        <v>0.17</v>
      </c>
    </row>
    <row r="418" spans="2:3" x14ac:dyDescent="0.2">
      <c r="B418">
        <v>0.14886614574216112</v>
      </c>
      <c r="C418">
        <v>0.16800000000000001</v>
      </c>
    </row>
    <row r="419" spans="2:3" x14ac:dyDescent="0.2">
      <c r="B419">
        <v>0.148765841880794</v>
      </c>
      <c r="C419">
        <v>0.16600000000000001</v>
      </c>
    </row>
    <row r="420" spans="2:3" x14ac:dyDescent="0.2">
      <c r="B420">
        <v>0.14497959347936501</v>
      </c>
      <c r="C420">
        <v>0.16400000000000001</v>
      </c>
    </row>
    <row r="421" spans="2:3" x14ac:dyDescent="0.2">
      <c r="B421">
        <v>0.14266803373354731</v>
      </c>
      <c r="C421">
        <v>0.16200000000000001</v>
      </c>
    </row>
    <row r="422" spans="2:3" x14ac:dyDescent="0.2">
      <c r="B422">
        <v>0.140733597669355</v>
      </c>
      <c r="C422">
        <v>0.16</v>
      </c>
    </row>
    <row r="423" spans="2:3" x14ac:dyDescent="0.2">
      <c r="B423">
        <v>0.1381908196855379</v>
      </c>
      <c r="C423">
        <v>0.158</v>
      </c>
    </row>
    <row r="424" spans="2:3" x14ac:dyDescent="0.2">
      <c r="B424">
        <v>0.13434926768798899</v>
      </c>
      <c r="C424">
        <v>0.156</v>
      </c>
    </row>
    <row r="425" spans="2:3" x14ac:dyDescent="0.2">
      <c r="B425">
        <v>0.133284229339204</v>
      </c>
      <c r="C425">
        <v>0.154</v>
      </c>
    </row>
    <row r="426" spans="2:3" x14ac:dyDescent="0.2">
      <c r="B426">
        <v>0.12849942292456801</v>
      </c>
      <c r="C426">
        <v>0.152</v>
      </c>
    </row>
    <row r="427" spans="2:3" x14ac:dyDescent="0.2">
      <c r="B427">
        <v>0.126966797117326</v>
      </c>
      <c r="C427">
        <v>0.15</v>
      </c>
    </row>
    <row r="428" spans="2:3" x14ac:dyDescent="0.2">
      <c r="B428">
        <v>0.12679286937901299</v>
      </c>
      <c r="C428">
        <v>0.14799999999999999</v>
      </c>
    </row>
    <row r="429" spans="2:3" x14ac:dyDescent="0.2">
      <c r="B429">
        <v>0.12607579115230988</v>
      </c>
      <c r="C429">
        <v>0.14599999999999999</v>
      </c>
    </row>
    <row r="430" spans="2:3" x14ac:dyDescent="0.2">
      <c r="B430">
        <v>0.124117824552295</v>
      </c>
      <c r="C430">
        <v>0.14399999999999999</v>
      </c>
    </row>
    <row r="431" spans="2:3" x14ac:dyDescent="0.2">
      <c r="B431">
        <v>0.12150718637851</v>
      </c>
      <c r="C431">
        <v>0.14199999999999999</v>
      </c>
    </row>
    <row r="432" spans="2:3" x14ac:dyDescent="0.2">
      <c r="B432">
        <v>0.12128868058079</v>
      </c>
      <c r="C432">
        <v>0.14000000000000001</v>
      </c>
    </row>
    <row r="433" spans="2:3" x14ac:dyDescent="0.2">
      <c r="B433">
        <v>0.12079109155217191</v>
      </c>
      <c r="C433">
        <v>0.13800000000000001</v>
      </c>
    </row>
    <row r="434" spans="2:3" x14ac:dyDescent="0.2">
      <c r="B434">
        <v>0.119344099873414</v>
      </c>
      <c r="C434">
        <v>0.13600000000000001</v>
      </c>
    </row>
    <row r="435" spans="2:3" x14ac:dyDescent="0.2">
      <c r="B435">
        <v>0.11862403607328011</v>
      </c>
      <c r="C435">
        <v>0.13400000000000001</v>
      </c>
    </row>
    <row r="436" spans="2:3" x14ac:dyDescent="0.2">
      <c r="B436">
        <v>0.11810740041798801</v>
      </c>
      <c r="C436">
        <v>0.13200000000000001</v>
      </c>
    </row>
    <row r="437" spans="2:3" x14ac:dyDescent="0.2">
      <c r="B437">
        <v>0.116884159656395</v>
      </c>
      <c r="C437">
        <v>0.13</v>
      </c>
    </row>
    <row r="438" spans="2:3" x14ac:dyDescent="0.2">
      <c r="B438">
        <v>0.115320008325875</v>
      </c>
      <c r="C438">
        <v>0.128</v>
      </c>
    </row>
    <row r="439" spans="2:3" x14ac:dyDescent="0.2">
      <c r="B439">
        <v>0.11006336695574911</v>
      </c>
      <c r="C439">
        <v>0.126</v>
      </c>
    </row>
    <row r="440" spans="2:3" x14ac:dyDescent="0.2">
      <c r="B440">
        <v>0.1086057793760245</v>
      </c>
      <c r="C440">
        <v>0.124</v>
      </c>
    </row>
    <row r="441" spans="2:3" x14ac:dyDescent="0.2">
      <c r="B441">
        <v>0.101236821811999</v>
      </c>
      <c r="C441">
        <v>0.122</v>
      </c>
    </row>
    <row r="442" spans="2:3" x14ac:dyDescent="0.2">
      <c r="B442">
        <v>9.9870307406606101E-2</v>
      </c>
      <c r="C442">
        <v>0.12</v>
      </c>
    </row>
    <row r="443" spans="2:3" x14ac:dyDescent="0.2">
      <c r="B443">
        <v>9.9580936557146102E-2</v>
      </c>
      <c r="C443">
        <v>0.11799999999999999</v>
      </c>
    </row>
    <row r="444" spans="2:3" x14ac:dyDescent="0.2">
      <c r="B444">
        <v>9.9402818561252299E-2</v>
      </c>
      <c r="C444">
        <v>0.11600000000000001</v>
      </c>
    </row>
    <row r="445" spans="2:3" x14ac:dyDescent="0.2">
      <c r="B445">
        <v>9.8717662435871295E-2</v>
      </c>
      <c r="C445">
        <v>0.114</v>
      </c>
    </row>
    <row r="446" spans="2:3" x14ac:dyDescent="0.2">
      <c r="B446">
        <v>9.6105035165991601E-2</v>
      </c>
      <c r="C446">
        <v>0.112</v>
      </c>
    </row>
    <row r="447" spans="2:3" x14ac:dyDescent="0.2">
      <c r="B447">
        <v>9.4307484916407308E-2</v>
      </c>
      <c r="C447">
        <v>0.11</v>
      </c>
    </row>
    <row r="448" spans="2:3" x14ac:dyDescent="0.2">
      <c r="B448">
        <v>9.0290606979493704E-2</v>
      </c>
      <c r="C448">
        <v>0.108</v>
      </c>
    </row>
    <row r="449" spans="2:3" x14ac:dyDescent="0.2">
      <c r="B449">
        <v>8.8992199025072494E-2</v>
      </c>
      <c r="C449">
        <v>0.106</v>
      </c>
    </row>
    <row r="450" spans="2:3" x14ac:dyDescent="0.2">
      <c r="B450">
        <v>8.7803656041641198E-2</v>
      </c>
      <c r="C450">
        <v>0.104</v>
      </c>
    </row>
    <row r="451" spans="2:3" x14ac:dyDescent="0.2">
      <c r="B451">
        <v>8.7781324178071302E-2</v>
      </c>
      <c r="C451">
        <v>0.10199999999999999</v>
      </c>
    </row>
    <row r="452" spans="2:3" x14ac:dyDescent="0.2">
      <c r="B452">
        <v>8.1220119373863101E-2</v>
      </c>
      <c r="C452">
        <v>0.1</v>
      </c>
    </row>
    <row r="453" spans="2:3" x14ac:dyDescent="0.2">
      <c r="B453">
        <v>8.0704650938914393E-2</v>
      </c>
      <c r="C453">
        <v>9.8000000000000004E-2</v>
      </c>
    </row>
    <row r="454" spans="2:3" x14ac:dyDescent="0.2">
      <c r="B454">
        <v>7.7982323282860602E-2</v>
      </c>
      <c r="C454">
        <v>9.6000000000000002E-2</v>
      </c>
    </row>
    <row r="455" spans="2:3" x14ac:dyDescent="0.2">
      <c r="B455">
        <v>7.7815501759205902E-2</v>
      </c>
      <c r="C455">
        <v>9.4E-2</v>
      </c>
    </row>
    <row r="456" spans="2:3" x14ac:dyDescent="0.2">
      <c r="B456">
        <v>7.4066375877259893E-2</v>
      </c>
      <c r="C456">
        <v>9.1999999999999998E-2</v>
      </c>
    </row>
    <row r="457" spans="2:3" x14ac:dyDescent="0.2">
      <c r="B457">
        <v>7.3369851716293705E-2</v>
      </c>
      <c r="C457">
        <v>0.09</v>
      </c>
    </row>
    <row r="458" spans="2:3" x14ac:dyDescent="0.2">
      <c r="B458">
        <v>6.4034293213933002E-2</v>
      </c>
      <c r="C458">
        <v>8.7999999999999995E-2</v>
      </c>
    </row>
    <row r="459" spans="2:3" x14ac:dyDescent="0.2">
      <c r="B459">
        <v>6.1633401820854403E-2</v>
      </c>
      <c r="C459">
        <v>8.5999999999999993E-2</v>
      </c>
    </row>
    <row r="460" spans="2:3" x14ac:dyDescent="0.2">
      <c r="B460">
        <v>6.1097398103100997E-2</v>
      </c>
      <c r="C460">
        <v>8.4000000000000005E-2</v>
      </c>
    </row>
    <row r="461" spans="2:3" x14ac:dyDescent="0.2">
      <c r="B461">
        <v>5.8351847051244202E-2</v>
      </c>
      <c r="C461">
        <v>8.2000000000000003E-2</v>
      </c>
    </row>
    <row r="462" spans="2:3" x14ac:dyDescent="0.2">
      <c r="B462">
        <v>5.7223226766352699E-2</v>
      </c>
      <c r="C462">
        <v>0.08</v>
      </c>
    </row>
    <row r="463" spans="2:3" x14ac:dyDescent="0.2">
      <c r="B463">
        <v>5.5979664048979201E-2</v>
      </c>
      <c r="C463">
        <v>7.8E-2</v>
      </c>
    </row>
    <row r="464" spans="2:3" x14ac:dyDescent="0.2">
      <c r="B464">
        <v>5.3216756785121597E-2</v>
      </c>
      <c r="C464">
        <v>7.5999999999999998E-2</v>
      </c>
    </row>
    <row r="465" spans="2:3" x14ac:dyDescent="0.2">
      <c r="B465">
        <v>4.74081726235989E-2</v>
      </c>
      <c r="C465">
        <v>7.3999999999999996E-2</v>
      </c>
    </row>
    <row r="466" spans="2:3" x14ac:dyDescent="0.2">
      <c r="B466">
        <v>4.72128236364271E-2</v>
      </c>
      <c r="C466">
        <v>7.1999999999999995E-2</v>
      </c>
    </row>
    <row r="467" spans="2:3" x14ac:dyDescent="0.2">
      <c r="B467">
        <v>4.0655198771845202E-2</v>
      </c>
      <c r="C467">
        <v>7.0000000000000007E-2</v>
      </c>
    </row>
    <row r="468" spans="2:3" x14ac:dyDescent="0.2">
      <c r="B468">
        <v>2.6908286195217401E-2</v>
      </c>
      <c r="C468">
        <v>6.8000000000000005E-2</v>
      </c>
    </row>
    <row r="469" spans="2:3" x14ac:dyDescent="0.2">
      <c r="B469">
        <v>2.5244603520247901E-2</v>
      </c>
      <c r="C469">
        <v>6.6000000000000003E-2</v>
      </c>
    </row>
    <row r="470" spans="2:3" x14ac:dyDescent="0.2">
      <c r="B470">
        <v>2.1495257316331898E-2</v>
      </c>
      <c r="C470">
        <v>6.4000000000000001E-2</v>
      </c>
    </row>
    <row r="471" spans="2:3" x14ac:dyDescent="0.2">
      <c r="B471">
        <v>2.03271673378351E-2</v>
      </c>
      <c r="C471">
        <v>6.2E-2</v>
      </c>
    </row>
    <row r="472" spans="2:3" x14ac:dyDescent="0.2">
      <c r="B472">
        <v>1.1696701302718601E-2</v>
      </c>
      <c r="C472">
        <v>0.06</v>
      </c>
    </row>
    <row r="473" spans="2:3" x14ac:dyDescent="0.2">
      <c r="B473">
        <v>8.3137919278832399E-3</v>
      </c>
      <c r="C473">
        <v>5.8000000000000003E-2</v>
      </c>
    </row>
    <row r="474" spans="2:3" x14ac:dyDescent="0.2">
      <c r="B474">
        <v>8.0602358092400697E-3</v>
      </c>
      <c r="C474">
        <v>5.6000000000000001E-2</v>
      </c>
    </row>
    <row r="475" spans="2:3" x14ac:dyDescent="0.2">
      <c r="B475">
        <v>0</v>
      </c>
      <c r="C475">
        <v>5.3999999999999999E-2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Dashboard</vt:lpstr>
      <vt:lpstr>Settings</vt:lpstr>
      <vt:lpstr>PolicyLosses</vt:lpstr>
      <vt:lpstr>claimSimResults</vt:lpstr>
      <vt:lpstr>SeverityCDF</vt:lpstr>
      <vt:lpstr>PolicyLossCDF</vt:lpstr>
      <vt:lpstr>ClaimsByPolicy</vt:lpstr>
      <vt:lpstr>claimSimResultsCsvPath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Rscript_path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cp:lastPrinted>2025-02-17T00:57:18Z</cp:lastPrinted>
  <dcterms:created xsi:type="dcterms:W3CDTF">2025-02-08T20:16:04Z</dcterms:created>
  <dcterms:modified xsi:type="dcterms:W3CDTF">2025-02-20T00:47:16Z</dcterms:modified>
</cp:coreProperties>
</file>