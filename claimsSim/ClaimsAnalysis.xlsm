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ergtho/Desktop/portfolio/claimsSim/"/>
    </mc:Choice>
  </mc:AlternateContent>
  <xr:revisionPtr revIDLastSave="0" documentId="13_ncr:1_{2EA17DC4-2FD1-CA4F-A93D-CC214683C900}" xr6:coauthVersionLast="47" xr6:coauthVersionMax="47" xr10:uidLastSave="{00000000-0000-0000-0000-000000000000}"/>
  <bookViews>
    <workbookView xWindow="900" yWindow="500" windowWidth="32700" windowHeight="20500" xr2:uid="{4BF5421F-6D43-8944-9C24-E443344B4663}"/>
  </bookViews>
  <sheets>
    <sheet name="Dashboard" sheetId="1" r:id="rId1"/>
    <sheet name="Settings" sheetId="7" r:id="rId2"/>
    <sheet name="PolicyLosses" sheetId="13" state="hidden" r:id="rId3"/>
    <sheet name="claimSimResults" sheetId="6" state="hidden" r:id="rId4"/>
    <sheet name="SeverityCDF" sheetId="15" state="hidden" r:id="rId5"/>
    <sheet name="PolicyLossCDF" sheetId="16" state="hidden" r:id="rId6"/>
  </sheets>
  <functionGroups builtInGroupCount="19"/>
  <definedNames>
    <definedName name="_xlchart.v1.0" hidden="1">'claimSimResults'!$F$1</definedName>
    <definedName name="_xlchart.v1.1" hidden="1">'claimSimResults'!$F$2:$F$552</definedName>
    <definedName name="_xlchart.v1.2" hidden="1">PolicyLosses!$C$1</definedName>
    <definedName name="_xlchart.v1.3" hidden="1">PolicyLosses!$C$2:$C$501</definedName>
    <definedName name="_xleta.SUM" hidden="1" xlm="1">#NAME?</definedName>
    <definedName name="_xleta.VAR" hidden="1" xlm="1">#NAME?</definedName>
    <definedName name="_xleta.VAR.S" hidden="1" xlm="1">#NAME?</definedName>
    <definedName name="_xlpm.x" hidden="1" xlm="1">#NAME?</definedName>
    <definedName name="ClaimsByPolicy">'claimSimResults'!$J$7:$L$462</definedName>
    <definedName name="claimSimResults_" localSheetId="3" hidden="1">'claimSimResults'!$A$1:$F$552</definedName>
    <definedName name="ExternalData_3" localSheetId="2" hidden="1">PolicyLosses!$A$1:$C$501</definedName>
    <definedName name="frequency_distribution">Table2[Distribution]</definedName>
    <definedName name="frequency_lambda">Table2[lambda]</definedName>
    <definedName name="frequency_prob">Table2[p]</definedName>
    <definedName name="frequency_trials">Table2[trials]</definedName>
    <definedName name="max_claim_amount">Settings!$B$7</definedName>
    <definedName name="num_policies">Settings!$B$6</definedName>
    <definedName name="Rscript_path">Settings!$B$5</definedName>
    <definedName name="SevCDFValueRange">OFFSET(SeverityCDF!$C$4, 0, 0, COUNTA(SeverityCDF!$C:$C) - 1, 1)</definedName>
    <definedName name="SevClaimAmountRange">OFFSET(SeverityCDF!$B$4, 0, 0, COUNTA(SeverityCDF!$B:$B) - 1, 1)</definedName>
    <definedName name="severity_alpha">Table1[alpha]</definedName>
    <definedName name="severity_distribution">Table1[Distribution]</definedName>
    <definedName name="severity_mu">Table1[mu]</definedName>
    <definedName name="severity_sigma">Table1[sigma]</definedName>
    <definedName name="severity_theta">Table1[theta]</definedName>
    <definedName name="simCsvOutputPath">Settings!#REF!</definedName>
    <definedName name="simOutputCsvPath">Settings!#REF!</definedName>
    <definedName name="whoops">Settings!#REF!</definedName>
  </definedNames>
  <calcPr calcId="191029"/>
  <pivotCaches>
    <pivotCache cacheId="9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3" i="1" l="1"/>
  <c r="D33" i="1"/>
  <c r="D29" i="1"/>
  <c r="P8" i="1"/>
  <c r="P12" i="1"/>
  <c r="P33" i="1"/>
  <c r="P32" i="1"/>
  <c r="P29" i="1"/>
  <c r="D30" i="1"/>
  <c r="B2" i="16" a="1"/>
  <c r="B2" i="16" s="1"/>
  <c r="C2" i="16" s="1" a="1"/>
  <c r="C2" i="16" s="1"/>
  <c r="R29" i="1" a="1"/>
  <c r="R29" i="1" s="1"/>
  <c r="W30" i="1"/>
  <c r="W31" i="1"/>
  <c r="W32" i="1"/>
  <c r="W33" i="1"/>
  <c r="W29" i="1"/>
  <c r="P31" i="1"/>
  <c r="P30" i="1"/>
  <c r="P28" i="1"/>
  <c r="P9" i="1"/>
  <c r="P7" i="1"/>
  <c r="D31" i="1"/>
  <c r="F29" i="1" a="1"/>
  <c r="F29" i="1" s="1"/>
  <c r="B4" i="15" a="1"/>
  <c r="B4" i="15" s="1"/>
  <c r="P11" i="1"/>
  <c r="P10" i="1"/>
  <c r="D32" i="1"/>
  <c r="P17" i="1"/>
  <c r="P18" i="1"/>
  <c r="P19" i="1"/>
  <c r="P20" i="1"/>
  <c r="P16" i="1"/>
  <c r="K33" i="1"/>
  <c r="K32" i="1"/>
  <c r="K31" i="1"/>
  <c r="K30" i="1"/>
  <c r="K29" i="1"/>
  <c r="D28" i="1"/>
  <c r="C4" i="15" l="1" a="1"/>
  <c r="C4" i="1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BF4DAE-3765-6349-A262-E6ACA79B3F6B}" keepAlive="1" name="Query - claimSimResults" description="Connection to the 'claimSimResults' query in the workbook." type="5" refreshedVersion="8" refreshOnLoad="1" saveData="1">
    <dbPr connection="Provider=Microsoft.Mashup.OleDb.1;Data Source=$Workbook$;Location=claimSimResults;Extended Properties=&quot;&quot;" command="SELECT * FROM [claimSimResults]"/>
  </connection>
  <connection id="2" xr16:uid="{43E92657-0528-3A49-87B8-4AA2B7493C71}" keepAlive="1" name="Query - getSetting" description="Connection to the 'getSetting' query in the workbook." type="5" refreshedVersion="0" background="1">
    <dbPr connection="Provider=Microsoft.Mashup.OleDb.1;Data Source=$Workbook$;Location=getSetting;Extended Properties=&quot;&quot;" command="SELECT * FROM [getSetting]"/>
  </connection>
  <connection id="3" xr16:uid="{7E182DFB-1E7A-5E4A-9514-EBF46F3429F0}" keepAlive="1" name="Query - PolicyLevelAggregate" description="Connection to the 'PolicyLevelAggregate' query in the workbook." type="5" refreshedVersion="8" saveData="1">
    <dbPr connection="Provider=Microsoft.Mashup.OleDb.1;Data Source=$Workbook$;Location=PolicyLevelAggregate;Extended Properties=&quot;&quot;" command="SELECT * FROM [PolicyLevelAggregat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<sst xmlns="http://schemas.openxmlformats.org/spreadsheetml/2006/main" count="1187" uniqueCount="614">
  <si>
    <t>PolicyID</t>
  </si>
  <si>
    <t>ClaimAmount</t>
  </si>
  <si>
    <t>ClaimDate</t>
  </si>
  <si>
    <t>Distribution</t>
  </si>
  <si>
    <t>lambda</t>
  </si>
  <si>
    <t>p</t>
  </si>
  <si>
    <t>alpha</t>
  </si>
  <si>
    <t>theta</t>
  </si>
  <si>
    <t>mu</t>
  </si>
  <si>
    <t>sigma</t>
  </si>
  <si>
    <t>Rscript path</t>
  </si>
  <si>
    <t>/usr/local/bin/Rscript</t>
  </si>
  <si>
    <t>Setting</t>
  </si>
  <si>
    <t>Value</t>
  </si>
  <si>
    <t>Notes</t>
  </si>
  <si>
    <t>trials</t>
  </si>
  <si>
    <t>Distribution Summary</t>
  </si>
  <si>
    <t>Mean</t>
  </si>
  <si>
    <t>Standard Deviation</t>
  </si>
  <si>
    <t>Num Policies</t>
  </si>
  <si>
    <t>This is hardcoded in the simulate_claims.R, but in the future we should pass this to R</t>
  </si>
  <si>
    <t>Max Claim Amount</t>
  </si>
  <si>
    <t>Claims will be capped at this (10 million by default)</t>
  </si>
  <si>
    <t>ClaimAmountNumeric</t>
  </si>
  <si>
    <t>ValidClaimAmount</t>
  </si>
  <si>
    <t>CleanedClaimAmountText</t>
  </si>
  <si>
    <t>Users will need to enter this manually - Find with: "which Rscript", used to run the simulation script</t>
  </si>
  <si>
    <t>Grand Total</t>
  </si>
  <si>
    <t>ClaimCount</t>
  </si>
  <si>
    <t>NumberOfPolicies</t>
  </si>
  <si>
    <t>Claim Amount</t>
  </si>
  <si>
    <t>Empirical CDF of the claim amounts - sorted for a sanity check</t>
  </si>
  <si>
    <t>Min</t>
  </si>
  <si>
    <t>Max</t>
  </si>
  <si>
    <t>Total Claims</t>
  </si>
  <si>
    <t>Largest Claims</t>
  </si>
  <si>
    <t>TotalClaimAmount</t>
  </si>
  <si>
    <t xml:space="preserve"> </t>
  </si>
  <si>
    <t>Most Expensive Policies</t>
  </si>
  <si>
    <t>Total Loss</t>
  </si>
  <si>
    <t>Empirical CDF of policy losses - sorted for a sanity check</t>
  </si>
  <si>
    <t>Loss</t>
  </si>
  <si>
    <t>CDF(Loss)</t>
  </si>
  <si>
    <t>CDF(Amount)</t>
  </si>
  <si>
    <t>Claim Frequency</t>
  </si>
  <si>
    <t>Claim Severity</t>
  </si>
  <si>
    <t>Total Losses</t>
  </si>
  <si>
    <t>Policies With Claims</t>
  </si>
  <si>
    <t>Median</t>
  </si>
  <si>
    <t>Total Claims (Frequency)</t>
  </si>
  <si>
    <t>Total Losses (Severity)</t>
  </si>
  <si>
    <t>Amount</t>
  </si>
  <si>
    <t>Date</t>
  </si>
  <si>
    <t>Policy</t>
  </si>
  <si>
    <t>Claims</t>
  </si>
  <si>
    <t>Percentile</t>
  </si>
  <si>
    <t>Binomial</t>
  </si>
  <si>
    <t>Policy-Level Loss</t>
  </si>
  <si>
    <r>
      <rPr>
        <b/>
        <sz val="14"/>
        <color theme="1"/>
        <rFont val="Aptos Narrow"/>
        <scheme val="minor"/>
      </rPr>
      <t>Claim Frequency:</t>
    </r>
    <r>
      <rPr>
        <sz val="14"/>
        <color theme="1"/>
        <rFont val="Aptos Narrow"/>
        <scheme val="minor"/>
      </rPr>
      <t xml:space="preserve"> the distribution of the number of claims per policy</t>
    </r>
  </si>
  <si>
    <r>
      <rPr>
        <b/>
        <sz val="14"/>
        <color theme="1"/>
        <rFont val="Aptos Narrow"/>
        <scheme val="minor"/>
      </rPr>
      <t xml:space="preserve">Claim Severity: </t>
    </r>
    <r>
      <rPr>
        <sz val="14"/>
        <color theme="1"/>
        <rFont val="Aptos Narrow"/>
        <scheme val="minor"/>
      </rPr>
      <t>the distribution of claim amounts</t>
    </r>
  </si>
  <si>
    <r>
      <rPr>
        <b/>
        <sz val="14"/>
        <color theme="1"/>
        <rFont val="Aptos Narrow"/>
        <scheme val="minor"/>
      </rPr>
      <t xml:space="preserve">Policy-Level Loss: </t>
    </r>
    <r>
      <rPr>
        <sz val="14"/>
        <color theme="1"/>
        <rFont val="Aptos Narrow"/>
        <scheme val="minor"/>
      </rPr>
      <t>the distribution of total claim amounts by policy</t>
    </r>
  </si>
  <si>
    <t>Lognormal</t>
  </si>
  <si>
    <t>Choose your frequency and severity parameters, then click "Run Simulation"</t>
  </si>
  <si>
    <t>7138.02484699706</t>
  </si>
  <si>
    <t>4082.11660799937</t>
  </si>
  <si>
    <t>2664498.22202905</t>
  </si>
  <si>
    <t>342.155096773565</t>
  </si>
  <si>
    <t>146131.524360562</t>
  </si>
  <si>
    <t>15663.3726491768</t>
  </si>
  <si>
    <t>4613.06626061432</t>
  </si>
  <si>
    <t>88860.7004628142</t>
  </si>
  <si>
    <t>21407179.652235</t>
  </si>
  <si>
    <t>95534.3313639861</t>
  </si>
  <si>
    <t>113.342908634775</t>
  </si>
  <si>
    <t>382172.225025508</t>
  </si>
  <si>
    <t>277906.224049187</t>
  </si>
  <si>
    <t>395372.605950286</t>
  </si>
  <si>
    <t>335.015550651056</t>
  </si>
  <si>
    <t>281793.309711573</t>
  </si>
  <si>
    <t>27547.1271514983</t>
  </si>
  <si>
    <t>79578.5843584484</t>
  </si>
  <si>
    <t>148.053649876545</t>
  </si>
  <si>
    <t>1784.14962729162</t>
  </si>
  <si>
    <t>9927.31297917681</t>
  </si>
  <si>
    <t>808655.002152797</t>
  </si>
  <si>
    <t>12343.4241838481</t>
  </si>
  <si>
    <t>36468.208194553</t>
  </si>
  <si>
    <t>316593.20196569</t>
  </si>
  <si>
    <t>684052.07800533</t>
  </si>
  <si>
    <t>3895.57275712934</t>
  </si>
  <si>
    <t>26905.9468269371</t>
  </si>
  <si>
    <t>5959847.99260965</t>
  </si>
  <si>
    <t>6260.85272757121</t>
  </si>
  <si>
    <t>2576.72228569464</t>
  </si>
  <si>
    <t>2302.91984669144</t>
  </si>
  <si>
    <t>936.790959642846</t>
  </si>
  <si>
    <t>8412.78841259476</t>
  </si>
  <si>
    <t>52.3194662910532</t>
  </si>
  <si>
    <t>41603.5716742077</t>
  </si>
  <si>
    <t>9946408.15705038</t>
  </si>
  <si>
    <t>606898.235274932</t>
  </si>
  <si>
    <t>8590.75200979571</t>
  </si>
  <si>
    <t>496491.395445178</t>
  </si>
  <si>
    <t>4747.17715928129</t>
  </si>
  <si>
    <t>138012.305854196</t>
  </si>
  <si>
    <t>3448007.63221377</t>
  </si>
  <si>
    <t>44904.3889085393</t>
  </si>
  <si>
    <t>396.897133799406</t>
  </si>
  <si>
    <t>159925.105398776</t>
  </si>
  <si>
    <t>171311.114516957</t>
  </si>
  <si>
    <t>18352.7395390326</t>
  </si>
  <si>
    <t>189.110693283189</t>
  </si>
  <si>
    <t>6963.5851194586</t>
  </si>
  <si>
    <t>118628.379362471</t>
  </si>
  <si>
    <t>2100431.03031784</t>
  </si>
  <si>
    <t>68334.0815614188</t>
  </si>
  <si>
    <t>3936.95756775914</t>
  </si>
  <si>
    <t>42686.8628474404</t>
  </si>
  <si>
    <t>391216.397969197</t>
  </si>
  <si>
    <t>26057.2208269493</t>
  </si>
  <si>
    <t>18845.9682009939</t>
  </si>
  <si>
    <t>29672.7021396342</t>
  </si>
  <si>
    <t>41314.0457788378</t>
  </si>
  <si>
    <t>441.969689754062</t>
  </si>
  <si>
    <t>3200.904837357</t>
  </si>
  <si>
    <t>581572.323809397</t>
  </si>
  <si>
    <t>75681.5558546227</t>
  </si>
  <si>
    <t>9123.50904376508</t>
  </si>
  <si>
    <t>49346353.8485679</t>
  </si>
  <si>
    <t>124207.127757468</t>
  </si>
  <si>
    <t>665086.087851095</t>
  </si>
  <si>
    <t>256011.67787545</t>
  </si>
  <si>
    <t>693380.866247364</t>
  </si>
  <si>
    <t>1635700.3885295</t>
  </si>
  <si>
    <t>5524.15173983333</t>
  </si>
  <si>
    <t>46143.3628934819</t>
  </si>
  <si>
    <t>262010.429257607</t>
  </si>
  <si>
    <t>3757.67947311176</t>
  </si>
  <si>
    <t>272.796572321455</t>
  </si>
  <si>
    <t>21101.0432316297</t>
  </si>
  <si>
    <t>102.427608262777</t>
  </si>
  <si>
    <t>19274.486334868</t>
  </si>
  <si>
    <t>929.780811855396</t>
  </si>
  <si>
    <t>91894.8102377849</t>
  </si>
  <si>
    <t>86570.0515377004</t>
  </si>
  <si>
    <t>2933.27414541654</t>
  </si>
  <si>
    <t>62212.4773231752</t>
  </si>
  <si>
    <t>341126.517741624</t>
  </si>
  <si>
    <t>72525.0704606825</t>
  </si>
  <si>
    <t>42.9637366351959</t>
  </si>
  <si>
    <t>1358475.71112779</t>
  </si>
  <si>
    <t>20342.9357299407</t>
  </si>
  <si>
    <t>501.674430032854</t>
  </si>
  <si>
    <t>3174.71834073103</t>
  </si>
  <si>
    <t>144.866442392908</t>
  </si>
  <si>
    <t>5859431.97621141</t>
  </si>
  <si>
    <t>155.766854939832</t>
  </si>
  <si>
    <t>796292.299283933</t>
  </si>
  <si>
    <t>852.597369701772</t>
  </si>
  <si>
    <t>35089.4784892975</t>
  </si>
  <si>
    <t>5030.35445377212</t>
  </si>
  <si>
    <t>15242.9749528147</t>
  </si>
  <si>
    <t>143548.786868938</t>
  </si>
  <si>
    <t>127518.822083312</t>
  </si>
  <si>
    <t>109775.925096982</t>
  </si>
  <si>
    <t>449.291520779449</t>
  </si>
  <si>
    <t>146715.737023038</t>
  </si>
  <si>
    <t>3279.30580503876</t>
  </si>
  <si>
    <t>2551.92010215663</t>
  </si>
  <si>
    <t>5704.34890228579</t>
  </si>
  <si>
    <t>13588.8843274549</t>
  </si>
  <si>
    <t>294.264806772425</t>
  </si>
  <si>
    <t>124.988872555594</t>
  </si>
  <si>
    <t>3529.65004038677</t>
  </si>
  <si>
    <t>23336.5906959751</t>
  </si>
  <si>
    <t>1254.842243184</t>
  </si>
  <si>
    <t>570532.417471313</t>
  </si>
  <si>
    <t>100189.113415101</t>
  </si>
  <si>
    <t>965.405844434427</t>
  </si>
  <si>
    <t>2497777.60004834</t>
  </si>
  <si>
    <t>2236.13666180193</t>
  </si>
  <si>
    <t>31277.1409593915</t>
  </si>
  <si>
    <t>181838.588985514</t>
  </si>
  <si>
    <t>1609134.51414481</t>
  </si>
  <si>
    <t>41483.4558445311</t>
  </si>
  <si>
    <t>23982.8888552786</t>
  </si>
  <si>
    <t>271.610932378148</t>
  </si>
  <si>
    <t>615894.702199617</t>
  </si>
  <si>
    <t>4129060.36059979</t>
  </si>
  <si>
    <t>9086.33210872727</t>
  </si>
  <si>
    <t>123.16205735894</t>
  </si>
  <si>
    <t>104350.561942896</t>
  </si>
  <si>
    <t>33272.8529146731</t>
  </si>
  <si>
    <t>234889.94175896</t>
  </si>
  <si>
    <t>45790.5242356725</t>
  </si>
  <si>
    <t>26781.3705951079</t>
  </si>
  <si>
    <t>643712.989639045</t>
  </si>
  <si>
    <t>10742.3086019004</t>
  </si>
  <si>
    <t>11589.7490063173</t>
  </si>
  <si>
    <t>8279.75222557384</t>
  </si>
  <si>
    <t>67441.3740863971</t>
  </si>
  <si>
    <t>23420.1519593688</t>
  </si>
  <si>
    <t>37230.0268514984</t>
  </si>
  <si>
    <t>18718.3757241561</t>
  </si>
  <si>
    <t>3931.65738901835</t>
  </si>
  <si>
    <t>13.8456557766029</t>
  </si>
  <si>
    <t>16036.8984146178</t>
  </si>
  <si>
    <t>1069018.73805542</t>
  </si>
  <si>
    <t>1024.82875541026</t>
  </si>
  <si>
    <t>374.564052066518</t>
  </si>
  <si>
    <t>10314.1527899977</t>
  </si>
  <si>
    <t>65666.4921914302</t>
  </si>
  <si>
    <t>115436.184679612</t>
  </si>
  <si>
    <t>1117.56135267565</t>
  </si>
  <si>
    <t>479430.954535269</t>
  </si>
  <si>
    <t>14060.8124091363</t>
  </si>
  <si>
    <t>6439.8258167799</t>
  </si>
  <si>
    <t>34556.8265232523</t>
  </si>
  <si>
    <t>17367.655433867</t>
  </si>
  <si>
    <t>42127.5679234447</t>
  </si>
  <si>
    <t>310952.514556387</t>
  </si>
  <si>
    <t>3465.77818692396</t>
  </si>
  <si>
    <t>2429.89237258434</t>
  </si>
  <si>
    <t>55829.1246724356</t>
  </si>
  <si>
    <t>34525.5118478328</t>
  </si>
  <si>
    <t>401034.116211414</t>
  </si>
  <si>
    <t>25847.7958758293</t>
  </si>
  <si>
    <t>298.738914740151</t>
  </si>
  <si>
    <t>33065769.2005792</t>
  </si>
  <si>
    <t>370939.897626701</t>
  </si>
  <si>
    <t>3713.19820543508</t>
  </si>
  <si>
    <t>4124.20792832613</t>
  </si>
  <si>
    <t>1304.23964891097</t>
  </si>
  <si>
    <t>8133.14674629592</t>
  </si>
  <si>
    <t>814.637839378731</t>
  </si>
  <si>
    <t>726330.315119642</t>
  </si>
  <si>
    <t>64638.6087090739</t>
  </si>
  <si>
    <t>1287.40337896514</t>
  </si>
  <si>
    <t>3564.15134177187</t>
  </si>
  <si>
    <t>18967.670304977</t>
  </si>
  <si>
    <t>604.337564108748</t>
  </si>
  <si>
    <t>178260.17170287</t>
  </si>
  <si>
    <t>277815.561381117</t>
  </si>
  <si>
    <t>616697.714285128</t>
  </si>
  <si>
    <t>2203576.87515133</t>
  </si>
  <si>
    <t>76248.1852334231</t>
  </si>
  <si>
    <t>4533.38632181419</t>
  </si>
  <si>
    <t>3331.78598803251</t>
  </si>
  <si>
    <t>1805.27688590346</t>
  </si>
  <si>
    <t>197.43973882539</t>
  </si>
  <si>
    <t>35932.9233491312</t>
  </si>
  <si>
    <t>341966.330272579</t>
  </si>
  <si>
    <t>170519.398781513</t>
  </si>
  <si>
    <t>3186.53439898241</t>
  </si>
  <si>
    <t>3427467.74327522</t>
  </si>
  <si>
    <t>58858.6542698783</t>
  </si>
  <si>
    <t>46778.4849344677</t>
  </si>
  <si>
    <t>27350.7781019979</t>
  </si>
  <si>
    <t>522345.06994418</t>
  </si>
  <si>
    <t>1906.85538027529</t>
  </si>
  <si>
    <t>277.845084359325</t>
  </si>
  <si>
    <t>4076.99639857855</t>
  </si>
  <si>
    <t>10446.6349310205</t>
  </si>
  <si>
    <t>2099.49607989412</t>
  </si>
  <si>
    <t>10082.4748991664</t>
  </si>
  <si>
    <t>61978.9324454791</t>
  </si>
  <si>
    <t>9343.75728488324</t>
  </si>
  <si>
    <t>45055.5689710492</t>
  </si>
  <si>
    <t>33373.1038030949</t>
  </si>
  <si>
    <t>1674.0695959948</t>
  </si>
  <si>
    <t>5837029.53788376</t>
  </si>
  <si>
    <t>20291.5353605686</t>
  </si>
  <si>
    <t>20609965.169848</t>
  </si>
  <si>
    <t>235898.29356901</t>
  </si>
  <si>
    <t>211847214.751039</t>
  </si>
  <si>
    <t>23370.4563185409</t>
  </si>
  <si>
    <t>1724.7141316504</t>
  </si>
  <si>
    <t>26001.2485802731</t>
  </si>
  <si>
    <t>819286.683771255</t>
  </si>
  <si>
    <t>2308.56377306506</t>
  </si>
  <si>
    <t>3750.65048494065</t>
  </si>
  <si>
    <t>2903.15433106333</t>
  </si>
  <si>
    <t>109719.597862474</t>
  </si>
  <si>
    <t>5494.58406271977</t>
  </si>
  <si>
    <t>14029.7000308109</t>
  </si>
  <si>
    <t>1594.36938560547</t>
  </si>
  <si>
    <t>370829.408386642</t>
  </si>
  <si>
    <t>906.423177977705</t>
  </si>
  <si>
    <t>342.356590857858</t>
  </si>
  <si>
    <t>84.2075881931052</t>
  </si>
  <si>
    <t>55864.8560473232</t>
  </si>
  <si>
    <t>379.364313543135</t>
  </si>
  <si>
    <t>36315.109093107</t>
  </si>
  <si>
    <t>33242.9007636499</t>
  </si>
  <si>
    <t>49672.1786807828</t>
  </si>
  <si>
    <t>3695.22247205244</t>
  </si>
  <si>
    <t>31937.1704909283</t>
  </si>
  <si>
    <t>1821.77288394862</t>
  </si>
  <si>
    <t>4700.47022860507</t>
  </si>
  <si>
    <t>37118.0733002521</t>
  </si>
  <si>
    <t>30380.9553110421</t>
  </si>
  <si>
    <t>136808.447802183</t>
  </si>
  <si>
    <t>93141.6563316632</t>
  </si>
  <si>
    <t>7882.8337197694</t>
  </si>
  <si>
    <t>110796.016037423</t>
  </si>
  <si>
    <t>221273.967566395</t>
  </si>
  <si>
    <t>293885.437635256</t>
  </si>
  <si>
    <t>7342.15714043386</t>
  </si>
  <si>
    <t>20227.8335961132</t>
  </si>
  <si>
    <t>65329.4463517031</t>
  </si>
  <si>
    <t>40810.0488475617</t>
  </si>
  <si>
    <t>1263.79649314391</t>
  </si>
  <si>
    <t>28615.8379449844</t>
  </si>
  <si>
    <t>9115.34028223489</t>
  </si>
  <si>
    <t>72658.5701107421</t>
  </si>
  <si>
    <t>28963.8028124847</t>
  </si>
  <si>
    <t>61.2446931574664</t>
  </si>
  <si>
    <t>323113.073174271</t>
  </si>
  <si>
    <t>69349.5840327443</t>
  </si>
  <si>
    <t>419298.773301516</t>
  </si>
  <si>
    <t>42128.0626308353</t>
  </si>
  <si>
    <t>1398.47139517925</t>
  </si>
  <si>
    <t>93981.4406171165</t>
  </si>
  <si>
    <t>51872.4589190444</t>
  </si>
  <si>
    <t>775730.489856711</t>
  </si>
  <si>
    <t>786072.106325286</t>
  </si>
  <si>
    <t>212.017828765678</t>
  </si>
  <si>
    <t>88255.8155561298</t>
  </si>
  <si>
    <t>16442.8539205259</t>
  </si>
  <si>
    <t>173.795901377041</t>
  </si>
  <si>
    <t>216.734431074902</t>
  </si>
  <si>
    <t>180129.91352993</t>
  </si>
  <si>
    <t>2896973.22720073</t>
  </si>
  <si>
    <t>1553554.19962887</t>
  </si>
  <si>
    <t>1128.35911026082</t>
  </si>
  <si>
    <t>5082.31073961928</t>
  </si>
  <si>
    <t>531408.20885288</t>
  </si>
  <si>
    <t>11631.3016855498</t>
  </si>
  <si>
    <t>13791061.7260908</t>
  </si>
  <si>
    <t>4581.82911685947</t>
  </si>
  <si>
    <t>9301.93386946953</t>
  </si>
  <si>
    <t>67489.2970792321</t>
  </si>
  <si>
    <t>967.756123626154</t>
  </si>
  <si>
    <t>21756.3245884454</t>
  </si>
  <si>
    <t>224.094627412983</t>
  </si>
  <si>
    <t>3511.38630144652</t>
  </si>
  <si>
    <t>119563.414027127</t>
  </si>
  <si>
    <t>269655.998215761</t>
  </si>
  <si>
    <t>637.504877193156</t>
  </si>
  <si>
    <t>309754.840589333</t>
  </si>
  <si>
    <t>64.6538267991344</t>
  </si>
  <si>
    <t>18617.0324060686</t>
  </si>
  <si>
    <t>237.757295227975</t>
  </si>
  <si>
    <t>9979.85814321953</t>
  </si>
  <si>
    <t>377495.653281867</t>
  </si>
  <si>
    <t>574.669691413564</t>
  </si>
  <si>
    <t>161659.5065812</t>
  </si>
  <si>
    <t>41033.4748432433</t>
  </si>
  <si>
    <t>193721.225783982</t>
  </si>
  <si>
    <t>67773.7820703431</t>
  </si>
  <si>
    <t>19224670.4539026</t>
  </si>
  <si>
    <t>102171.930265869</t>
  </si>
  <si>
    <t>41851.1242320336</t>
  </si>
  <si>
    <t>15349.198338283</t>
  </si>
  <si>
    <t>2233.60298054334</t>
  </si>
  <si>
    <t>8840.39294768209</t>
  </si>
  <si>
    <t>1606.86506287098</t>
  </si>
  <si>
    <t>140042.811662238</t>
  </si>
  <si>
    <t>66584.4385641281</t>
  </si>
  <si>
    <t>401746.925114263</t>
  </si>
  <si>
    <t>11216.2195844357</t>
  </si>
  <si>
    <t>8386.02778890941</t>
  </si>
  <si>
    <t>209311.399462795</t>
  </si>
  <si>
    <t>3743.07985564968</t>
  </si>
  <si>
    <t>12562.2434691579</t>
  </si>
  <si>
    <t>21759.7680118078</t>
  </si>
  <si>
    <t>9553.2618020165</t>
  </si>
  <si>
    <t>9535.56229174885</t>
  </si>
  <si>
    <t>252761.370304091</t>
  </si>
  <si>
    <t>22205.0492055387</t>
  </si>
  <si>
    <t>988703.936397054</t>
  </si>
  <si>
    <t>68.9295558618038</t>
  </si>
  <si>
    <t>7434.40468285087</t>
  </si>
  <si>
    <t>3098.46010185624</t>
  </si>
  <si>
    <t>71911.001558324</t>
  </si>
  <si>
    <t>314974.546974728</t>
  </si>
  <si>
    <t>9595.00956629269</t>
  </si>
  <si>
    <t>6856.60011197465</t>
  </si>
  <si>
    <t>44567.0365768905</t>
  </si>
  <si>
    <t>297.663786637361</t>
  </si>
  <si>
    <t>345473.864518985</t>
  </si>
  <si>
    <t>729.56004662563</t>
  </si>
  <si>
    <t>17516.9446762437</t>
  </si>
  <si>
    <t>20405590.5489534</t>
  </si>
  <si>
    <t>50460.5234854695</t>
  </si>
  <si>
    <t>11.8965280067601</t>
  </si>
  <si>
    <t>191625.161462853</t>
  </si>
  <si>
    <t>1528.030730987</t>
  </si>
  <si>
    <t>921255.216176413</t>
  </si>
  <si>
    <t>72513.5737543504</t>
  </si>
  <si>
    <t>901639.542308314</t>
  </si>
  <si>
    <t>551.720439241702</t>
  </si>
  <si>
    <t>2570375.83205894</t>
  </si>
  <si>
    <t>235497.073465074</t>
  </si>
  <si>
    <t>468.809720020238</t>
  </si>
  <si>
    <t>7294.98405069336</t>
  </si>
  <si>
    <t>25883.0553854245</t>
  </si>
  <si>
    <t>809299.865227186</t>
  </si>
  <si>
    <t>104.246313481804</t>
  </si>
  <si>
    <t>235244.236662714</t>
  </si>
  <si>
    <t>2083316.81679756</t>
  </si>
  <si>
    <t>51618.5673472745</t>
  </si>
  <si>
    <t>159396.155683852</t>
  </si>
  <si>
    <t>26072.7124957339</t>
  </si>
  <si>
    <t>54028.1621019537</t>
  </si>
  <si>
    <t>5832.95663206827</t>
  </si>
  <si>
    <t>26708.3270391214</t>
  </si>
  <si>
    <t>154720.509149303</t>
  </si>
  <si>
    <t>3194.85773654931</t>
  </si>
  <si>
    <t>506822.940547923</t>
  </si>
  <si>
    <t>20149.1641847698</t>
  </si>
  <si>
    <t>118990.868780099</t>
  </si>
  <si>
    <t>122351.254499879</t>
  </si>
  <si>
    <t>23267792.6358248</t>
  </si>
  <si>
    <t>276.843331709735</t>
  </si>
  <si>
    <t>7686.6975153654</t>
  </si>
  <si>
    <t>2872989.32705254</t>
  </si>
  <si>
    <t>33771.5933993193</t>
  </si>
  <si>
    <t>223227.525246433</t>
  </si>
  <si>
    <t>1710.33796524931</t>
  </si>
  <si>
    <t>83.0395730033706</t>
  </si>
  <si>
    <t>47558.8345435231</t>
  </si>
  <si>
    <t>3262396.80663371</t>
  </si>
  <si>
    <t>5919999.06110946</t>
  </si>
  <si>
    <t>10.4413906243249</t>
  </si>
  <si>
    <t>1888585.06954881</t>
  </si>
  <si>
    <t>241060.19974872</t>
  </si>
  <si>
    <t>5552721.71010299</t>
  </si>
  <si>
    <t>14829.5229176164</t>
  </si>
  <si>
    <t>41.2739042863872</t>
  </si>
  <si>
    <t>12637.1161855966</t>
  </si>
  <si>
    <t>111731.330143028</t>
  </si>
  <si>
    <t>86861.6580678794</t>
  </si>
  <si>
    <t>2222.04219293584</t>
  </si>
  <si>
    <t>17840.357990194</t>
  </si>
  <si>
    <t>3570.28281364386</t>
  </si>
  <si>
    <t>8027.96116897829</t>
  </si>
  <si>
    <t>2689.17346484068</t>
  </si>
  <si>
    <t>45394.1171529072</t>
  </si>
  <si>
    <t>67066.7639629903</t>
  </si>
  <si>
    <t>23796.9590405171</t>
  </si>
  <si>
    <t>2050.94996742761</t>
  </si>
  <si>
    <t>158.448993910679</t>
  </si>
  <si>
    <t>570261.91028954</t>
  </si>
  <si>
    <t>3382.25382756681</t>
  </si>
  <si>
    <t>17042.7584248584</t>
  </si>
  <si>
    <t>15025.23169615</t>
  </si>
  <si>
    <t>10829.5817767451</t>
  </si>
  <si>
    <t>29814.7816202766</t>
  </si>
  <si>
    <t>201726.238183866</t>
  </si>
  <si>
    <t>1684512.43414005</t>
  </si>
  <si>
    <t>68.3447154724307</t>
  </si>
  <si>
    <t>2623736.10474593</t>
  </si>
  <si>
    <t>6361.07336943299</t>
  </si>
  <si>
    <t>19739.7240445914</t>
  </si>
  <si>
    <t>2517.20089573792</t>
  </si>
  <si>
    <t>16540.0043018452</t>
  </si>
  <si>
    <t>38416347.0602099</t>
  </si>
  <si>
    <t>2254170.70047656</t>
  </si>
  <si>
    <t>392.788234900715</t>
  </si>
  <si>
    <t>2244.58106607197</t>
  </si>
  <si>
    <t>21308.5250896053</t>
  </si>
  <si>
    <t>3919.60858167899</t>
  </si>
  <si>
    <t>2534.31612014735</t>
  </si>
  <si>
    <t>832.512678901222</t>
  </si>
  <si>
    <t>512604.504115975</t>
  </si>
  <si>
    <t>2790.26185320807</t>
  </si>
  <si>
    <t>1748.03873292192</t>
  </si>
  <si>
    <t>47877.709289401</t>
  </si>
  <si>
    <t>145290.532531686</t>
  </si>
  <si>
    <t>34134.118307342</t>
  </si>
  <si>
    <t>28836.7937227371</t>
  </si>
  <si>
    <t>3631.2609703286</t>
  </si>
  <si>
    <t>44395.8307626701</t>
  </si>
  <si>
    <t>64007.9667385839</t>
  </si>
  <si>
    <t>42707.6727560619</t>
  </si>
  <si>
    <t>55901.7095868712</t>
  </si>
  <si>
    <t>231541.091371755</t>
  </si>
  <si>
    <t>21878.7119352064</t>
  </si>
  <si>
    <t>25341.5490480678</t>
  </si>
  <si>
    <t>27154.5172489999</t>
  </si>
  <si>
    <t>86.0201588473805</t>
  </si>
  <si>
    <t>17455.0293259476</t>
  </si>
  <si>
    <t>3853.73411911491</t>
  </si>
  <si>
    <t>245.649380423597</t>
  </si>
  <si>
    <t>808.798394919803</t>
  </si>
  <si>
    <t>189606.572970178</t>
  </si>
  <si>
    <t>3439.57773396059</t>
  </si>
  <si>
    <t>34175.0640580811</t>
  </si>
  <si>
    <t>22190746.7333201</t>
  </si>
  <si>
    <t>8809.54507515454</t>
  </si>
  <si>
    <t>4673.77161370159</t>
  </si>
  <si>
    <t>725462.99082128</t>
  </si>
  <si>
    <t>233608.249269908</t>
  </si>
  <si>
    <t>5489.6785906154</t>
  </si>
  <si>
    <t>167257.069544704</t>
  </si>
  <si>
    <t>1863.77110332849</t>
  </si>
  <si>
    <t>839.128709554022</t>
  </si>
  <si>
    <t>1192.49913152672</t>
  </si>
  <si>
    <t>382.488597700907</t>
  </si>
  <si>
    <t>169942.015867655</t>
  </si>
  <si>
    <t>1110.54240204434</t>
  </si>
  <si>
    <t>972.757545492218</t>
  </si>
  <si>
    <t>185.597871480051</t>
  </si>
  <si>
    <t>499678.598220293</t>
  </si>
  <si>
    <t>46591.6774167088</t>
  </si>
  <si>
    <t>2708.27891139278</t>
  </si>
  <si>
    <t>6.81792368971192</t>
  </si>
  <si>
    <t>1702.41711677432</t>
  </si>
  <si>
    <t>89957.7925699833</t>
  </si>
  <si>
    <t>137450.051918552</t>
  </si>
  <si>
    <t>39637.9335954791</t>
  </si>
  <si>
    <t>146947.679412953</t>
  </si>
  <si>
    <t>13463.3975227047</t>
  </si>
  <si>
    <t>1462585.06282536</t>
  </si>
  <si>
    <t>1758.97741738164</t>
  </si>
  <si>
    <t>43724.8084805363</t>
  </si>
  <si>
    <t>1153.16017223626</t>
  </si>
  <si>
    <t>77641.3023566854</t>
  </si>
  <si>
    <t>607.404136907553</t>
  </si>
  <si>
    <t>54197.7514629706</t>
  </si>
  <si>
    <t>3493.57730455351</t>
  </si>
  <si>
    <t>727.286630724146</t>
  </si>
  <si>
    <t>10323.4454272304</t>
  </si>
  <si>
    <t>197380.881299806</t>
  </si>
  <si>
    <t>153.805471701212</t>
  </si>
  <si>
    <t>135725.641374502</t>
  </si>
  <si>
    <t>16868.5850393045</t>
  </si>
  <si>
    <t>4617.40731987924</t>
  </si>
  <si>
    <t>4996.8219211142</t>
  </si>
  <si>
    <t>4219686.73256063</t>
  </si>
  <si>
    <t>7126.95633027535</t>
  </si>
  <si>
    <t>4821548.33458393</t>
  </si>
  <si>
    <t>422092.537973077</t>
  </si>
  <si>
    <t>3869.74383649469</t>
  </si>
  <si>
    <t>188904.119010875</t>
  </si>
  <si>
    <t>439915.361802336</t>
  </si>
  <si>
    <t>2133.41760819041</t>
  </si>
  <si>
    <t>60.2170759279805</t>
  </si>
  <si>
    <t>1178.76189080277</t>
  </si>
  <si>
    <t>979.565156687427</t>
  </si>
  <si>
    <t>310479.520480847</t>
  </si>
  <si>
    <t>24733.3889442655</t>
  </si>
  <si>
    <t>158.002254449673</t>
  </si>
  <si>
    <t>3838.33890889105</t>
  </si>
  <si>
    <t>112925.073592711</t>
  </si>
  <si>
    <t>103021.229816059</t>
  </si>
  <si>
    <t>4655.95444063717</t>
  </si>
  <si>
    <t>356412.543883321</t>
  </si>
  <si>
    <t>692.630308741086</t>
  </si>
  <si>
    <t>109827.437001536</t>
  </si>
  <si>
    <t>13661.7312085649</t>
  </si>
  <si>
    <t>14979.1275279478</t>
  </si>
  <si>
    <t>160.200760030752</t>
  </si>
  <si>
    <t>252410.384644315</t>
  </si>
  <si>
    <t>76491.11128684</t>
  </si>
  <si>
    <t>465909.993405438</t>
  </si>
  <si>
    <t>3317.93008804779</t>
  </si>
  <si>
    <t>499753.101648475</t>
  </si>
  <si>
    <t>10565.4937422194</t>
  </si>
  <si>
    <t>1326.49167493179</t>
  </si>
  <si>
    <t>329.520213491129</t>
  </si>
  <si>
    <t>9682.86275473992</t>
  </si>
  <si>
    <t>497.405276897888</t>
  </si>
  <si>
    <t>64522.9413774115</t>
  </si>
  <si>
    <t>60806.5163526164</t>
  </si>
  <si>
    <t>164.753797240748</t>
  </si>
  <si>
    <t>525966.34817989</t>
  </si>
  <si>
    <t>68969.4583252281</t>
  </si>
  <si>
    <t>17069.5432927757</t>
  </si>
  <si>
    <t>72352.060726148</t>
  </si>
  <si>
    <t>6013287.41865885</t>
  </si>
  <si>
    <t>225719.796079488</t>
  </si>
  <si>
    <t>310015676.090552</t>
  </si>
  <si>
    <t>187384.838378174</t>
  </si>
  <si>
    <t>54154.4674498542</t>
  </si>
  <si>
    <t>11841437.9543801</t>
  </si>
  <si>
    <t>16506.5144440396</t>
  </si>
  <si>
    <t>89821.1156565417</t>
  </si>
  <si>
    <t>3157.01780747146</t>
  </si>
  <si>
    <t>5055.7759735915</t>
  </si>
  <si>
    <t>15491.0200055989</t>
  </si>
  <si>
    <t>7503.99120201464</t>
  </si>
  <si>
    <t>8208.15547186345</t>
  </si>
  <si>
    <t>52580.634382202</t>
  </si>
  <si>
    <t>1056621.71640956</t>
  </si>
  <si>
    <t>2601.11210159169</t>
  </si>
  <si>
    <t>708894.413388483</t>
  </si>
  <si>
    <t>1244.4535831815</t>
  </si>
  <si>
    <t>129726.767385255</t>
  </si>
  <si>
    <t>31331.4841352064</t>
  </si>
  <si>
    <t>63343.3022114794</t>
  </si>
  <si>
    <t>78036.5759248606</t>
  </si>
  <si>
    <t>42549.428008813</t>
  </si>
  <si>
    <t>104823.797949209</t>
  </si>
  <si>
    <t>15589.2191115052</t>
  </si>
  <si>
    <t>62724.3438557204</t>
  </si>
  <si>
    <t>216407.508558056</t>
  </si>
  <si>
    <t>1880800.71313897</t>
  </si>
  <si>
    <t>69944.9981220589</t>
  </si>
  <si>
    <t>1246.99082285336</t>
  </si>
  <si>
    <t>36327.992454129</t>
  </si>
  <si>
    <t>357998.617340835</t>
  </si>
  <si>
    <t>21369.2229118039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</si>
</sst>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[$$-409]* #,##0.00_);_([$$-409]* \(#,##0.00\);_([$$-409]* &quot;-&quot;??_);_(@_)"/>
  </numFmts>
  <fonts count="16" x14ac:knownFonts="1"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000000"/>
      <name val="Aptos Narrow"/>
      <scheme val="minor"/>
    </font>
    <font>
      <sz val="18"/>
      <color theme="3"/>
      <name val="Aptos Display"/>
      <family val="2"/>
      <scheme val="maj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b/>
      <sz val="14"/>
      <color theme="1"/>
      <name val="Aptos Narrow"/>
      <scheme val="minor"/>
    </font>
    <font>
      <b/>
      <sz val="20"/>
      <color theme="3"/>
      <name val="Aptos Narrow"/>
      <scheme val="minor"/>
    </font>
    <font>
      <sz val="12"/>
      <color rgb="FF000000"/>
      <name val="Aptos Narrow"/>
    </font>
    <font>
      <b/>
      <sz val="15"/>
      <color theme="3"/>
      <name val="Aptos Narrow"/>
      <family val="2"/>
      <scheme val="minor"/>
    </font>
    <font>
      <sz val="14"/>
      <color theme="1"/>
      <name val="Aptos Narrow"/>
      <scheme val="minor"/>
    </font>
    <font>
      <u/>
      <sz val="12"/>
      <color theme="1"/>
      <name val="Aptos Narrow"/>
      <scheme val="minor"/>
    </font>
    <font>
      <b/>
      <sz val="16"/>
      <color theme="3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44" fontId="3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12" fillId="0" borderId="2" applyNumberFormat="0" applyFill="0" applyAlignment="0" applyProtection="0"/>
  </cellStyleXfs>
  <cellXfs count="35">
    <xf numFmtId="0" fontId="0" fillId="0" borderId="0" xfId="0"/>
    <xf numFmtId="14" fontId="0" fillId="0" borderId="0" xfId="0" applyNumberFormat="1"/>
    <xf numFmtId="11" fontId="0" fillId="0" borderId="0" xfId="0" applyNumberFormat="1"/>
    <xf numFmtId="0" fontId="1" fillId="0" borderId="0" xfId="0" applyFo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/>
    <xf numFmtId="0" fontId="5" fillId="0" borderId="0" xfId="0" applyFont="1"/>
    <xf numFmtId="14" fontId="8" fillId="0" borderId="0" xfId="0" applyNumberFormat="1" applyFont="1"/>
    <xf numFmtId="0" fontId="7" fillId="2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/>
    <xf numFmtId="0" fontId="8" fillId="3" borderId="1" xfId="0" applyFont="1" applyFill="1" applyBorder="1" applyAlignment="1">
      <alignment horizontal="center"/>
    </xf>
    <xf numFmtId="164" fontId="8" fillId="3" borderId="1" xfId="0" applyNumberFormat="1" applyFont="1" applyFill="1" applyBorder="1"/>
    <xf numFmtId="0" fontId="8" fillId="0" borderId="1" xfId="0" applyFont="1" applyBorder="1"/>
    <xf numFmtId="44" fontId="8" fillId="0" borderId="1" xfId="1" applyFont="1" applyBorder="1"/>
    <xf numFmtId="0" fontId="8" fillId="3" borderId="1" xfId="0" applyFont="1" applyFill="1" applyBorder="1"/>
    <xf numFmtId="44" fontId="8" fillId="3" borderId="1" xfId="1" applyFont="1" applyFill="1" applyBorder="1"/>
    <xf numFmtId="14" fontId="8" fillId="0" borderId="1" xfId="0" applyNumberFormat="1" applyFont="1" applyBorder="1"/>
    <xf numFmtId="14" fontId="8" fillId="3" borderId="1" xfId="0" applyNumberFormat="1" applyFont="1" applyFill="1" applyBorder="1"/>
    <xf numFmtId="164" fontId="8" fillId="3" borderId="1" xfId="1" applyNumberFormat="1" applyFont="1" applyFill="1" applyBorder="1"/>
    <xf numFmtId="44" fontId="8" fillId="0" borderId="1" xfId="1" applyFont="1" applyFill="1" applyBorder="1"/>
    <xf numFmtId="0" fontId="9" fillId="0" borderId="0" xfId="0" applyFont="1" applyAlignment="1">
      <alignment horizontal="left"/>
    </xf>
    <xf numFmtId="0" fontId="13" fillId="0" borderId="0" xfId="0" applyFont="1"/>
    <xf numFmtId="0" fontId="8" fillId="0" borderId="0" xfId="0" applyFont="1" applyAlignment="1">
      <alignment horizontal="left"/>
    </xf>
    <xf numFmtId="0" fontId="14" fillId="0" borderId="0" xfId="0" applyFont="1"/>
    <xf numFmtId="0" fontId="10" fillId="0" borderId="0" xfId="2" applyFont="1" applyBorder="1" applyAlignment="1">
      <alignment horizontal="center"/>
    </xf>
    <xf numFmtId="0" fontId="9" fillId="0" borderId="0" xfId="0" applyFont="1" applyAlignment="1">
      <alignment horizontal="left"/>
    </xf>
    <xf numFmtId="0" fontId="15" fillId="0" borderId="2" xfId="3" applyFont="1" applyAlignment="1">
      <alignment horizontal="left"/>
    </xf>
    <xf numFmtId="0" fontId="0" fillId="0" borderId="2" xfId="0" applyBorder="1" applyAlignment="1">
      <alignment horizontal="left"/>
    </xf>
    <xf numFmtId="2" fontId="8" fillId="3" borderId="1" xfId="0" applyNumberFormat="1" applyFont="1" applyFill="1" applyBorder="1"/>
    <xf numFmtId="2" fontId="8" fillId="0" borderId="1" xfId="0" applyNumberFormat="1" applyFont="1" applyBorder="1"/>
    <xf numFmtId="0" fontId="0" fillId="0" borderId="0" xfId="0" applyNumberFormat="1"/>
  </cellXfs>
  <cellStyles count="4">
    <cellStyle name="Currency" xfId="1" builtinId="4"/>
    <cellStyle name="Heading 1" xfId="3" builtinId="16"/>
    <cellStyle name="Normal" xfId="0" builtinId="0"/>
    <cellStyle name="Title" xfId="2" builtinId="15"/>
  </cellStyles>
  <dxfs count="20">
    <dxf>
      <numFmt numFmtId="19" formatCode="m/d/yy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colors>
    <mruColors>
      <color rgb="FFFFFFFF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Empirical CDF of Claim Amounts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[0]!SevClaimAmountRange</c:f>
              <c:numCache>
                <c:formatCode>General</c:formatCode>
                <c:ptCount val="507"/>
                <c:pt idx="0">
                  <c:v>1000000</c:v>
                </c:pt>
                <c:pt idx="1">
                  <c:v>988703.936397054</c:v>
                </c:pt>
                <c:pt idx="2">
                  <c:v>921255.216176413</c:v>
                </c:pt>
                <c:pt idx="3">
                  <c:v>901639.542308314</c:v>
                </c:pt>
                <c:pt idx="4">
                  <c:v>819286.68377125496</c:v>
                </c:pt>
                <c:pt idx="5">
                  <c:v>809299.865227186</c:v>
                </c:pt>
                <c:pt idx="6">
                  <c:v>808655.00215279695</c:v>
                </c:pt>
                <c:pt idx="7">
                  <c:v>796292.29928393301</c:v>
                </c:pt>
                <c:pt idx="8">
                  <c:v>786072.10632528597</c:v>
                </c:pt>
                <c:pt idx="9">
                  <c:v>775730.48985671101</c:v>
                </c:pt>
                <c:pt idx="10">
                  <c:v>726330.31511964195</c:v>
                </c:pt>
                <c:pt idx="11">
                  <c:v>725462.99082128005</c:v>
                </c:pt>
                <c:pt idx="12">
                  <c:v>708894.41338848299</c:v>
                </c:pt>
                <c:pt idx="13">
                  <c:v>693380.86624736397</c:v>
                </c:pt>
                <c:pt idx="14">
                  <c:v>684052.07800533006</c:v>
                </c:pt>
                <c:pt idx="15">
                  <c:v>665086.08785109501</c:v>
                </c:pt>
                <c:pt idx="16">
                  <c:v>643712.98963904497</c:v>
                </c:pt>
                <c:pt idx="17">
                  <c:v>616697.71428512805</c:v>
                </c:pt>
                <c:pt idx="18">
                  <c:v>615894.70219961705</c:v>
                </c:pt>
                <c:pt idx="19">
                  <c:v>606898.235274932</c:v>
                </c:pt>
                <c:pt idx="20">
                  <c:v>581572.32380939706</c:v>
                </c:pt>
                <c:pt idx="21">
                  <c:v>570532.41747131303</c:v>
                </c:pt>
                <c:pt idx="22">
                  <c:v>570261.91028953996</c:v>
                </c:pt>
                <c:pt idx="23">
                  <c:v>531408.20885288005</c:v>
                </c:pt>
                <c:pt idx="24">
                  <c:v>525966.34817988996</c:v>
                </c:pt>
                <c:pt idx="25">
                  <c:v>522345.06994418002</c:v>
                </c:pt>
                <c:pt idx="26">
                  <c:v>512604.504115975</c:v>
                </c:pt>
                <c:pt idx="27">
                  <c:v>506822.94054792298</c:v>
                </c:pt>
                <c:pt idx="28">
                  <c:v>499753.10164847499</c:v>
                </c:pt>
                <c:pt idx="29">
                  <c:v>499678.598220293</c:v>
                </c:pt>
                <c:pt idx="30">
                  <c:v>496491.39544517797</c:v>
                </c:pt>
                <c:pt idx="31">
                  <c:v>479430.954535269</c:v>
                </c:pt>
                <c:pt idx="32">
                  <c:v>465909.99340543803</c:v>
                </c:pt>
                <c:pt idx="33">
                  <c:v>439915.361802336</c:v>
                </c:pt>
                <c:pt idx="34">
                  <c:v>422092.53797307698</c:v>
                </c:pt>
                <c:pt idx="35">
                  <c:v>419298.77330151602</c:v>
                </c:pt>
                <c:pt idx="36">
                  <c:v>401746.92511426302</c:v>
                </c:pt>
                <c:pt idx="37">
                  <c:v>401034.11621141399</c:v>
                </c:pt>
                <c:pt idx="38">
                  <c:v>395372.60595028597</c:v>
                </c:pt>
                <c:pt idx="39">
                  <c:v>391216.39796919702</c:v>
                </c:pt>
                <c:pt idx="40">
                  <c:v>382172.22502550803</c:v>
                </c:pt>
                <c:pt idx="41">
                  <c:v>377495.65328186698</c:v>
                </c:pt>
                <c:pt idx="42">
                  <c:v>370939.89762670099</c:v>
                </c:pt>
                <c:pt idx="43">
                  <c:v>370829.408386642</c:v>
                </c:pt>
                <c:pt idx="44">
                  <c:v>357998.61734083499</c:v>
                </c:pt>
                <c:pt idx="45">
                  <c:v>356412.54388332099</c:v>
                </c:pt>
                <c:pt idx="46">
                  <c:v>345473.86451898498</c:v>
                </c:pt>
                <c:pt idx="47">
                  <c:v>341966.33027257898</c:v>
                </c:pt>
                <c:pt idx="48">
                  <c:v>341126.51774162397</c:v>
                </c:pt>
                <c:pt idx="49">
                  <c:v>323113.07317427098</c:v>
                </c:pt>
                <c:pt idx="50">
                  <c:v>316593.20196569001</c:v>
                </c:pt>
                <c:pt idx="51">
                  <c:v>314974.546974728</c:v>
                </c:pt>
                <c:pt idx="52">
                  <c:v>310952.51455638697</c:v>
                </c:pt>
                <c:pt idx="53">
                  <c:v>310479.52048084699</c:v>
                </c:pt>
                <c:pt idx="54">
                  <c:v>309754.84058933298</c:v>
                </c:pt>
                <c:pt idx="55">
                  <c:v>293885.43763525598</c:v>
                </c:pt>
                <c:pt idx="56">
                  <c:v>281793.30971157301</c:v>
                </c:pt>
                <c:pt idx="57">
                  <c:v>277906.22404918697</c:v>
                </c:pt>
                <c:pt idx="58">
                  <c:v>277815.56138111698</c:v>
                </c:pt>
                <c:pt idx="59">
                  <c:v>269655.99821576098</c:v>
                </c:pt>
                <c:pt idx="60">
                  <c:v>262010.429257607</c:v>
                </c:pt>
                <c:pt idx="61">
                  <c:v>256011.67787545</c:v>
                </c:pt>
                <c:pt idx="62">
                  <c:v>252761.37030409099</c:v>
                </c:pt>
                <c:pt idx="63">
                  <c:v>252410.384644315</c:v>
                </c:pt>
                <c:pt idx="64">
                  <c:v>241060.19974872001</c:v>
                </c:pt>
                <c:pt idx="65">
                  <c:v>235898.29356901001</c:v>
                </c:pt>
                <c:pt idx="66">
                  <c:v>235497.07346507401</c:v>
                </c:pt>
                <c:pt idx="67">
                  <c:v>235244.23666271401</c:v>
                </c:pt>
                <c:pt idx="68">
                  <c:v>234889.94175895999</c:v>
                </c:pt>
                <c:pt idx="69">
                  <c:v>233608.249269908</c:v>
                </c:pt>
                <c:pt idx="70">
                  <c:v>231541.091371755</c:v>
                </c:pt>
                <c:pt idx="71">
                  <c:v>225719.79607948801</c:v>
                </c:pt>
                <c:pt idx="72">
                  <c:v>223227.52524643301</c:v>
                </c:pt>
                <c:pt idx="73">
                  <c:v>221273.967566395</c:v>
                </c:pt>
                <c:pt idx="74">
                  <c:v>216407.508558056</c:v>
                </c:pt>
                <c:pt idx="75">
                  <c:v>209311.399462795</c:v>
                </c:pt>
                <c:pt idx="76">
                  <c:v>201726.23818386599</c:v>
                </c:pt>
                <c:pt idx="77">
                  <c:v>197380.881299806</c:v>
                </c:pt>
                <c:pt idx="78">
                  <c:v>193721.22578398199</c:v>
                </c:pt>
                <c:pt idx="79">
                  <c:v>191625.16146285299</c:v>
                </c:pt>
                <c:pt idx="80">
                  <c:v>189606.57297017801</c:v>
                </c:pt>
                <c:pt idx="81">
                  <c:v>188904.119010875</c:v>
                </c:pt>
                <c:pt idx="82">
                  <c:v>187384.838378174</c:v>
                </c:pt>
                <c:pt idx="83">
                  <c:v>181838.58898551401</c:v>
                </c:pt>
                <c:pt idx="84">
                  <c:v>180129.91352993</c:v>
                </c:pt>
                <c:pt idx="85">
                  <c:v>178260.17170286999</c:v>
                </c:pt>
                <c:pt idx="86">
                  <c:v>171311.11451695699</c:v>
                </c:pt>
                <c:pt idx="87">
                  <c:v>170519.39878151301</c:v>
                </c:pt>
                <c:pt idx="88">
                  <c:v>169942.01586765499</c:v>
                </c:pt>
                <c:pt idx="89">
                  <c:v>167257.06954470399</c:v>
                </c:pt>
                <c:pt idx="90">
                  <c:v>161659.5065812</c:v>
                </c:pt>
                <c:pt idx="91">
                  <c:v>159925.10539877601</c:v>
                </c:pt>
                <c:pt idx="92">
                  <c:v>159396.155683852</c:v>
                </c:pt>
                <c:pt idx="93">
                  <c:v>154720.50914930299</c:v>
                </c:pt>
                <c:pt idx="94">
                  <c:v>146947.679412953</c:v>
                </c:pt>
                <c:pt idx="95">
                  <c:v>146715.737023038</c:v>
                </c:pt>
                <c:pt idx="96">
                  <c:v>146131.52436056201</c:v>
                </c:pt>
                <c:pt idx="97">
                  <c:v>145290.53253168601</c:v>
                </c:pt>
                <c:pt idx="98">
                  <c:v>143548.78686893801</c:v>
                </c:pt>
                <c:pt idx="99">
                  <c:v>140042.811662238</c:v>
                </c:pt>
                <c:pt idx="100">
                  <c:v>138012.30585419599</c:v>
                </c:pt>
                <c:pt idx="101">
                  <c:v>137450.051918552</c:v>
                </c:pt>
                <c:pt idx="102">
                  <c:v>136808.44780218299</c:v>
                </c:pt>
                <c:pt idx="103">
                  <c:v>135725.64137450201</c:v>
                </c:pt>
                <c:pt idx="104">
                  <c:v>129726.76738525501</c:v>
                </c:pt>
                <c:pt idx="105">
                  <c:v>127518.822083312</c:v>
                </c:pt>
                <c:pt idx="106">
                  <c:v>124207.127757468</c:v>
                </c:pt>
                <c:pt idx="107">
                  <c:v>122351.254499879</c:v>
                </c:pt>
                <c:pt idx="108">
                  <c:v>119563.414027127</c:v>
                </c:pt>
                <c:pt idx="109">
                  <c:v>118990.868780099</c:v>
                </c:pt>
                <c:pt idx="110">
                  <c:v>118628.37936247099</c:v>
                </c:pt>
                <c:pt idx="111">
                  <c:v>115436.18467961199</c:v>
                </c:pt>
                <c:pt idx="112">
                  <c:v>112925.07359271101</c:v>
                </c:pt>
                <c:pt idx="113">
                  <c:v>111731.330143028</c:v>
                </c:pt>
                <c:pt idx="114">
                  <c:v>110796.016037423</c:v>
                </c:pt>
                <c:pt idx="115">
                  <c:v>109827.437001536</c:v>
                </c:pt>
                <c:pt idx="116">
                  <c:v>109775.925096982</c:v>
                </c:pt>
                <c:pt idx="117">
                  <c:v>109719.59786247399</c:v>
                </c:pt>
                <c:pt idx="118">
                  <c:v>104823.79794920899</c:v>
                </c:pt>
                <c:pt idx="119">
                  <c:v>104350.56194289601</c:v>
                </c:pt>
                <c:pt idx="120">
                  <c:v>103021.229816059</c:v>
                </c:pt>
                <c:pt idx="121">
                  <c:v>102171.930265869</c:v>
                </c:pt>
                <c:pt idx="122">
                  <c:v>100189.113415101</c:v>
                </c:pt>
                <c:pt idx="123">
                  <c:v>95534.331363986101</c:v>
                </c:pt>
                <c:pt idx="124">
                  <c:v>93981.440617116503</c:v>
                </c:pt>
                <c:pt idx="125">
                  <c:v>93141.656331663195</c:v>
                </c:pt>
                <c:pt idx="126">
                  <c:v>91894.810237784899</c:v>
                </c:pt>
                <c:pt idx="127">
                  <c:v>89957.792569983299</c:v>
                </c:pt>
                <c:pt idx="128">
                  <c:v>89821.115656541704</c:v>
                </c:pt>
                <c:pt idx="129">
                  <c:v>88860.700462814202</c:v>
                </c:pt>
                <c:pt idx="130">
                  <c:v>88255.815556129804</c:v>
                </c:pt>
                <c:pt idx="131">
                  <c:v>86861.658067879398</c:v>
                </c:pt>
                <c:pt idx="132">
                  <c:v>86570.051537700405</c:v>
                </c:pt>
                <c:pt idx="133">
                  <c:v>79578.584358448396</c:v>
                </c:pt>
                <c:pt idx="134">
                  <c:v>78036.575924860605</c:v>
                </c:pt>
                <c:pt idx="135">
                  <c:v>77641.302356685395</c:v>
                </c:pt>
                <c:pt idx="136">
                  <c:v>76491.111286839994</c:v>
                </c:pt>
                <c:pt idx="137">
                  <c:v>76248.185233423093</c:v>
                </c:pt>
                <c:pt idx="138">
                  <c:v>75681.555854622697</c:v>
                </c:pt>
                <c:pt idx="139">
                  <c:v>72658.570110742105</c:v>
                </c:pt>
                <c:pt idx="140">
                  <c:v>72525.070460682502</c:v>
                </c:pt>
                <c:pt idx="141">
                  <c:v>72513.573754350393</c:v>
                </c:pt>
                <c:pt idx="142">
                  <c:v>72352.060726148004</c:v>
                </c:pt>
                <c:pt idx="143">
                  <c:v>71911.001558324002</c:v>
                </c:pt>
                <c:pt idx="144">
                  <c:v>69944.998122058896</c:v>
                </c:pt>
                <c:pt idx="145">
                  <c:v>69349.5840327443</c:v>
                </c:pt>
                <c:pt idx="146">
                  <c:v>68969.458325228101</c:v>
                </c:pt>
                <c:pt idx="147">
                  <c:v>68334.081561418803</c:v>
                </c:pt>
                <c:pt idx="148">
                  <c:v>67773.782070343106</c:v>
                </c:pt>
                <c:pt idx="149">
                  <c:v>67489.297079232099</c:v>
                </c:pt>
                <c:pt idx="150">
                  <c:v>67441.374086397103</c:v>
                </c:pt>
                <c:pt idx="151">
                  <c:v>67066.763962990299</c:v>
                </c:pt>
                <c:pt idx="152">
                  <c:v>66584.438564128097</c:v>
                </c:pt>
                <c:pt idx="153">
                  <c:v>65666.492191430196</c:v>
                </c:pt>
                <c:pt idx="154">
                  <c:v>65329.446351703104</c:v>
                </c:pt>
                <c:pt idx="155">
                  <c:v>64638.608709073902</c:v>
                </c:pt>
                <c:pt idx="156">
                  <c:v>64522.941377411502</c:v>
                </c:pt>
                <c:pt idx="157">
                  <c:v>64007.966738583898</c:v>
                </c:pt>
                <c:pt idx="158">
                  <c:v>63343.3022114794</c:v>
                </c:pt>
                <c:pt idx="159">
                  <c:v>62724.343855720399</c:v>
                </c:pt>
                <c:pt idx="160">
                  <c:v>62212.477323175197</c:v>
                </c:pt>
                <c:pt idx="161">
                  <c:v>61978.932445479099</c:v>
                </c:pt>
                <c:pt idx="162">
                  <c:v>60806.516352616403</c:v>
                </c:pt>
                <c:pt idx="163">
                  <c:v>58858.654269878301</c:v>
                </c:pt>
                <c:pt idx="164">
                  <c:v>55901.709586871199</c:v>
                </c:pt>
                <c:pt idx="165">
                  <c:v>55864.856047323199</c:v>
                </c:pt>
                <c:pt idx="166">
                  <c:v>55829.124672435602</c:v>
                </c:pt>
                <c:pt idx="167">
                  <c:v>54197.751462970598</c:v>
                </c:pt>
                <c:pt idx="168">
                  <c:v>54154.467449854201</c:v>
                </c:pt>
                <c:pt idx="169">
                  <c:v>54028.162101953698</c:v>
                </c:pt>
                <c:pt idx="170">
                  <c:v>52580.634382201999</c:v>
                </c:pt>
                <c:pt idx="171">
                  <c:v>51872.458919044402</c:v>
                </c:pt>
                <c:pt idx="172">
                  <c:v>51618.567347274497</c:v>
                </c:pt>
                <c:pt idx="173">
                  <c:v>50460.523485469501</c:v>
                </c:pt>
                <c:pt idx="174">
                  <c:v>49672.178680782803</c:v>
                </c:pt>
                <c:pt idx="175">
                  <c:v>47877.709289400998</c:v>
                </c:pt>
                <c:pt idx="176">
                  <c:v>47558.834543523102</c:v>
                </c:pt>
                <c:pt idx="177">
                  <c:v>46778.484934467699</c:v>
                </c:pt>
                <c:pt idx="178">
                  <c:v>46591.677416708801</c:v>
                </c:pt>
                <c:pt idx="179">
                  <c:v>46143.362893481899</c:v>
                </c:pt>
                <c:pt idx="180">
                  <c:v>45790.524235672499</c:v>
                </c:pt>
                <c:pt idx="181">
                  <c:v>45394.117152907202</c:v>
                </c:pt>
                <c:pt idx="182">
                  <c:v>45055.568971049201</c:v>
                </c:pt>
                <c:pt idx="183">
                  <c:v>44904.388908539302</c:v>
                </c:pt>
                <c:pt idx="184">
                  <c:v>44567.036576890503</c:v>
                </c:pt>
                <c:pt idx="185">
                  <c:v>44395.830762670099</c:v>
                </c:pt>
                <c:pt idx="186">
                  <c:v>43724.808480536303</c:v>
                </c:pt>
                <c:pt idx="187">
                  <c:v>42707.672756061897</c:v>
                </c:pt>
                <c:pt idx="188">
                  <c:v>42686.862847440403</c:v>
                </c:pt>
                <c:pt idx="189">
                  <c:v>42549.428008813004</c:v>
                </c:pt>
                <c:pt idx="190">
                  <c:v>42128.062630835302</c:v>
                </c:pt>
                <c:pt idx="191">
                  <c:v>42127.567923444702</c:v>
                </c:pt>
                <c:pt idx="192">
                  <c:v>41851.124232033602</c:v>
                </c:pt>
                <c:pt idx="193">
                  <c:v>41603.571674207698</c:v>
                </c:pt>
                <c:pt idx="194">
                  <c:v>41483.455844531098</c:v>
                </c:pt>
                <c:pt idx="195">
                  <c:v>41314.045778837797</c:v>
                </c:pt>
                <c:pt idx="196">
                  <c:v>41033.474843243297</c:v>
                </c:pt>
                <c:pt idx="197">
                  <c:v>40810.048847561702</c:v>
                </c:pt>
                <c:pt idx="198">
                  <c:v>39637.933595479102</c:v>
                </c:pt>
                <c:pt idx="199">
                  <c:v>37230.026851498398</c:v>
                </c:pt>
                <c:pt idx="200">
                  <c:v>37118.073300252101</c:v>
                </c:pt>
                <c:pt idx="201">
                  <c:v>36468.208194553001</c:v>
                </c:pt>
                <c:pt idx="202">
                  <c:v>36327.992454129002</c:v>
                </c:pt>
                <c:pt idx="203">
                  <c:v>36315.109093106999</c:v>
                </c:pt>
                <c:pt idx="204">
                  <c:v>35932.923349131197</c:v>
                </c:pt>
                <c:pt idx="205">
                  <c:v>35089.4784892975</c:v>
                </c:pt>
                <c:pt idx="206">
                  <c:v>34556.826523252297</c:v>
                </c:pt>
                <c:pt idx="207">
                  <c:v>34525.5118478328</c:v>
                </c:pt>
                <c:pt idx="208">
                  <c:v>34175.064058081101</c:v>
                </c:pt>
                <c:pt idx="209">
                  <c:v>34134.118307342003</c:v>
                </c:pt>
                <c:pt idx="210">
                  <c:v>33771.593399319303</c:v>
                </c:pt>
                <c:pt idx="211">
                  <c:v>33373.103803094898</c:v>
                </c:pt>
                <c:pt idx="212">
                  <c:v>33272.852914673102</c:v>
                </c:pt>
                <c:pt idx="213">
                  <c:v>33242.900763649901</c:v>
                </c:pt>
                <c:pt idx="214">
                  <c:v>31937.1704909283</c:v>
                </c:pt>
                <c:pt idx="215">
                  <c:v>31331.4841352064</c:v>
                </c:pt>
                <c:pt idx="216">
                  <c:v>31277.140959391501</c:v>
                </c:pt>
                <c:pt idx="217">
                  <c:v>30380.9553110421</c:v>
                </c:pt>
                <c:pt idx="218">
                  <c:v>29814.781620276601</c:v>
                </c:pt>
                <c:pt idx="219">
                  <c:v>29672.702139634199</c:v>
                </c:pt>
                <c:pt idx="220">
                  <c:v>28963.802812484701</c:v>
                </c:pt>
                <c:pt idx="221">
                  <c:v>28836.7937227371</c:v>
                </c:pt>
                <c:pt idx="222">
                  <c:v>28615.8379449844</c:v>
                </c:pt>
                <c:pt idx="223">
                  <c:v>27547.127151498298</c:v>
                </c:pt>
                <c:pt idx="224">
                  <c:v>27350.778101997901</c:v>
                </c:pt>
                <c:pt idx="225">
                  <c:v>27154.517248999899</c:v>
                </c:pt>
                <c:pt idx="226">
                  <c:v>26905.946826937099</c:v>
                </c:pt>
                <c:pt idx="227">
                  <c:v>26781.370595107899</c:v>
                </c:pt>
                <c:pt idx="228">
                  <c:v>26708.327039121399</c:v>
                </c:pt>
                <c:pt idx="229">
                  <c:v>26072.7124957339</c:v>
                </c:pt>
                <c:pt idx="230">
                  <c:v>26057.220826949298</c:v>
                </c:pt>
                <c:pt idx="231">
                  <c:v>26001.248580273099</c:v>
                </c:pt>
                <c:pt idx="232">
                  <c:v>25883.055385424501</c:v>
                </c:pt>
                <c:pt idx="233">
                  <c:v>25847.795875829299</c:v>
                </c:pt>
                <c:pt idx="234">
                  <c:v>25341.549048067802</c:v>
                </c:pt>
                <c:pt idx="235">
                  <c:v>24733.388944265502</c:v>
                </c:pt>
                <c:pt idx="236">
                  <c:v>23982.888855278601</c:v>
                </c:pt>
                <c:pt idx="237">
                  <c:v>23796.9590405171</c:v>
                </c:pt>
                <c:pt idx="238">
                  <c:v>23420.151959368799</c:v>
                </c:pt>
                <c:pt idx="239">
                  <c:v>23370.456318540899</c:v>
                </c:pt>
                <c:pt idx="240">
                  <c:v>23336.590695975101</c:v>
                </c:pt>
                <c:pt idx="241">
                  <c:v>22205.0492055387</c:v>
                </c:pt>
                <c:pt idx="242">
                  <c:v>21878.7119352064</c:v>
                </c:pt>
                <c:pt idx="243">
                  <c:v>21759.768011807799</c:v>
                </c:pt>
                <c:pt idx="244">
                  <c:v>21756.324588445401</c:v>
                </c:pt>
                <c:pt idx="245">
                  <c:v>21369.222911803899</c:v>
                </c:pt>
                <c:pt idx="246">
                  <c:v>21308.5250896053</c:v>
                </c:pt>
                <c:pt idx="247">
                  <c:v>21101.043231629701</c:v>
                </c:pt>
                <c:pt idx="248">
                  <c:v>20342.935729940698</c:v>
                </c:pt>
                <c:pt idx="249">
                  <c:v>20291.5353605686</c:v>
                </c:pt>
                <c:pt idx="250">
                  <c:v>20227.8335961132</c:v>
                </c:pt>
                <c:pt idx="251">
                  <c:v>20149.164184769801</c:v>
                </c:pt>
                <c:pt idx="252">
                  <c:v>19739.724044591399</c:v>
                </c:pt>
                <c:pt idx="253">
                  <c:v>19274.486334868001</c:v>
                </c:pt>
                <c:pt idx="254">
                  <c:v>18967.670304977</c:v>
                </c:pt>
                <c:pt idx="255">
                  <c:v>18845.968200993899</c:v>
                </c:pt>
                <c:pt idx="256">
                  <c:v>18718.3757241561</c:v>
                </c:pt>
                <c:pt idx="257">
                  <c:v>18617.0324060686</c:v>
                </c:pt>
                <c:pt idx="258">
                  <c:v>18352.739539032598</c:v>
                </c:pt>
                <c:pt idx="259">
                  <c:v>17840.357990193999</c:v>
                </c:pt>
                <c:pt idx="260">
                  <c:v>17516.9446762437</c:v>
                </c:pt>
                <c:pt idx="261">
                  <c:v>17455.029325947598</c:v>
                </c:pt>
                <c:pt idx="262">
                  <c:v>17367.655433866999</c:v>
                </c:pt>
                <c:pt idx="263">
                  <c:v>17069.543292775699</c:v>
                </c:pt>
                <c:pt idx="264">
                  <c:v>17042.758424858399</c:v>
                </c:pt>
                <c:pt idx="265">
                  <c:v>16868.5850393045</c:v>
                </c:pt>
                <c:pt idx="266">
                  <c:v>16540.004301845202</c:v>
                </c:pt>
                <c:pt idx="267">
                  <c:v>16506.5144440396</c:v>
                </c:pt>
                <c:pt idx="268">
                  <c:v>16442.8539205259</c:v>
                </c:pt>
                <c:pt idx="269">
                  <c:v>16036.898414617801</c:v>
                </c:pt>
                <c:pt idx="270">
                  <c:v>15663.372649176799</c:v>
                </c:pt>
                <c:pt idx="271">
                  <c:v>15589.219111505199</c:v>
                </c:pt>
                <c:pt idx="272">
                  <c:v>15491.020005598901</c:v>
                </c:pt>
                <c:pt idx="273">
                  <c:v>15349.198338283</c:v>
                </c:pt>
                <c:pt idx="274">
                  <c:v>15242.9749528147</c:v>
                </c:pt>
                <c:pt idx="275">
                  <c:v>15025.23169615</c:v>
                </c:pt>
                <c:pt idx="276">
                  <c:v>14979.1275279478</c:v>
                </c:pt>
                <c:pt idx="277">
                  <c:v>14829.522917616399</c:v>
                </c:pt>
                <c:pt idx="278">
                  <c:v>14060.812409136301</c:v>
                </c:pt>
                <c:pt idx="279">
                  <c:v>14029.7000308109</c:v>
                </c:pt>
                <c:pt idx="280">
                  <c:v>13661.731208564899</c:v>
                </c:pt>
                <c:pt idx="281">
                  <c:v>13588.8843274549</c:v>
                </c:pt>
                <c:pt idx="282">
                  <c:v>13463.397522704699</c:v>
                </c:pt>
                <c:pt idx="283">
                  <c:v>12637.1161855966</c:v>
                </c:pt>
                <c:pt idx="284">
                  <c:v>12562.2434691579</c:v>
                </c:pt>
                <c:pt idx="285">
                  <c:v>12343.424183848099</c:v>
                </c:pt>
                <c:pt idx="286">
                  <c:v>11631.301685549801</c:v>
                </c:pt>
                <c:pt idx="287">
                  <c:v>11589.749006317301</c:v>
                </c:pt>
                <c:pt idx="288">
                  <c:v>11216.219584435699</c:v>
                </c:pt>
                <c:pt idx="289">
                  <c:v>10829.581776745101</c:v>
                </c:pt>
                <c:pt idx="290">
                  <c:v>10742.3086019004</c:v>
                </c:pt>
                <c:pt idx="291">
                  <c:v>10565.4937422194</c:v>
                </c:pt>
                <c:pt idx="292">
                  <c:v>10446.634931020501</c:v>
                </c:pt>
                <c:pt idx="293">
                  <c:v>10323.445427230399</c:v>
                </c:pt>
                <c:pt idx="294">
                  <c:v>10314.152789997701</c:v>
                </c:pt>
                <c:pt idx="295">
                  <c:v>10082.4748991664</c:v>
                </c:pt>
                <c:pt idx="296">
                  <c:v>9979.8581432195297</c:v>
                </c:pt>
                <c:pt idx="297">
                  <c:v>9927.3129791768097</c:v>
                </c:pt>
                <c:pt idx="298">
                  <c:v>9682.8627547399192</c:v>
                </c:pt>
                <c:pt idx="299">
                  <c:v>9595.0095662926906</c:v>
                </c:pt>
                <c:pt idx="300">
                  <c:v>9553.2618020164991</c:v>
                </c:pt>
                <c:pt idx="301">
                  <c:v>9535.5622917488508</c:v>
                </c:pt>
                <c:pt idx="302">
                  <c:v>9343.7572848832406</c:v>
                </c:pt>
                <c:pt idx="303">
                  <c:v>9301.9338694695307</c:v>
                </c:pt>
                <c:pt idx="304">
                  <c:v>9123.5090437650797</c:v>
                </c:pt>
                <c:pt idx="305">
                  <c:v>9115.3402822348908</c:v>
                </c:pt>
                <c:pt idx="306">
                  <c:v>9086.3321087272707</c:v>
                </c:pt>
                <c:pt idx="307">
                  <c:v>8840.3929476820904</c:v>
                </c:pt>
                <c:pt idx="308">
                  <c:v>8809.5450751545395</c:v>
                </c:pt>
                <c:pt idx="309">
                  <c:v>8590.7520097957095</c:v>
                </c:pt>
                <c:pt idx="310">
                  <c:v>8412.7884125947603</c:v>
                </c:pt>
                <c:pt idx="311">
                  <c:v>8386.0277889094104</c:v>
                </c:pt>
                <c:pt idx="312">
                  <c:v>8279.7522255738404</c:v>
                </c:pt>
                <c:pt idx="313">
                  <c:v>8208.1554718634507</c:v>
                </c:pt>
                <c:pt idx="314">
                  <c:v>8133.1467462959199</c:v>
                </c:pt>
                <c:pt idx="315">
                  <c:v>8027.9611689782896</c:v>
                </c:pt>
                <c:pt idx="316">
                  <c:v>7882.8337197694</c:v>
                </c:pt>
                <c:pt idx="317">
                  <c:v>7686.6975153654002</c:v>
                </c:pt>
                <c:pt idx="318">
                  <c:v>7503.9912020146403</c:v>
                </c:pt>
                <c:pt idx="319">
                  <c:v>7434.4046828508699</c:v>
                </c:pt>
                <c:pt idx="320">
                  <c:v>7342.1571404338601</c:v>
                </c:pt>
                <c:pt idx="321">
                  <c:v>7294.9840506933597</c:v>
                </c:pt>
                <c:pt idx="322">
                  <c:v>7138.0248469970602</c:v>
                </c:pt>
                <c:pt idx="323">
                  <c:v>7126.9563302753504</c:v>
                </c:pt>
                <c:pt idx="324">
                  <c:v>6963.5851194586003</c:v>
                </c:pt>
                <c:pt idx="325">
                  <c:v>6856.6001119746497</c:v>
                </c:pt>
                <c:pt idx="326">
                  <c:v>6439.8258167799004</c:v>
                </c:pt>
                <c:pt idx="327">
                  <c:v>6361.0733694329901</c:v>
                </c:pt>
                <c:pt idx="328">
                  <c:v>6260.8527275712104</c:v>
                </c:pt>
                <c:pt idx="329">
                  <c:v>5832.9566320682698</c:v>
                </c:pt>
                <c:pt idx="330">
                  <c:v>5704.3489022857902</c:v>
                </c:pt>
                <c:pt idx="331">
                  <c:v>5524.1517398333299</c:v>
                </c:pt>
                <c:pt idx="332">
                  <c:v>5494.5840627197704</c:v>
                </c:pt>
                <c:pt idx="333">
                  <c:v>5489.6785906154</c:v>
                </c:pt>
                <c:pt idx="334">
                  <c:v>5082.31073961928</c:v>
                </c:pt>
                <c:pt idx="335">
                  <c:v>5055.7759735914997</c:v>
                </c:pt>
                <c:pt idx="336">
                  <c:v>5030.35445377212</c:v>
                </c:pt>
                <c:pt idx="337">
                  <c:v>4996.8219211142004</c:v>
                </c:pt>
                <c:pt idx="338">
                  <c:v>4747.1771592812902</c:v>
                </c:pt>
                <c:pt idx="339">
                  <c:v>4700.4702286050697</c:v>
                </c:pt>
                <c:pt idx="340">
                  <c:v>4673.7716137015896</c:v>
                </c:pt>
                <c:pt idx="341">
                  <c:v>4655.9544406371697</c:v>
                </c:pt>
                <c:pt idx="342">
                  <c:v>4617.4073198792403</c:v>
                </c:pt>
                <c:pt idx="343">
                  <c:v>4613.0662606143196</c:v>
                </c:pt>
                <c:pt idx="344">
                  <c:v>4581.8291168594697</c:v>
                </c:pt>
                <c:pt idx="345">
                  <c:v>4533.3863218141896</c:v>
                </c:pt>
                <c:pt idx="346">
                  <c:v>4124.2079283261301</c:v>
                </c:pt>
                <c:pt idx="347">
                  <c:v>4082.11660799937</c:v>
                </c:pt>
                <c:pt idx="348">
                  <c:v>4076.9963985785498</c:v>
                </c:pt>
                <c:pt idx="349">
                  <c:v>3936.9575677591401</c:v>
                </c:pt>
                <c:pt idx="350">
                  <c:v>3931.6573890183499</c:v>
                </c:pt>
                <c:pt idx="351">
                  <c:v>3919.60858167899</c:v>
                </c:pt>
                <c:pt idx="352">
                  <c:v>3895.5727571293401</c:v>
                </c:pt>
                <c:pt idx="353">
                  <c:v>3869.7438364946902</c:v>
                </c:pt>
                <c:pt idx="354">
                  <c:v>3853.7341191149098</c:v>
                </c:pt>
                <c:pt idx="355">
                  <c:v>3838.3389088910499</c:v>
                </c:pt>
                <c:pt idx="356">
                  <c:v>3757.6794731117602</c:v>
                </c:pt>
                <c:pt idx="357">
                  <c:v>3750.6504849406501</c:v>
                </c:pt>
                <c:pt idx="358">
                  <c:v>3743.0798556496802</c:v>
                </c:pt>
                <c:pt idx="359">
                  <c:v>3713.1982054350801</c:v>
                </c:pt>
                <c:pt idx="360">
                  <c:v>3695.22247205244</c:v>
                </c:pt>
                <c:pt idx="361">
                  <c:v>3631.2609703285998</c:v>
                </c:pt>
                <c:pt idx="362">
                  <c:v>3570.2828136438602</c:v>
                </c:pt>
                <c:pt idx="363">
                  <c:v>3564.1513417718702</c:v>
                </c:pt>
                <c:pt idx="364">
                  <c:v>3529.6500403867699</c:v>
                </c:pt>
                <c:pt idx="365">
                  <c:v>3511.3863014465201</c:v>
                </c:pt>
                <c:pt idx="366">
                  <c:v>3493.5773045535102</c:v>
                </c:pt>
                <c:pt idx="367">
                  <c:v>3465.7781869239602</c:v>
                </c:pt>
                <c:pt idx="368">
                  <c:v>3439.5777339605902</c:v>
                </c:pt>
                <c:pt idx="369">
                  <c:v>3382.2538275668098</c:v>
                </c:pt>
                <c:pt idx="370">
                  <c:v>3331.78598803251</c:v>
                </c:pt>
                <c:pt idx="371">
                  <c:v>3317.9300880477899</c:v>
                </c:pt>
                <c:pt idx="372">
                  <c:v>3279.3058050387599</c:v>
                </c:pt>
                <c:pt idx="373">
                  <c:v>3200.9048373569999</c:v>
                </c:pt>
                <c:pt idx="374">
                  <c:v>3194.8577365493102</c:v>
                </c:pt>
                <c:pt idx="375">
                  <c:v>3186.53439898241</c:v>
                </c:pt>
                <c:pt idx="376">
                  <c:v>3174.7183407310299</c:v>
                </c:pt>
                <c:pt idx="377">
                  <c:v>3157.0178074714599</c:v>
                </c:pt>
                <c:pt idx="378">
                  <c:v>3098.4601018562398</c:v>
                </c:pt>
                <c:pt idx="379">
                  <c:v>2933.2741454165398</c:v>
                </c:pt>
                <c:pt idx="380">
                  <c:v>2903.1543310633301</c:v>
                </c:pt>
                <c:pt idx="381">
                  <c:v>2790.2618532080701</c:v>
                </c:pt>
                <c:pt idx="382">
                  <c:v>2708.2789113927802</c:v>
                </c:pt>
                <c:pt idx="383">
                  <c:v>2689.17346484068</c:v>
                </c:pt>
                <c:pt idx="384">
                  <c:v>2601.1121015916901</c:v>
                </c:pt>
                <c:pt idx="385">
                  <c:v>2576.72228569464</c:v>
                </c:pt>
                <c:pt idx="386">
                  <c:v>2551.92010215663</c:v>
                </c:pt>
                <c:pt idx="387">
                  <c:v>2534.3161201473499</c:v>
                </c:pt>
                <c:pt idx="388">
                  <c:v>2517.2008957379198</c:v>
                </c:pt>
                <c:pt idx="389">
                  <c:v>2429.8923725843401</c:v>
                </c:pt>
                <c:pt idx="390">
                  <c:v>2308.5637730650601</c:v>
                </c:pt>
                <c:pt idx="391">
                  <c:v>2302.9198466914399</c:v>
                </c:pt>
                <c:pt idx="392">
                  <c:v>2244.5810660719699</c:v>
                </c:pt>
                <c:pt idx="393">
                  <c:v>2236.1366618019301</c:v>
                </c:pt>
                <c:pt idx="394">
                  <c:v>2233.60298054334</c:v>
                </c:pt>
                <c:pt idx="395">
                  <c:v>2222.0421929358399</c:v>
                </c:pt>
                <c:pt idx="396">
                  <c:v>2133.4176081904102</c:v>
                </c:pt>
                <c:pt idx="397">
                  <c:v>2099.4960798941202</c:v>
                </c:pt>
                <c:pt idx="398">
                  <c:v>2050.9499674276099</c:v>
                </c:pt>
                <c:pt idx="399">
                  <c:v>1906.8553802752899</c:v>
                </c:pt>
                <c:pt idx="400">
                  <c:v>1863.77110332849</c:v>
                </c:pt>
                <c:pt idx="401">
                  <c:v>1821.7728839486199</c:v>
                </c:pt>
                <c:pt idx="402">
                  <c:v>1805.27688590346</c:v>
                </c:pt>
                <c:pt idx="403">
                  <c:v>1784.1496272916199</c:v>
                </c:pt>
                <c:pt idx="404">
                  <c:v>1758.97741738164</c:v>
                </c:pt>
                <c:pt idx="405">
                  <c:v>1748.03873292192</c:v>
                </c:pt>
                <c:pt idx="406">
                  <c:v>1724.7141316504001</c:v>
                </c:pt>
                <c:pt idx="407">
                  <c:v>1710.3379652493099</c:v>
                </c:pt>
                <c:pt idx="408">
                  <c:v>1702.41711677432</c:v>
                </c:pt>
                <c:pt idx="409">
                  <c:v>1674.0695959948</c:v>
                </c:pt>
                <c:pt idx="410">
                  <c:v>1606.86506287098</c:v>
                </c:pt>
                <c:pt idx="411">
                  <c:v>1594.3693856054699</c:v>
                </c:pt>
                <c:pt idx="412">
                  <c:v>1528.030730987</c:v>
                </c:pt>
                <c:pt idx="413">
                  <c:v>1398.4713951792501</c:v>
                </c:pt>
                <c:pt idx="414">
                  <c:v>1326.4916749317899</c:v>
                </c:pt>
                <c:pt idx="415">
                  <c:v>1304.2396489109699</c:v>
                </c:pt>
                <c:pt idx="416">
                  <c:v>1287.4033789651401</c:v>
                </c:pt>
                <c:pt idx="417">
                  <c:v>1263.7964931439101</c:v>
                </c:pt>
                <c:pt idx="418">
                  <c:v>1254.8422431839999</c:v>
                </c:pt>
                <c:pt idx="419">
                  <c:v>1246.99082285336</c:v>
                </c:pt>
                <c:pt idx="420">
                  <c:v>1244.4535831815001</c:v>
                </c:pt>
                <c:pt idx="421">
                  <c:v>1192.49913152672</c:v>
                </c:pt>
                <c:pt idx="422">
                  <c:v>1178.76189080277</c:v>
                </c:pt>
                <c:pt idx="423">
                  <c:v>1153.16017223626</c:v>
                </c:pt>
                <c:pt idx="424">
                  <c:v>1128.35911026082</c:v>
                </c:pt>
                <c:pt idx="425">
                  <c:v>1117.5613526756499</c:v>
                </c:pt>
                <c:pt idx="426">
                  <c:v>1110.54240204434</c:v>
                </c:pt>
                <c:pt idx="427">
                  <c:v>1024.8287554102601</c:v>
                </c:pt>
                <c:pt idx="428">
                  <c:v>979.56515668742702</c:v>
                </c:pt>
                <c:pt idx="429">
                  <c:v>972.75754549221801</c:v>
                </c:pt>
                <c:pt idx="430">
                  <c:v>967.75612362615402</c:v>
                </c:pt>
                <c:pt idx="431">
                  <c:v>965.40584443442697</c:v>
                </c:pt>
                <c:pt idx="432">
                  <c:v>936.79095964284602</c:v>
                </c:pt>
                <c:pt idx="433">
                  <c:v>929.780811855396</c:v>
                </c:pt>
                <c:pt idx="434">
                  <c:v>906.423177977705</c:v>
                </c:pt>
                <c:pt idx="435">
                  <c:v>852.59736970177198</c:v>
                </c:pt>
                <c:pt idx="436">
                  <c:v>839.12870955402195</c:v>
                </c:pt>
                <c:pt idx="437">
                  <c:v>832.51267890122199</c:v>
                </c:pt>
                <c:pt idx="438">
                  <c:v>814.63783937873097</c:v>
                </c:pt>
                <c:pt idx="439">
                  <c:v>808.79839491980294</c:v>
                </c:pt>
                <c:pt idx="440">
                  <c:v>729.56004662562998</c:v>
                </c:pt>
                <c:pt idx="441">
                  <c:v>727.28663072414599</c:v>
                </c:pt>
                <c:pt idx="442">
                  <c:v>692.63030874108597</c:v>
                </c:pt>
                <c:pt idx="443">
                  <c:v>637.50487719315595</c:v>
                </c:pt>
                <c:pt idx="444">
                  <c:v>607.40413690755304</c:v>
                </c:pt>
                <c:pt idx="445">
                  <c:v>604.33756410874798</c:v>
                </c:pt>
                <c:pt idx="446">
                  <c:v>574.66969141356401</c:v>
                </c:pt>
                <c:pt idx="447">
                  <c:v>551.72043924170202</c:v>
                </c:pt>
                <c:pt idx="448">
                  <c:v>501.67443003285399</c:v>
                </c:pt>
                <c:pt idx="449">
                  <c:v>497.40527689788797</c:v>
                </c:pt>
                <c:pt idx="450">
                  <c:v>468.80972002023799</c:v>
                </c:pt>
                <c:pt idx="451">
                  <c:v>449.291520779449</c:v>
                </c:pt>
                <c:pt idx="452">
                  <c:v>441.96968975406202</c:v>
                </c:pt>
                <c:pt idx="453">
                  <c:v>396.89713379940599</c:v>
                </c:pt>
                <c:pt idx="454">
                  <c:v>392.788234900715</c:v>
                </c:pt>
                <c:pt idx="455">
                  <c:v>382.48859770090701</c:v>
                </c:pt>
                <c:pt idx="456">
                  <c:v>379.36431354313498</c:v>
                </c:pt>
                <c:pt idx="457">
                  <c:v>374.564052066518</c:v>
                </c:pt>
                <c:pt idx="458">
                  <c:v>342.35659085785801</c:v>
                </c:pt>
                <c:pt idx="459">
                  <c:v>342.15509677356499</c:v>
                </c:pt>
                <c:pt idx="460">
                  <c:v>335.015550651056</c:v>
                </c:pt>
                <c:pt idx="461">
                  <c:v>329.52021349112903</c:v>
                </c:pt>
                <c:pt idx="462">
                  <c:v>298.73891474015102</c:v>
                </c:pt>
                <c:pt idx="463">
                  <c:v>297.663786637361</c:v>
                </c:pt>
                <c:pt idx="464">
                  <c:v>294.264806772425</c:v>
                </c:pt>
                <c:pt idx="465">
                  <c:v>277.84508435932503</c:v>
                </c:pt>
                <c:pt idx="466">
                  <c:v>276.84333170973503</c:v>
                </c:pt>
                <c:pt idx="467">
                  <c:v>272.79657232145502</c:v>
                </c:pt>
                <c:pt idx="468">
                  <c:v>271.61093237814799</c:v>
                </c:pt>
                <c:pt idx="469">
                  <c:v>245.64938042359699</c:v>
                </c:pt>
                <c:pt idx="470">
                  <c:v>237.75729522797499</c:v>
                </c:pt>
                <c:pt idx="471">
                  <c:v>224.09462741298299</c:v>
                </c:pt>
                <c:pt idx="472">
                  <c:v>216.73443107490201</c:v>
                </c:pt>
                <c:pt idx="473">
                  <c:v>212.01782876567799</c:v>
                </c:pt>
                <c:pt idx="474">
                  <c:v>197.43973882539001</c:v>
                </c:pt>
                <c:pt idx="475">
                  <c:v>189.11069328318899</c:v>
                </c:pt>
                <c:pt idx="476">
                  <c:v>185.597871480051</c:v>
                </c:pt>
                <c:pt idx="477">
                  <c:v>173.79590137704099</c:v>
                </c:pt>
                <c:pt idx="478">
                  <c:v>164.75379724074801</c:v>
                </c:pt>
                <c:pt idx="479">
                  <c:v>160.20076003075201</c:v>
                </c:pt>
                <c:pt idx="480">
                  <c:v>158.44899391067901</c:v>
                </c:pt>
                <c:pt idx="481">
                  <c:v>158.00225444967299</c:v>
                </c:pt>
                <c:pt idx="482">
                  <c:v>155.766854939832</c:v>
                </c:pt>
                <c:pt idx="483">
                  <c:v>153.80547170121201</c:v>
                </c:pt>
                <c:pt idx="484">
                  <c:v>148.05364987654499</c:v>
                </c:pt>
                <c:pt idx="485">
                  <c:v>144.866442392908</c:v>
                </c:pt>
                <c:pt idx="486">
                  <c:v>124.988872555594</c:v>
                </c:pt>
                <c:pt idx="487">
                  <c:v>123.16205735894</c:v>
                </c:pt>
                <c:pt idx="488">
                  <c:v>113.342908634775</c:v>
                </c:pt>
                <c:pt idx="489">
                  <c:v>104.24631348180399</c:v>
                </c:pt>
                <c:pt idx="490">
                  <c:v>102.427608262777</c:v>
                </c:pt>
                <c:pt idx="491">
                  <c:v>86.0201588473805</c:v>
                </c:pt>
                <c:pt idx="492">
                  <c:v>84.207588193105195</c:v>
                </c:pt>
                <c:pt idx="493">
                  <c:v>83.039573003370606</c:v>
                </c:pt>
                <c:pt idx="494">
                  <c:v>68.929555861803806</c:v>
                </c:pt>
                <c:pt idx="495">
                  <c:v>68.344715472430707</c:v>
                </c:pt>
                <c:pt idx="496">
                  <c:v>64.653826799134393</c:v>
                </c:pt>
                <c:pt idx="497">
                  <c:v>61.244693157466401</c:v>
                </c:pt>
                <c:pt idx="498">
                  <c:v>60.217075927980503</c:v>
                </c:pt>
                <c:pt idx="499">
                  <c:v>52.319466291053203</c:v>
                </c:pt>
                <c:pt idx="500">
                  <c:v>42.9637366351959</c:v>
                </c:pt>
                <c:pt idx="501">
                  <c:v>41.2739042863872</c:v>
                </c:pt>
                <c:pt idx="502">
                  <c:v>13.8456557766029</c:v>
                </c:pt>
                <c:pt idx="503">
                  <c:v>11.8965280067601</c:v>
                </c:pt>
                <c:pt idx="504">
                  <c:v>10.4413906243249</c:v>
                </c:pt>
                <c:pt idx="505">
                  <c:v>6.81792368971192</c:v>
                </c:pt>
              </c:numCache>
            </c:numRef>
          </c:xVal>
          <c:yVal>
            <c:numRef>
              <c:f>[0]!SevCDFValueRange</c:f>
              <c:numCache>
                <c:formatCode>General</c:formatCode>
                <c:ptCount val="506"/>
                <c:pt idx="0">
                  <c:v>1</c:v>
                </c:pt>
                <c:pt idx="1">
                  <c:v>0.91651542649727769</c:v>
                </c:pt>
                <c:pt idx="2">
                  <c:v>0.9147005444646098</c:v>
                </c:pt>
                <c:pt idx="3">
                  <c:v>0.91288566243194191</c:v>
                </c:pt>
                <c:pt idx="4">
                  <c:v>0.91107078039927403</c:v>
                </c:pt>
                <c:pt idx="5">
                  <c:v>0.90925589836660614</c:v>
                </c:pt>
                <c:pt idx="6">
                  <c:v>0.90744101633393826</c:v>
                </c:pt>
                <c:pt idx="7">
                  <c:v>0.90562613430127037</c:v>
                </c:pt>
                <c:pt idx="8">
                  <c:v>0.90381125226860259</c:v>
                </c:pt>
                <c:pt idx="9">
                  <c:v>0.90199637023593471</c:v>
                </c:pt>
                <c:pt idx="10">
                  <c:v>0.90018148820326682</c:v>
                </c:pt>
                <c:pt idx="11">
                  <c:v>0.89836660617059894</c:v>
                </c:pt>
                <c:pt idx="12">
                  <c:v>0.89655172413793105</c:v>
                </c:pt>
                <c:pt idx="13">
                  <c:v>0.89473684210526316</c:v>
                </c:pt>
                <c:pt idx="14">
                  <c:v>0.89292196007259528</c:v>
                </c:pt>
                <c:pt idx="15">
                  <c:v>0.89110707803992739</c:v>
                </c:pt>
                <c:pt idx="16">
                  <c:v>0.88929219600725951</c:v>
                </c:pt>
                <c:pt idx="17">
                  <c:v>0.88747731397459162</c:v>
                </c:pt>
                <c:pt idx="18">
                  <c:v>0.88566243194192373</c:v>
                </c:pt>
                <c:pt idx="19">
                  <c:v>0.88384754990925585</c:v>
                </c:pt>
                <c:pt idx="20">
                  <c:v>0.88203266787658807</c:v>
                </c:pt>
                <c:pt idx="21">
                  <c:v>0.88021778584392019</c:v>
                </c:pt>
                <c:pt idx="22">
                  <c:v>0.8784029038112523</c:v>
                </c:pt>
                <c:pt idx="23">
                  <c:v>0.87658802177858441</c:v>
                </c:pt>
                <c:pt idx="24">
                  <c:v>0.87477313974591653</c:v>
                </c:pt>
                <c:pt idx="25">
                  <c:v>0.87295825771324864</c:v>
                </c:pt>
                <c:pt idx="26">
                  <c:v>0.87114337568058076</c:v>
                </c:pt>
                <c:pt idx="27">
                  <c:v>0.86932849364791287</c:v>
                </c:pt>
                <c:pt idx="28">
                  <c:v>0.86751361161524498</c:v>
                </c:pt>
                <c:pt idx="29">
                  <c:v>0.8656987295825771</c:v>
                </c:pt>
                <c:pt idx="30">
                  <c:v>0.86388384754990921</c:v>
                </c:pt>
                <c:pt idx="31">
                  <c:v>0.86206896551724133</c:v>
                </c:pt>
                <c:pt idx="32">
                  <c:v>0.86025408348457355</c:v>
                </c:pt>
                <c:pt idx="33">
                  <c:v>0.85843920145190566</c:v>
                </c:pt>
                <c:pt idx="34">
                  <c:v>0.85662431941923778</c:v>
                </c:pt>
                <c:pt idx="35">
                  <c:v>0.85480943738656989</c:v>
                </c:pt>
                <c:pt idx="36">
                  <c:v>0.85299455535390201</c:v>
                </c:pt>
                <c:pt idx="37">
                  <c:v>0.85117967332123412</c:v>
                </c:pt>
                <c:pt idx="38">
                  <c:v>0.84936479128856623</c:v>
                </c:pt>
                <c:pt idx="39">
                  <c:v>0.84754990925589835</c:v>
                </c:pt>
                <c:pt idx="40">
                  <c:v>0.84573502722323046</c:v>
                </c:pt>
                <c:pt idx="41">
                  <c:v>0.84392014519056258</c:v>
                </c:pt>
                <c:pt idx="42">
                  <c:v>0.84210526315789469</c:v>
                </c:pt>
                <c:pt idx="43">
                  <c:v>0.84029038112522692</c:v>
                </c:pt>
                <c:pt idx="44">
                  <c:v>0.83847549909255903</c:v>
                </c:pt>
                <c:pt idx="45">
                  <c:v>0.83666061705989114</c:v>
                </c:pt>
                <c:pt idx="46">
                  <c:v>0.83484573502722326</c:v>
                </c:pt>
                <c:pt idx="47">
                  <c:v>0.83303085299455537</c:v>
                </c:pt>
                <c:pt idx="48">
                  <c:v>0.83121597096188748</c:v>
                </c:pt>
                <c:pt idx="49">
                  <c:v>0.8294010889292196</c:v>
                </c:pt>
                <c:pt idx="50">
                  <c:v>0.82758620689655171</c:v>
                </c:pt>
                <c:pt idx="51">
                  <c:v>0.82577132486388383</c:v>
                </c:pt>
                <c:pt idx="52">
                  <c:v>0.82395644283121594</c:v>
                </c:pt>
                <c:pt idx="53">
                  <c:v>0.82214156079854805</c:v>
                </c:pt>
                <c:pt idx="54">
                  <c:v>0.82032667876588017</c:v>
                </c:pt>
                <c:pt idx="55">
                  <c:v>0.81851179673321239</c:v>
                </c:pt>
                <c:pt idx="56">
                  <c:v>0.81669691470054451</c:v>
                </c:pt>
                <c:pt idx="57">
                  <c:v>0.81488203266787662</c:v>
                </c:pt>
                <c:pt idx="58">
                  <c:v>0.81306715063520874</c:v>
                </c:pt>
                <c:pt idx="59">
                  <c:v>0.81125226860254085</c:v>
                </c:pt>
                <c:pt idx="60">
                  <c:v>0.80943738656987296</c:v>
                </c:pt>
                <c:pt idx="61">
                  <c:v>0.80762250453720508</c:v>
                </c:pt>
                <c:pt idx="62">
                  <c:v>0.80580762250453719</c:v>
                </c:pt>
                <c:pt idx="63">
                  <c:v>0.8039927404718693</c:v>
                </c:pt>
                <c:pt idx="64">
                  <c:v>0.80217785843920142</c:v>
                </c:pt>
                <c:pt idx="65">
                  <c:v>0.80036297640653353</c:v>
                </c:pt>
                <c:pt idx="66">
                  <c:v>0.79854809437386565</c:v>
                </c:pt>
                <c:pt idx="67">
                  <c:v>0.79673321234119787</c:v>
                </c:pt>
                <c:pt idx="68">
                  <c:v>0.79491833030852999</c:v>
                </c:pt>
                <c:pt idx="69">
                  <c:v>0.7931034482758621</c:v>
                </c:pt>
                <c:pt idx="70">
                  <c:v>0.79128856624319421</c:v>
                </c:pt>
                <c:pt idx="71">
                  <c:v>0.78947368421052633</c:v>
                </c:pt>
                <c:pt idx="72">
                  <c:v>0.78765880217785844</c:v>
                </c:pt>
                <c:pt idx="73">
                  <c:v>0.78584392014519056</c:v>
                </c:pt>
                <c:pt idx="74">
                  <c:v>0.78402903811252267</c:v>
                </c:pt>
                <c:pt idx="75">
                  <c:v>0.78221415607985478</c:v>
                </c:pt>
                <c:pt idx="76">
                  <c:v>0.7803992740471869</c:v>
                </c:pt>
                <c:pt idx="77">
                  <c:v>0.77858439201451901</c:v>
                </c:pt>
                <c:pt idx="78">
                  <c:v>0.77676950998185113</c:v>
                </c:pt>
                <c:pt idx="79">
                  <c:v>0.77495462794918335</c:v>
                </c:pt>
                <c:pt idx="80">
                  <c:v>0.77313974591651546</c:v>
                </c:pt>
                <c:pt idx="81">
                  <c:v>0.77132486388384758</c:v>
                </c:pt>
                <c:pt idx="82">
                  <c:v>0.76950998185117969</c:v>
                </c:pt>
                <c:pt idx="83">
                  <c:v>0.76769509981851181</c:v>
                </c:pt>
                <c:pt idx="84">
                  <c:v>0.76588021778584392</c:v>
                </c:pt>
                <c:pt idx="85">
                  <c:v>0.76406533575317603</c:v>
                </c:pt>
                <c:pt idx="86">
                  <c:v>0.76225045372050815</c:v>
                </c:pt>
                <c:pt idx="87">
                  <c:v>0.76043557168784026</c:v>
                </c:pt>
                <c:pt idx="88">
                  <c:v>0.75862068965517238</c:v>
                </c:pt>
                <c:pt idx="89">
                  <c:v>0.75680580762250449</c:v>
                </c:pt>
                <c:pt idx="90">
                  <c:v>0.75499092558983671</c:v>
                </c:pt>
                <c:pt idx="91">
                  <c:v>0.75317604355716883</c:v>
                </c:pt>
                <c:pt idx="92">
                  <c:v>0.75136116152450094</c:v>
                </c:pt>
                <c:pt idx="93">
                  <c:v>0.74954627949183306</c:v>
                </c:pt>
                <c:pt idx="94">
                  <c:v>0.74773139745916517</c:v>
                </c:pt>
                <c:pt idx="95">
                  <c:v>0.74591651542649728</c:v>
                </c:pt>
                <c:pt idx="96">
                  <c:v>0.7441016333938294</c:v>
                </c:pt>
                <c:pt idx="97">
                  <c:v>0.74228675136116151</c:v>
                </c:pt>
                <c:pt idx="98">
                  <c:v>0.74047186932849363</c:v>
                </c:pt>
                <c:pt idx="99">
                  <c:v>0.73865698729582574</c:v>
                </c:pt>
                <c:pt idx="100">
                  <c:v>0.73684210526315785</c:v>
                </c:pt>
                <c:pt idx="101">
                  <c:v>0.73502722323048997</c:v>
                </c:pt>
                <c:pt idx="102">
                  <c:v>0.73321234119782219</c:v>
                </c:pt>
                <c:pt idx="103">
                  <c:v>0.73139745916515431</c:v>
                </c:pt>
                <c:pt idx="104">
                  <c:v>0.72958257713248642</c:v>
                </c:pt>
                <c:pt idx="105">
                  <c:v>0.72776769509981853</c:v>
                </c:pt>
                <c:pt idx="106">
                  <c:v>0.72595281306715065</c:v>
                </c:pt>
                <c:pt idx="107">
                  <c:v>0.72413793103448276</c:v>
                </c:pt>
                <c:pt idx="108">
                  <c:v>0.72232304900181488</c:v>
                </c:pt>
                <c:pt idx="109">
                  <c:v>0.72050816696914699</c:v>
                </c:pt>
                <c:pt idx="110">
                  <c:v>0.7186932849364791</c:v>
                </c:pt>
                <c:pt idx="111">
                  <c:v>0.71687840290381122</c:v>
                </c:pt>
                <c:pt idx="112">
                  <c:v>0.71506352087114333</c:v>
                </c:pt>
                <c:pt idx="113">
                  <c:v>0.71324863883847545</c:v>
                </c:pt>
                <c:pt idx="114">
                  <c:v>0.71143375680580767</c:v>
                </c:pt>
                <c:pt idx="115">
                  <c:v>0.70961887477313979</c:v>
                </c:pt>
                <c:pt idx="116">
                  <c:v>0.7078039927404719</c:v>
                </c:pt>
                <c:pt idx="117">
                  <c:v>0.70598911070780401</c:v>
                </c:pt>
                <c:pt idx="118">
                  <c:v>0.70417422867513613</c:v>
                </c:pt>
                <c:pt idx="119">
                  <c:v>0.70235934664246824</c:v>
                </c:pt>
                <c:pt idx="120">
                  <c:v>0.70054446460980035</c:v>
                </c:pt>
                <c:pt idx="121">
                  <c:v>0.69872958257713247</c:v>
                </c:pt>
                <c:pt idx="122">
                  <c:v>0.69691470054446458</c:v>
                </c:pt>
                <c:pt idx="123">
                  <c:v>0.6950998185117967</c:v>
                </c:pt>
                <c:pt idx="124">
                  <c:v>0.69328493647912881</c:v>
                </c:pt>
                <c:pt idx="125">
                  <c:v>0.69147005444646104</c:v>
                </c:pt>
                <c:pt idx="126">
                  <c:v>0.68965517241379315</c:v>
                </c:pt>
                <c:pt idx="127">
                  <c:v>0.68784029038112526</c:v>
                </c:pt>
                <c:pt idx="128">
                  <c:v>0.68602540834845738</c:v>
                </c:pt>
                <c:pt idx="129">
                  <c:v>0.68421052631578949</c:v>
                </c:pt>
                <c:pt idx="130">
                  <c:v>0.68239564428312161</c:v>
                </c:pt>
                <c:pt idx="131">
                  <c:v>0.68058076225045372</c:v>
                </c:pt>
                <c:pt idx="132">
                  <c:v>0.67876588021778583</c:v>
                </c:pt>
                <c:pt idx="133">
                  <c:v>0.67695099818511795</c:v>
                </c:pt>
                <c:pt idx="134">
                  <c:v>0.67513611615245006</c:v>
                </c:pt>
                <c:pt idx="135">
                  <c:v>0.67332123411978217</c:v>
                </c:pt>
                <c:pt idx="136">
                  <c:v>0.67150635208711429</c:v>
                </c:pt>
                <c:pt idx="137">
                  <c:v>0.66969147005444651</c:v>
                </c:pt>
                <c:pt idx="138">
                  <c:v>0.66787658802177863</c:v>
                </c:pt>
                <c:pt idx="139">
                  <c:v>0.66606170598911074</c:v>
                </c:pt>
                <c:pt idx="140">
                  <c:v>0.66424682395644286</c:v>
                </c:pt>
                <c:pt idx="141">
                  <c:v>0.66243194192377497</c:v>
                </c:pt>
                <c:pt idx="142">
                  <c:v>0.66061705989110708</c:v>
                </c:pt>
                <c:pt idx="143">
                  <c:v>0.6588021778584392</c:v>
                </c:pt>
                <c:pt idx="144">
                  <c:v>0.65698729582577131</c:v>
                </c:pt>
                <c:pt idx="145">
                  <c:v>0.65517241379310343</c:v>
                </c:pt>
                <c:pt idx="146">
                  <c:v>0.65335753176043554</c:v>
                </c:pt>
                <c:pt idx="147">
                  <c:v>0.65154264972776765</c:v>
                </c:pt>
                <c:pt idx="148">
                  <c:v>0.64972776769509977</c:v>
                </c:pt>
                <c:pt idx="149">
                  <c:v>0.64791288566243199</c:v>
                </c:pt>
                <c:pt idx="150">
                  <c:v>0.64609800362976411</c:v>
                </c:pt>
                <c:pt idx="151">
                  <c:v>0.64428312159709622</c:v>
                </c:pt>
                <c:pt idx="152">
                  <c:v>0.64246823956442833</c:v>
                </c:pt>
                <c:pt idx="153">
                  <c:v>0.64065335753176045</c:v>
                </c:pt>
                <c:pt idx="154">
                  <c:v>0.63883847549909256</c:v>
                </c:pt>
                <c:pt idx="155">
                  <c:v>0.63702359346642468</c:v>
                </c:pt>
                <c:pt idx="156">
                  <c:v>0.63520871143375679</c:v>
                </c:pt>
                <c:pt idx="157">
                  <c:v>0.6333938294010889</c:v>
                </c:pt>
                <c:pt idx="158">
                  <c:v>0.63157894736842102</c:v>
                </c:pt>
                <c:pt idx="159">
                  <c:v>0.62976406533575313</c:v>
                </c:pt>
                <c:pt idx="160">
                  <c:v>0.62794918330308525</c:v>
                </c:pt>
                <c:pt idx="161">
                  <c:v>0.62613430127041747</c:v>
                </c:pt>
                <c:pt idx="162">
                  <c:v>0.62431941923774958</c:v>
                </c:pt>
                <c:pt idx="163">
                  <c:v>0.6225045372050817</c:v>
                </c:pt>
                <c:pt idx="164">
                  <c:v>0.62068965517241381</c:v>
                </c:pt>
                <c:pt idx="165">
                  <c:v>0.61887477313974593</c:v>
                </c:pt>
                <c:pt idx="166">
                  <c:v>0.61705989110707804</c:v>
                </c:pt>
                <c:pt idx="167">
                  <c:v>0.61524500907441015</c:v>
                </c:pt>
                <c:pt idx="168">
                  <c:v>0.61343012704174227</c:v>
                </c:pt>
                <c:pt idx="169">
                  <c:v>0.61161524500907438</c:v>
                </c:pt>
                <c:pt idx="170">
                  <c:v>0.6098003629764065</c:v>
                </c:pt>
                <c:pt idx="171">
                  <c:v>0.60798548094373861</c:v>
                </c:pt>
                <c:pt idx="172">
                  <c:v>0.60617059891107083</c:v>
                </c:pt>
                <c:pt idx="173">
                  <c:v>0.60435571687840295</c:v>
                </c:pt>
                <c:pt idx="174">
                  <c:v>0.60254083484573506</c:v>
                </c:pt>
                <c:pt idx="175">
                  <c:v>0.60072595281306718</c:v>
                </c:pt>
                <c:pt idx="176">
                  <c:v>0.59891107078039929</c:v>
                </c:pt>
                <c:pt idx="177">
                  <c:v>0.5970961887477314</c:v>
                </c:pt>
                <c:pt idx="178">
                  <c:v>0.59528130671506352</c:v>
                </c:pt>
                <c:pt idx="179">
                  <c:v>0.59346642468239563</c:v>
                </c:pt>
                <c:pt idx="180">
                  <c:v>0.59165154264972775</c:v>
                </c:pt>
                <c:pt idx="181">
                  <c:v>0.58983666061705986</c:v>
                </c:pt>
                <c:pt idx="182">
                  <c:v>0.58802177858439197</c:v>
                </c:pt>
                <c:pt idx="183">
                  <c:v>0.58620689655172409</c:v>
                </c:pt>
                <c:pt idx="184">
                  <c:v>0.58439201451905631</c:v>
                </c:pt>
                <c:pt idx="185">
                  <c:v>0.58257713248638843</c:v>
                </c:pt>
                <c:pt idx="186">
                  <c:v>0.58076225045372054</c:v>
                </c:pt>
                <c:pt idx="187">
                  <c:v>0.57894736842105265</c:v>
                </c:pt>
                <c:pt idx="188">
                  <c:v>0.57713248638838477</c:v>
                </c:pt>
                <c:pt idx="189">
                  <c:v>0.57531760435571688</c:v>
                </c:pt>
                <c:pt idx="190">
                  <c:v>0.573502722323049</c:v>
                </c:pt>
                <c:pt idx="191">
                  <c:v>0.57168784029038111</c:v>
                </c:pt>
                <c:pt idx="192">
                  <c:v>0.56987295825771322</c:v>
                </c:pt>
                <c:pt idx="193">
                  <c:v>0.56805807622504534</c:v>
                </c:pt>
                <c:pt idx="194">
                  <c:v>0.56624319419237745</c:v>
                </c:pt>
                <c:pt idx="195">
                  <c:v>0.56442831215970957</c:v>
                </c:pt>
                <c:pt idx="196">
                  <c:v>0.56261343012704179</c:v>
                </c:pt>
                <c:pt idx="197">
                  <c:v>0.56079854809437391</c:v>
                </c:pt>
                <c:pt idx="198">
                  <c:v>0.55898366606170602</c:v>
                </c:pt>
                <c:pt idx="199">
                  <c:v>0.55716878402903813</c:v>
                </c:pt>
                <c:pt idx="200">
                  <c:v>0.55535390199637025</c:v>
                </c:pt>
                <c:pt idx="201">
                  <c:v>0.55353901996370236</c:v>
                </c:pt>
                <c:pt idx="202">
                  <c:v>0.55172413793103448</c:v>
                </c:pt>
                <c:pt idx="203">
                  <c:v>0.54990925589836659</c:v>
                </c:pt>
                <c:pt idx="204">
                  <c:v>0.5480943738656987</c:v>
                </c:pt>
                <c:pt idx="205">
                  <c:v>0.54627949183303082</c:v>
                </c:pt>
                <c:pt idx="206">
                  <c:v>0.54446460980036293</c:v>
                </c:pt>
                <c:pt idx="207">
                  <c:v>0.54264972776769504</c:v>
                </c:pt>
                <c:pt idx="208">
                  <c:v>0.54083484573502727</c:v>
                </c:pt>
                <c:pt idx="209">
                  <c:v>0.53901996370235938</c:v>
                </c:pt>
                <c:pt idx="210">
                  <c:v>0.5372050816696915</c:v>
                </c:pt>
                <c:pt idx="211">
                  <c:v>0.53539019963702361</c:v>
                </c:pt>
                <c:pt idx="212">
                  <c:v>0.53357531760435573</c:v>
                </c:pt>
                <c:pt idx="213">
                  <c:v>0.53176043557168784</c:v>
                </c:pt>
                <c:pt idx="214">
                  <c:v>0.52994555353901995</c:v>
                </c:pt>
                <c:pt idx="215">
                  <c:v>0.52813067150635207</c:v>
                </c:pt>
                <c:pt idx="216">
                  <c:v>0.52631578947368418</c:v>
                </c:pt>
                <c:pt idx="217">
                  <c:v>0.5245009074410163</c:v>
                </c:pt>
                <c:pt idx="218">
                  <c:v>0.52268602540834841</c:v>
                </c:pt>
                <c:pt idx="219">
                  <c:v>0.52087114337568063</c:v>
                </c:pt>
                <c:pt idx="220">
                  <c:v>0.51905626134301275</c:v>
                </c:pt>
                <c:pt idx="221">
                  <c:v>0.51724137931034486</c:v>
                </c:pt>
                <c:pt idx="222">
                  <c:v>0.51542649727767698</c:v>
                </c:pt>
                <c:pt idx="223">
                  <c:v>0.51361161524500909</c:v>
                </c:pt>
                <c:pt idx="224">
                  <c:v>0.5117967332123412</c:v>
                </c:pt>
                <c:pt idx="225">
                  <c:v>0.50998185117967332</c:v>
                </c:pt>
                <c:pt idx="226">
                  <c:v>0.50816696914700543</c:v>
                </c:pt>
                <c:pt idx="227">
                  <c:v>0.50635208711433755</c:v>
                </c:pt>
                <c:pt idx="228">
                  <c:v>0.50453720508166966</c:v>
                </c:pt>
                <c:pt idx="229">
                  <c:v>0.50272232304900177</c:v>
                </c:pt>
                <c:pt idx="230">
                  <c:v>0.50090744101633389</c:v>
                </c:pt>
                <c:pt idx="231">
                  <c:v>0.49909255898366606</c:v>
                </c:pt>
                <c:pt idx="232">
                  <c:v>0.49727767695099817</c:v>
                </c:pt>
                <c:pt idx="233">
                  <c:v>0.49546279491833028</c:v>
                </c:pt>
                <c:pt idx="234">
                  <c:v>0.49364791288566245</c:v>
                </c:pt>
                <c:pt idx="235">
                  <c:v>0.49183303085299457</c:v>
                </c:pt>
                <c:pt idx="236">
                  <c:v>0.49001814882032668</c:v>
                </c:pt>
                <c:pt idx="237">
                  <c:v>0.4882032667876588</c:v>
                </c:pt>
                <c:pt idx="238">
                  <c:v>0.48638838475499091</c:v>
                </c:pt>
                <c:pt idx="239">
                  <c:v>0.48457350272232302</c:v>
                </c:pt>
                <c:pt idx="240">
                  <c:v>0.48275862068965519</c:v>
                </c:pt>
                <c:pt idx="241">
                  <c:v>0.48094373865698731</c:v>
                </c:pt>
                <c:pt idx="242">
                  <c:v>0.47912885662431942</c:v>
                </c:pt>
                <c:pt idx="243">
                  <c:v>0.47731397459165154</c:v>
                </c:pt>
                <c:pt idx="244">
                  <c:v>0.47549909255898365</c:v>
                </c:pt>
                <c:pt idx="245">
                  <c:v>0.47368421052631576</c:v>
                </c:pt>
                <c:pt idx="246">
                  <c:v>0.47186932849364793</c:v>
                </c:pt>
                <c:pt idx="247">
                  <c:v>0.47005444646098005</c:v>
                </c:pt>
                <c:pt idx="248">
                  <c:v>0.46823956442831216</c:v>
                </c:pt>
                <c:pt idx="249">
                  <c:v>0.46642468239564427</c:v>
                </c:pt>
                <c:pt idx="250">
                  <c:v>0.46460980036297639</c:v>
                </c:pt>
                <c:pt idx="251">
                  <c:v>0.4627949183303085</c:v>
                </c:pt>
                <c:pt idx="252">
                  <c:v>0.46098003629764067</c:v>
                </c:pt>
                <c:pt idx="253">
                  <c:v>0.45916515426497279</c:v>
                </c:pt>
                <c:pt idx="254">
                  <c:v>0.4573502722323049</c:v>
                </c:pt>
                <c:pt idx="255">
                  <c:v>0.45553539019963701</c:v>
                </c:pt>
                <c:pt idx="256">
                  <c:v>0.45372050816696913</c:v>
                </c:pt>
                <c:pt idx="257">
                  <c:v>0.4519056261343013</c:v>
                </c:pt>
                <c:pt idx="258">
                  <c:v>0.45009074410163341</c:v>
                </c:pt>
                <c:pt idx="259">
                  <c:v>0.44827586206896552</c:v>
                </c:pt>
                <c:pt idx="260">
                  <c:v>0.44646098003629764</c:v>
                </c:pt>
                <c:pt idx="261">
                  <c:v>0.44464609800362975</c:v>
                </c:pt>
                <c:pt idx="262">
                  <c:v>0.44283121597096187</c:v>
                </c:pt>
                <c:pt idx="263">
                  <c:v>0.44101633393829404</c:v>
                </c:pt>
                <c:pt idx="264">
                  <c:v>0.43920145190562615</c:v>
                </c:pt>
                <c:pt idx="265">
                  <c:v>0.43738656987295826</c:v>
                </c:pt>
                <c:pt idx="266">
                  <c:v>0.43557168784029038</c:v>
                </c:pt>
                <c:pt idx="267">
                  <c:v>0.43375680580762249</c:v>
                </c:pt>
                <c:pt idx="268">
                  <c:v>0.43194192377495461</c:v>
                </c:pt>
                <c:pt idx="269">
                  <c:v>0.43012704174228678</c:v>
                </c:pt>
                <c:pt idx="270">
                  <c:v>0.42831215970961889</c:v>
                </c:pt>
                <c:pt idx="271">
                  <c:v>0.426497277676951</c:v>
                </c:pt>
                <c:pt idx="272">
                  <c:v>0.42468239564428312</c:v>
                </c:pt>
                <c:pt idx="273">
                  <c:v>0.42286751361161523</c:v>
                </c:pt>
                <c:pt idx="274">
                  <c:v>0.42105263157894735</c:v>
                </c:pt>
                <c:pt idx="275">
                  <c:v>0.41923774954627951</c:v>
                </c:pt>
                <c:pt idx="276">
                  <c:v>0.41742286751361163</c:v>
                </c:pt>
                <c:pt idx="277">
                  <c:v>0.41560798548094374</c:v>
                </c:pt>
                <c:pt idx="278">
                  <c:v>0.41379310344827586</c:v>
                </c:pt>
                <c:pt idx="279">
                  <c:v>0.41197822141560797</c:v>
                </c:pt>
                <c:pt idx="280">
                  <c:v>0.41016333938294008</c:v>
                </c:pt>
                <c:pt idx="281">
                  <c:v>0.40834845735027225</c:v>
                </c:pt>
                <c:pt idx="282">
                  <c:v>0.40653357531760437</c:v>
                </c:pt>
                <c:pt idx="283">
                  <c:v>0.40471869328493648</c:v>
                </c:pt>
                <c:pt idx="284">
                  <c:v>0.4029038112522686</c:v>
                </c:pt>
                <c:pt idx="285">
                  <c:v>0.40108892921960071</c:v>
                </c:pt>
                <c:pt idx="286">
                  <c:v>0.39927404718693282</c:v>
                </c:pt>
                <c:pt idx="287">
                  <c:v>0.39745916515426499</c:v>
                </c:pt>
                <c:pt idx="288">
                  <c:v>0.39564428312159711</c:v>
                </c:pt>
                <c:pt idx="289">
                  <c:v>0.39382940108892922</c:v>
                </c:pt>
                <c:pt idx="290">
                  <c:v>0.39201451905626133</c:v>
                </c:pt>
                <c:pt idx="291">
                  <c:v>0.39019963702359345</c:v>
                </c:pt>
                <c:pt idx="292">
                  <c:v>0.38838475499092556</c:v>
                </c:pt>
                <c:pt idx="293">
                  <c:v>0.38656987295825773</c:v>
                </c:pt>
                <c:pt idx="294">
                  <c:v>0.38475499092558985</c:v>
                </c:pt>
                <c:pt idx="295">
                  <c:v>0.38294010889292196</c:v>
                </c:pt>
                <c:pt idx="296">
                  <c:v>0.38112522686025407</c:v>
                </c:pt>
                <c:pt idx="297">
                  <c:v>0.37931034482758619</c:v>
                </c:pt>
                <c:pt idx="298">
                  <c:v>0.37749546279491836</c:v>
                </c:pt>
                <c:pt idx="299">
                  <c:v>0.37568058076225047</c:v>
                </c:pt>
                <c:pt idx="300">
                  <c:v>0.37386569872958259</c:v>
                </c:pt>
                <c:pt idx="301">
                  <c:v>0.3720508166969147</c:v>
                </c:pt>
                <c:pt idx="302">
                  <c:v>0.37023593466424681</c:v>
                </c:pt>
                <c:pt idx="303">
                  <c:v>0.36842105263157893</c:v>
                </c:pt>
                <c:pt idx="304">
                  <c:v>0.3666061705989111</c:v>
                </c:pt>
                <c:pt idx="305">
                  <c:v>0.36479128856624321</c:v>
                </c:pt>
                <c:pt idx="306">
                  <c:v>0.36297640653357532</c:v>
                </c:pt>
                <c:pt idx="307">
                  <c:v>0.36116152450090744</c:v>
                </c:pt>
                <c:pt idx="308">
                  <c:v>0.35934664246823955</c:v>
                </c:pt>
                <c:pt idx="309">
                  <c:v>0.35753176043557167</c:v>
                </c:pt>
                <c:pt idx="310">
                  <c:v>0.35571687840290384</c:v>
                </c:pt>
                <c:pt idx="311">
                  <c:v>0.35390199637023595</c:v>
                </c:pt>
                <c:pt idx="312">
                  <c:v>0.35208711433756806</c:v>
                </c:pt>
                <c:pt idx="313">
                  <c:v>0.35027223230490018</c:v>
                </c:pt>
                <c:pt idx="314">
                  <c:v>0.34845735027223229</c:v>
                </c:pt>
                <c:pt idx="315">
                  <c:v>0.34664246823956441</c:v>
                </c:pt>
                <c:pt idx="316">
                  <c:v>0.34482758620689657</c:v>
                </c:pt>
                <c:pt idx="317">
                  <c:v>0.34301270417422869</c:v>
                </c:pt>
                <c:pt idx="318">
                  <c:v>0.3411978221415608</c:v>
                </c:pt>
                <c:pt idx="319">
                  <c:v>0.33938294010889292</c:v>
                </c:pt>
                <c:pt idx="320">
                  <c:v>0.33756805807622503</c:v>
                </c:pt>
                <c:pt idx="321">
                  <c:v>0.33575317604355714</c:v>
                </c:pt>
                <c:pt idx="322">
                  <c:v>0.33393829401088931</c:v>
                </c:pt>
                <c:pt idx="323">
                  <c:v>0.33212341197822143</c:v>
                </c:pt>
                <c:pt idx="324">
                  <c:v>0.33030852994555354</c:v>
                </c:pt>
                <c:pt idx="325">
                  <c:v>0.32849364791288566</c:v>
                </c:pt>
                <c:pt idx="326">
                  <c:v>0.32667876588021777</c:v>
                </c:pt>
                <c:pt idx="327">
                  <c:v>0.32486388384754988</c:v>
                </c:pt>
                <c:pt idx="328">
                  <c:v>0.32304900181488205</c:v>
                </c:pt>
                <c:pt idx="329">
                  <c:v>0.32123411978221417</c:v>
                </c:pt>
                <c:pt idx="330">
                  <c:v>0.31941923774954628</c:v>
                </c:pt>
                <c:pt idx="331">
                  <c:v>0.31760435571687839</c:v>
                </c:pt>
                <c:pt idx="332">
                  <c:v>0.31578947368421051</c:v>
                </c:pt>
                <c:pt idx="333">
                  <c:v>0.31397459165154262</c:v>
                </c:pt>
                <c:pt idx="334">
                  <c:v>0.31215970961887479</c:v>
                </c:pt>
                <c:pt idx="335">
                  <c:v>0.31034482758620691</c:v>
                </c:pt>
                <c:pt idx="336">
                  <c:v>0.30852994555353902</c:v>
                </c:pt>
                <c:pt idx="337">
                  <c:v>0.30671506352087113</c:v>
                </c:pt>
                <c:pt idx="338">
                  <c:v>0.30490018148820325</c:v>
                </c:pt>
                <c:pt idx="339">
                  <c:v>0.30308529945553542</c:v>
                </c:pt>
                <c:pt idx="340">
                  <c:v>0.30127041742286753</c:v>
                </c:pt>
                <c:pt idx="341">
                  <c:v>0.29945553539019965</c:v>
                </c:pt>
                <c:pt idx="342">
                  <c:v>0.29764065335753176</c:v>
                </c:pt>
                <c:pt idx="343">
                  <c:v>0.29582577132486387</c:v>
                </c:pt>
                <c:pt idx="344">
                  <c:v>0.29401088929219599</c:v>
                </c:pt>
                <c:pt idx="345">
                  <c:v>0.29219600725952816</c:v>
                </c:pt>
                <c:pt idx="346">
                  <c:v>0.29038112522686027</c:v>
                </c:pt>
                <c:pt idx="347">
                  <c:v>0.28856624319419238</c:v>
                </c:pt>
                <c:pt idx="348">
                  <c:v>0.2867513611615245</c:v>
                </c:pt>
                <c:pt idx="349">
                  <c:v>0.28493647912885661</c:v>
                </c:pt>
                <c:pt idx="350">
                  <c:v>0.28312159709618873</c:v>
                </c:pt>
                <c:pt idx="351">
                  <c:v>0.2813067150635209</c:v>
                </c:pt>
                <c:pt idx="352">
                  <c:v>0.27949183303085301</c:v>
                </c:pt>
                <c:pt idx="353">
                  <c:v>0.27767695099818512</c:v>
                </c:pt>
                <c:pt idx="354">
                  <c:v>0.27586206896551724</c:v>
                </c:pt>
                <c:pt idx="355">
                  <c:v>0.27404718693284935</c:v>
                </c:pt>
                <c:pt idx="356">
                  <c:v>0.27223230490018147</c:v>
                </c:pt>
                <c:pt idx="357">
                  <c:v>0.27041742286751363</c:v>
                </c:pt>
                <c:pt idx="358">
                  <c:v>0.26860254083484575</c:v>
                </c:pt>
                <c:pt idx="359">
                  <c:v>0.26678765880217786</c:v>
                </c:pt>
                <c:pt idx="360">
                  <c:v>0.26497277676950998</c:v>
                </c:pt>
                <c:pt idx="361">
                  <c:v>0.26315789473684209</c:v>
                </c:pt>
                <c:pt idx="362">
                  <c:v>0.2613430127041742</c:v>
                </c:pt>
                <c:pt idx="363">
                  <c:v>0.25952813067150637</c:v>
                </c:pt>
                <c:pt idx="364">
                  <c:v>0.25771324863883849</c:v>
                </c:pt>
                <c:pt idx="365">
                  <c:v>0.2558983666061706</c:v>
                </c:pt>
                <c:pt idx="366">
                  <c:v>0.25408348457350272</c:v>
                </c:pt>
                <c:pt idx="367">
                  <c:v>0.25226860254083483</c:v>
                </c:pt>
                <c:pt idx="368">
                  <c:v>0.25045372050816694</c:v>
                </c:pt>
                <c:pt idx="369">
                  <c:v>0.24863883847549909</c:v>
                </c:pt>
                <c:pt idx="370">
                  <c:v>0.24682395644283123</c:v>
                </c:pt>
                <c:pt idx="371">
                  <c:v>0.24500907441016334</c:v>
                </c:pt>
                <c:pt idx="372">
                  <c:v>0.24319419237749546</c:v>
                </c:pt>
                <c:pt idx="373">
                  <c:v>0.2413793103448276</c:v>
                </c:pt>
                <c:pt idx="374">
                  <c:v>0.23956442831215971</c:v>
                </c:pt>
                <c:pt idx="375">
                  <c:v>0.23774954627949182</c:v>
                </c:pt>
                <c:pt idx="376">
                  <c:v>0.23593466424682397</c:v>
                </c:pt>
                <c:pt idx="377">
                  <c:v>0.23411978221415608</c:v>
                </c:pt>
                <c:pt idx="378">
                  <c:v>0.23230490018148819</c:v>
                </c:pt>
                <c:pt idx="379">
                  <c:v>0.23049001814882034</c:v>
                </c:pt>
                <c:pt idx="380">
                  <c:v>0.22867513611615245</c:v>
                </c:pt>
                <c:pt idx="381">
                  <c:v>0.22686025408348456</c:v>
                </c:pt>
                <c:pt idx="382">
                  <c:v>0.22504537205081671</c:v>
                </c:pt>
                <c:pt idx="383">
                  <c:v>0.22323049001814882</c:v>
                </c:pt>
                <c:pt idx="384">
                  <c:v>0.22141560798548093</c:v>
                </c:pt>
                <c:pt idx="385">
                  <c:v>0.21960072595281308</c:v>
                </c:pt>
                <c:pt idx="386">
                  <c:v>0.21778584392014519</c:v>
                </c:pt>
                <c:pt idx="387">
                  <c:v>0.2159709618874773</c:v>
                </c:pt>
                <c:pt idx="388">
                  <c:v>0.21415607985480944</c:v>
                </c:pt>
                <c:pt idx="389">
                  <c:v>0.21234119782214156</c:v>
                </c:pt>
                <c:pt idx="390">
                  <c:v>0.21052631578947367</c:v>
                </c:pt>
                <c:pt idx="391">
                  <c:v>0.20871143375680581</c:v>
                </c:pt>
                <c:pt idx="392">
                  <c:v>0.20689655172413793</c:v>
                </c:pt>
                <c:pt idx="393">
                  <c:v>0.20508166969147004</c:v>
                </c:pt>
                <c:pt idx="394">
                  <c:v>0.20326678765880218</c:v>
                </c:pt>
                <c:pt idx="395">
                  <c:v>0.2014519056261343</c:v>
                </c:pt>
                <c:pt idx="396">
                  <c:v>0.19963702359346641</c:v>
                </c:pt>
                <c:pt idx="397">
                  <c:v>0.19782214156079855</c:v>
                </c:pt>
                <c:pt idx="398">
                  <c:v>0.19600725952813067</c:v>
                </c:pt>
                <c:pt idx="399">
                  <c:v>0.19419237749546278</c:v>
                </c:pt>
                <c:pt idx="400">
                  <c:v>0.19237749546279492</c:v>
                </c:pt>
                <c:pt idx="401">
                  <c:v>0.19056261343012704</c:v>
                </c:pt>
                <c:pt idx="402">
                  <c:v>0.18874773139745918</c:v>
                </c:pt>
                <c:pt idx="403">
                  <c:v>0.18693284936479129</c:v>
                </c:pt>
                <c:pt idx="404">
                  <c:v>0.18511796733212341</c:v>
                </c:pt>
                <c:pt idx="405">
                  <c:v>0.18330308529945555</c:v>
                </c:pt>
                <c:pt idx="406">
                  <c:v>0.18148820326678766</c:v>
                </c:pt>
                <c:pt idx="407">
                  <c:v>0.17967332123411978</c:v>
                </c:pt>
                <c:pt idx="408">
                  <c:v>0.17785843920145192</c:v>
                </c:pt>
                <c:pt idx="409">
                  <c:v>0.17604355716878403</c:v>
                </c:pt>
                <c:pt idx="410">
                  <c:v>0.17422867513611615</c:v>
                </c:pt>
                <c:pt idx="411">
                  <c:v>0.17241379310344829</c:v>
                </c:pt>
                <c:pt idx="412">
                  <c:v>0.1705989110707804</c:v>
                </c:pt>
                <c:pt idx="413">
                  <c:v>0.16878402903811252</c:v>
                </c:pt>
                <c:pt idx="414">
                  <c:v>0.16696914700544466</c:v>
                </c:pt>
                <c:pt idx="415">
                  <c:v>0.16515426497277677</c:v>
                </c:pt>
                <c:pt idx="416">
                  <c:v>0.16333938294010888</c:v>
                </c:pt>
                <c:pt idx="417">
                  <c:v>0.16152450090744103</c:v>
                </c:pt>
                <c:pt idx="418">
                  <c:v>0.15970961887477314</c:v>
                </c:pt>
                <c:pt idx="419">
                  <c:v>0.15789473684210525</c:v>
                </c:pt>
                <c:pt idx="420">
                  <c:v>0.1560798548094374</c:v>
                </c:pt>
                <c:pt idx="421">
                  <c:v>0.15426497277676951</c:v>
                </c:pt>
                <c:pt idx="422">
                  <c:v>0.15245009074410162</c:v>
                </c:pt>
                <c:pt idx="423">
                  <c:v>0.15063520871143377</c:v>
                </c:pt>
                <c:pt idx="424">
                  <c:v>0.14882032667876588</c:v>
                </c:pt>
                <c:pt idx="425">
                  <c:v>0.14700544464609799</c:v>
                </c:pt>
                <c:pt idx="426">
                  <c:v>0.14519056261343014</c:v>
                </c:pt>
                <c:pt idx="427">
                  <c:v>0.14337568058076225</c:v>
                </c:pt>
                <c:pt idx="428">
                  <c:v>0.14156079854809436</c:v>
                </c:pt>
                <c:pt idx="429">
                  <c:v>0.1397459165154265</c:v>
                </c:pt>
                <c:pt idx="430">
                  <c:v>0.13793103448275862</c:v>
                </c:pt>
                <c:pt idx="431">
                  <c:v>0.13611615245009073</c:v>
                </c:pt>
                <c:pt idx="432">
                  <c:v>0.13430127041742287</c:v>
                </c:pt>
                <c:pt idx="433">
                  <c:v>0.13248638838475499</c:v>
                </c:pt>
                <c:pt idx="434">
                  <c:v>0.1306715063520871</c:v>
                </c:pt>
                <c:pt idx="435">
                  <c:v>0.12885662431941924</c:v>
                </c:pt>
                <c:pt idx="436">
                  <c:v>0.12704174228675136</c:v>
                </c:pt>
                <c:pt idx="437">
                  <c:v>0.12522686025408347</c:v>
                </c:pt>
                <c:pt idx="438">
                  <c:v>0.12341197822141561</c:v>
                </c:pt>
                <c:pt idx="439">
                  <c:v>0.12159709618874773</c:v>
                </c:pt>
                <c:pt idx="440">
                  <c:v>0.11978221415607986</c:v>
                </c:pt>
                <c:pt idx="441">
                  <c:v>0.11796733212341198</c:v>
                </c:pt>
                <c:pt idx="442">
                  <c:v>0.1161524500907441</c:v>
                </c:pt>
                <c:pt idx="443">
                  <c:v>0.11433756805807622</c:v>
                </c:pt>
                <c:pt idx="444">
                  <c:v>0.11252268602540835</c:v>
                </c:pt>
                <c:pt idx="445">
                  <c:v>0.11070780399274047</c:v>
                </c:pt>
                <c:pt idx="446">
                  <c:v>0.10889292196007259</c:v>
                </c:pt>
                <c:pt idx="447">
                  <c:v>0.10707803992740472</c:v>
                </c:pt>
                <c:pt idx="448">
                  <c:v>0.10526315789473684</c:v>
                </c:pt>
                <c:pt idx="449">
                  <c:v>0.10344827586206896</c:v>
                </c:pt>
                <c:pt idx="450">
                  <c:v>0.10163339382940109</c:v>
                </c:pt>
                <c:pt idx="451">
                  <c:v>9.9818511796733206E-2</c:v>
                </c:pt>
                <c:pt idx="452">
                  <c:v>9.8003629764065334E-2</c:v>
                </c:pt>
                <c:pt idx="453">
                  <c:v>9.6188747731397461E-2</c:v>
                </c:pt>
                <c:pt idx="454">
                  <c:v>9.4373865698729589E-2</c:v>
                </c:pt>
                <c:pt idx="455">
                  <c:v>9.2558983666061703E-2</c:v>
                </c:pt>
                <c:pt idx="456">
                  <c:v>9.0744101633393831E-2</c:v>
                </c:pt>
                <c:pt idx="457">
                  <c:v>8.8929219600725959E-2</c:v>
                </c:pt>
                <c:pt idx="458">
                  <c:v>8.7114337568058073E-2</c:v>
                </c:pt>
                <c:pt idx="459">
                  <c:v>8.5299455535390201E-2</c:v>
                </c:pt>
                <c:pt idx="460">
                  <c:v>8.3484573502722328E-2</c:v>
                </c:pt>
                <c:pt idx="461">
                  <c:v>8.1669691470054442E-2</c:v>
                </c:pt>
                <c:pt idx="462">
                  <c:v>7.985480943738657E-2</c:v>
                </c:pt>
                <c:pt idx="463">
                  <c:v>7.8039927404718698E-2</c:v>
                </c:pt>
                <c:pt idx="464">
                  <c:v>7.6225045372050812E-2</c:v>
                </c:pt>
                <c:pt idx="465">
                  <c:v>7.441016333938294E-2</c:v>
                </c:pt>
                <c:pt idx="466">
                  <c:v>7.2595281306715068E-2</c:v>
                </c:pt>
                <c:pt idx="467">
                  <c:v>7.0780399274047182E-2</c:v>
                </c:pt>
                <c:pt idx="468">
                  <c:v>6.8965517241379309E-2</c:v>
                </c:pt>
                <c:pt idx="469">
                  <c:v>6.7150635208711437E-2</c:v>
                </c:pt>
                <c:pt idx="470">
                  <c:v>6.5335753176043551E-2</c:v>
                </c:pt>
                <c:pt idx="471">
                  <c:v>6.3520871143375679E-2</c:v>
                </c:pt>
                <c:pt idx="472">
                  <c:v>6.1705989110707807E-2</c:v>
                </c:pt>
                <c:pt idx="473">
                  <c:v>5.9891107078039928E-2</c:v>
                </c:pt>
                <c:pt idx="474">
                  <c:v>5.8076225045372049E-2</c:v>
                </c:pt>
                <c:pt idx="475">
                  <c:v>5.6261343012704176E-2</c:v>
                </c:pt>
                <c:pt idx="476">
                  <c:v>5.4446460980036297E-2</c:v>
                </c:pt>
                <c:pt idx="477">
                  <c:v>5.2631578947368418E-2</c:v>
                </c:pt>
                <c:pt idx="478">
                  <c:v>5.0816696914700546E-2</c:v>
                </c:pt>
                <c:pt idx="479">
                  <c:v>4.9001814882032667E-2</c:v>
                </c:pt>
                <c:pt idx="480">
                  <c:v>4.7186932849364795E-2</c:v>
                </c:pt>
                <c:pt idx="481">
                  <c:v>4.5372050816696916E-2</c:v>
                </c:pt>
                <c:pt idx="482">
                  <c:v>4.3557168784029036E-2</c:v>
                </c:pt>
                <c:pt idx="483">
                  <c:v>4.1742286751361164E-2</c:v>
                </c:pt>
                <c:pt idx="484">
                  <c:v>3.9927404718693285E-2</c:v>
                </c:pt>
                <c:pt idx="485">
                  <c:v>3.8112522686025406E-2</c:v>
                </c:pt>
                <c:pt idx="486">
                  <c:v>3.6297640653357534E-2</c:v>
                </c:pt>
                <c:pt idx="487">
                  <c:v>3.4482758620689655E-2</c:v>
                </c:pt>
                <c:pt idx="488">
                  <c:v>3.2667876588021776E-2</c:v>
                </c:pt>
                <c:pt idx="489">
                  <c:v>3.0852994555353903E-2</c:v>
                </c:pt>
                <c:pt idx="490">
                  <c:v>2.9038112522686024E-2</c:v>
                </c:pt>
                <c:pt idx="491">
                  <c:v>2.7223230490018149E-2</c:v>
                </c:pt>
                <c:pt idx="492">
                  <c:v>2.5408348457350273E-2</c:v>
                </c:pt>
                <c:pt idx="493">
                  <c:v>2.3593466424682397E-2</c:v>
                </c:pt>
                <c:pt idx="494">
                  <c:v>2.1778584392014518E-2</c:v>
                </c:pt>
                <c:pt idx="495">
                  <c:v>1.9963702359346643E-2</c:v>
                </c:pt>
                <c:pt idx="496">
                  <c:v>1.8148820326678767E-2</c:v>
                </c:pt>
                <c:pt idx="497">
                  <c:v>1.6333938294010888E-2</c:v>
                </c:pt>
                <c:pt idx="498">
                  <c:v>1.4519056261343012E-2</c:v>
                </c:pt>
                <c:pt idx="499">
                  <c:v>1.2704174228675136E-2</c:v>
                </c:pt>
                <c:pt idx="500">
                  <c:v>1.0889292196007259E-2</c:v>
                </c:pt>
                <c:pt idx="501">
                  <c:v>9.0744101633393835E-3</c:v>
                </c:pt>
                <c:pt idx="502">
                  <c:v>7.2595281306715061E-3</c:v>
                </c:pt>
                <c:pt idx="503">
                  <c:v>5.4446460980036296E-3</c:v>
                </c:pt>
                <c:pt idx="504">
                  <c:v>3.629764065335753E-3</c:v>
                </c:pt>
                <c:pt idx="505">
                  <c:v>1.8148820326678765E-3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D9-3442-9064-D22835E9B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7968"/>
        <c:axId val="100441456"/>
      </c:scatterChart>
      <c:valAx>
        <c:axId val="100387968"/>
        <c:scaling>
          <c:orientation val="minMax"/>
          <c:max val="1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Claim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1456"/>
        <c:crosses val="autoZero"/>
        <c:crossBetween val="midCat"/>
      </c:valAx>
      <c:valAx>
        <c:axId val="100441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Proportion of Claims &lt;=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[ClaimsAnalysis.xlsm]PolicyLosses!ClaimFrequencyDistribution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Claim Frequency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PolicyLosses!$H$4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PolicyLosses!$G$5:$G$8</c:f>
              <c:strCach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strCache>
            </c:strRef>
          </c:cat>
          <c:val>
            <c:numRef>
              <c:f>PolicyLosses!$H$5:$H$8</c:f>
              <c:numCache>
                <c:formatCode>General</c:formatCode>
                <c:ptCount val="3"/>
                <c:pt idx="0">
                  <c:v>98</c:v>
                </c:pt>
                <c:pt idx="1">
                  <c:v>253</c:v>
                </c:pt>
                <c:pt idx="2">
                  <c:v>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D-6E4A-A43B-9C777FEE9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702675455"/>
        <c:axId val="1640654111"/>
      </c:barChart>
      <c:catAx>
        <c:axId val="17026754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Claims Per Policy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654111"/>
        <c:crosses val="autoZero"/>
        <c:auto val="1"/>
        <c:lblAlgn val="ctr"/>
        <c:lblOffset val="100"/>
        <c:noMultiLvlLbl val="0"/>
      </c:catAx>
      <c:valAx>
        <c:axId val="164065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</a:t>
                </a:r>
                <a:r>
                  <a:rPr lang="en-US" sz="1200" baseline="0"/>
                  <a:t> of Policies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675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Empirical CDF of Policy Loss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PolicyLossCDF!$C$1</c:f>
              <c:strCache>
                <c:ptCount val="1"/>
                <c:pt idx="0">
                  <c:v>CDF(Loss)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PolicyLossCDF!$B$2:$B$445</c:f>
              <c:numCache>
                <c:formatCode>General</c:formatCode>
                <c:ptCount val="444"/>
                <c:pt idx="0">
                  <c:v>1693380.8662473639</c:v>
                </c:pt>
                <c:pt idx="1">
                  <c:v>1561802.5961819971</c:v>
                </c:pt>
                <c:pt idx="2">
                  <c:v>1370939.897626701</c:v>
                </c:pt>
                <c:pt idx="3">
                  <c:v>1241060.19974872</c:v>
                </c:pt>
                <c:pt idx="4">
                  <c:v>1235244.236662714</c:v>
                </c:pt>
                <c:pt idx="5">
                  <c:v>1180129.9135299299</c:v>
                </c:pt>
                <c:pt idx="6">
                  <c:v>1076248.185233423</c:v>
                </c:pt>
                <c:pt idx="7">
                  <c:v>1072352.0607261481</c:v>
                </c:pt>
                <c:pt idx="8">
                  <c:v>1069944.9981220588</c:v>
                </c:pt>
                <c:pt idx="9">
                  <c:v>1068334.0815614187</c:v>
                </c:pt>
                <c:pt idx="10">
                  <c:v>1034175.0640580811</c:v>
                </c:pt>
                <c:pt idx="11">
                  <c:v>1026905.9468269371</c:v>
                </c:pt>
                <c:pt idx="12">
                  <c:v>1023370.4563185408</c:v>
                </c:pt>
                <c:pt idx="13">
                  <c:v>1007126.9563302754</c:v>
                </c:pt>
                <c:pt idx="14">
                  <c:v>1006361.0733694329</c:v>
                </c:pt>
                <c:pt idx="15">
                  <c:v>1004996.8219211142</c:v>
                </c:pt>
                <c:pt idx="16">
                  <c:v>1001128.3591102608</c:v>
                </c:pt>
                <c:pt idx="17">
                  <c:v>1000965.4058444344</c:v>
                </c:pt>
                <c:pt idx="18">
                  <c:v>1000144.8664423929</c:v>
                </c:pt>
                <c:pt idx="19">
                  <c:v>1000068.3447154724</c:v>
                </c:pt>
                <c:pt idx="20">
                  <c:v>1000042.9637366352</c:v>
                </c:pt>
                <c:pt idx="21">
                  <c:v>1000010.4413906243</c:v>
                </c:pt>
                <c:pt idx="22">
                  <c:v>1000000</c:v>
                </c:pt>
                <c:pt idx="23">
                  <c:v>988703.936397054</c:v>
                </c:pt>
                <c:pt idx="24">
                  <c:v>974153.11606266443</c:v>
                </c:pt>
                <c:pt idx="25">
                  <c:v>922783.24690739997</c:v>
                </c:pt>
                <c:pt idx="26">
                  <c:v>845287.93235152808</c:v>
                </c:pt>
                <c:pt idx="27">
                  <c:v>835182.92061261053</c:v>
                </c:pt>
                <c:pt idx="28">
                  <c:v>808655.00215279695</c:v>
                </c:pt>
                <c:pt idx="29">
                  <c:v>797144.89665363473</c:v>
                </c:pt>
                <c:pt idx="30">
                  <c:v>790968.92382871581</c:v>
                </c:pt>
                <c:pt idx="31">
                  <c:v>789293.21560856304</c:v>
                </c:pt>
                <c:pt idx="32">
                  <c:v>725462.99082128005</c:v>
                </c:pt>
                <c:pt idx="33">
                  <c:v>711495.52549007465</c:v>
                </c:pt>
                <c:pt idx="34">
                  <c:v>687947.65076245938</c:v>
                </c:pt>
                <c:pt idx="35">
                  <c:v>673278.82999947295</c:v>
                </c:pt>
                <c:pt idx="36">
                  <c:v>670494.36023415287</c:v>
                </c:pt>
                <c:pt idx="37">
                  <c:v>616697.71428512805</c:v>
                </c:pt>
                <c:pt idx="38">
                  <c:v>615894.70219961705</c:v>
                </c:pt>
                <c:pt idx="39">
                  <c:v>615488.98728472774</c:v>
                </c:pt>
                <c:pt idx="40">
                  <c:v>584773.22864675405</c:v>
                </c:pt>
                <c:pt idx="41">
                  <c:v>573644.16411710682</c:v>
                </c:pt>
                <c:pt idx="42">
                  <c:v>570532.41747131303</c:v>
                </c:pt>
                <c:pt idx="43">
                  <c:v>546270.27563700185</c:v>
                </c:pt>
                <c:pt idx="44">
                  <c:v>543039.51053842984</c:v>
                </c:pt>
                <c:pt idx="45">
                  <c:v>525966.34817988996</c:v>
                </c:pt>
                <c:pt idx="46">
                  <c:v>522345.06994418002</c:v>
                </c:pt>
                <c:pt idx="47">
                  <c:v>512604.504115975</c:v>
                </c:pt>
                <c:pt idx="48">
                  <c:v>510017.79828447226</c:v>
                </c:pt>
                <c:pt idx="49">
                  <c:v>501238.57260445924</c:v>
                </c:pt>
                <c:pt idx="50">
                  <c:v>499753.10164847499</c:v>
                </c:pt>
                <c:pt idx="51">
                  <c:v>488648.3573342603</c:v>
                </c:pt>
                <c:pt idx="52">
                  <c:v>480548.51588794467</c:v>
                </c:pt>
                <c:pt idx="53">
                  <c:v>469227.92349348584</c:v>
                </c:pt>
                <c:pt idx="54">
                  <c:v>468331.36367839109</c:v>
                </c:pt>
                <c:pt idx="55">
                  <c:v>439915.361802336</c:v>
                </c:pt>
                <c:pt idx="56">
                  <c:v>425962.28180957166</c:v>
                </c:pt>
                <c:pt idx="57">
                  <c:v>413651.58820230648</c:v>
                </c:pt>
                <c:pt idx="58">
                  <c:v>401034.11621141399</c:v>
                </c:pt>
                <c:pt idx="59">
                  <c:v>391216.39796919702</c:v>
                </c:pt>
                <c:pt idx="60">
                  <c:v>382172.22502550803</c:v>
                </c:pt>
                <c:pt idx="61">
                  <c:v>378070.32297328056</c:v>
                </c:pt>
                <c:pt idx="62">
                  <c:v>377899.25362171017</c:v>
                </c:pt>
                <c:pt idx="63">
                  <c:v>372423.77777224744</c:v>
                </c:pt>
                <c:pt idx="64">
                  <c:v>361068.49832395813</c:v>
                </c:pt>
                <c:pt idx="65">
                  <c:v>357998.61734083499</c:v>
                </c:pt>
                <c:pt idx="66">
                  <c:v>353080.08247983165</c:v>
                </c:pt>
                <c:pt idx="67">
                  <c:v>345473.86451898498</c:v>
                </c:pt>
                <c:pt idx="68">
                  <c:v>335212.90942511248</c:v>
                </c:pt>
                <c:pt idx="69">
                  <c:v>332069.98360381799</c:v>
                </c:pt>
                <c:pt idx="70">
                  <c:v>328901.49593115499</c:v>
                </c:pt>
                <c:pt idx="71">
                  <c:v>323113.07317427098</c:v>
                </c:pt>
                <c:pt idx="72">
                  <c:v>316593.20196569001</c:v>
                </c:pt>
                <c:pt idx="73">
                  <c:v>314974.546974728</c:v>
                </c:pt>
                <c:pt idx="74">
                  <c:v>309819.4944161321</c:v>
                </c:pt>
                <c:pt idx="75">
                  <c:v>293885.43763525598</c:v>
                </c:pt>
                <c:pt idx="76">
                  <c:v>282128.32526222407</c:v>
                </c:pt>
                <c:pt idx="77">
                  <c:v>279131.85241377639</c:v>
                </c:pt>
                <c:pt idx="78">
                  <c:v>277815.56138111698</c:v>
                </c:pt>
                <c:pt idx="79">
                  <c:v>269655.99821576098</c:v>
                </c:pt>
                <c:pt idx="80">
                  <c:v>268162.79467363306</c:v>
                </c:pt>
                <c:pt idx="81">
                  <c:v>262296.93259583984</c:v>
                </c:pt>
                <c:pt idx="82">
                  <c:v>262010.429257607</c:v>
                </c:pt>
                <c:pt idx="83">
                  <c:v>256011.67787545</c:v>
                </c:pt>
                <c:pt idx="84">
                  <c:v>235898.29356901001</c:v>
                </c:pt>
                <c:pt idx="85">
                  <c:v>235497.07346507401</c:v>
                </c:pt>
                <c:pt idx="86">
                  <c:v>233608.249269908</c:v>
                </c:pt>
                <c:pt idx="87">
                  <c:v>231541.091371755</c:v>
                </c:pt>
                <c:pt idx="88">
                  <c:v>225719.79607948801</c:v>
                </c:pt>
                <c:pt idx="89">
                  <c:v>223227.52524643301</c:v>
                </c:pt>
                <c:pt idx="90">
                  <c:v>213115.7299449055</c:v>
                </c:pt>
                <c:pt idx="91">
                  <c:v>209311.399462795</c:v>
                </c:pt>
                <c:pt idx="92">
                  <c:v>207704.32672703639</c:v>
                </c:pt>
                <c:pt idx="93">
                  <c:v>202692.98142444331</c:v>
                </c:pt>
                <c:pt idx="94">
                  <c:v>201726.23818386599</c:v>
                </c:pt>
                <c:pt idx="95">
                  <c:v>198592.98821090738</c:v>
                </c:pt>
                <c:pt idx="96">
                  <c:v>193721.22578398199</c:v>
                </c:pt>
                <c:pt idx="97">
                  <c:v>193046.15070413859</c:v>
                </c:pt>
                <c:pt idx="98">
                  <c:v>191625.16146285299</c:v>
                </c:pt>
                <c:pt idx="99">
                  <c:v>189663.85405598959</c:v>
                </c:pt>
                <c:pt idx="100">
                  <c:v>188904.119010875</c:v>
                </c:pt>
                <c:pt idx="101">
                  <c:v>187384.838378174</c:v>
                </c:pt>
                <c:pt idx="102">
                  <c:v>181428.83618842438</c:v>
                </c:pt>
                <c:pt idx="103">
                  <c:v>181102.67687104217</c:v>
                </c:pt>
                <c:pt idx="104">
                  <c:v>179424.65083902801</c:v>
                </c:pt>
                <c:pt idx="105">
                  <c:v>178260.17170286999</c:v>
                </c:pt>
                <c:pt idx="106">
                  <c:v>177087.98551403108</c:v>
                </c:pt>
                <c:pt idx="107">
                  <c:v>170519.39878151301</c:v>
                </c:pt>
                <c:pt idx="108">
                  <c:v>169942.01586765499</c:v>
                </c:pt>
                <c:pt idx="109">
                  <c:v>167257.06954470399</c:v>
                </c:pt>
                <c:pt idx="110">
                  <c:v>167189.4031132251</c:v>
                </c:pt>
                <c:pt idx="111">
                  <c:v>161794.89700973881</c:v>
                </c:pt>
                <c:pt idx="112">
                  <c:v>160322.00253257542</c:v>
                </c:pt>
                <c:pt idx="113">
                  <c:v>159396.155683852</c:v>
                </c:pt>
                <c:pt idx="114">
                  <c:v>152594.22641380652</c:v>
                </c:pt>
                <c:pt idx="115">
                  <c:v>147165.02854381746</c:v>
                </c:pt>
                <c:pt idx="116">
                  <c:v>146947.679412953</c:v>
                </c:pt>
                <c:pt idx="117">
                  <c:v>144023.0544979026</c:v>
                </c:pt>
                <c:pt idx="118">
                  <c:v>143548.78686893801</c:v>
                </c:pt>
                <c:pt idx="119">
                  <c:v>140042.811662238</c:v>
                </c:pt>
                <c:pt idx="120">
                  <c:v>139140.03296486879</c:v>
                </c:pt>
                <c:pt idx="121">
                  <c:v>138012.30585419599</c:v>
                </c:pt>
                <c:pt idx="122">
                  <c:v>130971.22096843651</c:v>
                </c:pt>
                <c:pt idx="123">
                  <c:v>127518.822083312</c:v>
                </c:pt>
                <c:pt idx="124">
                  <c:v>122351.254499879</c:v>
                </c:pt>
                <c:pt idx="125">
                  <c:v>120586.00393367361</c:v>
                </c:pt>
                <c:pt idx="126">
                  <c:v>119563.414027127</c:v>
                </c:pt>
                <c:pt idx="127">
                  <c:v>118628.37936247099</c:v>
                </c:pt>
                <c:pt idx="128">
                  <c:v>112925.07359271101</c:v>
                </c:pt>
                <c:pt idx="129">
                  <c:v>110520.0673102771</c:v>
                </c:pt>
                <c:pt idx="130">
                  <c:v>109775.925096982</c:v>
                </c:pt>
                <c:pt idx="131">
                  <c:v>109719.59786247399</c:v>
                </c:pt>
                <c:pt idx="132">
                  <c:v>108403.797501254</c:v>
                </c:pt>
                <c:pt idx="133">
                  <c:v>107125.71150994669</c:v>
                </c:pt>
                <c:pt idx="134">
                  <c:v>106327.6301005813</c:v>
                </c:pt>
                <c:pt idx="135">
                  <c:v>104823.79794920899</c:v>
                </c:pt>
                <c:pt idx="136">
                  <c:v>104350.56194289601</c:v>
                </c:pt>
                <c:pt idx="137">
                  <c:v>103021.229816059</c:v>
                </c:pt>
                <c:pt idx="138">
                  <c:v>100189.113415101</c:v>
                </c:pt>
                <c:pt idx="139">
                  <c:v>98609.382342933095</c:v>
                </c:pt>
                <c:pt idx="140">
                  <c:v>95534.331363986101</c:v>
                </c:pt>
                <c:pt idx="141">
                  <c:v>93981.440617116503</c:v>
                </c:pt>
                <c:pt idx="142">
                  <c:v>93141.656331663195</c:v>
                </c:pt>
                <c:pt idx="143">
                  <c:v>92824.591049640294</c:v>
                </c:pt>
                <c:pt idx="144">
                  <c:v>89957.792569983299</c:v>
                </c:pt>
                <c:pt idx="145">
                  <c:v>88860.700462814202</c:v>
                </c:pt>
                <c:pt idx="146">
                  <c:v>88255.815556129804</c:v>
                </c:pt>
                <c:pt idx="147">
                  <c:v>86570.051537700405</c:v>
                </c:pt>
                <c:pt idx="148">
                  <c:v>86039.001618003793</c:v>
                </c:pt>
                <c:pt idx="149">
                  <c:v>81773.910392976992</c:v>
                </c:pt>
                <c:pt idx="150">
                  <c:v>80100.874597687594</c:v>
                </c:pt>
                <c:pt idx="151">
                  <c:v>78428.672774144099</c:v>
                </c:pt>
                <c:pt idx="152">
                  <c:v>77641.302356685395</c:v>
                </c:pt>
                <c:pt idx="153">
                  <c:v>76791.230948701632</c:v>
                </c:pt>
                <c:pt idx="154">
                  <c:v>75721.126311970947</c:v>
                </c:pt>
                <c:pt idx="155">
                  <c:v>75681.555854622697</c:v>
                </c:pt>
                <c:pt idx="156">
                  <c:v>75009.461660180241</c:v>
                </c:pt>
                <c:pt idx="157">
                  <c:v>72061.4073446455</c:v>
                </c:pt>
                <c:pt idx="158">
                  <c:v>69558.009856756893</c:v>
                </c:pt>
                <c:pt idx="159">
                  <c:v>67773.782070343106</c:v>
                </c:pt>
                <c:pt idx="160">
                  <c:v>67066.763962990299</c:v>
                </c:pt>
                <c:pt idx="161">
                  <c:v>65466.344699809699</c:v>
                </c:pt>
                <c:pt idx="162">
                  <c:v>65329.446351703104</c:v>
                </c:pt>
                <c:pt idx="163">
                  <c:v>65020.346654309389</c:v>
                </c:pt>
                <c:pt idx="164">
                  <c:v>63343.3022114794</c:v>
                </c:pt>
                <c:pt idx="165">
                  <c:v>62212.477323175197</c:v>
                </c:pt>
                <c:pt idx="166">
                  <c:v>60971.270149857148</c:v>
                </c:pt>
                <c:pt idx="167">
                  <c:v>58858.654269878301</c:v>
                </c:pt>
                <c:pt idx="168">
                  <c:v>56244.220360866333</c:v>
                </c:pt>
                <c:pt idx="169">
                  <c:v>55829.124672435602</c:v>
                </c:pt>
                <c:pt idx="170">
                  <c:v>54805.155599878155</c:v>
                </c:pt>
                <c:pt idx="171">
                  <c:v>54154.467449854201</c:v>
                </c:pt>
                <c:pt idx="172">
                  <c:v>52580.634382201999</c:v>
                </c:pt>
                <c:pt idx="173">
                  <c:v>51924.481957119293</c:v>
                </c:pt>
                <c:pt idx="174">
                  <c:v>51872.458919044402</c:v>
                </c:pt>
                <c:pt idx="175">
                  <c:v>51618.567347274497</c:v>
                </c:pt>
                <c:pt idx="176">
                  <c:v>50460.523485469501</c:v>
                </c:pt>
                <c:pt idx="177">
                  <c:v>49672.178680782803</c:v>
                </c:pt>
                <c:pt idx="178">
                  <c:v>48083.29061774788</c:v>
                </c:pt>
                <c:pt idx="179">
                  <c:v>47877.709289400998</c:v>
                </c:pt>
                <c:pt idx="180">
                  <c:v>47558.834543523102</c:v>
                </c:pt>
                <c:pt idx="181">
                  <c:v>46778.484934467699</c:v>
                </c:pt>
                <c:pt idx="182">
                  <c:v>46623.820415199545</c:v>
                </c:pt>
                <c:pt idx="183">
                  <c:v>46143.362893481899</c:v>
                </c:pt>
                <c:pt idx="184">
                  <c:v>45790.524235672499</c:v>
                </c:pt>
                <c:pt idx="185">
                  <c:v>44904.388908539302</c:v>
                </c:pt>
                <c:pt idx="186">
                  <c:v>44903.189027943197</c:v>
                </c:pt>
                <c:pt idx="187">
                  <c:v>44864.700363527867</c:v>
                </c:pt>
                <c:pt idx="188">
                  <c:v>43724.808480536303</c:v>
                </c:pt>
                <c:pt idx="189">
                  <c:v>43526.534026014553</c:v>
                </c:pt>
                <c:pt idx="190">
                  <c:v>41756.015468591861</c:v>
                </c:pt>
                <c:pt idx="191">
                  <c:v>41655.891140498752</c:v>
                </c:pt>
                <c:pt idx="192">
                  <c:v>40810.048847561702</c:v>
                </c:pt>
                <c:pt idx="193">
                  <c:v>40119.832943069618</c:v>
                </c:pt>
                <c:pt idx="194">
                  <c:v>37574.983276982362</c:v>
                </c:pt>
                <c:pt idx="195">
                  <c:v>37230.026851498398</c:v>
                </c:pt>
                <c:pt idx="196">
                  <c:v>37118.073300252101</c:v>
                </c:pt>
                <c:pt idx="197">
                  <c:v>36468.208194553001</c:v>
                </c:pt>
                <c:pt idx="198">
                  <c:v>35632.392962980739</c:v>
                </c:pt>
                <c:pt idx="199">
                  <c:v>34525.5118478328</c:v>
                </c:pt>
                <c:pt idx="200">
                  <c:v>33771.593399319303</c:v>
                </c:pt>
                <c:pt idx="201">
                  <c:v>32468.0546930657</c:v>
                </c:pt>
                <c:pt idx="202">
                  <c:v>32067.990121008399</c:v>
                </c:pt>
                <c:pt idx="203">
                  <c:v>31331.4841352064</c:v>
                </c:pt>
                <c:pt idx="204">
                  <c:v>31313.029813824298</c:v>
                </c:pt>
                <c:pt idx="205">
                  <c:v>29814.781620276601</c:v>
                </c:pt>
                <c:pt idx="206">
                  <c:v>29672.702139634199</c:v>
                </c:pt>
                <c:pt idx="207">
                  <c:v>29025.047505642167</c:v>
                </c:pt>
                <c:pt idx="208">
                  <c:v>28640.858736512699</c:v>
                </c:pt>
                <c:pt idx="209">
                  <c:v>28615.8379449844</c:v>
                </c:pt>
                <c:pt idx="210">
                  <c:v>27350.778101997901</c:v>
                </c:pt>
                <c:pt idx="211">
                  <c:v>27240.537407847278</c:v>
                </c:pt>
                <c:pt idx="212">
                  <c:v>26146.534790569451</c:v>
                </c:pt>
                <c:pt idx="213">
                  <c:v>25341.549048067802</c:v>
                </c:pt>
                <c:pt idx="214">
                  <c:v>25228.133671284289</c:v>
                </c:pt>
                <c:pt idx="215">
                  <c:v>23796.9590405171</c:v>
                </c:pt>
                <c:pt idx="216">
                  <c:v>23420.151959368799</c:v>
                </c:pt>
                <c:pt idx="217">
                  <c:v>23336.590695975101</c:v>
                </c:pt>
                <c:pt idx="218">
                  <c:v>22332.057608217699</c:v>
                </c:pt>
                <c:pt idx="219">
                  <c:v>22205.0492055387</c:v>
                </c:pt>
                <c:pt idx="220">
                  <c:v>21878.7119352064</c:v>
                </c:pt>
                <c:pt idx="221">
                  <c:v>21756.324588445401</c:v>
                </c:pt>
                <c:pt idx="222">
                  <c:v>21410.640803837858</c:v>
                </c:pt>
                <c:pt idx="223">
                  <c:v>21369.222911803899</c:v>
                </c:pt>
                <c:pt idx="224">
                  <c:v>21308.763445062508</c:v>
                </c:pt>
                <c:pt idx="225">
                  <c:v>21203.470839892478</c:v>
                </c:pt>
                <c:pt idx="226">
                  <c:v>20500.638225916202</c:v>
                </c:pt>
                <c:pt idx="227">
                  <c:v>20342.935729940698</c:v>
                </c:pt>
                <c:pt idx="228">
                  <c:v>20291.5353605686</c:v>
                </c:pt>
                <c:pt idx="229">
                  <c:v>20227.8335961132</c:v>
                </c:pt>
                <c:pt idx="230">
                  <c:v>19739.724044591399</c:v>
                </c:pt>
                <c:pt idx="231">
                  <c:v>19602.247373345112</c:v>
                </c:pt>
                <c:pt idx="232">
                  <c:v>19524.28409353067</c:v>
                </c:pt>
                <c:pt idx="233">
                  <c:v>19274.486334868001</c:v>
                </c:pt>
                <c:pt idx="234">
                  <c:v>18967.670304977</c:v>
                </c:pt>
                <c:pt idx="235">
                  <c:v>18718.3757241561</c:v>
                </c:pt>
                <c:pt idx="236">
                  <c:v>18617.0324060686</c:v>
                </c:pt>
                <c:pt idx="237">
                  <c:v>18246.504722869329</c:v>
                </c:pt>
                <c:pt idx="238">
                  <c:v>16540.004301845202</c:v>
                </c:pt>
                <c:pt idx="239">
                  <c:v>16451.609678267341</c:v>
                </c:pt>
                <c:pt idx="240">
                  <c:v>16442.8539205259</c:v>
                </c:pt>
                <c:pt idx="241">
                  <c:v>16305.323324807581</c:v>
                </c:pt>
                <c:pt idx="242">
                  <c:v>16036.898414617801</c:v>
                </c:pt>
                <c:pt idx="243">
                  <c:v>15712.146673878091</c:v>
                </c:pt>
                <c:pt idx="244">
                  <c:v>15589.219111505199</c:v>
                </c:pt>
                <c:pt idx="245">
                  <c:v>15491.020005598901</c:v>
                </c:pt>
                <c:pt idx="246">
                  <c:v>15349.198338283</c:v>
                </c:pt>
                <c:pt idx="247">
                  <c:v>15242.9749528147</c:v>
                </c:pt>
                <c:pt idx="248">
                  <c:v>14829.522917616399</c:v>
                </c:pt>
                <c:pt idx="249">
                  <c:v>13588.8843274549</c:v>
                </c:pt>
                <c:pt idx="250">
                  <c:v>13483.316688856128</c:v>
                </c:pt>
                <c:pt idx="251">
                  <c:v>13463.397522704699</c:v>
                </c:pt>
                <c:pt idx="252">
                  <c:v>12637.1161855966</c:v>
                </c:pt>
                <c:pt idx="253">
                  <c:v>12343.424183848099</c:v>
                </c:pt>
                <c:pt idx="254">
                  <c:v>11220.14145499643</c:v>
                </c:pt>
                <c:pt idx="255">
                  <c:v>10829.581776745101</c:v>
                </c:pt>
                <c:pt idx="256">
                  <c:v>10565.4937422194</c:v>
                </c:pt>
                <c:pt idx="257">
                  <c:v>10447.258010553071</c:v>
                </c:pt>
                <c:pt idx="258">
                  <c:v>10446.634931020501</c:v>
                </c:pt>
                <c:pt idx="259">
                  <c:v>10314.152789997701</c:v>
                </c:pt>
                <c:pt idx="260">
                  <c:v>10217.615438447505</c:v>
                </c:pt>
                <c:pt idx="261">
                  <c:v>9927.3129791768097</c:v>
                </c:pt>
                <c:pt idx="262">
                  <c:v>9682.8627547399192</c:v>
                </c:pt>
                <c:pt idx="263">
                  <c:v>9437.3863952068896</c:v>
                </c:pt>
                <c:pt idx="264">
                  <c:v>9343.7572848832406</c:v>
                </c:pt>
                <c:pt idx="265">
                  <c:v>9123.5090437650797</c:v>
                </c:pt>
                <c:pt idx="266">
                  <c:v>9086.3321087272707</c:v>
                </c:pt>
                <c:pt idx="267">
                  <c:v>8412.7884125947603</c:v>
                </c:pt>
                <c:pt idx="268">
                  <c:v>8256.2690044424198</c:v>
                </c:pt>
                <c:pt idx="269">
                  <c:v>8212.7937810629592</c:v>
                </c:pt>
                <c:pt idx="270">
                  <c:v>8027.9611689782896</c:v>
                </c:pt>
                <c:pt idx="271">
                  <c:v>7963.5408470751354</c:v>
                </c:pt>
                <c:pt idx="272">
                  <c:v>7882.8337197694</c:v>
                </c:pt>
                <c:pt idx="273">
                  <c:v>7503.3342387126741</c:v>
                </c:pt>
                <c:pt idx="274">
                  <c:v>7342.1571404338601</c:v>
                </c:pt>
                <c:pt idx="275">
                  <c:v>7294.9840506933597</c:v>
                </c:pt>
                <c:pt idx="276">
                  <c:v>7152.6958127417893</c:v>
                </c:pt>
                <c:pt idx="277">
                  <c:v>6260.8527275712104</c:v>
                </c:pt>
                <c:pt idx="278">
                  <c:v>5895.6705595083004</c:v>
                </c:pt>
                <c:pt idx="279">
                  <c:v>5832.9566320682698</c:v>
                </c:pt>
                <c:pt idx="280">
                  <c:v>5524.1517398333299</c:v>
                </c:pt>
                <c:pt idx="281">
                  <c:v>5489.6785906154</c:v>
                </c:pt>
                <c:pt idx="282">
                  <c:v>5137.0628739359699</c:v>
                </c:pt>
                <c:pt idx="283">
                  <c:v>5082.31073961928</c:v>
                </c:pt>
                <c:pt idx="284">
                  <c:v>4879.6421323860795</c:v>
                </c:pt>
                <c:pt idx="285">
                  <c:v>4700.4702286050697</c:v>
                </c:pt>
                <c:pt idx="286">
                  <c:v>4617.4073198792403</c:v>
                </c:pt>
                <c:pt idx="287">
                  <c:v>4613.0662606143196</c:v>
                </c:pt>
                <c:pt idx="288">
                  <c:v>4581.8291168594697</c:v>
                </c:pt>
                <c:pt idx="289">
                  <c:v>4533.3863218141896</c:v>
                </c:pt>
                <c:pt idx="290">
                  <c:v>4354.8414829378744</c:v>
                </c:pt>
                <c:pt idx="291">
                  <c:v>4124.2079283261301</c:v>
                </c:pt>
                <c:pt idx="292">
                  <c:v>3931.6573890183499</c:v>
                </c:pt>
                <c:pt idx="293">
                  <c:v>3838.3389088910499</c:v>
                </c:pt>
                <c:pt idx="294">
                  <c:v>3757.6794731117602</c:v>
                </c:pt>
                <c:pt idx="295">
                  <c:v>3750.6504849406501</c:v>
                </c:pt>
                <c:pt idx="296">
                  <c:v>3713.1982054350801</c:v>
                </c:pt>
                <c:pt idx="297">
                  <c:v>3564.1513417718702</c:v>
                </c:pt>
                <c:pt idx="298">
                  <c:v>3529.6500403867699</c:v>
                </c:pt>
                <c:pt idx="299">
                  <c:v>3511.3863014465201</c:v>
                </c:pt>
                <c:pt idx="300">
                  <c:v>3493.5773045535102</c:v>
                </c:pt>
                <c:pt idx="301">
                  <c:v>3279.3058050387599</c:v>
                </c:pt>
                <c:pt idx="302">
                  <c:v>3186.53439898241</c:v>
                </c:pt>
                <c:pt idx="303">
                  <c:v>3174.7183407310299</c:v>
                </c:pt>
                <c:pt idx="304">
                  <c:v>2933.2741454165398</c:v>
                </c:pt>
                <c:pt idx="305">
                  <c:v>2903.1543310633301</c:v>
                </c:pt>
                <c:pt idx="306">
                  <c:v>2790.2618532080701</c:v>
                </c:pt>
                <c:pt idx="307">
                  <c:v>2715.0968350824919</c:v>
                </c:pt>
                <c:pt idx="308">
                  <c:v>2702.8998128825119</c:v>
                </c:pt>
                <c:pt idx="309">
                  <c:v>2534.3161201473499</c:v>
                </c:pt>
                <c:pt idx="310">
                  <c:v>2517.2008957379198</c:v>
                </c:pt>
                <c:pt idx="311">
                  <c:v>2308.5637730650601</c:v>
                </c:pt>
                <c:pt idx="312">
                  <c:v>2244.5810660719699</c:v>
                </c:pt>
                <c:pt idx="313">
                  <c:v>2236.1366618019301</c:v>
                </c:pt>
                <c:pt idx="314">
                  <c:v>2233.60298054334</c:v>
                </c:pt>
                <c:pt idx="315">
                  <c:v>2222.0421929358399</c:v>
                </c:pt>
                <c:pt idx="316">
                  <c:v>2193.6346841183909</c:v>
                </c:pt>
                <c:pt idx="317">
                  <c:v>2099.4960798941202</c:v>
                </c:pt>
                <c:pt idx="318">
                  <c:v>2083.2999475365577</c:v>
                </c:pt>
                <c:pt idx="319">
                  <c:v>2050.9499674276099</c:v>
                </c:pt>
                <c:pt idx="320">
                  <c:v>1906.8553802752899</c:v>
                </c:pt>
                <c:pt idx="321">
                  <c:v>1821.7728839486199</c:v>
                </c:pt>
                <c:pt idx="322">
                  <c:v>1784.1496272916199</c:v>
                </c:pt>
                <c:pt idx="323">
                  <c:v>1758.97741738164</c:v>
                </c:pt>
                <c:pt idx="324">
                  <c:v>1748.03873292192</c:v>
                </c:pt>
                <c:pt idx="325">
                  <c:v>1724.7141316504001</c:v>
                </c:pt>
                <c:pt idx="326">
                  <c:v>1710.3379652493099</c:v>
                </c:pt>
                <c:pt idx="327">
                  <c:v>1702.41711677432</c:v>
                </c:pt>
                <c:pt idx="328">
                  <c:v>1674.0695959948</c:v>
                </c:pt>
                <c:pt idx="329">
                  <c:v>1656.0118884229189</c:v>
                </c:pt>
                <c:pt idx="330">
                  <c:v>1287.4033789651401</c:v>
                </c:pt>
                <c:pt idx="331">
                  <c:v>1263.7964931439101</c:v>
                </c:pt>
                <c:pt idx="332">
                  <c:v>1254.8422431839999</c:v>
                </c:pt>
                <c:pt idx="333">
                  <c:v>1248.7797688355631</c:v>
                </c:pt>
                <c:pt idx="334">
                  <c:v>1192.49913152672</c:v>
                </c:pt>
                <c:pt idx="335">
                  <c:v>1178.76189080277</c:v>
                </c:pt>
                <c:pt idx="336">
                  <c:v>1153.16017223626</c:v>
                </c:pt>
                <c:pt idx="337">
                  <c:v>1054.4477753433998</c:v>
                </c:pt>
                <c:pt idx="338">
                  <c:v>1024.8287554102601</c:v>
                </c:pt>
                <c:pt idx="339">
                  <c:v>979.56515668742702</c:v>
                </c:pt>
                <c:pt idx="340">
                  <c:v>967.75612362615402</c:v>
                </c:pt>
                <c:pt idx="341">
                  <c:v>936.79095964284602</c:v>
                </c:pt>
                <c:pt idx="342">
                  <c:v>832.51267890122199</c:v>
                </c:pt>
                <c:pt idx="343">
                  <c:v>814.63783937873097</c:v>
                </c:pt>
                <c:pt idx="344">
                  <c:v>727.28663072414599</c:v>
                </c:pt>
                <c:pt idx="345">
                  <c:v>637.50487719315595</c:v>
                </c:pt>
                <c:pt idx="346">
                  <c:v>604.33756410874798</c:v>
                </c:pt>
                <c:pt idx="347">
                  <c:v>551.72043924170202</c:v>
                </c:pt>
                <c:pt idx="348">
                  <c:v>501.67443003285399</c:v>
                </c:pt>
                <c:pt idx="349">
                  <c:v>468.80972002023799</c:v>
                </c:pt>
                <c:pt idx="350">
                  <c:v>392.788234900715</c:v>
                </c:pt>
                <c:pt idx="351">
                  <c:v>382.48859770090701</c:v>
                </c:pt>
                <c:pt idx="352">
                  <c:v>374.564052066518</c:v>
                </c:pt>
                <c:pt idx="353">
                  <c:v>342.15509677356499</c:v>
                </c:pt>
                <c:pt idx="354">
                  <c:v>294.264806772425</c:v>
                </c:pt>
                <c:pt idx="355">
                  <c:v>272.79657232145502</c:v>
                </c:pt>
                <c:pt idx="356">
                  <c:v>271.61093237814799</c:v>
                </c:pt>
                <c:pt idx="357">
                  <c:v>224.09462741298299</c:v>
                </c:pt>
                <c:pt idx="358">
                  <c:v>216.73443107490201</c:v>
                </c:pt>
                <c:pt idx="359">
                  <c:v>212.01782876567799</c:v>
                </c:pt>
                <c:pt idx="360">
                  <c:v>197.43973882539001</c:v>
                </c:pt>
                <c:pt idx="361">
                  <c:v>185.597871480051</c:v>
                </c:pt>
                <c:pt idx="362">
                  <c:v>173.79590137704099</c:v>
                </c:pt>
                <c:pt idx="363">
                  <c:v>160.20076003075201</c:v>
                </c:pt>
                <c:pt idx="364">
                  <c:v>158.44899391067901</c:v>
                </c:pt>
                <c:pt idx="365">
                  <c:v>158.00225444967299</c:v>
                </c:pt>
                <c:pt idx="366">
                  <c:v>155.766854939832</c:v>
                </c:pt>
                <c:pt idx="367">
                  <c:v>153.80547170121201</c:v>
                </c:pt>
                <c:pt idx="368">
                  <c:v>148.05364987654499</c:v>
                </c:pt>
                <c:pt idx="369">
                  <c:v>124.988872555594</c:v>
                </c:pt>
                <c:pt idx="370">
                  <c:v>123.16205735894</c:v>
                </c:pt>
                <c:pt idx="371">
                  <c:v>113.342908634775</c:v>
                </c:pt>
                <c:pt idx="372">
                  <c:v>104.24631348180399</c:v>
                </c:pt>
                <c:pt idx="373">
                  <c:v>84.207588193105195</c:v>
                </c:pt>
                <c:pt idx="374">
                  <c:v>83.039573003370606</c:v>
                </c:pt>
                <c:pt idx="375">
                  <c:v>41.2739042863872</c:v>
                </c:pt>
                <c:pt idx="376">
                  <c:v>13.8456557766029</c:v>
                </c:pt>
                <c:pt idx="377">
                  <c:v>11.8965280067601</c:v>
                </c:pt>
                <c:pt idx="378">
                  <c:v>0</c:v>
                </c:pt>
              </c:numCache>
            </c:numRef>
          </c:xVal>
          <c:yVal>
            <c:numRef>
              <c:f>PolicyLossCDF!$C$2:$C$445</c:f>
              <c:numCache>
                <c:formatCode>General</c:formatCode>
                <c:ptCount val="444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0.90600000000000003</c:v>
                </c:pt>
                <c:pt idx="24">
                  <c:v>0.90400000000000003</c:v>
                </c:pt>
                <c:pt idx="25">
                  <c:v>0.90200000000000002</c:v>
                </c:pt>
                <c:pt idx="26">
                  <c:v>0.9</c:v>
                </c:pt>
                <c:pt idx="27">
                  <c:v>0.89800000000000002</c:v>
                </c:pt>
                <c:pt idx="28">
                  <c:v>0.89600000000000002</c:v>
                </c:pt>
                <c:pt idx="29">
                  <c:v>0.89400000000000002</c:v>
                </c:pt>
                <c:pt idx="30">
                  <c:v>0.89200000000000002</c:v>
                </c:pt>
                <c:pt idx="31">
                  <c:v>0.89</c:v>
                </c:pt>
                <c:pt idx="32">
                  <c:v>0.88800000000000001</c:v>
                </c:pt>
                <c:pt idx="33">
                  <c:v>0.88600000000000001</c:v>
                </c:pt>
                <c:pt idx="34">
                  <c:v>0.88400000000000001</c:v>
                </c:pt>
                <c:pt idx="35">
                  <c:v>0.88200000000000001</c:v>
                </c:pt>
                <c:pt idx="36">
                  <c:v>0.88</c:v>
                </c:pt>
                <c:pt idx="37">
                  <c:v>0.878</c:v>
                </c:pt>
                <c:pt idx="38">
                  <c:v>0.876</c:v>
                </c:pt>
                <c:pt idx="39">
                  <c:v>0.874</c:v>
                </c:pt>
                <c:pt idx="40">
                  <c:v>0.872</c:v>
                </c:pt>
                <c:pt idx="41">
                  <c:v>0.87</c:v>
                </c:pt>
                <c:pt idx="42">
                  <c:v>0.86799999999999999</c:v>
                </c:pt>
                <c:pt idx="43">
                  <c:v>0.86599999999999999</c:v>
                </c:pt>
                <c:pt idx="44">
                  <c:v>0.86399999999999999</c:v>
                </c:pt>
                <c:pt idx="45">
                  <c:v>0.86199999999999999</c:v>
                </c:pt>
                <c:pt idx="46">
                  <c:v>0.86</c:v>
                </c:pt>
                <c:pt idx="47">
                  <c:v>0.85799999999999998</c:v>
                </c:pt>
                <c:pt idx="48">
                  <c:v>0.85599999999999998</c:v>
                </c:pt>
                <c:pt idx="49">
                  <c:v>0.85399999999999998</c:v>
                </c:pt>
                <c:pt idx="50">
                  <c:v>0.85199999999999998</c:v>
                </c:pt>
                <c:pt idx="51">
                  <c:v>0.85</c:v>
                </c:pt>
                <c:pt idx="52">
                  <c:v>0.84799999999999998</c:v>
                </c:pt>
                <c:pt idx="53">
                  <c:v>0.84599999999999997</c:v>
                </c:pt>
                <c:pt idx="54">
                  <c:v>0.84399999999999997</c:v>
                </c:pt>
                <c:pt idx="55">
                  <c:v>0.84199999999999997</c:v>
                </c:pt>
                <c:pt idx="56">
                  <c:v>0.84</c:v>
                </c:pt>
                <c:pt idx="57">
                  <c:v>0.83799999999999997</c:v>
                </c:pt>
                <c:pt idx="58">
                  <c:v>0.83599999999999997</c:v>
                </c:pt>
                <c:pt idx="59">
                  <c:v>0.83399999999999996</c:v>
                </c:pt>
                <c:pt idx="60">
                  <c:v>0.83199999999999996</c:v>
                </c:pt>
                <c:pt idx="61">
                  <c:v>0.83</c:v>
                </c:pt>
                <c:pt idx="62">
                  <c:v>0.82799999999999996</c:v>
                </c:pt>
                <c:pt idx="63">
                  <c:v>0.82599999999999996</c:v>
                </c:pt>
                <c:pt idx="64">
                  <c:v>0.82399999999999995</c:v>
                </c:pt>
                <c:pt idx="65">
                  <c:v>0.82199999999999995</c:v>
                </c:pt>
                <c:pt idx="66">
                  <c:v>0.82</c:v>
                </c:pt>
                <c:pt idx="67">
                  <c:v>0.81799999999999995</c:v>
                </c:pt>
                <c:pt idx="68">
                  <c:v>0.81599999999999995</c:v>
                </c:pt>
                <c:pt idx="69">
                  <c:v>0.81399999999999995</c:v>
                </c:pt>
                <c:pt idx="70">
                  <c:v>0.81200000000000006</c:v>
                </c:pt>
                <c:pt idx="71">
                  <c:v>0.81</c:v>
                </c:pt>
                <c:pt idx="72">
                  <c:v>0.80800000000000005</c:v>
                </c:pt>
                <c:pt idx="73">
                  <c:v>0.80600000000000005</c:v>
                </c:pt>
                <c:pt idx="74">
                  <c:v>0.80400000000000005</c:v>
                </c:pt>
                <c:pt idx="75">
                  <c:v>0.80200000000000005</c:v>
                </c:pt>
                <c:pt idx="76">
                  <c:v>0.8</c:v>
                </c:pt>
                <c:pt idx="77">
                  <c:v>0.79800000000000004</c:v>
                </c:pt>
                <c:pt idx="78">
                  <c:v>0.79600000000000004</c:v>
                </c:pt>
                <c:pt idx="79">
                  <c:v>0.79400000000000004</c:v>
                </c:pt>
                <c:pt idx="80">
                  <c:v>0.79200000000000004</c:v>
                </c:pt>
                <c:pt idx="81">
                  <c:v>0.79</c:v>
                </c:pt>
                <c:pt idx="82">
                  <c:v>0.78800000000000003</c:v>
                </c:pt>
                <c:pt idx="83">
                  <c:v>0.78600000000000003</c:v>
                </c:pt>
                <c:pt idx="84">
                  <c:v>0.78400000000000003</c:v>
                </c:pt>
                <c:pt idx="85">
                  <c:v>0.78200000000000003</c:v>
                </c:pt>
                <c:pt idx="86">
                  <c:v>0.78</c:v>
                </c:pt>
                <c:pt idx="87">
                  <c:v>0.77800000000000002</c:v>
                </c:pt>
                <c:pt idx="88">
                  <c:v>0.77600000000000002</c:v>
                </c:pt>
                <c:pt idx="89">
                  <c:v>0.77400000000000002</c:v>
                </c:pt>
                <c:pt idx="90">
                  <c:v>0.77200000000000002</c:v>
                </c:pt>
                <c:pt idx="91">
                  <c:v>0.77</c:v>
                </c:pt>
                <c:pt idx="92">
                  <c:v>0.76800000000000002</c:v>
                </c:pt>
                <c:pt idx="93">
                  <c:v>0.76600000000000001</c:v>
                </c:pt>
                <c:pt idx="94">
                  <c:v>0.76400000000000001</c:v>
                </c:pt>
                <c:pt idx="95">
                  <c:v>0.76200000000000001</c:v>
                </c:pt>
                <c:pt idx="96">
                  <c:v>0.76</c:v>
                </c:pt>
                <c:pt idx="97">
                  <c:v>0.75800000000000001</c:v>
                </c:pt>
                <c:pt idx="98">
                  <c:v>0.75600000000000001</c:v>
                </c:pt>
                <c:pt idx="99">
                  <c:v>0.754</c:v>
                </c:pt>
                <c:pt idx="100">
                  <c:v>0.752</c:v>
                </c:pt>
                <c:pt idx="101">
                  <c:v>0.75</c:v>
                </c:pt>
                <c:pt idx="102">
                  <c:v>0.748</c:v>
                </c:pt>
                <c:pt idx="103">
                  <c:v>0.746</c:v>
                </c:pt>
                <c:pt idx="104">
                  <c:v>0.74399999999999999</c:v>
                </c:pt>
                <c:pt idx="105">
                  <c:v>0.74199999999999999</c:v>
                </c:pt>
                <c:pt idx="106">
                  <c:v>0.74</c:v>
                </c:pt>
                <c:pt idx="107">
                  <c:v>0.73799999999999999</c:v>
                </c:pt>
                <c:pt idx="108">
                  <c:v>0.73599999999999999</c:v>
                </c:pt>
                <c:pt idx="109">
                  <c:v>0.73399999999999999</c:v>
                </c:pt>
                <c:pt idx="110">
                  <c:v>0.73199999999999998</c:v>
                </c:pt>
                <c:pt idx="111">
                  <c:v>0.73</c:v>
                </c:pt>
                <c:pt idx="112">
                  <c:v>0.72799999999999998</c:v>
                </c:pt>
                <c:pt idx="113">
                  <c:v>0.72599999999999998</c:v>
                </c:pt>
                <c:pt idx="114">
                  <c:v>0.72399999999999998</c:v>
                </c:pt>
                <c:pt idx="115">
                  <c:v>0.72199999999999998</c:v>
                </c:pt>
                <c:pt idx="116">
                  <c:v>0.72</c:v>
                </c:pt>
                <c:pt idx="117">
                  <c:v>0.71799999999999997</c:v>
                </c:pt>
                <c:pt idx="118">
                  <c:v>0.71599999999999997</c:v>
                </c:pt>
                <c:pt idx="119">
                  <c:v>0.71399999999999997</c:v>
                </c:pt>
                <c:pt idx="120">
                  <c:v>0.71199999999999997</c:v>
                </c:pt>
                <c:pt idx="121">
                  <c:v>0.71</c:v>
                </c:pt>
                <c:pt idx="122">
                  <c:v>0.70799999999999996</c:v>
                </c:pt>
                <c:pt idx="123">
                  <c:v>0.70599999999999996</c:v>
                </c:pt>
                <c:pt idx="124">
                  <c:v>0.70399999999999996</c:v>
                </c:pt>
                <c:pt idx="125">
                  <c:v>0.70199999999999996</c:v>
                </c:pt>
                <c:pt idx="126">
                  <c:v>0.7</c:v>
                </c:pt>
                <c:pt idx="127">
                  <c:v>0.69799999999999995</c:v>
                </c:pt>
                <c:pt idx="128">
                  <c:v>0.69599999999999995</c:v>
                </c:pt>
                <c:pt idx="129">
                  <c:v>0.69399999999999995</c:v>
                </c:pt>
                <c:pt idx="130">
                  <c:v>0.69199999999999995</c:v>
                </c:pt>
                <c:pt idx="131">
                  <c:v>0.69</c:v>
                </c:pt>
                <c:pt idx="132">
                  <c:v>0.68799999999999994</c:v>
                </c:pt>
                <c:pt idx="133">
                  <c:v>0.68600000000000005</c:v>
                </c:pt>
                <c:pt idx="134">
                  <c:v>0.68400000000000005</c:v>
                </c:pt>
                <c:pt idx="135">
                  <c:v>0.68200000000000005</c:v>
                </c:pt>
                <c:pt idx="136">
                  <c:v>0.68</c:v>
                </c:pt>
                <c:pt idx="137">
                  <c:v>0.67800000000000005</c:v>
                </c:pt>
                <c:pt idx="138">
                  <c:v>0.67600000000000005</c:v>
                </c:pt>
                <c:pt idx="139">
                  <c:v>0.67400000000000004</c:v>
                </c:pt>
                <c:pt idx="140">
                  <c:v>0.67200000000000004</c:v>
                </c:pt>
                <c:pt idx="141">
                  <c:v>0.67</c:v>
                </c:pt>
                <c:pt idx="142">
                  <c:v>0.66800000000000004</c:v>
                </c:pt>
                <c:pt idx="143">
                  <c:v>0.66600000000000004</c:v>
                </c:pt>
                <c:pt idx="144">
                  <c:v>0.66400000000000003</c:v>
                </c:pt>
                <c:pt idx="145">
                  <c:v>0.66200000000000003</c:v>
                </c:pt>
                <c:pt idx="146">
                  <c:v>0.66</c:v>
                </c:pt>
                <c:pt idx="147">
                  <c:v>0.65800000000000003</c:v>
                </c:pt>
                <c:pt idx="148">
                  <c:v>0.65600000000000003</c:v>
                </c:pt>
                <c:pt idx="149">
                  <c:v>0.65400000000000003</c:v>
                </c:pt>
                <c:pt idx="150">
                  <c:v>0.65200000000000002</c:v>
                </c:pt>
                <c:pt idx="151">
                  <c:v>0.65</c:v>
                </c:pt>
                <c:pt idx="152">
                  <c:v>0.64800000000000002</c:v>
                </c:pt>
                <c:pt idx="153">
                  <c:v>0.64600000000000002</c:v>
                </c:pt>
                <c:pt idx="154">
                  <c:v>0.64400000000000002</c:v>
                </c:pt>
                <c:pt idx="155">
                  <c:v>0.64200000000000002</c:v>
                </c:pt>
                <c:pt idx="156">
                  <c:v>0.64</c:v>
                </c:pt>
                <c:pt idx="157">
                  <c:v>0.63800000000000001</c:v>
                </c:pt>
                <c:pt idx="158">
                  <c:v>0.63600000000000001</c:v>
                </c:pt>
                <c:pt idx="159">
                  <c:v>0.63400000000000001</c:v>
                </c:pt>
                <c:pt idx="160">
                  <c:v>0.63200000000000001</c:v>
                </c:pt>
                <c:pt idx="161">
                  <c:v>0.63</c:v>
                </c:pt>
                <c:pt idx="162">
                  <c:v>0.628</c:v>
                </c:pt>
                <c:pt idx="163">
                  <c:v>0.626</c:v>
                </c:pt>
                <c:pt idx="164">
                  <c:v>0.624</c:v>
                </c:pt>
                <c:pt idx="165">
                  <c:v>0.622</c:v>
                </c:pt>
                <c:pt idx="166">
                  <c:v>0.62</c:v>
                </c:pt>
                <c:pt idx="167">
                  <c:v>0.61799999999999999</c:v>
                </c:pt>
                <c:pt idx="168">
                  <c:v>0.61599999999999999</c:v>
                </c:pt>
                <c:pt idx="169">
                  <c:v>0.61399999999999999</c:v>
                </c:pt>
                <c:pt idx="170">
                  <c:v>0.61199999999999999</c:v>
                </c:pt>
                <c:pt idx="171">
                  <c:v>0.61</c:v>
                </c:pt>
                <c:pt idx="172">
                  <c:v>0.60799999999999998</c:v>
                </c:pt>
                <c:pt idx="173">
                  <c:v>0.60599999999999998</c:v>
                </c:pt>
                <c:pt idx="174">
                  <c:v>0.60399999999999998</c:v>
                </c:pt>
                <c:pt idx="175">
                  <c:v>0.60199999999999998</c:v>
                </c:pt>
                <c:pt idx="176">
                  <c:v>0.6</c:v>
                </c:pt>
                <c:pt idx="177">
                  <c:v>0.59799999999999998</c:v>
                </c:pt>
                <c:pt idx="178">
                  <c:v>0.59599999999999997</c:v>
                </c:pt>
                <c:pt idx="179">
                  <c:v>0.59399999999999997</c:v>
                </c:pt>
                <c:pt idx="180">
                  <c:v>0.59199999999999997</c:v>
                </c:pt>
                <c:pt idx="181">
                  <c:v>0.59</c:v>
                </c:pt>
                <c:pt idx="182">
                  <c:v>0.58799999999999997</c:v>
                </c:pt>
                <c:pt idx="183">
                  <c:v>0.58599999999999997</c:v>
                </c:pt>
                <c:pt idx="184">
                  <c:v>0.58399999999999996</c:v>
                </c:pt>
                <c:pt idx="185">
                  <c:v>0.58199999999999996</c:v>
                </c:pt>
                <c:pt idx="186">
                  <c:v>0.57999999999999996</c:v>
                </c:pt>
                <c:pt idx="187">
                  <c:v>0.57799999999999996</c:v>
                </c:pt>
                <c:pt idx="188">
                  <c:v>0.57599999999999996</c:v>
                </c:pt>
                <c:pt idx="189">
                  <c:v>0.57399999999999995</c:v>
                </c:pt>
                <c:pt idx="190">
                  <c:v>0.57199999999999995</c:v>
                </c:pt>
                <c:pt idx="191">
                  <c:v>0.56999999999999995</c:v>
                </c:pt>
                <c:pt idx="192">
                  <c:v>0.56799999999999995</c:v>
                </c:pt>
                <c:pt idx="193">
                  <c:v>0.56599999999999995</c:v>
                </c:pt>
                <c:pt idx="194">
                  <c:v>0.56399999999999995</c:v>
                </c:pt>
                <c:pt idx="195">
                  <c:v>0.56200000000000006</c:v>
                </c:pt>
                <c:pt idx="196">
                  <c:v>0.56000000000000005</c:v>
                </c:pt>
                <c:pt idx="197">
                  <c:v>0.55800000000000005</c:v>
                </c:pt>
                <c:pt idx="198">
                  <c:v>0.55600000000000005</c:v>
                </c:pt>
                <c:pt idx="199">
                  <c:v>0.55400000000000005</c:v>
                </c:pt>
                <c:pt idx="200">
                  <c:v>0.55200000000000005</c:v>
                </c:pt>
                <c:pt idx="201">
                  <c:v>0.55000000000000004</c:v>
                </c:pt>
                <c:pt idx="202">
                  <c:v>0.54800000000000004</c:v>
                </c:pt>
                <c:pt idx="203">
                  <c:v>0.54600000000000004</c:v>
                </c:pt>
                <c:pt idx="204">
                  <c:v>0.54400000000000004</c:v>
                </c:pt>
                <c:pt idx="205">
                  <c:v>0.54200000000000004</c:v>
                </c:pt>
                <c:pt idx="206">
                  <c:v>0.54</c:v>
                </c:pt>
                <c:pt idx="207">
                  <c:v>0.53800000000000003</c:v>
                </c:pt>
                <c:pt idx="208">
                  <c:v>0.53600000000000003</c:v>
                </c:pt>
                <c:pt idx="209">
                  <c:v>0.53400000000000003</c:v>
                </c:pt>
                <c:pt idx="210">
                  <c:v>0.53200000000000003</c:v>
                </c:pt>
                <c:pt idx="211">
                  <c:v>0.53</c:v>
                </c:pt>
                <c:pt idx="212">
                  <c:v>0.52800000000000002</c:v>
                </c:pt>
                <c:pt idx="213">
                  <c:v>0.52600000000000002</c:v>
                </c:pt>
                <c:pt idx="214">
                  <c:v>0.52400000000000002</c:v>
                </c:pt>
                <c:pt idx="215">
                  <c:v>0.52200000000000002</c:v>
                </c:pt>
                <c:pt idx="216">
                  <c:v>0.52</c:v>
                </c:pt>
                <c:pt idx="217">
                  <c:v>0.51800000000000002</c:v>
                </c:pt>
                <c:pt idx="218">
                  <c:v>0.51600000000000001</c:v>
                </c:pt>
                <c:pt idx="219">
                  <c:v>0.51400000000000001</c:v>
                </c:pt>
                <c:pt idx="220">
                  <c:v>0.51200000000000001</c:v>
                </c:pt>
                <c:pt idx="221">
                  <c:v>0.51</c:v>
                </c:pt>
                <c:pt idx="222">
                  <c:v>0.50800000000000001</c:v>
                </c:pt>
                <c:pt idx="223">
                  <c:v>0.50600000000000001</c:v>
                </c:pt>
                <c:pt idx="224">
                  <c:v>0.504</c:v>
                </c:pt>
                <c:pt idx="225">
                  <c:v>0.502</c:v>
                </c:pt>
                <c:pt idx="226">
                  <c:v>0.5</c:v>
                </c:pt>
                <c:pt idx="227">
                  <c:v>0.498</c:v>
                </c:pt>
                <c:pt idx="228">
                  <c:v>0.496</c:v>
                </c:pt>
                <c:pt idx="229">
                  <c:v>0.49399999999999999</c:v>
                </c:pt>
                <c:pt idx="230">
                  <c:v>0.49199999999999999</c:v>
                </c:pt>
                <c:pt idx="231">
                  <c:v>0.49</c:v>
                </c:pt>
                <c:pt idx="232">
                  <c:v>0.48799999999999999</c:v>
                </c:pt>
                <c:pt idx="233">
                  <c:v>0.48599999999999999</c:v>
                </c:pt>
                <c:pt idx="234">
                  <c:v>0.48399999999999999</c:v>
                </c:pt>
                <c:pt idx="235">
                  <c:v>0.48199999999999998</c:v>
                </c:pt>
                <c:pt idx="236">
                  <c:v>0.48</c:v>
                </c:pt>
                <c:pt idx="237">
                  <c:v>0.47799999999999998</c:v>
                </c:pt>
                <c:pt idx="238">
                  <c:v>0.47599999999999998</c:v>
                </c:pt>
                <c:pt idx="239">
                  <c:v>0.47399999999999998</c:v>
                </c:pt>
                <c:pt idx="240">
                  <c:v>0.47199999999999998</c:v>
                </c:pt>
                <c:pt idx="241">
                  <c:v>0.47</c:v>
                </c:pt>
                <c:pt idx="242">
                  <c:v>0.46800000000000003</c:v>
                </c:pt>
                <c:pt idx="243">
                  <c:v>0.46600000000000003</c:v>
                </c:pt>
                <c:pt idx="244">
                  <c:v>0.46400000000000002</c:v>
                </c:pt>
                <c:pt idx="245">
                  <c:v>0.46200000000000002</c:v>
                </c:pt>
                <c:pt idx="246">
                  <c:v>0.46</c:v>
                </c:pt>
                <c:pt idx="247">
                  <c:v>0.45800000000000002</c:v>
                </c:pt>
                <c:pt idx="248">
                  <c:v>0.45600000000000002</c:v>
                </c:pt>
                <c:pt idx="249">
                  <c:v>0.45400000000000001</c:v>
                </c:pt>
                <c:pt idx="250">
                  <c:v>0.45200000000000001</c:v>
                </c:pt>
                <c:pt idx="251">
                  <c:v>0.45</c:v>
                </c:pt>
                <c:pt idx="252">
                  <c:v>0.44800000000000001</c:v>
                </c:pt>
                <c:pt idx="253">
                  <c:v>0.44600000000000001</c:v>
                </c:pt>
                <c:pt idx="254">
                  <c:v>0.44400000000000001</c:v>
                </c:pt>
                <c:pt idx="255">
                  <c:v>0.442</c:v>
                </c:pt>
                <c:pt idx="256">
                  <c:v>0.44</c:v>
                </c:pt>
                <c:pt idx="257">
                  <c:v>0.438</c:v>
                </c:pt>
                <c:pt idx="258">
                  <c:v>0.436</c:v>
                </c:pt>
                <c:pt idx="259">
                  <c:v>0.434</c:v>
                </c:pt>
                <c:pt idx="260">
                  <c:v>0.432</c:v>
                </c:pt>
                <c:pt idx="261">
                  <c:v>0.43</c:v>
                </c:pt>
                <c:pt idx="262">
                  <c:v>0.42799999999999999</c:v>
                </c:pt>
                <c:pt idx="263">
                  <c:v>0.42599999999999999</c:v>
                </c:pt>
                <c:pt idx="264">
                  <c:v>0.42399999999999999</c:v>
                </c:pt>
                <c:pt idx="265">
                  <c:v>0.42199999999999999</c:v>
                </c:pt>
                <c:pt idx="266">
                  <c:v>0.42</c:v>
                </c:pt>
                <c:pt idx="267">
                  <c:v>0.41799999999999998</c:v>
                </c:pt>
                <c:pt idx="268">
                  <c:v>0.41599999999999998</c:v>
                </c:pt>
                <c:pt idx="269">
                  <c:v>0.41399999999999998</c:v>
                </c:pt>
                <c:pt idx="270">
                  <c:v>0.41199999999999998</c:v>
                </c:pt>
                <c:pt idx="271">
                  <c:v>0.41</c:v>
                </c:pt>
                <c:pt idx="272">
                  <c:v>0.40799999999999997</c:v>
                </c:pt>
                <c:pt idx="273">
                  <c:v>0.40600000000000003</c:v>
                </c:pt>
                <c:pt idx="274">
                  <c:v>0.40400000000000003</c:v>
                </c:pt>
                <c:pt idx="275">
                  <c:v>0.40200000000000002</c:v>
                </c:pt>
                <c:pt idx="276">
                  <c:v>0.4</c:v>
                </c:pt>
                <c:pt idx="277">
                  <c:v>0.39800000000000002</c:v>
                </c:pt>
                <c:pt idx="278">
                  <c:v>0.39600000000000002</c:v>
                </c:pt>
                <c:pt idx="279">
                  <c:v>0.39400000000000002</c:v>
                </c:pt>
                <c:pt idx="280">
                  <c:v>0.39200000000000002</c:v>
                </c:pt>
                <c:pt idx="281">
                  <c:v>0.39</c:v>
                </c:pt>
                <c:pt idx="282">
                  <c:v>0.38800000000000001</c:v>
                </c:pt>
                <c:pt idx="283">
                  <c:v>0.38600000000000001</c:v>
                </c:pt>
                <c:pt idx="284">
                  <c:v>0.38400000000000001</c:v>
                </c:pt>
                <c:pt idx="285">
                  <c:v>0.38200000000000001</c:v>
                </c:pt>
                <c:pt idx="286">
                  <c:v>0.38</c:v>
                </c:pt>
                <c:pt idx="287">
                  <c:v>0.378</c:v>
                </c:pt>
                <c:pt idx="288">
                  <c:v>0.376</c:v>
                </c:pt>
                <c:pt idx="289">
                  <c:v>0.374</c:v>
                </c:pt>
                <c:pt idx="290">
                  <c:v>0.372</c:v>
                </c:pt>
                <c:pt idx="291">
                  <c:v>0.37</c:v>
                </c:pt>
                <c:pt idx="292">
                  <c:v>0.36799999999999999</c:v>
                </c:pt>
                <c:pt idx="293">
                  <c:v>0.36599999999999999</c:v>
                </c:pt>
                <c:pt idx="294">
                  <c:v>0.36399999999999999</c:v>
                </c:pt>
                <c:pt idx="295">
                  <c:v>0.36199999999999999</c:v>
                </c:pt>
                <c:pt idx="296">
                  <c:v>0.36</c:v>
                </c:pt>
                <c:pt idx="297">
                  <c:v>0.35799999999999998</c:v>
                </c:pt>
                <c:pt idx="298">
                  <c:v>0.35599999999999998</c:v>
                </c:pt>
                <c:pt idx="299">
                  <c:v>0.35399999999999998</c:v>
                </c:pt>
                <c:pt idx="300">
                  <c:v>0.35199999999999998</c:v>
                </c:pt>
                <c:pt idx="301">
                  <c:v>0.35</c:v>
                </c:pt>
                <c:pt idx="302">
                  <c:v>0.34799999999999998</c:v>
                </c:pt>
                <c:pt idx="303">
                  <c:v>0.34599999999999997</c:v>
                </c:pt>
                <c:pt idx="304">
                  <c:v>0.34399999999999997</c:v>
                </c:pt>
                <c:pt idx="305">
                  <c:v>0.34200000000000003</c:v>
                </c:pt>
                <c:pt idx="306">
                  <c:v>0.34</c:v>
                </c:pt>
                <c:pt idx="307">
                  <c:v>0.33800000000000002</c:v>
                </c:pt>
                <c:pt idx="308">
                  <c:v>0.33600000000000002</c:v>
                </c:pt>
                <c:pt idx="309">
                  <c:v>0.33400000000000002</c:v>
                </c:pt>
                <c:pt idx="310">
                  <c:v>0.33200000000000002</c:v>
                </c:pt>
                <c:pt idx="311">
                  <c:v>0.33</c:v>
                </c:pt>
                <c:pt idx="312">
                  <c:v>0.32800000000000001</c:v>
                </c:pt>
                <c:pt idx="313">
                  <c:v>0.32600000000000001</c:v>
                </c:pt>
                <c:pt idx="314">
                  <c:v>0.32400000000000001</c:v>
                </c:pt>
                <c:pt idx="315">
                  <c:v>0.32200000000000001</c:v>
                </c:pt>
                <c:pt idx="316">
                  <c:v>0.32</c:v>
                </c:pt>
                <c:pt idx="317">
                  <c:v>0.318</c:v>
                </c:pt>
                <c:pt idx="318">
                  <c:v>0.316</c:v>
                </c:pt>
                <c:pt idx="319">
                  <c:v>0.314</c:v>
                </c:pt>
                <c:pt idx="320">
                  <c:v>0.312</c:v>
                </c:pt>
                <c:pt idx="321">
                  <c:v>0.31</c:v>
                </c:pt>
                <c:pt idx="322">
                  <c:v>0.308</c:v>
                </c:pt>
                <c:pt idx="323">
                  <c:v>0.30599999999999999</c:v>
                </c:pt>
                <c:pt idx="324">
                  <c:v>0.30399999999999999</c:v>
                </c:pt>
                <c:pt idx="325">
                  <c:v>0.30199999999999999</c:v>
                </c:pt>
                <c:pt idx="326">
                  <c:v>0.3</c:v>
                </c:pt>
                <c:pt idx="327">
                  <c:v>0.29799999999999999</c:v>
                </c:pt>
                <c:pt idx="328">
                  <c:v>0.29599999999999999</c:v>
                </c:pt>
                <c:pt idx="329">
                  <c:v>0.29399999999999998</c:v>
                </c:pt>
                <c:pt idx="330">
                  <c:v>0.29199999999999998</c:v>
                </c:pt>
                <c:pt idx="331">
                  <c:v>0.28999999999999998</c:v>
                </c:pt>
                <c:pt idx="332">
                  <c:v>0.28799999999999998</c:v>
                </c:pt>
                <c:pt idx="333">
                  <c:v>0.28599999999999998</c:v>
                </c:pt>
                <c:pt idx="334">
                  <c:v>0.28399999999999997</c:v>
                </c:pt>
                <c:pt idx="335">
                  <c:v>0.28199999999999997</c:v>
                </c:pt>
                <c:pt idx="336">
                  <c:v>0.28000000000000003</c:v>
                </c:pt>
                <c:pt idx="337">
                  <c:v>0.27800000000000002</c:v>
                </c:pt>
                <c:pt idx="338">
                  <c:v>0.27600000000000002</c:v>
                </c:pt>
                <c:pt idx="339">
                  <c:v>0.27400000000000002</c:v>
                </c:pt>
                <c:pt idx="340">
                  <c:v>0.27200000000000002</c:v>
                </c:pt>
                <c:pt idx="341">
                  <c:v>0.27</c:v>
                </c:pt>
                <c:pt idx="342">
                  <c:v>0.26800000000000002</c:v>
                </c:pt>
                <c:pt idx="343">
                  <c:v>0.26600000000000001</c:v>
                </c:pt>
                <c:pt idx="344">
                  <c:v>0.26400000000000001</c:v>
                </c:pt>
                <c:pt idx="345">
                  <c:v>0.26200000000000001</c:v>
                </c:pt>
                <c:pt idx="346">
                  <c:v>0.26</c:v>
                </c:pt>
                <c:pt idx="347">
                  <c:v>0.25800000000000001</c:v>
                </c:pt>
                <c:pt idx="348">
                  <c:v>0.25600000000000001</c:v>
                </c:pt>
                <c:pt idx="349">
                  <c:v>0.254</c:v>
                </c:pt>
                <c:pt idx="350">
                  <c:v>0.252</c:v>
                </c:pt>
                <c:pt idx="351">
                  <c:v>0.25</c:v>
                </c:pt>
                <c:pt idx="352">
                  <c:v>0.248</c:v>
                </c:pt>
                <c:pt idx="353">
                  <c:v>0.246</c:v>
                </c:pt>
                <c:pt idx="354">
                  <c:v>0.24399999999999999</c:v>
                </c:pt>
                <c:pt idx="355">
                  <c:v>0.24199999999999999</c:v>
                </c:pt>
                <c:pt idx="356">
                  <c:v>0.24</c:v>
                </c:pt>
                <c:pt idx="357">
                  <c:v>0.23799999999999999</c:v>
                </c:pt>
                <c:pt idx="358">
                  <c:v>0.23599999999999999</c:v>
                </c:pt>
                <c:pt idx="359">
                  <c:v>0.23400000000000001</c:v>
                </c:pt>
                <c:pt idx="360">
                  <c:v>0.23200000000000001</c:v>
                </c:pt>
                <c:pt idx="361">
                  <c:v>0.23</c:v>
                </c:pt>
                <c:pt idx="362">
                  <c:v>0.22800000000000001</c:v>
                </c:pt>
                <c:pt idx="363">
                  <c:v>0.22600000000000001</c:v>
                </c:pt>
                <c:pt idx="364">
                  <c:v>0.224</c:v>
                </c:pt>
                <c:pt idx="365">
                  <c:v>0.222</c:v>
                </c:pt>
                <c:pt idx="366">
                  <c:v>0.22</c:v>
                </c:pt>
                <c:pt idx="367">
                  <c:v>0.218</c:v>
                </c:pt>
                <c:pt idx="368">
                  <c:v>0.216</c:v>
                </c:pt>
                <c:pt idx="369">
                  <c:v>0.214</c:v>
                </c:pt>
                <c:pt idx="370">
                  <c:v>0.21199999999999999</c:v>
                </c:pt>
                <c:pt idx="371">
                  <c:v>0.21</c:v>
                </c:pt>
                <c:pt idx="372">
                  <c:v>0.20799999999999999</c:v>
                </c:pt>
                <c:pt idx="373">
                  <c:v>0.20599999999999999</c:v>
                </c:pt>
                <c:pt idx="374">
                  <c:v>0.20399999999999999</c:v>
                </c:pt>
                <c:pt idx="375">
                  <c:v>0.20200000000000001</c:v>
                </c:pt>
                <c:pt idx="376">
                  <c:v>0.2</c:v>
                </c:pt>
                <c:pt idx="377">
                  <c:v>0.19800000000000001</c:v>
                </c:pt>
                <c:pt idx="378">
                  <c:v>0.19600000000000001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B9-9D4A-AFD0-4E3B92958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7968"/>
        <c:axId val="100441456"/>
      </c:scatterChart>
      <c:valAx>
        <c:axId val="100387968"/>
        <c:scaling>
          <c:orientation val="minMax"/>
          <c:max val="1693380.866247363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Policy 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1456"/>
        <c:crosses val="autoZero"/>
        <c:crossBetween val="midCat"/>
      </c:valAx>
      <c:valAx>
        <c:axId val="100441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Proportion of Policies With</a:t>
                </a:r>
                <a:r>
                  <a:rPr lang="en-US" sz="1200" baseline="0"/>
                  <a:t> Losses &lt;= Amount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7968"/>
        <c:crosses val="autoZero"/>
        <c:crossBetween val="midCat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Claim Amounts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Claim Amounts</a:t>
          </a:r>
        </a:p>
      </cx:txPr>
    </cx:title>
    <cx:plotArea>
      <cx:plotAreaRegion>
        <cx:series layoutId="boxWhisker" uniqueId="{E7FA3D99-053A-CE43-88C2-A779CDAF53AE}">
          <cx:tx>
            <cx:txData>
              <cx:f>_xlchart.v1.0</cx:f>
              <cx:v>ValidClaimAmount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title>
          <cx:tx>
            <cx:txData>
              <cx:v>Claim Amount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200"/>
              </a:pPr>
              <a:r>
                <a:rPr lang="en-US" sz="12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Claim Amount</a:t>
              </a:r>
            </a:p>
          </cx:txPr>
        </cx:title>
        <cx:majorGridlines/>
        <cx:tickLabels/>
      </cx:axis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Policy-Level Loss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Policy-Level Loss</a:t>
          </a:r>
        </a:p>
      </cx:txPr>
    </cx:title>
    <cx:plotArea>
      <cx:plotAreaRegion>
        <cx:series layoutId="boxWhisker" uniqueId="{CD4FC400-A53F-6D46-866C-BE53E7E09E25}">
          <cx:tx>
            <cx:txData>
              <cx:f>_xlchart.v1.2</cx:f>
              <cx:v>TotalClaimAmount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title>
          <cx:tx>
            <cx:txData>
              <cx:v>Policy Loss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200"/>
              </a:pPr>
              <a:r>
                <a:rPr lang="en-US" sz="12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Policy Loss</a:t>
              </a:r>
            </a:p>
          </cx:txPr>
        </cx:title>
        <cx:majorGridlines/>
        <cx:tickLabels/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393700</xdr:colOff>
          <xdr:row>5</xdr:row>
          <xdr:rowOff>190500</xdr:rowOff>
        </xdr:from>
        <xdr:to>
          <xdr:col>10</xdr:col>
          <xdr:colOff>812800</xdr:colOff>
          <xdr:row>8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6</xdr:col>
      <xdr:colOff>26504</xdr:colOff>
      <xdr:row>33</xdr:row>
      <xdr:rowOff>176697</xdr:rowOff>
    </xdr:from>
    <xdr:to>
      <xdr:col>11</xdr:col>
      <xdr:colOff>0</xdr:colOff>
      <xdr:row>47</xdr:row>
      <xdr:rowOff>136941</xdr:rowOff>
    </xdr:to>
    <xdr:graphicFrame macro="">
      <xdr:nvGraphicFramePr>
        <xdr:cNvPr id="2" name="ClaimSeverityCDF">
          <a:extLst>
            <a:ext uri="{FF2B5EF4-FFF2-40B4-BE49-F238E27FC236}">
              <a16:creationId xmlns:a16="http://schemas.microsoft.com/office/drawing/2014/main" id="{50EFD192-2C3D-B64D-BAC6-038706BBE0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15068</xdr:colOff>
      <xdr:row>33</xdr:row>
      <xdr:rowOff>176697</xdr:rowOff>
    </xdr:from>
    <xdr:to>
      <xdr:col>5</xdr:col>
      <xdr:colOff>456366</xdr:colOff>
      <xdr:row>47</xdr:row>
      <xdr:rowOff>136941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73D2F758-9EDE-E941-849C-D7233EDC06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2668" y="7453797"/>
              <a:ext cx="3120998" cy="28050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17</xdr:col>
      <xdr:colOff>31805</xdr:colOff>
      <xdr:row>5</xdr:row>
      <xdr:rowOff>0</xdr:rowOff>
    </xdr:from>
    <xdr:to>
      <xdr:col>23</xdr:col>
      <xdr:colOff>0</xdr:colOff>
      <xdr:row>18</xdr:row>
      <xdr:rowOff>159026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DB0933-BA7F-6343-B6F9-4BC46E79D3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28483</xdr:colOff>
      <xdr:row>33</xdr:row>
      <xdr:rowOff>176697</xdr:rowOff>
    </xdr:from>
    <xdr:to>
      <xdr:col>17</xdr:col>
      <xdr:colOff>469780</xdr:colOff>
      <xdr:row>47</xdr:row>
      <xdr:rowOff>136940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19A69557-A0CA-2D4E-AD99-5664706DC4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7783" y="7453797"/>
              <a:ext cx="2917797" cy="28050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26504</xdr:colOff>
      <xdr:row>33</xdr:row>
      <xdr:rowOff>176697</xdr:rowOff>
    </xdr:from>
    <xdr:to>
      <xdr:col>23</xdr:col>
      <xdr:colOff>0</xdr:colOff>
      <xdr:row>47</xdr:row>
      <xdr:rowOff>136940</xdr:rowOff>
    </xdr:to>
    <xdr:graphicFrame macro="">
      <xdr:nvGraphicFramePr>
        <xdr:cNvPr id="17" name="PolicyLossCDFChart">
          <a:extLst>
            <a:ext uri="{FF2B5EF4-FFF2-40B4-BE49-F238E27FC236}">
              <a16:creationId xmlns:a16="http://schemas.microsoft.com/office/drawing/2014/main" id="{F37D6405-F7C5-ABDB-9BC3-11BD92DBA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22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8D1DAE17-128B-BAA0-80A4-C5411D3B5EFF}"/>
            </a:ext>
          </a:extLst>
        </xdr:cNvPr>
        <xdr:cNvSpPr/>
      </xdr:nvSpPr>
      <xdr:spPr>
        <a:xfrm>
          <a:off x="828261" y="4064000"/>
          <a:ext cx="9110869" cy="5256696"/>
        </a:xfrm>
        <a:prstGeom prst="roundRect">
          <a:avLst>
            <a:gd name="adj" fmla="val 2171"/>
          </a:avLst>
        </a:prstGeom>
        <a:noFill/>
        <a:ln w="12700">
          <a:solidFill>
            <a:schemeClr val="bg2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028609"/>
                    <a:gd name="connsiteY0" fmla="*/ 116281 h 5356087"/>
                    <a:gd name="connsiteX1" fmla="*/ 116281 w 8028609"/>
                    <a:gd name="connsiteY1" fmla="*/ 0 h 5356087"/>
                    <a:gd name="connsiteX2" fmla="*/ 871898 w 8028609"/>
                    <a:gd name="connsiteY2" fmla="*/ 0 h 5356087"/>
                    <a:gd name="connsiteX3" fmla="*/ 1393633 w 8028609"/>
                    <a:gd name="connsiteY3" fmla="*/ 0 h 5356087"/>
                    <a:gd name="connsiteX4" fmla="*/ 1837408 w 8028609"/>
                    <a:gd name="connsiteY4" fmla="*/ 0 h 5356087"/>
                    <a:gd name="connsiteX5" fmla="*/ 2515065 w 8028609"/>
                    <a:gd name="connsiteY5" fmla="*/ 0 h 5356087"/>
                    <a:gd name="connsiteX6" fmla="*/ 3036800 w 8028609"/>
                    <a:gd name="connsiteY6" fmla="*/ 0 h 5356087"/>
                    <a:gd name="connsiteX7" fmla="*/ 3792417 w 8028609"/>
                    <a:gd name="connsiteY7" fmla="*/ 0 h 5356087"/>
                    <a:gd name="connsiteX8" fmla="*/ 4236192 w 8028609"/>
                    <a:gd name="connsiteY8" fmla="*/ 0 h 5356087"/>
                    <a:gd name="connsiteX9" fmla="*/ 4991809 w 8028609"/>
                    <a:gd name="connsiteY9" fmla="*/ 0 h 5356087"/>
                    <a:gd name="connsiteX10" fmla="*/ 5357623 w 8028609"/>
                    <a:gd name="connsiteY10" fmla="*/ 0 h 5356087"/>
                    <a:gd name="connsiteX11" fmla="*/ 5957319 w 8028609"/>
                    <a:gd name="connsiteY11" fmla="*/ 0 h 5356087"/>
                    <a:gd name="connsiteX12" fmla="*/ 6557015 w 8028609"/>
                    <a:gd name="connsiteY12" fmla="*/ 0 h 5356087"/>
                    <a:gd name="connsiteX13" fmla="*/ 7078751 w 8028609"/>
                    <a:gd name="connsiteY13" fmla="*/ 0 h 5356087"/>
                    <a:gd name="connsiteX14" fmla="*/ 7912328 w 8028609"/>
                    <a:gd name="connsiteY14" fmla="*/ 0 h 5356087"/>
                    <a:gd name="connsiteX15" fmla="*/ 8028609 w 8028609"/>
                    <a:gd name="connsiteY15" fmla="*/ 116281 h 5356087"/>
                    <a:gd name="connsiteX16" fmla="*/ 8028609 w 8028609"/>
                    <a:gd name="connsiteY16" fmla="*/ 685562 h 5356087"/>
                    <a:gd name="connsiteX17" fmla="*/ 8028609 w 8028609"/>
                    <a:gd name="connsiteY17" fmla="*/ 1357313 h 5356087"/>
                    <a:gd name="connsiteX18" fmla="*/ 8028609 w 8028609"/>
                    <a:gd name="connsiteY18" fmla="*/ 1926593 h 5356087"/>
                    <a:gd name="connsiteX19" fmla="*/ 8028609 w 8028609"/>
                    <a:gd name="connsiteY19" fmla="*/ 2342168 h 5356087"/>
                    <a:gd name="connsiteX20" fmla="*/ 8028609 w 8028609"/>
                    <a:gd name="connsiteY20" fmla="*/ 2808978 h 5356087"/>
                    <a:gd name="connsiteX21" fmla="*/ 8028609 w 8028609"/>
                    <a:gd name="connsiteY21" fmla="*/ 3480729 h 5356087"/>
                    <a:gd name="connsiteX22" fmla="*/ 8028609 w 8028609"/>
                    <a:gd name="connsiteY22" fmla="*/ 4050010 h 5356087"/>
                    <a:gd name="connsiteX23" fmla="*/ 8028609 w 8028609"/>
                    <a:gd name="connsiteY23" fmla="*/ 4516820 h 5356087"/>
                    <a:gd name="connsiteX24" fmla="*/ 8028609 w 8028609"/>
                    <a:gd name="connsiteY24" fmla="*/ 5239806 h 5356087"/>
                    <a:gd name="connsiteX25" fmla="*/ 7912328 w 8028609"/>
                    <a:gd name="connsiteY25" fmla="*/ 5356087 h 5356087"/>
                    <a:gd name="connsiteX26" fmla="*/ 7312632 w 8028609"/>
                    <a:gd name="connsiteY26" fmla="*/ 5356087 h 5356087"/>
                    <a:gd name="connsiteX27" fmla="*/ 6868857 w 8028609"/>
                    <a:gd name="connsiteY27" fmla="*/ 5356087 h 5356087"/>
                    <a:gd name="connsiteX28" fmla="*/ 6191201 w 8028609"/>
                    <a:gd name="connsiteY28" fmla="*/ 5356087 h 5356087"/>
                    <a:gd name="connsiteX29" fmla="*/ 5747426 w 8028609"/>
                    <a:gd name="connsiteY29" fmla="*/ 5356087 h 5356087"/>
                    <a:gd name="connsiteX30" fmla="*/ 5069769 w 8028609"/>
                    <a:gd name="connsiteY30" fmla="*/ 5356087 h 5356087"/>
                    <a:gd name="connsiteX31" fmla="*/ 4703955 w 8028609"/>
                    <a:gd name="connsiteY31" fmla="*/ 5356087 h 5356087"/>
                    <a:gd name="connsiteX32" fmla="*/ 4026298 w 8028609"/>
                    <a:gd name="connsiteY32" fmla="*/ 5356087 h 5356087"/>
                    <a:gd name="connsiteX33" fmla="*/ 3582523 w 8028609"/>
                    <a:gd name="connsiteY33" fmla="*/ 5356087 h 5356087"/>
                    <a:gd name="connsiteX34" fmla="*/ 3216709 w 8028609"/>
                    <a:gd name="connsiteY34" fmla="*/ 5356087 h 5356087"/>
                    <a:gd name="connsiteX35" fmla="*/ 2772934 w 8028609"/>
                    <a:gd name="connsiteY35" fmla="*/ 5356087 h 5356087"/>
                    <a:gd name="connsiteX36" fmla="*/ 2095278 w 8028609"/>
                    <a:gd name="connsiteY36" fmla="*/ 5356087 h 5356087"/>
                    <a:gd name="connsiteX37" fmla="*/ 1651503 w 8028609"/>
                    <a:gd name="connsiteY37" fmla="*/ 5356087 h 5356087"/>
                    <a:gd name="connsiteX38" fmla="*/ 1285688 w 8028609"/>
                    <a:gd name="connsiteY38" fmla="*/ 5356087 h 5356087"/>
                    <a:gd name="connsiteX39" fmla="*/ 841913 w 8028609"/>
                    <a:gd name="connsiteY39" fmla="*/ 5356087 h 5356087"/>
                    <a:gd name="connsiteX40" fmla="*/ 116281 w 8028609"/>
                    <a:gd name="connsiteY40" fmla="*/ 5356087 h 5356087"/>
                    <a:gd name="connsiteX41" fmla="*/ 0 w 8028609"/>
                    <a:gd name="connsiteY41" fmla="*/ 5239806 h 5356087"/>
                    <a:gd name="connsiteX42" fmla="*/ 0 w 8028609"/>
                    <a:gd name="connsiteY42" fmla="*/ 4824231 h 5356087"/>
                    <a:gd name="connsiteX43" fmla="*/ 0 w 8028609"/>
                    <a:gd name="connsiteY43" fmla="*/ 4254951 h 5356087"/>
                    <a:gd name="connsiteX44" fmla="*/ 0 w 8028609"/>
                    <a:gd name="connsiteY44" fmla="*/ 3583200 h 5356087"/>
                    <a:gd name="connsiteX45" fmla="*/ 0 w 8028609"/>
                    <a:gd name="connsiteY45" fmla="*/ 2962684 h 5356087"/>
                    <a:gd name="connsiteX46" fmla="*/ 0 w 8028609"/>
                    <a:gd name="connsiteY46" fmla="*/ 2444638 h 5356087"/>
                    <a:gd name="connsiteX47" fmla="*/ 0 w 8028609"/>
                    <a:gd name="connsiteY47" fmla="*/ 1824123 h 5356087"/>
                    <a:gd name="connsiteX48" fmla="*/ 0 w 8028609"/>
                    <a:gd name="connsiteY48" fmla="*/ 1357313 h 5356087"/>
                    <a:gd name="connsiteX49" fmla="*/ 0 w 8028609"/>
                    <a:gd name="connsiteY49" fmla="*/ 788032 h 5356087"/>
                    <a:gd name="connsiteX50" fmla="*/ 0 w 8028609"/>
                    <a:gd name="connsiteY50" fmla="*/ 116281 h 53560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</a:cxnLst>
                  <a:rect l="l" t="t" r="r" b="b"/>
                  <a:pathLst>
                    <a:path w="8028609" h="5356087" extrusionOk="0">
                      <a:moveTo>
                        <a:pt x="0" y="116281"/>
                      </a:moveTo>
                      <a:cubicBezTo>
                        <a:pt x="-7224" y="47605"/>
                        <a:pt x="34594" y="6556"/>
                        <a:pt x="116281" y="0"/>
                      </a:cubicBezTo>
                      <a:cubicBezTo>
                        <a:pt x="348921" y="-20743"/>
                        <a:pt x="670023" y="28633"/>
                        <a:pt x="871898" y="0"/>
                      </a:cubicBezTo>
                      <a:cubicBezTo>
                        <a:pt x="1073773" y="-28633"/>
                        <a:pt x="1141852" y="61998"/>
                        <a:pt x="1393633" y="0"/>
                      </a:cubicBezTo>
                      <a:cubicBezTo>
                        <a:pt x="1645415" y="-61998"/>
                        <a:pt x="1654654" y="26207"/>
                        <a:pt x="1837408" y="0"/>
                      </a:cubicBezTo>
                      <a:cubicBezTo>
                        <a:pt x="2020163" y="-26207"/>
                        <a:pt x="2199198" y="35910"/>
                        <a:pt x="2515065" y="0"/>
                      </a:cubicBezTo>
                      <a:cubicBezTo>
                        <a:pt x="2830932" y="-35910"/>
                        <a:pt x="2909509" y="49544"/>
                        <a:pt x="3036800" y="0"/>
                      </a:cubicBezTo>
                      <a:cubicBezTo>
                        <a:pt x="3164091" y="-49544"/>
                        <a:pt x="3515469" y="25152"/>
                        <a:pt x="3792417" y="0"/>
                      </a:cubicBezTo>
                      <a:cubicBezTo>
                        <a:pt x="4069365" y="-25152"/>
                        <a:pt x="4015156" y="50519"/>
                        <a:pt x="4236192" y="0"/>
                      </a:cubicBezTo>
                      <a:cubicBezTo>
                        <a:pt x="4457229" y="-50519"/>
                        <a:pt x="4834984" y="38957"/>
                        <a:pt x="4991809" y="0"/>
                      </a:cubicBezTo>
                      <a:cubicBezTo>
                        <a:pt x="5148634" y="-38957"/>
                        <a:pt x="5252079" y="37991"/>
                        <a:pt x="5357623" y="0"/>
                      </a:cubicBezTo>
                      <a:cubicBezTo>
                        <a:pt x="5463167" y="-37991"/>
                        <a:pt x="5717255" y="49859"/>
                        <a:pt x="5957319" y="0"/>
                      </a:cubicBezTo>
                      <a:cubicBezTo>
                        <a:pt x="6197383" y="-49859"/>
                        <a:pt x="6280718" y="47558"/>
                        <a:pt x="6557015" y="0"/>
                      </a:cubicBezTo>
                      <a:cubicBezTo>
                        <a:pt x="6833312" y="-47558"/>
                        <a:pt x="6819771" y="10599"/>
                        <a:pt x="7078751" y="0"/>
                      </a:cubicBezTo>
                      <a:cubicBezTo>
                        <a:pt x="7337731" y="-10599"/>
                        <a:pt x="7635936" y="91621"/>
                        <a:pt x="7912328" y="0"/>
                      </a:cubicBezTo>
                      <a:cubicBezTo>
                        <a:pt x="7981732" y="-6436"/>
                        <a:pt x="8026078" y="51083"/>
                        <a:pt x="8028609" y="116281"/>
                      </a:cubicBezTo>
                      <a:cubicBezTo>
                        <a:pt x="8044102" y="245321"/>
                        <a:pt x="8017179" y="555569"/>
                        <a:pt x="8028609" y="685562"/>
                      </a:cubicBezTo>
                      <a:cubicBezTo>
                        <a:pt x="8040039" y="815555"/>
                        <a:pt x="7983309" y="1068720"/>
                        <a:pt x="8028609" y="1357313"/>
                      </a:cubicBezTo>
                      <a:cubicBezTo>
                        <a:pt x="8073909" y="1645906"/>
                        <a:pt x="7964367" y="1740195"/>
                        <a:pt x="8028609" y="1926593"/>
                      </a:cubicBezTo>
                      <a:cubicBezTo>
                        <a:pt x="8092851" y="2112991"/>
                        <a:pt x="8011418" y="2227062"/>
                        <a:pt x="8028609" y="2342168"/>
                      </a:cubicBezTo>
                      <a:cubicBezTo>
                        <a:pt x="8045800" y="2457274"/>
                        <a:pt x="7973516" y="2702346"/>
                        <a:pt x="8028609" y="2808978"/>
                      </a:cubicBezTo>
                      <a:cubicBezTo>
                        <a:pt x="8083702" y="2915610"/>
                        <a:pt x="7995006" y="3180066"/>
                        <a:pt x="8028609" y="3480729"/>
                      </a:cubicBezTo>
                      <a:cubicBezTo>
                        <a:pt x="8062212" y="3781392"/>
                        <a:pt x="7977995" y="3831313"/>
                        <a:pt x="8028609" y="4050010"/>
                      </a:cubicBezTo>
                      <a:cubicBezTo>
                        <a:pt x="8079223" y="4268707"/>
                        <a:pt x="8025476" y="4292680"/>
                        <a:pt x="8028609" y="4516820"/>
                      </a:cubicBezTo>
                      <a:cubicBezTo>
                        <a:pt x="8031742" y="4740960"/>
                        <a:pt x="7955331" y="5043336"/>
                        <a:pt x="8028609" y="5239806"/>
                      </a:cubicBezTo>
                      <a:cubicBezTo>
                        <a:pt x="8020490" y="5303567"/>
                        <a:pt x="7985820" y="5364069"/>
                        <a:pt x="7912328" y="5356087"/>
                      </a:cubicBezTo>
                      <a:cubicBezTo>
                        <a:pt x="7642707" y="5358429"/>
                        <a:pt x="7464088" y="5327718"/>
                        <a:pt x="7312632" y="5356087"/>
                      </a:cubicBezTo>
                      <a:cubicBezTo>
                        <a:pt x="7161176" y="5384456"/>
                        <a:pt x="6964179" y="5316900"/>
                        <a:pt x="6868857" y="5356087"/>
                      </a:cubicBezTo>
                      <a:cubicBezTo>
                        <a:pt x="6773536" y="5395274"/>
                        <a:pt x="6479817" y="5326646"/>
                        <a:pt x="6191201" y="5356087"/>
                      </a:cubicBezTo>
                      <a:cubicBezTo>
                        <a:pt x="5902585" y="5385528"/>
                        <a:pt x="5873894" y="5304545"/>
                        <a:pt x="5747426" y="5356087"/>
                      </a:cubicBezTo>
                      <a:cubicBezTo>
                        <a:pt x="5620958" y="5407629"/>
                        <a:pt x="5353095" y="5353533"/>
                        <a:pt x="5069769" y="5356087"/>
                      </a:cubicBezTo>
                      <a:cubicBezTo>
                        <a:pt x="4786443" y="5358641"/>
                        <a:pt x="4821967" y="5324752"/>
                        <a:pt x="4703955" y="5356087"/>
                      </a:cubicBezTo>
                      <a:cubicBezTo>
                        <a:pt x="4585943" y="5387422"/>
                        <a:pt x="4307330" y="5321835"/>
                        <a:pt x="4026298" y="5356087"/>
                      </a:cubicBezTo>
                      <a:cubicBezTo>
                        <a:pt x="3745266" y="5390339"/>
                        <a:pt x="3772921" y="5329614"/>
                        <a:pt x="3582523" y="5356087"/>
                      </a:cubicBezTo>
                      <a:cubicBezTo>
                        <a:pt x="3392126" y="5382560"/>
                        <a:pt x="3314645" y="5326559"/>
                        <a:pt x="3216709" y="5356087"/>
                      </a:cubicBezTo>
                      <a:cubicBezTo>
                        <a:pt x="3118773" y="5385615"/>
                        <a:pt x="2898354" y="5334410"/>
                        <a:pt x="2772934" y="5356087"/>
                      </a:cubicBezTo>
                      <a:cubicBezTo>
                        <a:pt x="2647515" y="5377764"/>
                        <a:pt x="2355445" y="5315927"/>
                        <a:pt x="2095278" y="5356087"/>
                      </a:cubicBezTo>
                      <a:cubicBezTo>
                        <a:pt x="1835111" y="5396247"/>
                        <a:pt x="1780721" y="5313915"/>
                        <a:pt x="1651503" y="5356087"/>
                      </a:cubicBezTo>
                      <a:cubicBezTo>
                        <a:pt x="1522286" y="5398259"/>
                        <a:pt x="1414336" y="5322912"/>
                        <a:pt x="1285688" y="5356087"/>
                      </a:cubicBezTo>
                      <a:cubicBezTo>
                        <a:pt x="1157041" y="5389262"/>
                        <a:pt x="981428" y="5313526"/>
                        <a:pt x="841913" y="5356087"/>
                      </a:cubicBezTo>
                      <a:cubicBezTo>
                        <a:pt x="702398" y="5398648"/>
                        <a:pt x="304309" y="5326782"/>
                        <a:pt x="116281" y="5356087"/>
                      </a:cubicBezTo>
                      <a:cubicBezTo>
                        <a:pt x="35097" y="5358121"/>
                        <a:pt x="8251" y="5312693"/>
                        <a:pt x="0" y="5239806"/>
                      </a:cubicBezTo>
                      <a:cubicBezTo>
                        <a:pt x="-33115" y="5054366"/>
                        <a:pt x="27037" y="5021324"/>
                        <a:pt x="0" y="4824231"/>
                      </a:cubicBezTo>
                      <a:cubicBezTo>
                        <a:pt x="-27037" y="4627138"/>
                        <a:pt x="11241" y="4446818"/>
                        <a:pt x="0" y="4254951"/>
                      </a:cubicBezTo>
                      <a:cubicBezTo>
                        <a:pt x="-11241" y="4063084"/>
                        <a:pt x="21631" y="3855144"/>
                        <a:pt x="0" y="3583200"/>
                      </a:cubicBezTo>
                      <a:cubicBezTo>
                        <a:pt x="-21631" y="3311256"/>
                        <a:pt x="43776" y="3139173"/>
                        <a:pt x="0" y="2962684"/>
                      </a:cubicBezTo>
                      <a:cubicBezTo>
                        <a:pt x="-43776" y="2786195"/>
                        <a:pt x="31846" y="2696391"/>
                        <a:pt x="0" y="2444638"/>
                      </a:cubicBezTo>
                      <a:cubicBezTo>
                        <a:pt x="-31846" y="2192885"/>
                        <a:pt x="45851" y="1986886"/>
                        <a:pt x="0" y="1824123"/>
                      </a:cubicBezTo>
                      <a:cubicBezTo>
                        <a:pt x="-45851" y="1661361"/>
                        <a:pt x="509" y="1522010"/>
                        <a:pt x="0" y="1357313"/>
                      </a:cubicBezTo>
                      <a:cubicBezTo>
                        <a:pt x="-509" y="1192616"/>
                        <a:pt x="41075" y="1047686"/>
                        <a:pt x="0" y="788032"/>
                      </a:cubicBezTo>
                      <a:cubicBezTo>
                        <a:pt x="-41075" y="528378"/>
                        <a:pt x="35639" y="387502"/>
                        <a:pt x="0" y="11628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22</xdr:row>
      <xdr:rowOff>0</xdr:rowOff>
    </xdr:from>
    <xdr:to>
      <xdr:col>24</xdr:col>
      <xdr:colOff>0</xdr:colOff>
      <xdr:row>48</xdr:row>
      <xdr:rowOff>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F223D756-AAD4-FB48-97D2-9C9072073E29}"/>
            </a:ext>
          </a:extLst>
        </xdr:cNvPr>
        <xdr:cNvSpPr/>
      </xdr:nvSpPr>
      <xdr:spPr>
        <a:xfrm>
          <a:off x="9685130" y="4207565"/>
          <a:ext cx="8028609" cy="5356087"/>
        </a:xfrm>
        <a:prstGeom prst="roundRect">
          <a:avLst>
            <a:gd name="adj" fmla="val 2171"/>
          </a:avLst>
        </a:prstGeom>
        <a:noFill/>
        <a:ln w="12700">
          <a:solidFill>
            <a:schemeClr val="bg2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028609"/>
                    <a:gd name="connsiteY0" fmla="*/ 116281 h 5356087"/>
                    <a:gd name="connsiteX1" fmla="*/ 116281 w 8028609"/>
                    <a:gd name="connsiteY1" fmla="*/ 0 h 5356087"/>
                    <a:gd name="connsiteX2" fmla="*/ 871898 w 8028609"/>
                    <a:gd name="connsiteY2" fmla="*/ 0 h 5356087"/>
                    <a:gd name="connsiteX3" fmla="*/ 1393633 w 8028609"/>
                    <a:gd name="connsiteY3" fmla="*/ 0 h 5356087"/>
                    <a:gd name="connsiteX4" fmla="*/ 1837408 w 8028609"/>
                    <a:gd name="connsiteY4" fmla="*/ 0 h 5356087"/>
                    <a:gd name="connsiteX5" fmla="*/ 2515065 w 8028609"/>
                    <a:gd name="connsiteY5" fmla="*/ 0 h 5356087"/>
                    <a:gd name="connsiteX6" fmla="*/ 3036800 w 8028609"/>
                    <a:gd name="connsiteY6" fmla="*/ 0 h 5356087"/>
                    <a:gd name="connsiteX7" fmla="*/ 3792417 w 8028609"/>
                    <a:gd name="connsiteY7" fmla="*/ 0 h 5356087"/>
                    <a:gd name="connsiteX8" fmla="*/ 4236192 w 8028609"/>
                    <a:gd name="connsiteY8" fmla="*/ 0 h 5356087"/>
                    <a:gd name="connsiteX9" fmla="*/ 4991809 w 8028609"/>
                    <a:gd name="connsiteY9" fmla="*/ 0 h 5356087"/>
                    <a:gd name="connsiteX10" fmla="*/ 5357623 w 8028609"/>
                    <a:gd name="connsiteY10" fmla="*/ 0 h 5356087"/>
                    <a:gd name="connsiteX11" fmla="*/ 5957319 w 8028609"/>
                    <a:gd name="connsiteY11" fmla="*/ 0 h 5356087"/>
                    <a:gd name="connsiteX12" fmla="*/ 6557015 w 8028609"/>
                    <a:gd name="connsiteY12" fmla="*/ 0 h 5356087"/>
                    <a:gd name="connsiteX13" fmla="*/ 7078751 w 8028609"/>
                    <a:gd name="connsiteY13" fmla="*/ 0 h 5356087"/>
                    <a:gd name="connsiteX14" fmla="*/ 7912328 w 8028609"/>
                    <a:gd name="connsiteY14" fmla="*/ 0 h 5356087"/>
                    <a:gd name="connsiteX15" fmla="*/ 8028609 w 8028609"/>
                    <a:gd name="connsiteY15" fmla="*/ 116281 h 5356087"/>
                    <a:gd name="connsiteX16" fmla="*/ 8028609 w 8028609"/>
                    <a:gd name="connsiteY16" fmla="*/ 685562 h 5356087"/>
                    <a:gd name="connsiteX17" fmla="*/ 8028609 w 8028609"/>
                    <a:gd name="connsiteY17" fmla="*/ 1357313 h 5356087"/>
                    <a:gd name="connsiteX18" fmla="*/ 8028609 w 8028609"/>
                    <a:gd name="connsiteY18" fmla="*/ 1926593 h 5356087"/>
                    <a:gd name="connsiteX19" fmla="*/ 8028609 w 8028609"/>
                    <a:gd name="connsiteY19" fmla="*/ 2342168 h 5356087"/>
                    <a:gd name="connsiteX20" fmla="*/ 8028609 w 8028609"/>
                    <a:gd name="connsiteY20" fmla="*/ 2808978 h 5356087"/>
                    <a:gd name="connsiteX21" fmla="*/ 8028609 w 8028609"/>
                    <a:gd name="connsiteY21" fmla="*/ 3480729 h 5356087"/>
                    <a:gd name="connsiteX22" fmla="*/ 8028609 w 8028609"/>
                    <a:gd name="connsiteY22" fmla="*/ 4050010 h 5356087"/>
                    <a:gd name="connsiteX23" fmla="*/ 8028609 w 8028609"/>
                    <a:gd name="connsiteY23" fmla="*/ 4516820 h 5356087"/>
                    <a:gd name="connsiteX24" fmla="*/ 8028609 w 8028609"/>
                    <a:gd name="connsiteY24" fmla="*/ 5239806 h 5356087"/>
                    <a:gd name="connsiteX25" fmla="*/ 7912328 w 8028609"/>
                    <a:gd name="connsiteY25" fmla="*/ 5356087 h 5356087"/>
                    <a:gd name="connsiteX26" fmla="*/ 7312632 w 8028609"/>
                    <a:gd name="connsiteY26" fmla="*/ 5356087 h 5356087"/>
                    <a:gd name="connsiteX27" fmla="*/ 6868857 w 8028609"/>
                    <a:gd name="connsiteY27" fmla="*/ 5356087 h 5356087"/>
                    <a:gd name="connsiteX28" fmla="*/ 6191201 w 8028609"/>
                    <a:gd name="connsiteY28" fmla="*/ 5356087 h 5356087"/>
                    <a:gd name="connsiteX29" fmla="*/ 5747426 w 8028609"/>
                    <a:gd name="connsiteY29" fmla="*/ 5356087 h 5356087"/>
                    <a:gd name="connsiteX30" fmla="*/ 5069769 w 8028609"/>
                    <a:gd name="connsiteY30" fmla="*/ 5356087 h 5356087"/>
                    <a:gd name="connsiteX31" fmla="*/ 4703955 w 8028609"/>
                    <a:gd name="connsiteY31" fmla="*/ 5356087 h 5356087"/>
                    <a:gd name="connsiteX32" fmla="*/ 4026298 w 8028609"/>
                    <a:gd name="connsiteY32" fmla="*/ 5356087 h 5356087"/>
                    <a:gd name="connsiteX33" fmla="*/ 3582523 w 8028609"/>
                    <a:gd name="connsiteY33" fmla="*/ 5356087 h 5356087"/>
                    <a:gd name="connsiteX34" fmla="*/ 3216709 w 8028609"/>
                    <a:gd name="connsiteY34" fmla="*/ 5356087 h 5356087"/>
                    <a:gd name="connsiteX35" fmla="*/ 2772934 w 8028609"/>
                    <a:gd name="connsiteY35" fmla="*/ 5356087 h 5356087"/>
                    <a:gd name="connsiteX36" fmla="*/ 2095278 w 8028609"/>
                    <a:gd name="connsiteY36" fmla="*/ 5356087 h 5356087"/>
                    <a:gd name="connsiteX37" fmla="*/ 1651503 w 8028609"/>
                    <a:gd name="connsiteY37" fmla="*/ 5356087 h 5356087"/>
                    <a:gd name="connsiteX38" fmla="*/ 1285688 w 8028609"/>
                    <a:gd name="connsiteY38" fmla="*/ 5356087 h 5356087"/>
                    <a:gd name="connsiteX39" fmla="*/ 841913 w 8028609"/>
                    <a:gd name="connsiteY39" fmla="*/ 5356087 h 5356087"/>
                    <a:gd name="connsiteX40" fmla="*/ 116281 w 8028609"/>
                    <a:gd name="connsiteY40" fmla="*/ 5356087 h 5356087"/>
                    <a:gd name="connsiteX41" fmla="*/ 0 w 8028609"/>
                    <a:gd name="connsiteY41" fmla="*/ 5239806 h 5356087"/>
                    <a:gd name="connsiteX42" fmla="*/ 0 w 8028609"/>
                    <a:gd name="connsiteY42" fmla="*/ 4824231 h 5356087"/>
                    <a:gd name="connsiteX43" fmla="*/ 0 w 8028609"/>
                    <a:gd name="connsiteY43" fmla="*/ 4254951 h 5356087"/>
                    <a:gd name="connsiteX44" fmla="*/ 0 w 8028609"/>
                    <a:gd name="connsiteY44" fmla="*/ 3583200 h 5356087"/>
                    <a:gd name="connsiteX45" fmla="*/ 0 w 8028609"/>
                    <a:gd name="connsiteY45" fmla="*/ 2962684 h 5356087"/>
                    <a:gd name="connsiteX46" fmla="*/ 0 w 8028609"/>
                    <a:gd name="connsiteY46" fmla="*/ 2444638 h 5356087"/>
                    <a:gd name="connsiteX47" fmla="*/ 0 w 8028609"/>
                    <a:gd name="connsiteY47" fmla="*/ 1824123 h 5356087"/>
                    <a:gd name="connsiteX48" fmla="*/ 0 w 8028609"/>
                    <a:gd name="connsiteY48" fmla="*/ 1357313 h 5356087"/>
                    <a:gd name="connsiteX49" fmla="*/ 0 w 8028609"/>
                    <a:gd name="connsiteY49" fmla="*/ 788032 h 5356087"/>
                    <a:gd name="connsiteX50" fmla="*/ 0 w 8028609"/>
                    <a:gd name="connsiteY50" fmla="*/ 116281 h 53560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</a:cxnLst>
                  <a:rect l="l" t="t" r="r" b="b"/>
                  <a:pathLst>
                    <a:path w="8028609" h="5356087" extrusionOk="0">
                      <a:moveTo>
                        <a:pt x="0" y="116281"/>
                      </a:moveTo>
                      <a:cubicBezTo>
                        <a:pt x="-7224" y="47605"/>
                        <a:pt x="34594" y="6556"/>
                        <a:pt x="116281" y="0"/>
                      </a:cubicBezTo>
                      <a:cubicBezTo>
                        <a:pt x="348921" y="-20743"/>
                        <a:pt x="670023" y="28633"/>
                        <a:pt x="871898" y="0"/>
                      </a:cubicBezTo>
                      <a:cubicBezTo>
                        <a:pt x="1073773" y="-28633"/>
                        <a:pt x="1141852" y="61998"/>
                        <a:pt x="1393633" y="0"/>
                      </a:cubicBezTo>
                      <a:cubicBezTo>
                        <a:pt x="1645415" y="-61998"/>
                        <a:pt x="1654654" y="26207"/>
                        <a:pt x="1837408" y="0"/>
                      </a:cubicBezTo>
                      <a:cubicBezTo>
                        <a:pt x="2020163" y="-26207"/>
                        <a:pt x="2199198" y="35910"/>
                        <a:pt x="2515065" y="0"/>
                      </a:cubicBezTo>
                      <a:cubicBezTo>
                        <a:pt x="2830932" y="-35910"/>
                        <a:pt x="2909509" y="49544"/>
                        <a:pt x="3036800" y="0"/>
                      </a:cubicBezTo>
                      <a:cubicBezTo>
                        <a:pt x="3164091" y="-49544"/>
                        <a:pt x="3515469" y="25152"/>
                        <a:pt x="3792417" y="0"/>
                      </a:cubicBezTo>
                      <a:cubicBezTo>
                        <a:pt x="4069365" y="-25152"/>
                        <a:pt x="4015156" y="50519"/>
                        <a:pt x="4236192" y="0"/>
                      </a:cubicBezTo>
                      <a:cubicBezTo>
                        <a:pt x="4457229" y="-50519"/>
                        <a:pt x="4834984" y="38957"/>
                        <a:pt x="4991809" y="0"/>
                      </a:cubicBezTo>
                      <a:cubicBezTo>
                        <a:pt x="5148634" y="-38957"/>
                        <a:pt x="5252079" y="37991"/>
                        <a:pt x="5357623" y="0"/>
                      </a:cubicBezTo>
                      <a:cubicBezTo>
                        <a:pt x="5463167" y="-37991"/>
                        <a:pt x="5717255" y="49859"/>
                        <a:pt x="5957319" y="0"/>
                      </a:cubicBezTo>
                      <a:cubicBezTo>
                        <a:pt x="6197383" y="-49859"/>
                        <a:pt x="6280718" y="47558"/>
                        <a:pt x="6557015" y="0"/>
                      </a:cubicBezTo>
                      <a:cubicBezTo>
                        <a:pt x="6833312" y="-47558"/>
                        <a:pt x="6819771" y="10599"/>
                        <a:pt x="7078751" y="0"/>
                      </a:cubicBezTo>
                      <a:cubicBezTo>
                        <a:pt x="7337731" y="-10599"/>
                        <a:pt x="7635936" y="91621"/>
                        <a:pt x="7912328" y="0"/>
                      </a:cubicBezTo>
                      <a:cubicBezTo>
                        <a:pt x="7981732" y="-6436"/>
                        <a:pt x="8026078" y="51083"/>
                        <a:pt x="8028609" y="116281"/>
                      </a:cubicBezTo>
                      <a:cubicBezTo>
                        <a:pt x="8044102" y="245321"/>
                        <a:pt x="8017179" y="555569"/>
                        <a:pt x="8028609" y="685562"/>
                      </a:cubicBezTo>
                      <a:cubicBezTo>
                        <a:pt x="8040039" y="815555"/>
                        <a:pt x="7983309" y="1068720"/>
                        <a:pt x="8028609" y="1357313"/>
                      </a:cubicBezTo>
                      <a:cubicBezTo>
                        <a:pt x="8073909" y="1645906"/>
                        <a:pt x="7964367" y="1740195"/>
                        <a:pt x="8028609" y="1926593"/>
                      </a:cubicBezTo>
                      <a:cubicBezTo>
                        <a:pt x="8092851" y="2112991"/>
                        <a:pt x="8011418" y="2227062"/>
                        <a:pt x="8028609" y="2342168"/>
                      </a:cubicBezTo>
                      <a:cubicBezTo>
                        <a:pt x="8045800" y="2457274"/>
                        <a:pt x="7973516" y="2702346"/>
                        <a:pt x="8028609" y="2808978"/>
                      </a:cubicBezTo>
                      <a:cubicBezTo>
                        <a:pt x="8083702" y="2915610"/>
                        <a:pt x="7995006" y="3180066"/>
                        <a:pt x="8028609" y="3480729"/>
                      </a:cubicBezTo>
                      <a:cubicBezTo>
                        <a:pt x="8062212" y="3781392"/>
                        <a:pt x="7977995" y="3831313"/>
                        <a:pt x="8028609" y="4050010"/>
                      </a:cubicBezTo>
                      <a:cubicBezTo>
                        <a:pt x="8079223" y="4268707"/>
                        <a:pt x="8025476" y="4292680"/>
                        <a:pt x="8028609" y="4516820"/>
                      </a:cubicBezTo>
                      <a:cubicBezTo>
                        <a:pt x="8031742" y="4740960"/>
                        <a:pt x="7955331" y="5043336"/>
                        <a:pt x="8028609" y="5239806"/>
                      </a:cubicBezTo>
                      <a:cubicBezTo>
                        <a:pt x="8020490" y="5303567"/>
                        <a:pt x="7985820" y="5364069"/>
                        <a:pt x="7912328" y="5356087"/>
                      </a:cubicBezTo>
                      <a:cubicBezTo>
                        <a:pt x="7642707" y="5358429"/>
                        <a:pt x="7464088" y="5327718"/>
                        <a:pt x="7312632" y="5356087"/>
                      </a:cubicBezTo>
                      <a:cubicBezTo>
                        <a:pt x="7161176" y="5384456"/>
                        <a:pt x="6964179" y="5316900"/>
                        <a:pt x="6868857" y="5356087"/>
                      </a:cubicBezTo>
                      <a:cubicBezTo>
                        <a:pt x="6773536" y="5395274"/>
                        <a:pt x="6479817" y="5326646"/>
                        <a:pt x="6191201" y="5356087"/>
                      </a:cubicBezTo>
                      <a:cubicBezTo>
                        <a:pt x="5902585" y="5385528"/>
                        <a:pt x="5873894" y="5304545"/>
                        <a:pt x="5747426" y="5356087"/>
                      </a:cubicBezTo>
                      <a:cubicBezTo>
                        <a:pt x="5620958" y="5407629"/>
                        <a:pt x="5353095" y="5353533"/>
                        <a:pt x="5069769" y="5356087"/>
                      </a:cubicBezTo>
                      <a:cubicBezTo>
                        <a:pt x="4786443" y="5358641"/>
                        <a:pt x="4821967" y="5324752"/>
                        <a:pt x="4703955" y="5356087"/>
                      </a:cubicBezTo>
                      <a:cubicBezTo>
                        <a:pt x="4585943" y="5387422"/>
                        <a:pt x="4307330" y="5321835"/>
                        <a:pt x="4026298" y="5356087"/>
                      </a:cubicBezTo>
                      <a:cubicBezTo>
                        <a:pt x="3745266" y="5390339"/>
                        <a:pt x="3772921" y="5329614"/>
                        <a:pt x="3582523" y="5356087"/>
                      </a:cubicBezTo>
                      <a:cubicBezTo>
                        <a:pt x="3392126" y="5382560"/>
                        <a:pt x="3314645" y="5326559"/>
                        <a:pt x="3216709" y="5356087"/>
                      </a:cubicBezTo>
                      <a:cubicBezTo>
                        <a:pt x="3118773" y="5385615"/>
                        <a:pt x="2898354" y="5334410"/>
                        <a:pt x="2772934" y="5356087"/>
                      </a:cubicBezTo>
                      <a:cubicBezTo>
                        <a:pt x="2647515" y="5377764"/>
                        <a:pt x="2355445" y="5315927"/>
                        <a:pt x="2095278" y="5356087"/>
                      </a:cubicBezTo>
                      <a:cubicBezTo>
                        <a:pt x="1835111" y="5396247"/>
                        <a:pt x="1780721" y="5313915"/>
                        <a:pt x="1651503" y="5356087"/>
                      </a:cubicBezTo>
                      <a:cubicBezTo>
                        <a:pt x="1522286" y="5398259"/>
                        <a:pt x="1414336" y="5322912"/>
                        <a:pt x="1285688" y="5356087"/>
                      </a:cubicBezTo>
                      <a:cubicBezTo>
                        <a:pt x="1157041" y="5389262"/>
                        <a:pt x="981428" y="5313526"/>
                        <a:pt x="841913" y="5356087"/>
                      </a:cubicBezTo>
                      <a:cubicBezTo>
                        <a:pt x="702398" y="5398648"/>
                        <a:pt x="304309" y="5326782"/>
                        <a:pt x="116281" y="5356087"/>
                      </a:cubicBezTo>
                      <a:cubicBezTo>
                        <a:pt x="35097" y="5358121"/>
                        <a:pt x="8251" y="5312693"/>
                        <a:pt x="0" y="5239806"/>
                      </a:cubicBezTo>
                      <a:cubicBezTo>
                        <a:pt x="-33115" y="5054366"/>
                        <a:pt x="27037" y="5021324"/>
                        <a:pt x="0" y="4824231"/>
                      </a:cubicBezTo>
                      <a:cubicBezTo>
                        <a:pt x="-27037" y="4627138"/>
                        <a:pt x="11241" y="4446818"/>
                        <a:pt x="0" y="4254951"/>
                      </a:cubicBezTo>
                      <a:cubicBezTo>
                        <a:pt x="-11241" y="4063084"/>
                        <a:pt x="21631" y="3855144"/>
                        <a:pt x="0" y="3583200"/>
                      </a:cubicBezTo>
                      <a:cubicBezTo>
                        <a:pt x="-21631" y="3311256"/>
                        <a:pt x="43776" y="3139173"/>
                        <a:pt x="0" y="2962684"/>
                      </a:cubicBezTo>
                      <a:cubicBezTo>
                        <a:pt x="-43776" y="2786195"/>
                        <a:pt x="31846" y="2696391"/>
                        <a:pt x="0" y="2444638"/>
                      </a:cubicBezTo>
                      <a:cubicBezTo>
                        <a:pt x="-31846" y="2192885"/>
                        <a:pt x="45851" y="1986886"/>
                        <a:pt x="0" y="1824123"/>
                      </a:cubicBezTo>
                      <a:cubicBezTo>
                        <a:pt x="-45851" y="1661361"/>
                        <a:pt x="509" y="1522010"/>
                        <a:pt x="0" y="1357313"/>
                      </a:cubicBezTo>
                      <a:cubicBezTo>
                        <a:pt x="-509" y="1192616"/>
                        <a:pt x="41075" y="1047686"/>
                        <a:pt x="0" y="788032"/>
                      </a:cubicBezTo>
                      <a:cubicBezTo>
                        <a:pt x="-41075" y="528378"/>
                        <a:pt x="35639" y="387502"/>
                        <a:pt x="0" y="11628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24</xdr:col>
      <xdr:colOff>0</xdr:colOff>
      <xdr:row>21</xdr:row>
      <xdr:rowOff>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6DCD97CB-33E2-4F4F-8265-86AC73E1BC52}"/>
            </a:ext>
          </a:extLst>
        </xdr:cNvPr>
        <xdr:cNvSpPr/>
      </xdr:nvSpPr>
      <xdr:spPr>
        <a:xfrm>
          <a:off x="9378462" y="207596"/>
          <a:ext cx="8059615" cy="4506058"/>
        </a:xfrm>
        <a:prstGeom prst="roundRect">
          <a:avLst>
            <a:gd name="adj" fmla="val 2171"/>
          </a:avLst>
        </a:prstGeom>
        <a:noFill/>
        <a:ln w="12700">
          <a:solidFill>
            <a:schemeClr val="bg2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028609"/>
                    <a:gd name="connsiteY0" fmla="*/ 116281 h 5356087"/>
                    <a:gd name="connsiteX1" fmla="*/ 116281 w 8028609"/>
                    <a:gd name="connsiteY1" fmla="*/ 0 h 5356087"/>
                    <a:gd name="connsiteX2" fmla="*/ 871898 w 8028609"/>
                    <a:gd name="connsiteY2" fmla="*/ 0 h 5356087"/>
                    <a:gd name="connsiteX3" fmla="*/ 1393633 w 8028609"/>
                    <a:gd name="connsiteY3" fmla="*/ 0 h 5356087"/>
                    <a:gd name="connsiteX4" fmla="*/ 1837408 w 8028609"/>
                    <a:gd name="connsiteY4" fmla="*/ 0 h 5356087"/>
                    <a:gd name="connsiteX5" fmla="*/ 2515065 w 8028609"/>
                    <a:gd name="connsiteY5" fmla="*/ 0 h 5356087"/>
                    <a:gd name="connsiteX6" fmla="*/ 3036800 w 8028609"/>
                    <a:gd name="connsiteY6" fmla="*/ 0 h 5356087"/>
                    <a:gd name="connsiteX7" fmla="*/ 3792417 w 8028609"/>
                    <a:gd name="connsiteY7" fmla="*/ 0 h 5356087"/>
                    <a:gd name="connsiteX8" fmla="*/ 4236192 w 8028609"/>
                    <a:gd name="connsiteY8" fmla="*/ 0 h 5356087"/>
                    <a:gd name="connsiteX9" fmla="*/ 4991809 w 8028609"/>
                    <a:gd name="connsiteY9" fmla="*/ 0 h 5356087"/>
                    <a:gd name="connsiteX10" fmla="*/ 5357623 w 8028609"/>
                    <a:gd name="connsiteY10" fmla="*/ 0 h 5356087"/>
                    <a:gd name="connsiteX11" fmla="*/ 5957319 w 8028609"/>
                    <a:gd name="connsiteY11" fmla="*/ 0 h 5356087"/>
                    <a:gd name="connsiteX12" fmla="*/ 6557015 w 8028609"/>
                    <a:gd name="connsiteY12" fmla="*/ 0 h 5356087"/>
                    <a:gd name="connsiteX13" fmla="*/ 7078751 w 8028609"/>
                    <a:gd name="connsiteY13" fmla="*/ 0 h 5356087"/>
                    <a:gd name="connsiteX14" fmla="*/ 7912328 w 8028609"/>
                    <a:gd name="connsiteY14" fmla="*/ 0 h 5356087"/>
                    <a:gd name="connsiteX15" fmla="*/ 8028609 w 8028609"/>
                    <a:gd name="connsiteY15" fmla="*/ 116281 h 5356087"/>
                    <a:gd name="connsiteX16" fmla="*/ 8028609 w 8028609"/>
                    <a:gd name="connsiteY16" fmla="*/ 685562 h 5356087"/>
                    <a:gd name="connsiteX17" fmla="*/ 8028609 w 8028609"/>
                    <a:gd name="connsiteY17" fmla="*/ 1357313 h 5356087"/>
                    <a:gd name="connsiteX18" fmla="*/ 8028609 w 8028609"/>
                    <a:gd name="connsiteY18" fmla="*/ 1926593 h 5356087"/>
                    <a:gd name="connsiteX19" fmla="*/ 8028609 w 8028609"/>
                    <a:gd name="connsiteY19" fmla="*/ 2342168 h 5356087"/>
                    <a:gd name="connsiteX20" fmla="*/ 8028609 w 8028609"/>
                    <a:gd name="connsiteY20" fmla="*/ 2808978 h 5356087"/>
                    <a:gd name="connsiteX21" fmla="*/ 8028609 w 8028609"/>
                    <a:gd name="connsiteY21" fmla="*/ 3480729 h 5356087"/>
                    <a:gd name="connsiteX22" fmla="*/ 8028609 w 8028609"/>
                    <a:gd name="connsiteY22" fmla="*/ 4050010 h 5356087"/>
                    <a:gd name="connsiteX23" fmla="*/ 8028609 w 8028609"/>
                    <a:gd name="connsiteY23" fmla="*/ 4516820 h 5356087"/>
                    <a:gd name="connsiteX24" fmla="*/ 8028609 w 8028609"/>
                    <a:gd name="connsiteY24" fmla="*/ 5239806 h 5356087"/>
                    <a:gd name="connsiteX25" fmla="*/ 7912328 w 8028609"/>
                    <a:gd name="connsiteY25" fmla="*/ 5356087 h 5356087"/>
                    <a:gd name="connsiteX26" fmla="*/ 7312632 w 8028609"/>
                    <a:gd name="connsiteY26" fmla="*/ 5356087 h 5356087"/>
                    <a:gd name="connsiteX27" fmla="*/ 6868857 w 8028609"/>
                    <a:gd name="connsiteY27" fmla="*/ 5356087 h 5356087"/>
                    <a:gd name="connsiteX28" fmla="*/ 6191201 w 8028609"/>
                    <a:gd name="connsiteY28" fmla="*/ 5356087 h 5356087"/>
                    <a:gd name="connsiteX29" fmla="*/ 5747426 w 8028609"/>
                    <a:gd name="connsiteY29" fmla="*/ 5356087 h 5356087"/>
                    <a:gd name="connsiteX30" fmla="*/ 5069769 w 8028609"/>
                    <a:gd name="connsiteY30" fmla="*/ 5356087 h 5356087"/>
                    <a:gd name="connsiteX31" fmla="*/ 4703955 w 8028609"/>
                    <a:gd name="connsiteY31" fmla="*/ 5356087 h 5356087"/>
                    <a:gd name="connsiteX32" fmla="*/ 4026298 w 8028609"/>
                    <a:gd name="connsiteY32" fmla="*/ 5356087 h 5356087"/>
                    <a:gd name="connsiteX33" fmla="*/ 3582523 w 8028609"/>
                    <a:gd name="connsiteY33" fmla="*/ 5356087 h 5356087"/>
                    <a:gd name="connsiteX34" fmla="*/ 3216709 w 8028609"/>
                    <a:gd name="connsiteY34" fmla="*/ 5356087 h 5356087"/>
                    <a:gd name="connsiteX35" fmla="*/ 2772934 w 8028609"/>
                    <a:gd name="connsiteY35" fmla="*/ 5356087 h 5356087"/>
                    <a:gd name="connsiteX36" fmla="*/ 2095278 w 8028609"/>
                    <a:gd name="connsiteY36" fmla="*/ 5356087 h 5356087"/>
                    <a:gd name="connsiteX37" fmla="*/ 1651503 w 8028609"/>
                    <a:gd name="connsiteY37" fmla="*/ 5356087 h 5356087"/>
                    <a:gd name="connsiteX38" fmla="*/ 1285688 w 8028609"/>
                    <a:gd name="connsiteY38" fmla="*/ 5356087 h 5356087"/>
                    <a:gd name="connsiteX39" fmla="*/ 841913 w 8028609"/>
                    <a:gd name="connsiteY39" fmla="*/ 5356087 h 5356087"/>
                    <a:gd name="connsiteX40" fmla="*/ 116281 w 8028609"/>
                    <a:gd name="connsiteY40" fmla="*/ 5356087 h 5356087"/>
                    <a:gd name="connsiteX41" fmla="*/ 0 w 8028609"/>
                    <a:gd name="connsiteY41" fmla="*/ 5239806 h 5356087"/>
                    <a:gd name="connsiteX42" fmla="*/ 0 w 8028609"/>
                    <a:gd name="connsiteY42" fmla="*/ 4824231 h 5356087"/>
                    <a:gd name="connsiteX43" fmla="*/ 0 w 8028609"/>
                    <a:gd name="connsiteY43" fmla="*/ 4254951 h 5356087"/>
                    <a:gd name="connsiteX44" fmla="*/ 0 w 8028609"/>
                    <a:gd name="connsiteY44" fmla="*/ 3583200 h 5356087"/>
                    <a:gd name="connsiteX45" fmla="*/ 0 w 8028609"/>
                    <a:gd name="connsiteY45" fmla="*/ 2962684 h 5356087"/>
                    <a:gd name="connsiteX46" fmla="*/ 0 w 8028609"/>
                    <a:gd name="connsiteY46" fmla="*/ 2444638 h 5356087"/>
                    <a:gd name="connsiteX47" fmla="*/ 0 w 8028609"/>
                    <a:gd name="connsiteY47" fmla="*/ 1824123 h 5356087"/>
                    <a:gd name="connsiteX48" fmla="*/ 0 w 8028609"/>
                    <a:gd name="connsiteY48" fmla="*/ 1357313 h 5356087"/>
                    <a:gd name="connsiteX49" fmla="*/ 0 w 8028609"/>
                    <a:gd name="connsiteY49" fmla="*/ 788032 h 5356087"/>
                    <a:gd name="connsiteX50" fmla="*/ 0 w 8028609"/>
                    <a:gd name="connsiteY50" fmla="*/ 116281 h 53560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</a:cxnLst>
                  <a:rect l="l" t="t" r="r" b="b"/>
                  <a:pathLst>
                    <a:path w="8028609" h="5356087" extrusionOk="0">
                      <a:moveTo>
                        <a:pt x="0" y="116281"/>
                      </a:moveTo>
                      <a:cubicBezTo>
                        <a:pt x="-7224" y="47605"/>
                        <a:pt x="34594" y="6556"/>
                        <a:pt x="116281" y="0"/>
                      </a:cubicBezTo>
                      <a:cubicBezTo>
                        <a:pt x="348921" y="-20743"/>
                        <a:pt x="670023" y="28633"/>
                        <a:pt x="871898" y="0"/>
                      </a:cubicBezTo>
                      <a:cubicBezTo>
                        <a:pt x="1073773" y="-28633"/>
                        <a:pt x="1141852" y="61998"/>
                        <a:pt x="1393633" y="0"/>
                      </a:cubicBezTo>
                      <a:cubicBezTo>
                        <a:pt x="1645415" y="-61998"/>
                        <a:pt x="1654654" y="26207"/>
                        <a:pt x="1837408" y="0"/>
                      </a:cubicBezTo>
                      <a:cubicBezTo>
                        <a:pt x="2020163" y="-26207"/>
                        <a:pt x="2199198" y="35910"/>
                        <a:pt x="2515065" y="0"/>
                      </a:cubicBezTo>
                      <a:cubicBezTo>
                        <a:pt x="2830932" y="-35910"/>
                        <a:pt x="2909509" y="49544"/>
                        <a:pt x="3036800" y="0"/>
                      </a:cubicBezTo>
                      <a:cubicBezTo>
                        <a:pt x="3164091" y="-49544"/>
                        <a:pt x="3515469" y="25152"/>
                        <a:pt x="3792417" y="0"/>
                      </a:cubicBezTo>
                      <a:cubicBezTo>
                        <a:pt x="4069365" y="-25152"/>
                        <a:pt x="4015156" y="50519"/>
                        <a:pt x="4236192" y="0"/>
                      </a:cubicBezTo>
                      <a:cubicBezTo>
                        <a:pt x="4457229" y="-50519"/>
                        <a:pt x="4834984" y="38957"/>
                        <a:pt x="4991809" y="0"/>
                      </a:cubicBezTo>
                      <a:cubicBezTo>
                        <a:pt x="5148634" y="-38957"/>
                        <a:pt x="5252079" y="37991"/>
                        <a:pt x="5357623" y="0"/>
                      </a:cubicBezTo>
                      <a:cubicBezTo>
                        <a:pt x="5463167" y="-37991"/>
                        <a:pt x="5717255" y="49859"/>
                        <a:pt x="5957319" y="0"/>
                      </a:cubicBezTo>
                      <a:cubicBezTo>
                        <a:pt x="6197383" y="-49859"/>
                        <a:pt x="6280718" y="47558"/>
                        <a:pt x="6557015" y="0"/>
                      </a:cubicBezTo>
                      <a:cubicBezTo>
                        <a:pt x="6833312" y="-47558"/>
                        <a:pt x="6819771" y="10599"/>
                        <a:pt x="7078751" y="0"/>
                      </a:cubicBezTo>
                      <a:cubicBezTo>
                        <a:pt x="7337731" y="-10599"/>
                        <a:pt x="7635936" y="91621"/>
                        <a:pt x="7912328" y="0"/>
                      </a:cubicBezTo>
                      <a:cubicBezTo>
                        <a:pt x="7981732" y="-6436"/>
                        <a:pt x="8026078" y="51083"/>
                        <a:pt x="8028609" y="116281"/>
                      </a:cubicBezTo>
                      <a:cubicBezTo>
                        <a:pt x="8044102" y="245321"/>
                        <a:pt x="8017179" y="555569"/>
                        <a:pt x="8028609" y="685562"/>
                      </a:cubicBezTo>
                      <a:cubicBezTo>
                        <a:pt x="8040039" y="815555"/>
                        <a:pt x="7983309" y="1068720"/>
                        <a:pt x="8028609" y="1357313"/>
                      </a:cubicBezTo>
                      <a:cubicBezTo>
                        <a:pt x="8073909" y="1645906"/>
                        <a:pt x="7964367" y="1740195"/>
                        <a:pt x="8028609" y="1926593"/>
                      </a:cubicBezTo>
                      <a:cubicBezTo>
                        <a:pt x="8092851" y="2112991"/>
                        <a:pt x="8011418" y="2227062"/>
                        <a:pt x="8028609" y="2342168"/>
                      </a:cubicBezTo>
                      <a:cubicBezTo>
                        <a:pt x="8045800" y="2457274"/>
                        <a:pt x="7973516" y="2702346"/>
                        <a:pt x="8028609" y="2808978"/>
                      </a:cubicBezTo>
                      <a:cubicBezTo>
                        <a:pt x="8083702" y="2915610"/>
                        <a:pt x="7995006" y="3180066"/>
                        <a:pt x="8028609" y="3480729"/>
                      </a:cubicBezTo>
                      <a:cubicBezTo>
                        <a:pt x="8062212" y="3781392"/>
                        <a:pt x="7977995" y="3831313"/>
                        <a:pt x="8028609" y="4050010"/>
                      </a:cubicBezTo>
                      <a:cubicBezTo>
                        <a:pt x="8079223" y="4268707"/>
                        <a:pt x="8025476" y="4292680"/>
                        <a:pt x="8028609" y="4516820"/>
                      </a:cubicBezTo>
                      <a:cubicBezTo>
                        <a:pt x="8031742" y="4740960"/>
                        <a:pt x="7955331" y="5043336"/>
                        <a:pt x="8028609" y="5239806"/>
                      </a:cubicBezTo>
                      <a:cubicBezTo>
                        <a:pt x="8020490" y="5303567"/>
                        <a:pt x="7985820" y="5364069"/>
                        <a:pt x="7912328" y="5356087"/>
                      </a:cubicBezTo>
                      <a:cubicBezTo>
                        <a:pt x="7642707" y="5358429"/>
                        <a:pt x="7464088" y="5327718"/>
                        <a:pt x="7312632" y="5356087"/>
                      </a:cubicBezTo>
                      <a:cubicBezTo>
                        <a:pt x="7161176" y="5384456"/>
                        <a:pt x="6964179" y="5316900"/>
                        <a:pt x="6868857" y="5356087"/>
                      </a:cubicBezTo>
                      <a:cubicBezTo>
                        <a:pt x="6773536" y="5395274"/>
                        <a:pt x="6479817" y="5326646"/>
                        <a:pt x="6191201" y="5356087"/>
                      </a:cubicBezTo>
                      <a:cubicBezTo>
                        <a:pt x="5902585" y="5385528"/>
                        <a:pt x="5873894" y="5304545"/>
                        <a:pt x="5747426" y="5356087"/>
                      </a:cubicBezTo>
                      <a:cubicBezTo>
                        <a:pt x="5620958" y="5407629"/>
                        <a:pt x="5353095" y="5353533"/>
                        <a:pt x="5069769" y="5356087"/>
                      </a:cubicBezTo>
                      <a:cubicBezTo>
                        <a:pt x="4786443" y="5358641"/>
                        <a:pt x="4821967" y="5324752"/>
                        <a:pt x="4703955" y="5356087"/>
                      </a:cubicBezTo>
                      <a:cubicBezTo>
                        <a:pt x="4585943" y="5387422"/>
                        <a:pt x="4307330" y="5321835"/>
                        <a:pt x="4026298" y="5356087"/>
                      </a:cubicBezTo>
                      <a:cubicBezTo>
                        <a:pt x="3745266" y="5390339"/>
                        <a:pt x="3772921" y="5329614"/>
                        <a:pt x="3582523" y="5356087"/>
                      </a:cubicBezTo>
                      <a:cubicBezTo>
                        <a:pt x="3392126" y="5382560"/>
                        <a:pt x="3314645" y="5326559"/>
                        <a:pt x="3216709" y="5356087"/>
                      </a:cubicBezTo>
                      <a:cubicBezTo>
                        <a:pt x="3118773" y="5385615"/>
                        <a:pt x="2898354" y="5334410"/>
                        <a:pt x="2772934" y="5356087"/>
                      </a:cubicBezTo>
                      <a:cubicBezTo>
                        <a:pt x="2647515" y="5377764"/>
                        <a:pt x="2355445" y="5315927"/>
                        <a:pt x="2095278" y="5356087"/>
                      </a:cubicBezTo>
                      <a:cubicBezTo>
                        <a:pt x="1835111" y="5396247"/>
                        <a:pt x="1780721" y="5313915"/>
                        <a:pt x="1651503" y="5356087"/>
                      </a:cubicBezTo>
                      <a:cubicBezTo>
                        <a:pt x="1522286" y="5398259"/>
                        <a:pt x="1414336" y="5322912"/>
                        <a:pt x="1285688" y="5356087"/>
                      </a:cubicBezTo>
                      <a:cubicBezTo>
                        <a:pt x="1157041" y="5389262"/>
                        <a:pt x="981428" y="5313526"/>
                        <a:pt x="841913" y="5356087"/>
                      </a:cubicBezTo>
                      <a:cubicBezTo>
                        <a:pt x="702398" y="5398648"/>
                        <a:pt x="304309" y="5326782"/>
                        <a:pt x="116281" y="5356087"/>
                      </a:cubicBezTo>
                      <a:cubicBezTo>
                        <a:pt x="35097" y="5358121"/>
                        <a:pt x="8251" y="5312693"/>
                        <a:pt x="0" y="5239806"/>
                      </a:cubicBezTo>
                      <a:cubicBezTo>
                        <a:pt x="-33115" y="5054366"/>
                        <a:pt x="27037" y="5021324"/>
                        <a:pt x="0" y="4824231"/>
                      </a:cubicBezTo>
                      <a:cubicBezTo>
                        <a:pt x="-27037" y="4627138"/>
                        <a:pt x="11241" y="4446818"/>
                        <a:pt x="0" y="4254951"/>
                      </a:cubicBezTo>
                      <a:cubicBezTo>
                        <a:pt x="-11241" y="4063084"/>
                        <a:pt x="21631" y="3855144"/>
                        <a:pt x="0" y="3583200"/>
                      </a:cubicBezTo>
                      <a:cubicBezTo>
                        <a:pt x="-21631" y="3311256"/>
                        <a:pt x="43776" y="3139173"/>
                        <a:pt x="0" y="2962684"/>
                      </a:cubicBezTo>
                      <a:cubicBezTo>
                        <a:pt x="-43776" y="2786195"/>
                        <a:pt x="31846" y="2696391"/>
                        <a:pt x="0" y="2444638"/>
                      </a:cubicBezTo>
                      <a:cubicBezTo>
                        <a:pt x="-31846" y="2192885"/>
                        <a:pt x="45851" y="1986886"/>
                        <a:pt x="0" y="1824123"/>
                      </a:cubicBezTo>
                      <a:cubicBezTo>
                        <a:pt x="-45851" y="1661361"/>
                        <a:pt x="509" y="1522010"/>
                        <a:pt x="0" y="1357313"/>
                      </a:cubicBezTo>
                      <a:cubicBezTo>
                        <a:pt x="-509" y="1192616"/>
                        <a:pt x="41075" y="1047686"/>
                        <a:pt x="0" y="788032"/>
                      </a:cubicBezTo>
                      <a:cubicBezTo>
                        <a:pt x="-41075" y="528378"/>
                        <a:pt x="35639" y="387502"/>
                        <a:pt x="0" y="11628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 Berg" refreshedDate="45703.928156712966" createdVersion="8" refreshedVersion="8" minRefreshableVersion="3" recordCount="500" xr:uid="{DB9A0C32-7E36-4741-8AC9-667E4E6A4B74}">
  <cacheSource type="worksheet">
    <worksheetSource name="TblPolicyLevelAggregate"/>
  </cacheSource>
  <cacheFields count="3">
    <cacheField name="PolicyID" numFmtId="0">
      <sharedItems containsSemiMixedTypes="0" containsString="0" containsNumber="1" containsInteger="1" minValue="1" maxValue="500"/>
    </cacheField>
    <cacheField name="ClaimCount" numFmtId="0">
      <sharedItems containsSemiMixedTypes="0" containsString="0" containsNumber="1" containsInteger="1" minValue="0" maxValue="20" count="20">
        <n v="2"/>
        <n v="1"/>
        <n v="0"/>
        <n v="3" u="1"/>
        <n v="4" u="1"/>
        <n v="5" u="1"/>
        <n v="6" u="1"/>
        <n v="8" u="1"/>
        <n v="7" u="1"/>
        <n v="9" u="1"/>
        <n v="14" u="1"/>
        <n v="10" u="1"/>
        <n v="15" u="1"/>
        <n v="11" u="1"/>
        <n v="13" u="1"/>
        <n v="12" u="1"/>
        <n v="16" u="1"/>
        <n v="17" u="1"/>
        <n v="18" u="1"/>
        <n v="20" u="1"/>
      </sharedItems>
    </cacheField>
    <cacheField name="TotalClaimAmount" numFmtId="0">
      <sharedItems containsSemiMixedTypes="0" containsString="0" containsNumber="1" minValue="0" maxValue="1693380.86624736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"/>
    <x v="0"/>
    <n v="11220.14145499643"/>
  </r>
  <r>
    <n v="2"/>
    <x v="1"/>
    <n v="1000000"/>
  </r>
  <r>
    <n v="3"/>
    <x v="1"/>
    <n v="342.15509677356499"/>
  </r>
  <r>
    <n v="6"/>
    <x v="0"/>
    <n v="161794.89700973881"/>
  </r>
  <r>
    <n v="7"/>
    <x v="1"/>
    <n v="4613.0662606143196"/>
  </r>
  <r>
    <n v="9"/>
    <x v="1"/>
    <n v="88860.700462814202"/>
  </r>
  <r>
    <n v="10"/>
    <x v="1"/>
    <n v="1000000"/>
  </r>
  <r>
    <n v="12"/>
    <x v="1"/>
    <n v="95534.331363986101"/>
  </r>
  <r>
    <n v="13"/>
    <x v="1"/>
    <n v="113.342908634775"/>
  </r>
  <r>
    <n v="14"/>
    <x v="1"/>
    <n v="382172.22502550803"/>
  </r>
  <r>
    <n v="15"/>
    <x v="0"/>
    <n v="673278.82999947295"/>
  </r>
  <r>
    <n v="17"/>
    <x v="0"/>
    <n v="282128.32526222407"/>
  </r>
  <r>
    <n v="18"/>
    <x v="0"/>
    <n v="107125.71150994669"/>
  </r>
  <r>
    <n v="19"/>
    <x v="1"/>
    <n v="148.05364987654499"/>
  </r>
  <r>
    <n v="22"/>
    <x v="1"/>
    <n v="1784.1496272916199"/>
  </r>
  <r>
    <n v="23"/>
    <x v="1"/>
    <n v="9927.3129791768097"/>
  </r>
  <r>
    <n v="25"/>
    <x v="1"/>
    <n v="808655.00215279695"/>
  </r>
  <r>
    <n v="26"/>
    <x v="1"/>
    <n v="12343.424183848099"/>
  </r>
  <r>
    <n v="27"/>
    <x v="1"/>
    <n v="36468.208194553001"/>
  </r>
  <r>
    <n v="28"/>
    <x v="1"/>
    <n v="316593.20196569001"/>
  </r>
  <r>
    <n v="29"/>
    <x v="0"/>
    <n v="687947.65076245938"/>
  </r>
  <r>
    <n v="30"/>
    <x v="0"/>
    <n v="1026905.9468269371"/>
  </r>
  <r>
    <n v="33"/>
    <x v="1"/>
    <n v="6260.8527275712104"/>
  </r>
  <r>
    <n v="35"/>
    <x v="0"/>
    <n v="4879.6421323860795"/>
  </r>
  <r>
    <n v="36"/>
    <x v="1"/>
    <n v="936.79095964284602"/>
  </r>
  <r>
    <n v="37"/>
    <x v="1"/>
    <n v="8412.7884125947603"/>
  </r>
  <r>
    <n v="38"/>
    <x v="0"/>
    <n v="41655.891140498752"/>
  </r>
  <r>
    <n v="39"/>
    <x v="1"/>
    <n v="1000000"/>
  </r>
  <r>
    <n v="40"/>
    <x v="0"/>
    <n v="615488.98728472774"/>
  </r>
  <r>
    <n v="41"/>
    <x v="0"/>
    <n v="501238.57260445924"/>
  </r>
  <r>
    <n v="42"/>
    <x v="1"/>
    <n v="138012.30585419599"/>
  </r>
  <r>
    <n v="43"/>
    <x v="1"/>
    <n v="1000000"/>
  </r>
  <r>
    <n v="44"/>
    <x v="1"/>
    <n v="44904.388908539302"/>
  </r>
  <r>
    <n v="45"/>
    <x v="0"/>
    <n v="160322.00253257542"/>
  </r>
  <r>
    <n v="46"/>
    <x v="0"/>
    <n v="189663.85405598959"/>
  </r>
  <r>
    <n v="47"/>
    <x v="0"/>
    <n v="7152.6958127417893"/>
  </r>
  <r>
    <n v="48"/>
    <x v="1"/>
    <n v="118628.37936247099"/>
  </r>
  <r>
    <n v="49"/>
    <x v="0"/>
    <n v="1068334.0815614187"/>
  </r>
  <r>
    <n v="51"/>
    <x v="0"/>
    <n v="46623.820415199545"/>
  </r>
  <r>
    <n v="52"/>
    <x v="1"/>
    <n v="391216.39796919702"/>
  </r>
  <r>
    <n v="54"/>
    <x v="0"/>
    <n v="44903.189027943197"/>
  </r>
  <r>
    <n v="55"/>
    <x v="1"/>
    <n v="29672.702139634199"/>
  </r>
  <r>
    <n v="56"/>
    <x v="0"/>
    <n v="41756.015468591861"/>
  </r>
  <r>
    <n v="57"/>
    <x v="0"/>
    <n v="584773.22864675405"/>
  </r>
  <r>
    <n v="58"/>
    <x v="1"/>
    <n v="75681.555854622697"/>
  </r>
  <r>
    <n v="60"/>
    <x v="1"/>
    <n v="9123.5090437650797"/>
  </r>
  <r>
    <n v="61"/>
    <x v="1"/>
    <n v="1000000"/>
  </r>
  <r>
    <n v="62"/>
    <x v="0"/>
    <n v="789293.21560856304"/>
  </r>
  <r>
    <n v="63"/>
    <x v="1"/>
    <n v="256011.67787545"/>
  </r>
  <r>
    <n v="64"/>
    <x v="0"/>
    <n v="1693380.8662473639"/>
  </r>
  <r>
    <n v="66"/>
    <x v="1"/>
    <n v="5524.1517398333299"/>
  </r>
  <r>
    <n v="70"/>
    <x v="1"/>
    <n v="46143.362893481899"/>
  </r>
  <r>
    <n v="71"/>
    <x v="1"/>
    <n v="262010.429257607"/>
  </r>
  <r>
    <n v="72"/>
    <x v="1"/>
    <n v="3757.6794731117602"/>
  </r>
  <r>
    <n v="73"/>
    <x v="1"/>
    <n v="272.79657232145502"/>
  </r>
  <r>
    <n v="74"/>
    <x v="0"/>
    <n v="21203.470839892478"/>
  </r>
  <r>
    <n v="75"/>
    <x v="1"/>
    <n v="19274.486334868001"/>
  </r>
  <r>
    <n v="76"/>
    <x v="0"/>
    <n v="92824.591049640294"/>
  </r>
  <r>
    <n v="77"/>
    <x v="1"/>
    <n v="86570.051537700405"/>
  </r>
  <r>
    <n v="78"/>
    <x v="1"/>
    <n v="2933.2741454165398"/>
  </r>
  <r>
    <n v="79"/>
    <x v="1"/>
    <n v="62212.477323175197"/>
  </r>
  <r>
    <n v="80"/>
    <x v="0"/>
    <n v="413651.58820230648"/>
  </r>
  <r>
    <n v="81"/>
    <x v="0"/>
    <n v="1000042.9637366352"/>
  </r>
  <r>
    <n v="82"/>
    <x v="1"/>
    <n v="20342.935729940698"/>
  </r>
  <r>
    <n v="83"/>
    <x v="1"/>
    <n v="501.67443003285399"/>
  </r>
  <r>
    <n v="84"/>
    <x v="1"/>
    <n v="3174.7183407310299"/>
  </r>
  <r>
    <n v="85"/>
    <x v="0"/>
    <n v="1000144.8664423929"/>
  </r>
  <r>
    <n v="86"/>
    <x v="1"/>
    <n v="155.766854939832"/>
  </r>
  <r>
    <n v="90"/>
    <x v="0"/>
    <n v="797144.89665363473"/>
  </r>
  <r>
    <n v="91"/>
    <x v="0"/>
    <n v="40119.832943069618"/>
  </r>
  <r>
    <n v="92"/>
    <x v="1"/>
    <n v="15242.9749528147"/>
  </r>
  <r>
    <n v="93"/>
    <x v="1"/>
    <n v="143548.78686893801"/>
  </r>
  <r>
    <n v="94"/>
    <x v="1"/>
    <n v="127518.822083312"/>
  </r>
  <r>
    <n v="95"/>
    <x v="1"/>
    <n v="109775.925096982"/>
  </r>
  <r>
    <n v="96"/>
    <x v="0"/>
    <n v="147165.02854381746"/>
  </r>
  <r>
    <n v="97"/>
    <x v="1"/>
    <n v="3279.3058050387599"/>
  </r>
  <r>
    <n v="98"/>
    <x v="0"/>
    <n v="8256.2690044424198"/>
  </r>
  <r>
    <n v="99"/>
    <x v="1"/>
    <n v="13588.8843274549"/>
  </r>
  <r>
    <n v="100"/>
    <x v="1"/>
    <n v="294.264806772425"/>
  </r>
  <r>
    <n v="101"/>
    <x v="1"/>
    <n v="124.988872555594"/>
  </r>
  <r>
    <n v="102"/>
    <x v="1"/>
    <n v="3529.6500403867699"/>
  </r>
  <r>
    <n v="103"/>
    <x v="1"/>
    <n v="23336.590695975101"/>
  </r>
  <r>
    <n v="105"/>
    <x v="1"/>
    <n v="1254.8422431839999"/>
  </r>
  <r>
    <n v="108"/>
    <x v="1"/>
    <n v="570532.41747131303"/>
  </r>
  <r>
    <n v="109"/>
    <x v="1"/>
    <n v="100189.113415101"/>
  </r>
  <r>
    <n v="110"/>
    <x v="0"/>
    <n v="1000965.4058444344"/>
  </r>
  <r>
    <n v="112"/>
    <x v="1"/>
    <n v="2236.1366618019301"/>
  </r>
  <r>
    <n v="113"/>
    <x v="0"/>
    <n v="213115.7299449055"/>
  </r>
  <r>
    <n v="115"/>
    <x v="1"/>
    <n v="1000000"/>
  </r>
  <r>
    <n v="116"/>
    <x v="0"/>
    <n v="65466.344699809699"/>
  </r>
  <r>
    <n v="117"/>
    <x v="1"/>
    <n v="271.61093237814799"/>
  </r>
  <r>
    <n v="119"/>
    <x v="1"/>
    <n v="615894.70219961705"/>
  </r>
  <r>
    <n v="120"/>
    <x v="1"/>
    <n v="1000000"/>
  </r>
  <r>
    <n v="121"/>
    <x v="1"/>
    <n v="9086.3321087272707"/>
  </r>
  <r>
    <n v="122"/>
    <x v="1"/>
    <n v="123.16205735894"/>
  </r>
  <r>
    <n v="123"/>
    <x v="1"/>
    <n v="104350.56194289601"/>
  </r>
  <r>
    <n v="124"/>
    <x v="0"/>
    <n v="268162.79467363306"/>
  </r>
  <r>
    <n v="125"/>
    <x v="1"/>
    <n v="45790.524235672499"/>
  </r>
  <r>
    <n v="127"/>
    <x v="0"/>
    <n v="670494.36023415287"/>
  </r>
  <r>
    <n v="128"/>
    <x v="0"/>
    <n v="22332.057608217699"/>
  </r>
  <r>
    <n v="129"/>
    <x v="0"/>
    <n v="75721.126311970947"/>
  </r>
  <r>
    <n v="130"/>
    <x v="1"/>
    <n v="23420.151959368799"/>
  </r>
  <r>
    <n v="131"/>
    <x v="1"/>
    <n v="37230.026851498398"/>
  </r>
  <r>
    <n v="133"/>
    <x v="1"/>
    <n v="18718.3757241561"/>
  </r>
  <r>
    <n v="134"/>
    <x v="1"/>
    <n v="3931.6573890183499"/>
  </r>
  <r>
    <n v="135"/>
    <x v="1"/>
    <n v="13.8456557766029"/>
  </r>
  <r>
    <n v="136"/>
    <x v="1"/>
    <n v="16036.898414617801"/>
  </r>
  <r>
    <n v="138"/>
    <x v="1"/>
    <n v="1000000"/>
  </r>
  <r>
    <n v="140"/>
    <x v="1"/>
    <n v="1024.8287554102601"/>
  </r>
  <r>
    <n v="141"/>
    <x v="1"/>
    <n v="374.564052066518"/>
  </r>
  <r>
    <n v="142"/>
    <x v="1"/>
    <n v="10314.152789997701"/>
  </r>
  <r>
    <n v="143"/>
    <x v="0"/>
    <n v="181102.67687104217"/>
  </r>
  <r>
    <n v="144"/>
    <x v="0"/>
    <n v="480548.51588794467"/>
  </r>
  <r>
    <n v="146"/>
    <x v="0"/>
    <n v="20500.638225916202"/>
  </r>
  <r>
    <n v="147"/>
    <x v="0"/>
    <n v="51924.481957119293"/>
  </r>
  <r>
    <n v="148"/>
    <x v="0"/>
    <n v="353080.08247983165"/>
  </r>
  <r>
    <n v="149"/>
    <x v="0"/>
    <n v="5895.6705595083004"/>
  </r>
  <r>
    <n v="150"/>
    <x v="1"/>
    <n v="55829.124672435602"/>
  </r>
  <r>
    <n v="152"/>
    <x v="1"/>
    <n v="34525.5118478328"/>
  </r>
  <r>
    <n v="153"/>
    <x v="1"/>
    <n v="401034.11621141399"/>
  </r>
  <r>
    <n v="154"/>
    <x v="0"/>
    <n v="26146.534790569451"/>
  </r>
  <r>
    <n v="155"/>
    <x v="0"/>
    <n v="1370939.897626701"/>
  </r>
  <r>
    <n v="156"/>
    <x v="1"/>
    <n v="3713.1982054350801"/>
  </r>
  <r>
    <n v="157"/>
    <x v="1"/>
    <n v="4124.2079283261301"/>
  </r>
  <r>
    <n v="158"/>
    <x v="0"/>
    <n v="9437.3863952068896"/>
  </r>
  <r>
    <n v="159"/>
    <x v="1"/>
    <n v="814.63783937873097"/>
  </r>
  <r>
    <n v="160"/>
    <x v="0"/>
    <n v="790968.92382871581"/>
  </r>
  <r>
    <n v="161"/>
    <x v="1"/>
    <n v="1287.4033789651401"/>
  </r>
  <r>
    <n v="162"/>
    <x v="1"/>
    <n v="3564.1513417718702"/>
  </r>
  <r>
    <n v="163"/>
    <x v="1"/>
    <n v="18967.670304977"/>
  </r>
  <r>
    <n v="164"/>
    <x v="1"/>
    <n v="604.33756410874798"/>
  </r>
  <r>
    <n v="165"/>
    <x v="1"/>
    <n v="178260.17170286999"/>
  </r>
  <r>
    <n v="166"/>
    <x v="1"/>
    <n v="277815.56138111698"/>
  </r>
  <r>
    <n v="167"/>
    <x v="1"/>
    <n v="616697.71428512805"/>
  </r>
  <r>
    <n v="168"/>
    <x v="0"/>
    <n v="1076248.185233423"/>
  </r>
  <r>
    <n v="169"/>
    <x v="1"/>
    <n v="4533.3863218141896"/>
  </r>
  <r>
    <n v="170"/>
    <x v="0"/>
    <n v="5137.0628739359699"/>
  </r>
  <r>
    <n v="171"/>
    <x v="1"/>
    <n v="197.43973882539001"/>
  </r>
  <r>
    <n v="172"/>
    <x v="0"/>
    <n v="377899.25362171017"/>
  </r>
  <r>
    <n v="174"/>
    <x v="1"/>
    <n v="170519.39878151301"/>
  </r>
  <r>
    <n v="175"/>
    <x v="1"/>
    <n v="3186.53439898241"/>
  </r>
  <r>
    <n v="176"/>
    <x v="1"/>
    <n v="1000000"/>
  </r>
  <r>
    <n v="177"/>
    <x v="1"/>
    <n v="58858.654269878301"/>
  </r>
  <r>
    <n v="178"/>
    <x v="1"/>
    <n v="46778.484934467699"/>
  </r>
  <r>
    <n v="180"/>
    <x v="1"/>
    <n v="27350.778101997901"/>
  </r>
  <r>
    <n v="182"/>
    <x v="1"/>
    <n v="522345.06994418002"/>
  </r>
  <r>
    <n v="183"/>
    <x v="1"/>
    <n v="1906.8553802752899"/>
  </r>
  <r>
    <n v="184"/>
    <x v="0"/>
    <n v="4354.8414829378744"/>
  </r>
  <r>
    <n v="185"/>
    <x v="1"/>
    <n v="10446.634931020501"/>
  </r>
  <r>
    <n v="186"/>
    <x v="1"/>
    <n v="2099.4960798941202"/>
  </r>
  <r>
    <n v="187"/>
    <x v="0"/>
    <n v="72061.4073446455"/>
  </r>
  <r>
    <n v="188"/>
    <x v="1"/>
    <n v="9343.7572848832406"/>
  </r>
  <r>
    <n v="191"/>
    <x v="0"/>
    <n v="78428.672774144099"/>
  </r>
  <r>
    <n v="192"/>
    <x v="1"/>
    <n v="1674.0695959948"/>
  </r>
  <r>
    <n v="194"/>
    <x v="1"/>
    <n v="1000000"/>
  </r>
  <r>
    <n v="196"/>
    <x v="1"/>
    <n v="20291.5353605686"/>
  </r>
  <r>
    <n v="197"/>
    <x v="1"/>
    <n v="1000000"/>
  </r>
  <r>
    <n v="198"/>
    <x v="1"/>
    <n v="235898.29356901001"/>
  </r>
  <r>
    <n v="199"/>
    <x v="0"/>
    <n v="1023370.4563185408"/>
  </r>
  <r>
    <n v="200"/>
    <x v="1"/>
    <n v="1724.7141316504001"/>
  </r>
  <r>
    <n v="201"/>
    <x v="0"/>
    <n v="845287.93235152808"/>
  </r>
  <r>
    <n v="203"/>
    <x v="1"/>
    <n v="2308.5637730650601"/>
  </r>
  <r>
    <n v="204"/>
    <x v="1"/>
    <n v="3750.6504849406501"/>
  </r>
  <r>
    <n v="205"/>
    <x v="1"/>
    <n v="2903.1543310633301"/>
  </r>
  <r>
    <n v="207"/>
    <x v="1"/>
    <n v="109719.59786247399"/>
  </r>
  <r>
    <n v="208"/>
    <x v="0"/>
    <n v="19524.28409353067"/>
  </r>
  <r>
    <n v="209"/>
    <x v="0"/>
    <n v="372423.77777224744"/>
  </r>
  <r>
    <n v="210"/>
    <x v="0"/>
    <n v="1248.7797688355631"/>
  </r>
  <r>
    <n v="211"/>
    <x v="1"/>
    <n v="84.207588193105195"/>
  </r>
  <r>
    <n v="212"/>
    <x v="0"/>
    <n v="56244.220360866333"/>
  </r>
  <r>
    <n v="213"/>
    <x v="0"/>
    <n v="69558.009856756893"/>
  </r>
  <r>
    <n v="214"/>
    <x v="1"/>
    <n v="49672.178680782803"/>
  </r>
  <r>
    <n v="215"/>
    <x v="0"/>
    <n v="35632.392962980739"/>
  </r>
  <r>
    <n v="216"/>
    <x v="1"/>
    <n v="1821.7728839486199"/>
  </r>
  <r>
    <n v="217"/>
    <x v="1"/>
    <n v="4700.4702286050697"/>
  </r>
  <r>
    <n v="218"/>
    <x v="1"/>
    <n v="37118.073300252101"/>
  </r>
  <r>
    <n v="221"/>
    <x v="0"/>
    <n v="167189.4031132251"/>
  </r>
  <r>
    <n v="223"/>
    <x v="1"/>
    <n v="93141.656331663195"/>
  </r>
  <r>
    <n v="224"/>
    <x v="1"/>
    <n v="7882.8337197694"/>
  </r>
  <r>
    <n v="225"/>
    <x v="0"/>
    <n v="332069.98360381799"/>
  </r>
  <r>
    <n v="226"/>
    <x v="1"/>
    <n v="293885.43763525598"/>
  </r>
  <r>
    <n v="227"/>
    <x v="1"/>
    <n v="7342.1571404338601"/>
  </r>
  <r>
    <n v="228"/>
    <x v="1"/>
    <n v="20227.8335961132"/>
  </r>
  <r>
    <n v="229"/>
    <x v="1"/>
    <n v="65329.446351703104"/>
  </r>
  <r>
    <n v="231"/>
    <x v="1"/>
    <n v="40810.048847561702"/>
  </r>
  <r>
    <n v="232"/>
    <x v="1"/>
    <n v="1263.7964931439101"/>
  </r>
  <r>
    <n v="233"/>
    <x v="1"/>
    <n v="28615.8379449844"/>
  </r>
  <r>
    <n v="234"/>
    <x v="0"/>
    <n v="81773.910392976992"/>
  </r>
  <r>
    <n v="235"/>
    <x v="0"/>
    <n v="29025.047505642167"/>
  </r>
  <r>
    <n v="236"/>
    <x v="1"/>
    <n v="323113.07317427098"/>
  </r>
  <r>
    <n v="237"/>
    <x v="0"/>
    <n v="488648.3573342603"/>
  </r>
  <r>
    <n v="239"/>
    <x v="0"/>
    <n v="43526.534026014553"/>
  </r>
  <r>
    <n v="241"/>
    <x v="1"/>
    <n v="93981.440617116503"/>
  </r>
  <r>
    <n v="242"/>
    <x v="1"/>
    <n v="51872.458919044402"/>
  </r>
  <r>
    <n v="243"/>
    <x v="0"/>
    <n v="1561802.5961819971"/>
  </r>
  <r>
    <n v="244"/>
    <x v="1"/>
    <n v="212.01782876567799"/>
  </r>
  <r>
    <n v="245"/>
    <x v="1"/>
    <n v="88255.815556129804"/>
  </r>
  <r>
    <n v="246"/>
    <x v="1"/>
    <n v="16442.8539205259"/>
  </r>
  <r>
    <n v="247"/>
    <x v="1"/>
    <n v="173.79590137704099"/>
  </r>
  <r>
    <n v="250"/>
    <x v="1"/>
    <n v="216.73443107490201"/>
  </r>
  <r>
    <n v="251"/>
    <x v="0"/>
    <n v="1180129.9135299299"/>
  </r>
  <r>
    <n v="252"/>
    <x v="0"/>
    <n v="1001128.3591102608"/>
  </r>
  <r>
    <n v="253"/>
    <x v="1"/>
    <n v="5082.31073961928"/>
  </r>
  <r>
    <n v="254"/>
    <x v="0"/>
    <n v="543039.51053842984"/>
  </r>
  <r>
    <n v="255"/>
    <x v="1"/>
    <n v="1000000"/>
  </r>
  <r>
    <n v="256"/>
    <x v="1"/>
    <n v="4581.8291168594697"/>
  </r>
  <r>
    <n v="257"/>
    <x v="0"/>
    <n v="76791.230948701632"/>
  </r>
  <r>
    <n v="258"/>
    <x v="1"/>
    <n v="967.75612362615402"/>
  </r>
  <r>
    <n v="259"/>
    <x v="1"/>
    <n v="21756.324588445401"/>
  </r>
  <r>
    <n v="263"/>
    <x v="1"/>
    <n v="224.09462741298299"/>
  </r>
  <r>
    <n v="265"/>
    <x v="1"/>
    <n v="3511.3863014465201"/>
  </r>
  <r>
    <n v="266"/>
    <x v="1"/>
    <n v="119563.414027127"/>
  </r>
  <r>
    <n v="267"/>
    <x v="1"/>
    <n v="269655.99821576098"/>
  </r>
  <r>
    <n v="268"/>
    <x v="1"/>
    <n v="637.50487719315595"/>
  </r>
  <r>
    <n v="269"/>
    <x v="0"/>
    <n v="309819.4944161321"/>
  </r>
  <r>
    <n v="270"/>
    <x v="1"/>
    <n v="18617.0324060686"/>
  </r>
  <r>
    <n v="272"/>
    <x v="0"/>
    <n v="10217.615438447505"/>
  </r>
  <r>
    <n v="273"/>
    <x v="0"/>
    <n v="378070.32297328056"/>
  </r>
  <r>
    <n v="274"/>
    <x v="0"/>
    <n v="202692.98142444331"/>
  </r>
  <r>
    <n v="275"/>
    <x v="1"/>
    <n v="193721.22578398199"/>
  </r>
  <r>
    <n v="276"/>
    <x v="1"/>
    <n v="67773.782070343106"/>
  </r>
  <r>
    <n v="278"/>
    <x v="1"/>
    <n v="1000000"/>
  </r>
  <r>
    <n v="279"/>
    <x v="0"/>
    <n v="144023.0544979026"/>
  </r>
  <r>
    <n v="280"/>
    <x v="1"/>
    <n v="15349.198338283"/>
  </r>
  <r>
    <n v="281"/>
    <x v="1"/>
    <n v="2233.60298054334"/>
  </r>
  <r>
    <n v="282"/>
    <x v="0"/>
    <n v="10447.258010553071"/>
  </r>
  <r>
    <n v="283"/>
    <x v="1"/>
    <n v="140042.811662238"/>
  </r>
  <r>
    <n v="284"/>
    <x v="0"/>
    <n v="468331.36367839109"/>
  </r>
  <r>
    <n v="285"/>
    <x v="0"/>
    <n v="19602.247373345112"/>
  </r>
  <r>
    <n v="286"/>
    <x v="1"/>
    <n v="209311.399462795"/>
  </r>
  <r>
    <n v="287"/>
    <x v="0"/>
    <n v="16305.323324807581"/>
  </r>
  <r>
    <n v="288"/>
    <x v="0"/>
    <n v="31313.029813824298"/>
  </r>
  <r>
    <n v="289"/>
    <x v="0"/>
    <n v="262296.93259583984"/>
  </r>
  <r>
    <n v="290"/>
    <x v="1"/>
    <n v="22205.0492055387"/>
  </r>
  <r>
    <n v="291"/>
    <x v="1"/>
    <n v="988703.936397054"/>
  </r>
  <r>
    <n v="292"/>
    <x v="0"/>
    <n v="7503.3342387126741"/>
  </r>
  <r>
    <n v="293"/>
    <x v="0"/>
    <n v="75009.461660180241"/>
  </r>
  <r>
    <n v="295"/>
    <x v="1"/>
    <n v="314974.546974728"/>
  </r>
  <r>
    <n v="298"/>
    <x v="0"/>
    <n v="16451.609678267341"/>
  </r>
  <r>
    <n v="299"/>
    <x v="0"/>
    <n v="44864.700363527867"/>
  </r>
  <r>
    <n v="301"/>
    <x v="1"/>
    <n v="345473.86451898498"/>
  </r>
  <r>
    <n v="302"/>
    <x v="0"/>
    <n v="18246.504722869329"/>
  </r>
  <r>
    <n v="303"/>
    <x v="1"/>
    <n v="1000000"/>
  </r>
  <r>
    <n v="304"/>
    <x v="1"/>
    <n v="50460.523485469501"/>
  </r>
  <r>
    <n v="305"/>
    <x v="1"/>
    <n v="11.8965280067601"/>
  </r>
  <r>
    <n v="306"/>
    <x v="1"/>
    <n v="191625.16146285299"/>
  </r>
  <r>
    <n v="307"/>
    <x v="0"/>
    <n v="922783.24690739997"/>
  </r>
  <r>
    <n v="308"/>
    <x v="0"/>
    <n v="974153.11606266443"/>
  </r>
  <r>
    <n v="309"/>
    <x v="1"/>
    <n v="551.72043924170202"/>
  </r>
  <r>
    <n v="310"/>
    <x v="1"/>
    <n v="1000000"/>
  </r>
  <r>
    <n v="311"/>
    <x v="1"/>
    <n v="235497.07346507401"/>
  </r>
  <r>
    <n v="312"/>
    <x v="1"/>
    <n v="468.80972002023799"/>
  </r>
  <r>
    <n v="313"/>
    <x v="1"/>
    <n v="7294.9840506933597"/>
  </r>
  <r>
    <n v="314"/>
    <x v="0"/>
    <n v="835182.92061261053"/>
  </r>
  <r>
    <n v="315"/>
    <x v="1"/>
    <n v="104.24631348180399"/>
  </r>
  <r>
    <n v="318"/>
    <x v="0"/>
    <n v="1235244.236662714"/>
  </r>
  <r>
    <n v="319"/>
    <x v="1"/>
    <n v="51618.567347274497"/>
  </r>
  <r>
    <n v="322"/>
    <x v="1"/>
    <n v="159396.155683852"/>
  </r>
  <r>
    <n v="323"/>
    <x v="0"/>
    <n v="80100.874597687594"/>
  </r>
  <r>
    <n v="324"/>
    <x v="1"/>
    <n v="5832.9566320682698"/>
  </r>
  <r>
    <n v="325"/>
    <x v="0"/>
    <n v="181428.83618842438"/>
  </r>
  <r>
    <n v="326"/>
    <x v="0"/>
    <n v="510017.79828447226"/>
  </r>
  <r>
    <n v="328"/>
    <x v="0"/>
    <n v="139140.03296486879"/>
  </r>
  <r>
    <n v="329"/>
    <x v="1"/>
    <n v="122351.254499879"/>
  </r>
  <r>
    <n v="331"/>
    <x v="1"/>
    <n v="1000000"/>
  </r>
  <r>
    <n v="332"/>
    <x v="0"/>
    <n v="7963.5408470751354"/>
  </r>
  <r>
    <n v="333"/>
    <x v="1"/>
    <n v="1000000"/>
  </r>
  <r>
    <n v="335"/>
    <x v="1"/>
    <n v="33771.593399319303"/>
  </r>
  <r>
    <n v="336"/>
    <x v="1"/>
    <n v="223227.52524643301"/>
  </r>
  <r>
    <n v="337"/>
    <x v="1"/>
    <n v="1710.3379652493099"/>
  </r>
  <r>
    <n v="338"/>
    <x v="1"/>
    <n v="83.039573003370606"/>
  </r>
  <r>
    <n v="339"/>
    <x v="1"/>
    <n v="47558.834543523102"/>
  </r>
  <r>
    <n v="341"/>
    <x v="1"/>
    <n v="1000000"/>
  </r>
  <r>
    <n v="342"/>
    <x v="0"/>
    <n v="1000010.4413906243"/>
  </r>
  <r>
    <n v="343"/>
    <x v="1"/>
    <n v="1000000"/>
  </r>
  <r>
    <n v="344"/>
    <x v="0"/>
    <n v="1241060.19974872"/>
  </r>
  <r>
    <n v="345"/>
    <x v="1"/>
    <n v="14829.522917616399"/>
  </r>
  <r>
    <n v="346"/>
    <x v="1"/>
    <n v="41.2739042863872"/>
  </r>
  <r>
    <n v="348"/>
    <x v="1"/>
    <n v="12637.1161855966"/>
  </r>
  <r>
    <n v="349"/>
    <x v="0"/>
    <n v="198592.98821090738"/>
  </r>
  <r>
    <n v="350"/>
    <x v="1"/>
    <n v="2222.0421929358399"/>
  </r>
  <r>
    <n v="351"/>
    <x v="0"/>
    <n v="21410.640803837858"/>
  </r>
  <r>
    <n v="353"/>
    <x v="1"/>
    <n v="8027.9611689782896"/>
  </r>
  <r>
    <n v="354"/>
    <x v="0"/>
    <n v="48083.29061774788"/>
  </r>
  <r>
    <n v="355"/>
    <x v="1"/>
    <n v="67066.763962990299"/>
  </r>
  <r>
    <n v="357"/>
    <x v="1"/>
    <n v="23796.9590405171"/>
  </r>
  <r>
    <n v="358"/>
    <x v="1"/>
    <n v="2050.9499674276099"/>
  </r>
  <r>
    <n v="359"/>
    <x v="1"/>
    <n v="158.44899391067901"/>
  </r>
  <r>
    <n v="361"/>
    <x v="0"/>
    <n v="573644.16411710682"/>
  </r>
  <r>
    <n v="362"/>
    <x v="0"/>
    <n v="32067.990121008399"/>
  </r>
  <r>
    <n v="364"/>
    <x v="1"/>
    <n v="10829.581776745101"/>
  </r>
  <r>
    <n v="365"/>
    <x v="1"/>
    <n v="29814.781620276601"/>
  </r>
  <r>
    <n v="366"/>
    <x v="1"/>
    <n v="201726.23818386599"/>
  </r>
  <r>
    <n v="367"/>
    <x v="0"/>
    <n v="1000068.3447154724"/>
  </r>
  <r>
    <n v="368"/>
    <x v="0"/>
    <n v="1006361.0733694329"/>
  </r>
  <r>
    <n v="369"/>
    <x v="1"/>
    <n v="19739.724044591399"/>
  </r>
  <r>
    <n v="370"/>
    <x v="1"/>
    <n v="2517.2008957379198"/>
  </r>
  <r>
    <n v="371"/>
    <x v="1"/>
    <n v="16540.004301845202"/>
  </r>
  <r>
    <n v="372"/>
    <x v="1"/>
    <n v="1000000"/>
  </r>
  <r>
    <n v="374"/>
    <x v="1"/>
    <n v="1000000"/>
  </r>
  <r>
    <n v="375"/>
    <x v="1"/>
    <n v="392.788234900715"/>
  </r>
  <r>
    <n v="377"/>
    <x v="1"/>
    <n v="2244.5810660719699"/>
  </r>
  <r>
    <n v="378"/>
    <x v="0"/>
    <n v="25228.133671284289"/>
  </r>
  <r>
    <n v="379"/>
    <x v="1"/>
    <n v="2534.3161201473499"/>
  </r>
  <r>
    <n v="381"/>
    <x v="1"/>
    <n v="832.51267890122199"/>
  </r>
  <r>
    <n v="382"/>
    <x v="1"/>
    <n v="512604.504115975"/>
  </r>
  <r>
    <n v="383"/>
    <x v="1"/>
    <n v="2790.2618532080701"/>
  </r>
  <r>
    <n v="384"/>
    <x v="1"/>
    <n v="1748.03873292192"/>
  </r>
  <r>
    <n v="385"/>
    <x v="1"/>
    <n v="47877.709289400998"/>
  </r>
  <r>
    <n v="387"/>
    <x v="0"/>
    <n v="179424.65083902801"/>
  </r>
  <r>
    <n v="388"/>
    <x v="0"/>
    <n v="32468.0546930657"/>
  </r>
  <r>
    <n v="389"/>
    <x v="0"/>
    <n v="108403.797501254"/>
  </r>
  <r>
    <n v="390"/>
    <x v="0"/>
    <n v="98609.382342933095"/>
  </r>
  <r>
    <n v="392"/>
    <x v="1"/>
    <n v="231541.091371755"/>
  </r>
  <r>
    <n v="393"/>
    <x v="1"/>
    <n v="21878.7119352064"/>
  </r>
  <r>
    <n v="394"/>
    <x v="1"/>
    <n v="25341.549048067802"/>
  </r>
  <r>
    <n v="395"/>
    <x v="0"/>
    <n v="27240.537407847278"/>
  </r>
  <r>
    <n v="396"/>
    <x v="0"/>
    <n v="21308.763445062508"/>
  </r>
  <r>
    <n v="397"/>
    <x v="0"/>
    <n v="1054.4477753433998"/>
  </r>
  <r>
    <n v="398"/>
    <x v="0"/>
    <n v="193046.15070413859"/>
  </r>
  <r>
    <n v="399"/>
    <x v="0"/>
    <n v="1034175.0640580811"/>
  </r>
  <r>
    <n v="402"/>
    <x v="0"/>
    <n v="13483.316688856128"/>
  </r>
  <r>
    <n v="404"/>
    <x v="1"/>
    <n v="725462.99082128005"/>
  </r>
  <r>
    <n v="405"/>
    <x v="1"/>
    <n v="233608.249269908"/>
  </r>
  <r>
    <n v="406"/>
    <x v="1"/>
    <n v="5489.6785906154"/>
  </r>
  <r>
    <n v="407"/>
    <x v="1"/>
    <n v="167257.06954470399"/>
  </r>
  <r>
    <n v="408"/>
    <x v="0"/>
    <n v="2702.8998128825119"/>
  </r>
  <r>
    <n v="409"/>
    <x v="1"/>
    <n v="1192.49913152672"/>
  </r>
  <r>
    <n v="410"/>
    <x v="1"/>
    <n v="382.48859770090701"/>
  </r>
  <r>
    <n v="411"/>
    <x v="1"/>
    <n v="169942.01586765499"/>
  </r>
  <r>
    <n v="413"/>
    <x v="0"/>
    <n v="2083.2999475365577"/>
  </r>
  <r>
    <n v="414"/>
    <x v="1"/>
    <n v="185.597871480051"/>
  </r>
  <r>
    <n v="415"/>
    <x v="0"/>
    <n v="546270.27563700185"/>
  </r>
  <r>
    <n v="416"/>
    <x v="0"/>
    <n v="2715.0968350824919"/>
  </r>
  <r>
    <n v="418"/>
    <x v="1"/>
    <n v="1702.41711677432"/>
  </r>
  <r>
    <n v="419"/>
    <x v="1"/>
    <n v="89957.792569983299"/>
  </r>
  <r>
    <n v="420"/>
    <x v="0"/>
    <n v="177087.98551403108"/>
  </r>
  <r>
    <n v="421"/>
    <x v="1"/>
    <n v="146947.679412953"/>
  </r>
  <r>
    <n v="422"/>
    <x v="1"/>
    <n v="13463.397522704699"/>
  </r>
  <r>
    <n v="423"/>
    <x v="1"/>
    <n v="1000000"/>
  </r>
  <r>
    <n v="424"/>
    <x v="1"/>
    <n v="1758.97741738164"/>
  </r>
  <r>
    <n v="426"/>
    <x v="1"/>
    <n v="43724.808480536303"/>
  </r>
  <r>
    <n v="427"/>
    <x v="1"/>
    <n v="1153.16017223626"/>
  </r>
  <r>
    <n v="428"/>
    <x v="1"/>
    <n v="77641.302356685395"/>
  </r>
  <r>
    <n v="429"/>
    <x v="0"/>
    <n v="54805.155599878155"/>
  </r>
  <r>
    <n v="432"/>
    <x v="1"/>
    <n v="3493.5773045535102"/>
  </r>
  <r>
    <n v="433"/>
    <x v="1"/>
    <n v="727.28663072414599"/>
  </r>
  <r>
    <n v="435"/>
    <x v="0"/>
    <n v="207704.32672703639"/>
  </r>
  <r>
    <n v="436"/>
    <x v="1"/>
    <n v="153.80547170121201"/>
  </r>
  <r>
    <n v="437"/>
    <x v="0"/>
    <n v="152594.22641380652"/>
  </r>
  <r>
    <n v="438"/>
    <x v="1"/>
    <n v="4617.4073198792403"/>
  </r>
  <r>
    <n v="439"/>
    <x v="0"/>
    <n v="1004996.8219211142"/>
  </r>
  <r>
    <n v="440"/>
    <x v="0"/>
    <n v="1007126.9563302754"/>
  </r>
  <r>
    <n v="441"/>
    <x v="0"/>
    <n v="425962.28180957166"/>
  </r>
  <r>
    <n v="442"/>
    <x v="1"/>
    <n v="188904.119010875"/>
  </r>
  <r>
    <n v="443"/>
    <x v="1"/>
    <n v="439915.361802336"/>
  </r>
  <r>
    <n v="444"/>
    <x v="0"/>
    <n v="2193.6346841183909"/>
  </r>
  <r>
    <n v="446"/>
    <x v="1"/>
    <n v="1178.76189080277"/>
  </r>
  <r>
    <n v="447"/>
    <x v="1"/>
    <n v="979.56515668742702"/>
  </r>
  <r>
    <n v="448"/>
    <x v="0"/>
    <n v="335212.90942511248"/>
  </r>
  <r>
    <n v="449"/>
    <x v="1"/>
    <n v="158.00225444967299"/>
  </r>
  <r>
    <n v="450"/>
    <x v="1"/>
    <n v="3838.3389088910499"/>
  </r>
  <r>
    <n v="451"/>
    <x v="1"/>
    <n v="112925.07359271101"/>
  </r>
  <r>
    <n v="452"/>
    <x v="1"/>
    <n v="103021.229816059"/>
  </r>
  <r>
    <n v="453"/>
    <x v="0"/>
    <n v="361068.49832395813"/>
  </r>
  <r>
    <n v="454"/>
    <x v="0"/>
    <n v="110520.0673102771"/>
  </r>
  <r>
    <n v="455"/>
    <x v="0"/>
    <n v="28640.858736512699"/>
  </r>
  <r>
    <n v="458"/>
    <x v="1"/>
    <n v="160.20076003075201"/>
  </r>
  <r>
    <n v="459"/>
    <x v="0"/>
    <n v="328901.49593115499"/>
  </r>
  <r>
    <n v="460"/>
    <x v="0"/>
    <n v="469227.92349348584"/>
  </r>
  <r>
    <n v="462"/>
    <x v="1"/>
    <n v="499753.10164847499"/>
  </r>
  <r>
    <n v="463"/>
    <x v="1"/>
    <n v="10565.4937422194"/>
  </r>
  <r>
    <n v="464"/>
    <x v="0"/>
    <n v="1656.0118884229189"/>
  </r>
  <r>
    <n v="465"/>
    <x v="1"/>
    <n v="9682.8627547399192"/>
  </r>
  <r>
    <n v="466"/>
    <x v="0"/>
    <n v="65020.346654309389"/>
  </r>
  <r>
    <n v="467"/>
    <x v="0"/>
    <n v="60971.270149857148"/>
  </r>
  <r>
    <n v="468"/>
    <x v="1"/>
    <n v="525966.34817988996"/>
  </r>
  <r>
    <n v="469"/>
    <x v="0"/>
    <n v="86039.001618003793"/>
  </r>
  <r>
    <n v="471"/>
    <x v="0"/>
    <n v="1072352.0607261481"/>
  </r>
  <r>
    <n v="473"/>
    <x v="1"/>
    <n v="225719.79607948801"/>
  </r>
  <r>
    <n v="474"/>
    <x v="1"/>
    <n v="1000000"/>
  </r>
  <r>
    <n v="475"/>
    <x v="1"/>
    <n v="187384.838378174"/>
  </r>
  <r>
    <n v="476"/>
    <x v="1"/>
    <n v="54154.467449854201"/>
  </r>
  <r>
    <n v="477"/>
    <x v="1"/>
    <n v="1000000"/>
  </r>
  <r>
    <n v="478"/>
    <x v="0"/>
    <n v="106327.6301005813"/>
  </r>
  <r>
    <n v="479"/>
    <x v="0"/>
    <n v="8212.7937810629592"/>
  </r>
  <r>
    <n v="480"/>
    <x v="1"/>
    <n v="15491.020005598901"/>
  </r>
  <r>
    <n v="481"/>
    <x v="0"/>
    <n v="15712.146673878091"/>
  </r>
  <r>
    <n v="483"/>
    <x v="1"/>
    <n v="52580.634382201999"/>
  </r>
  <r>
    <n v="484"/>
    <x v="1"/>
    <n v="1000000"/>
  </r>
  <r>
    <n v="486"/>
    <x v="0"/>
    <n v="711495.52549007465"/>
  </r>
  <r>
    <n v="487"/>
    <x v="0"/>
    <n v="130971.22096843651"/>
  </r>
  <r>
    <n v="488"/>
    <x v="1"/>
    <n v="31331.4841352064"/>
  </r>
  <r>
    <n v="489"/>
    <x v="1"/>
    <n v="63343.3022114794"/>
  </r>
  <r>
    <n v="492"/>
    <x v="0"/>
    <n v="120586.00393367361"/>
  </r>
  <r>
    <n v="493"/>
    <x v="1"/>
    <n v="104823.79794920899"/>
  </r>
  <r>
    <n v="494"/>
    <x v="1"/>
    <n v="15589.219111505199"/>
  </r>
  <r>
    <n v="495"/>
    <x v="0"/>
    <n v="279131.85241377639"/>
  </r>
  <r>
    <n v="497"/>
    <x v="0"/>
    <n v="1069944.9981220588"/>
  </r>
  <r>
    <n v="498"/>
    <x v="0"/>
    <n v="37574.983276982362"/>
  </r>
  <r>
    <n v="499"/>
    <x v="1"/>
    <n v="357998.61734083499"/>
  </r>
  <r>
    <n v="500"/>
    <x v="1"/>
    <n v="21369.222911803899"/>
  </r>
  <r>
    <n v="4"/>
    <x v="2"/>
    <n v="0"/>
  </r>
  <r>
    <n v="5"/>
    <x v="2"/>
    <n v="0"/>
  </r>
  <r>
    <n v="8"/>
    <x v="2"/>
    <n v="0"/>
  </r>
  <r>
    <n v="11"/>
    <x v="2"/>
    <n v="0"/>
  </r>
  <r>
    <n v="16"/>
    <x v="2"/>
    <n v="0"/>
  </r>
  <r>
    <n v="20"/>
    <x v="2"/>
    <n v="0"/>
  </r>
  <r>
    <n v="21"/>
    <x v="2"/>
    <n v="0"/>
  </r>
  <r>
    <n v="24"/>
    <x v="2"/>
    <n v="0"/>
  </r>
  <r>
    <n v="31"/>
    <x v="2"/>
    <n v="0"/>
  </r>
  <r>
    <n v="32"/>
    <x v="2"/>
    <n v="0"/>
  </r>
  <r>
    <n v="34"/>
    <x v="2"/>
    <n v="0"/>
  </r>
  <r>
    <n v="50"/>
    <x v="2"/>
    <n v="0"/>
  </r>
  <r>
    <n v="53"/>
    <x v="2"/>
    <n v="0"/>
  </r>
  <r>
    <n v="59"/>
    <x v="2"/>
    <n v="0"/>
  </r>
  <r>
    <n v="65"/>
    <x v="2"/>
    <n v="0"/>
  </r>
  <r>
    <n v="67"/>
    <x v="2"/>
    <n v="0"/>
  </r>
  <r>
    <n v="68"/>
    <x v="2"/>
    <n v="0"/>
  </r>
  <r>
    <n v="69"/>
    <x v="2"/>
    <n v="0"/>
  </r>
  <r>
    <n v="87"/>
    <x v="2"/>
    <n v="0"/>
  </r>
  <r>
    <n v="88"/>
    <x v="2"/>
    <n v="0"/>
  </r>
  <r>
    <n v="89"/>
    <x v="2"/>
    <n v="0"/>
  </r>
  <r>
    <n v="104"/>
    <x v="2"/>
    <n v="0"/>
  </r>
  <r>
    <n v="106"/>
    <x v="2"/>
    <n v="0"/>
  </r>
  <r>
    <n v="107"/>
    <x v="2"/>
    <n v="0"/>
  </r>
  <r>
    <n v="111"/>
    <x v="2"/>
    <n v="0"/>
  </r>
  <r>
    <n v="114"/>
    <x v="2"/>
    <n v="0"/>
  </r>
  <r>
    <n v="118"/>
    <x v="2"/>
    <n v="0"/>
  </r>
  <r>
    <n v="126"/>
    <x v="2"/>
    <n v="0"/>
  </r>
  <r>
    <n v="132"/>
    <x v="2"/>
    <n v="0"/>
  </r>
  <r>
    <n v="137"/>
    <x v="2"/>
    <n v="0"/>
  </r>
  <r>
    <n v="139"/>
    <x v="2"/>
    <n v="0"/>
  </r>
  <r>
    <n v="145"/>
    <x v="2"/>
    <n v="0"/>
  </r>
  <r>
    <n v="151"/>
    <x v="2"/>
    <n v="0"/>
  </r>
  <r>
    <n v="173"/>
    <x v="2"/>
    <n v="0"/>
  </r>
  <r>
    <n v="179"/>
    <x v="2"/>
    <n v="0"/>
  </r>
  <r>
    <n v="181"/>
    <x v="2"/>
    <n v="0"/>
  </r>
  <r>
    <n v="189"/>
    <x v="2"/>
    <n v="0"/>
  </r>
  <r>
    <n v="190"/>
    <x v="2"/>
    <n v="0"/>
  </r>
  <r>
    <n v="193"/>
    <x v="2"/>
    <n v="0"/>
  </r>
  <r>
    <n v="195"/>
    <x v="2"/>
    <n v="0"/>
  </r>
  <r>
    <n v="202"/>
    <x v="2"/>
    <n v="0"/>
  </r>
  <r>
    <n v="206"/>
    <x v="2"/>
    <n v="0"/>
  </r>
  <r>
    <n v="219"/>
    <x v="2"/>
    <n v="0"/>
  </r>
  <r>
    <n v="220"/>
    <x v="2"/>
    <n v="0"/>
  </r>
  <r>
    <n v="222"/>
    <x v="2"/>
    <n v="0"/>
  </r>
  <r>
    <n v="230"/>
    <x v="2"/>
    <n v="0"/>
  </r>
  <r>
    <n v="238"/>
    <x v="2"/>
    <n v="0"/>
  </r>
  <r>
    <n v="240"/>
    <x v="2"/>
    <n v="0"/>
  </r>
  <r>
    <n v="248"/>
    <x v="2"/>
    <n v="0"/>
  </r>
  <r>
    <n v="249"/>
    <x v="2"/>
    <n v="0"/>
  </r>
  <r>
    <n v="260"/>
    <x v="2"/>
    <n v="0"/>
  </r>
  <r>
    <n v="261"/>
    <x v="2"/>
    <n v="0"/>
  </r>
  <r>
    <n v="262"/>
    <x v="2"/>
    <n v="0"/>
  </r>
  <r>
    <n v="264"/>
    <x v="2"/>
    <n v="0"/>
  </r>
  <r>
    <n v="271"/>
    <x v="2"/>
    <n v="0"/>
  </r>
  <r>
    <n v="277"/>
    <x v="2"/>
    <n v="0"/>
  </r>
  <r>
    <n v="294"/>
    <x v="2"/>
    <n v="0"/>
  </r>
  <r>
    <n v="296"/>
    <x v="2"/>
    <n v="0"/>
  </r>
  <r>
    <n v="297"/>
    <x v="2"/>
    <n v="0"/>
  </r>
  <r>
    <n v="300"/>
    <x v="2"/>
    <n v="0"/>
  </r>
  <r>
    <n v="316"/>
    <x v="2"/>
    <n v="0"/>
  </r>
  <r>
    <n v="317"/>
    <x v="2"/>
    <n v="0"/>
  </r>
  <r>
    <n v="320"/>
    <x v="2"/>
    <n v="0"/>
  </r>
  <r>
    <n v="321"/>
    <x v="2"/>
    <n v="0"/>
  </r>
  <r>
    <n v="327"/>
    <x v="2"/>
    <n v="0"/>
  </r>
  <r>
    <n v="330"/>
    <x v="2"/>
    <n v="0"/>
  </r>
  <r>
    <n v="334"/>
    <x v="2"/>
    <n v="0"/>
  </r>
  <r>
    <n v="340"/>
    <x v="2"/>
    <n v="0"/>
  </r>
  <r>
    <n v="347"/>
    <x v="2"/>
    <n v="0"/>
  </r>
  <r>
    <n v="352"/>
    <x v="2"/>
    <n v="0"/>
  </r>
  <r>
    <n v="356"/>
    <x v="2"/>
    <n v="0"/>
  </r>
  <r>
    <n v="360"/>
    <x v="2"/>
    <n v="0"/>
  </r>
  <r>
    <n v="363"/>
    <x v="2"/>
    <n v="0"/>
  </r>
  <r>
    <n v="373"/>
    <x v="2"/>
    <n v="0"/>
  </r>
  <r>
    <n v="376"/>
    <x v="2"/>
    <n v="0"/>
  </r>
  <r>
    <n v="380"/>
    <x v="2"/>
    <n v="0"/>
  </r>
  <r>
    <n v="386"/>
    <x v="2"/>
    <n v="0"/>
  </r>
  <r>
    <n v="391"/>
    <x v="2"/>
    <n v="0"/>
  </r>
  <r>
    <n v="400"/>
    <x v="2"/>
    <n v="0"/>
  </r>
  <r>
    <n v="401"/>
    <x v="2"/>
    <n v="0"/>
  </r>
  <r>
    <n v="403"/>
    <x v="2"/>
    <n v="0"/>
  </r>
  <r>
    <n v="412"/>
    <x v="2"/>
    <n v="0"/>
  </r>
  <r>
    <n v="417"/>
    <x v="2"/>
    <n v="0"/>
  </r>
  <r>
    <n v="425"/>
    <x v="2"/>
    <n v="0"/>
  </r>
  <r>
    <n v="430"/>
    <x v="2"/>
    <n v="0"/>
  </r>
  <r>
    <n v="431"/>
    <x v="2"/>
    <n v="0"/>
  </r>
  <r>
    <n v="434"/>
    <x v="2"/>
    <n v="0"/>
  </r>
  <r>
    <n v="445"/>
    <x v="2"/>
    <n v="0"/>
  </r>
  <r>
    <n v="456"/>
    <x v="2"/>
    <n v="0"/>
  </r>
  <r>
    <n v="457"/>
    <x v="2"/>
    <n v="0"/>
  </r>
  <r>
    <n v="461"/>
    <x v="2"/>
    <n v="0"/>
  </r>
  <r>
    <n v="470"/>
    <x v="2"/>
    <n v="0"/>
  </r>
  <r>
    <n v="472"/>
    <x v="2"/>
    <n v="0"/>
  </r>
  <r>
    <n v="482"/>
    <x v="2"/>
    <n v="0"/>
  </r>
  <r>
    <n v="485"/>
    <x v="2"/>
    <n v="0"/>
  </r>
  <r>
    <n v="490"/>
    <x v="2"/>
    <n v="0"/>
  </r>
  <r>
    <n v="491"/>
    <x v="2"/>
    <n v="0"/>
  </r>
  <r>
    <n v="496"/>
    <x v="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E83489-326C-0D4E-98D3-9DD4B64DA6C6}" name="ClaimFrequencyDistribution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7" rowHeaderCaption="ClaimCount">
  <location ref="G4:H8" firstHeaderRow="1" firstDataRow="1" firstDataCol="1"/>
  <pivotFields count="3">
    <pivotField dataField="1" showAll="0"/>
    <pivotField axis="axisRow" showAll="0">
      <items count="21">
        <item x="2"/>
        <item x="1"/>
        <item x="0"/>
        <item m="1" x="3"/>
        <item m="1" x="4"/>
        <item m="1" x="7"/>
        <item m="1" x="9"/>
        <item m="1" x="10"/>
        <item m="1" x="11"/>
        <item m="1" x="12"/>
        <item m="1" x="13"/>
        <item m="1" x="5"/>
        <item m="1" x="14"/>
        <item m="1" x="8"/>
        <item m="1" x="6"/>
        <item m="1" x="15"/>
        <item m="1" x="16"/>
        <item m="1" x="17"/>
        <item m="1" x="18"/>
        <item m="1" x="19"/>
        <item t="default"/>
      </items>
    </pivotField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umberOfPolicies" fld="0" subtotal="count" baseField="0" baseItem="0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54A2DDD5-115D-E142-ADC1-B31DEE01F18A}" autoFormatId="16" applyNumberFormats="0" applyBorderFormats="0" applyFontFormats="0" applyPatternFormats="0" applyAlignmentFormats="0" applyWidthHeightFormats="0">
  <queryTableRefresh nextId="7">
    <queryTableFields count="3">
      <queryTableField id="1" name="PolicyID" tableColumnId="1"/>
      <queryTableField id="5" name="ClaimCount" tableColumnId="5"/>
      <queryTableField id="6" name="TotalClaimAmount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aimSimResults" backgroundRefresh="0" refreshOnLoad="1" connectionId="1" xr16:uid="{C1B424AA-EE86-9847-A984-07328903A40B}" autoFormatId="16" applyNumberFormats="0" applyBorderFormats="0" applyFontFormats="0" applyPatternFormats="0" applyAlignmentFormats="0" applyWidthHeightFormats="0">
  <queryTableRefresh nextId="13">
    <queryTableFields count="6">
      <queryTableField id="7" name="PolicyID" tableColumnId="7"/>
      <queryTableField id="8" name="ClaimAmount" tableColumnId="8"/>
      <queryTableField id="9" name="ClaimDate" tableColumnId="9"/>
      <queryTableField id="10" name="CleanedClaimAmountText" tableColumnId="10"/>
      <queryTableField id="11" name="ClaimAmountNumeric" tableColumnId="11"/>
      <queryTableField id="12" name="ValidClaimAmount" tableColumnId="12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ADE995-C071-3048-BEAA-4B3D5BDAC48B}" name="Table1" displayName="Table1" ref="C12:G13" totalsRowShown="0" headerRowDxfId="15" dataDxfId="14">
  <autoFilter ref="C12:G13" xr:uid="{39ADE995-C071-3048-BEAA-4B3D5BDAC4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F6FC60E-0885-1C4D-AE8F-6F88C4EDF7D2}" name="Distribution" dataDxfId="13"/>
    <tableColumn id="2" xr3:uid="{7A4CA58E-3D3F-344C-8CA6-9B018C99B905}" name="alpha" dataDxfId="12"/>
    <tableColumn id="3" xr3:uid="{BBFCFCE8-5220-FB48-AB68-4AB2B2980070}" name="theta" dataDxfId="11"/>
    <tableColumn id="4" xr3:uid="{6B4EA9C3-276F-B149-A226-02669DFF1507}" name="mu" dataDxfId="10"/>
    <tableColumn id="5" xr3:uid="{823BC13A-DE0E-F54E-AB4B-C02DF0C471AB}" name="sigma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D4B616-023E-6142-92C7-F801192610CB}" name="Table2" displayName="Table2" ref="C8:F9" totalsRowShown="0" headerRowDxfId="8" dataDxfId="7">
  <autoFilter ref="C8:F9" xr:uid="{D3D4B616-023E-6142-92C7-F801192610CB}">
    <filterColumn colId="0" hiddenButton="1"/>
    <filterColumn colId="1" hiddenButton="1"/>
    <filterColumn colId="2" hiddenButton="1"/>
    <filterColumn colId="3" hiddenButton="1"/>
  </autoFilter>
  <tableColumns count="4">
    <tableColumn id="1" xr3:uid="{4B3D08E4-E2FD-244F-8194-C553D6C728B6}" name="Distribution" dataDxfId="6"/>
    <tableColumn id="2" xr3:uid="{7CFF1423-B657-194C-A88D-9928997125D7}" name="lambda" dataDxfId="5"/>
    <tableColumn id="3" xr3:uid="{A2F8E966-51E7-5C42-85DC-404DC9EAE218}" name="p" dataDxfId="4"/>
    <tableColumn id="4" xr3:uid="{21B240FC-4FAC-B542-8377-3BE98D34D662}" name="trials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4B94C43-ED3E-7947-BA37-10C7899373ED}" name="Settings" displayName="Settings" ref="A4:C7" totalsRowShown="0" headerRowCellStyle="Normal">
  <autoFilter ref="A4:C7" xr:uid="{D4B94C43-ED3E-7947-BA37-10C7899373ED}"/>
  <tableColumns count="3">
    <tableColumn id="1" xr3:uid="{EC47AF9F-E8EB-3946-98BE-21817EF44FBE}" name="Setting"/>
    <tableColumn id="2" xr3:uid="{8424A42E-AA76-234C-9BD1-D9C71C4A8792}" name="Value"/>
    <tableColumn id="3" xr3:uid="{A8523DC1-1945-CD44-B82A-EEB83E13E903}" name="Note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D60C7A-11CB-D64A-9178-3665ED20C177}" name="TblPolicyLevelAggregate" displayName="TblPolicyLevelAggregate" ref="A1:C501" tableType="queryTable" totalsRowShown="0">
  <autoFilter ref="A1:C501" xr:uid="{6FD60C7A-11CB-D64A-9178-3665ED20C177}"/>
  <tableColumns count="3">
    <tableColumn id="1" xr3:uid="{5DE5B291-796D-7045-BFD1-5A9B4FB90FEE}" uniqueName="1" name="PolicyID" queryTableFieldId="1"/>
    <tableColumn id="5" xr3:uid="{8847E856-0F77-8A48-B37D-4CF5AF451F69}" uniqueName="5" name="ClaimCount" queryTableFieldId="5"/>
    <tableColumn id="2" xr3:uid="{8C80CA43-B24B-2640-9405-11039249EA3E}" uniqueName="2" name="TotalClaimAmount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67EFB8-5B12-C344-B64C-472EE147D7A0}" name="claimSimResults" displayName="claimSimResults" ref="A1:F552" tableType="queryTable" totalsRowShown="0">
  <autoFilter ref="A1:F552" xr:uid="{5D67EFB8-5B12-C344-B64C-472EE147D7A0}"/>
  <tableColumns count="6">
    <tableColumn id="7" xr3:uid="{D240BCFF-6850-0641-9C71-0DE04B630408}" uniqueName="7" name="PolicyID" queryTableFieldId="7"/>
    <tableColumn id="8" xr3:uid="{EC82ACD0-23E7-E444-81AB-9C1C4EE0ECFE}" uniqueName="8" name="ClaimAmount" queryTableFieldId="8" dataDxfId="2"/>
    <tableColumn id="9" xr3:uid="{6E1BE1DB-73BF-114D-B4CD-11D91104C0BA}" uniqueName="9" name="ClaimDate" queryTableFieldId="9" dataDxfId="0"/>
    <tableColumn id="10" xr3:uid="{57B99380-2615-4C46-8D84-866206D505EC}" uniqueName="10" name="CleanedClaimAmountText" queryTableFieldId="10" dataDxfId="1"/>
    <tableColumn id="11" xr3:uid="{283AA7ED-2A02-AF4C-9482-5D7BCD8BF7F1}" uniqueName="11" name="ClaimAmountNumeric" queryTableFieldId="11"/>
    <tableColumn id="12" xr3:uid="{2CE1C66C-B6F0-6E49-97C3-619604A4871F}" uniqueName="12" name="ValidClaimAmount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CED8-1116-8E40-AE04-F848954D45EF}">
  <sheetPr codeName="Sheet1"/>
  <dimension ref="C3:W33"/>
  <sheetViews>
    <sheetView showGridLines="0" tabSelected="1" zoomScale="86" zoomScaleNormal="100" workbookViewId="0">
      <selection activeCell="J17" sqref="J17"/>
    </sheetView>
  </sheetViews>
  <sheetFormatPr baseColWidth="10" defaultRowHeight="16" x14ac:dyDescent="0.2"/>
  <cols>
    <col min="1" max="1" width="10.83203125" style="8"/>
    <col min="2" max="2" width="3.83203125" style="8" customWidth="1"/>
    <col min="3" max="3" width="13.5" style="8" customWidth="1"/>
    <col min="4" max="4" width="15" style="8" bestFit="1" customWidth="1"/>
    <col min="5" max="5" width="10.83203125" style="8" customWidth="1"/>
    <col min="6" max="6" width="11" style="8" bestFit="1" customWidth="1"/>
    <col min="7" max="7" width="14" style="8" bestFit="1" customWidth="1"/>
    <col min="8" max="8" width="10.83203125" style="8" customWidth="1"/>
    <col min="9" max="9" width="10.83203125" style="8"/>
    <col min="10" max="10" width="10.83203125" style="8" customWidth="1"/>
    <col min="11" max="11" width="12.5" style="8" bestFit="1" customWidth="1"/>
    <col min="12" max="14" width="3.83203125" style="8" customWidth="1"/>
    <col min="15" max="15" width="10.83203125" style="8" customWidth="1"/>
    <col min="16" max="16" width="15" style="8" bestFit="1" customWidth="1"/>
    <col min="17" max="17" width="10.83203125" style="8"/>
    <col min="18" max="18" width="11" style="8" bestFit="1" customWidth="1"/>
    <col min="19" max="19" width="10.83203125" style="8" customWidth="1"/>
    <col min="20" max="20" width="15.33203125" style="8" bestFit="1" customWidth="1"/>
    <col min="21" max="21" width="10.83203125" style="8"/>
    <col min="22" max="22" width="11" style="8" bestFit="1" customWidth="1"/>
    <col min="23" max="23" width="13.6640625" style="8" bestFit="1" customWidth="1"/>
    <col min="24" max="24" width="3.83203125" style="8" customWidth="1"/>
    <col min="25" max="27" width="10.83203125" style="8"/>
    <col min="28" max="29" width="10.83203125" style="8" customWidth="1"/>
    <col min="30" max="31" width="10.83203125" style="8"/>
    <col min="32" max="32" width="10.83203125" style="8" customWidth="1"/>
    <col min="33" max="33" width="10.83203125" style="8"/>
    <col min="34" max="35" width="10.83203125" style="8" customWidth="1"/>
    <col min="36" max="16384" width="10.83203125" style="8"/>
  </cols>
  <sheetData>
    <row r="3" spans="3:23" ht="28" thickBot="1" x14ac:dyDescent="0.4">
      <c r="C3" s="30" t="s">
        <v>62</v>
      </c>
      <c r="D3" s="31"/>
      <c r="E3" s="31"/>
      <c r="F3" s="31"/>
      <c r="G3" s="31"/>
      <c r="H3" s="31"/>
      <c r="I3" s="31"/>
      <c r="J3" s="31"/>
      <c r="K3"/>
      <c r="L3" s="7"/>
      <c r="M3" s="7"/>
      <c r="O3" s="28" t="s">
        <v>44</v>
      </c>
      <c r="P3" s="28"/>
      <c r="Q3" s="28"/>
      <c r="R3" s="28"/>
      <c r="S3" s="28"/>
      <c r="T3" s="28"/>
      <c r="U3" s="28"/>
      <c r="V3" s="28"/>
      <c r="W3" s="28"/>
    </row>
    <row r="4" spans="3:23" ht="17" thickTop="1" x14ac:dyDescent="0.2"/>
    <row r="6" spans="3:23" ht="19" x14ac:dyDescent="0.25">
      <c r="O6" s="29" t="s">
        <v>16</v>
      </c>
      <c r="P6" s="29"/>
      <c r="Q6" s="9"/>
    </row>
    <row r="7" spans="3:23" ht="19" x14ac:dyDescent="0.25">
      <c r="C7" s="24" t="s">
        <v>44</v>
      </c>
      <c r="O7" s="18" t="s">
        <v>17</v>
      </c>
      <c r="P7" s="32">
        <f>AVERAGE(TblPolicyLevelAggregate[ClaimCount])</f>
        <v>1.1020000000000001</v>
      </c>
    </row>
    <row r="8" spans="3:23" x14ac:dyDescent="0.2">
      <c r="C8" s="8" t="s">
        <v>3</v>
      </c>
      <c r="D8" s="8" t="s">
        <v>4</v>
      </c>
      <c r="E8" s="8" t="s">
        <v>5</v>
      </c>
      <c r="F8" s="8" t="s">
        <v>15</v>
      </c>
      <c r="H8" s="26"/>
      <c r="O8" s="16" t="s">
        <v>48</v>
      </c>
      <c r="P8" s="33">
        <f>MEDIAN(TblPolicyLevelAggregate[ClaimCount])</f>
        <v>1</v>
      </c>
    </row>
    <row r="9" spans="3:23" x14ac:dyDescent="0.2">
      <c r="C9" t="s">
        <v>56</v>
      </c>
      <c r="D9" s="8">
        <v>1</v>
      </c>
      <c r="E9" s="8">
        <v>0.54</v>
      </c>
      <c r="F9" s="8">
        <v>2</v>
      </c>
      <c r="O9" s="18" t="s">
        <v>18</v>
      </c>
      <c r="P9" s="32">
        <f>_xlfn.STDEV.S(TblPolicyLevelAggregate[ClaimCount])</f>
        <v>0.69610712556367438</v>
      </c>
    </row>
    <row r="10" spans="3:23" x14ac:dyDescent="0.2">
      <c r="O10" s="16" t="s">
        <v>32</v>
      </c>
      <c r="P10" s="33">
        <f>MIN(TblPolicyLevelAggregate[ClaimCount])</f>
        <v>0</v>
      </c>
    </row>
    <row r="11" spans="3:23" ht="19" x14ac:dyDescent="0.25">
      <c r="C11" s="24" t="s">
        <v>45</v>
      </c>
      <c r="O11" s="18" t="s">
        <v>33</v>
      </c>
      <c r="P11" s="32">
        <f>MAX(TblPolicyLevelAggregate[ClaimCount])</f>
        <v>2</v>
      </c>
    </row>
    <row r="12" spans="3:23" x14ac:dyDescent="0.2">
      <c r="C12" s="8" t="s">
        <v>3</v>
      </c>
      <c r="D12" s="8" t="s">
        <v>6</v>
      </c>
      <c r="E12" s="8" t="s">
        <v>7</v>
      </c>
      <c r="F12" s="8" t="s">
        <v>8</v>
      </c>
      <c r="G12" s="8" t="s">
        <v>9</v>
      </c>
      <c r="J12" s="27"/>
      <c r="O12" s="16" t="s">
        <v>47</v>
      </c>
      <c r="P12" s="33">
        <f>COUNTIF(TblPolicyLevelAggregate[ClaimCount], "=0")</f>
        <v>98</v>
      </c>
    </row>
    <row r="13" spans="3:23" x14ac:dyDescent="0.2">
      <c r="C13" s="8" t="s">
        <v>61</v>
      </c>
      <c r="D13" s="8">
        <v>2</v>
      </c>
      <c r="E13" s="8">
        <v>11</v>
      </c>
      <c r="F13" s="8">
        <v>10</v>
      </c>
      <c r="G13" s="8">
        <v>3</v>
      </c>
      <c r="O13" s="18" t="s">
        <v>34</v>
      </c>
      <c r="P13" s="32">
        <f>COUNT(claimSimResults[PolicyID])</f>
        <v>551</v>
      </c>
    </row>
    <row r="15" spans="3:23" x14ac:dyDescent="0.2">
      <c r="O15" s="11" t="s">
        <v>55</v>
      </c>
      <c r="P15" s="11" t="s">
        <v>54</v>
      </c>
    </row>
    <row r="16" spans="3:23" x14ac:dyDescent="0.2">
      <c r="O16" s="12">
        <v>25</v>
      </c>
      <c r="P16" s="16">
        <f>_xlfn.PERCENTILE.EXC(TblPolicyLevelAggregate[ClaimCount], O16/100)</f>
        <v>1</v>
      </c>
    </row>
    <row r="17" spans="3:23" ht="19" x14ac:dyDescent="0.25">
      <c r="C17" s="25" t="s">
        <v>58</v>
      </c>
      <c r="O17" s="14">
        <v>50</v>
      </c>
      <c r="P17" s="18">
        <f>_xlfn.PERCENTILE.EXC(TblPolicyLevelAggregate[ClaimCount], O17/100)</f>
        <v>1</v>
      </c>
    </row>
    <row r="18" spans="3:23" ht="19" x14ac:dyDescent="0.25">
      <c r="C18" s="25" t="s">
        <v>59</v>
      </c>
      <c r="O18" s="12">
        <v>75</v>
      </c>
      <c r="P18" s="16">
        <f>_xlfn.PERCENTILE.EXC(TblPolicyLevelAggregate[ClaimCount], O18/100)</f>
        <v>2</v>
      </c>
    </row>
    <row r="19" spans="3:23" ht="19" x14ac:dyDescent="0.25">
      <c r="C19" s="25" t="s">
        <v>60</v>
      </c>
      <c r="O19" s="14">
        <v>90</v>
      </c>
      <c r="P19" s="18">
        <f>_xlfn.PERCENTILE.EXC(TblPolicyLevelAggregate[ClaimCount], O19/100)</f>
        <v>2</v>
      </c>
    </row>
    <row r="20" spans="3:23" x14ac:dyDescent="0.2">
      <c r="O20" s="12">
        <v>99</v>
      </c>
      <c r="P20" s="16">
        <f>_xlfn.PERCENTILE.EXC(TblPolicyLevelAggregate[ClaimCount], O20/100)</f>
        <v>2</v>
      </c>
    </row>
    <row r="21" spans="3:23" x14ac:dyDescent="0.2">
      <c r="O21" s="7"/>
    </row>
    <row r="22" spans="3:23" x14ac:dyDescent="0.2">
      <c r="O22" s="7"/>
    </row>
    <row r="24" spans="3:23" ht="27" x14ac:dyDescent="0.35">
      <c r="C24" s="28" t="s">
        <v>45</v>
      </c>
      <c r="D24" s="28"/>
      <c r="E24" s="28"/>
      <c r="F24" s="28"/>
      <c r="G24" s="28"/>
      <c r="H24" s="28"/>
      <c r="I24" s="28"/>
      <c r="J24" s="28"/>
      <c r="K24" s="28"/>
      <c r="L24" s="7"/>
      <c r="M24" s="7"/>
      <c r="O24" s="28" t="s">
        <v>57</v>
      </c>
      <c r="P24" s="28"/>
      <c r="Q24" s="28"/>
      <c r="R24" s="28"/>
      <c r="S24" s="28"/>
      <c r="T24" s="28"/>
      <c r="U24" s="28"/>
      <c r="V24" s="28"/>
      <c r="W24" s="28"/>
    </row>
    <row r="27" spans="3:23" ht="19" x14ac:dyDescent="0.25">
      <c r="C27" s="29" t="s">
        <v>16</v>
      </c>
      <c r="D27" s="29"/>
      <c r="F27" s="29" t="s">
        <v>35</v>
      </c>
      <c r="G27" s="29"/>
      <c r="H27" s="29"/>
      <c r="O27" s="29" t="s">
        <v>16</v>
      </c>
      <c r="P27" s="29"/>
      <c r="R27" s="29" t="s">
        <v>38</v>
      </c>
      <c r="S27" s="29"/>
      <c r="T27" s="29"/>
    </row>
    <row r="28" spans="3:23" x14ac:dyDescent="0.2">
      <c r="C28" s="18" t="s">
        <v>17</v>
      </c>
      <c r="D28" s="19">
        <f>AVERAGE(claimSimResults[ValidClaimAmount])</f>
        <v>171353.04235936032</v>
      </c>
      <c r="F28" s="11" t="s">
        <v>53</v>
      </c>
      <c r="G28" s="11" t="s">
        <v>51</v>
      </c>
      <c r="H28" s="11" t="s">
        <v>52</v>
      </c>
      <c r="J28" s="11" t="s">
        <v>55</v>
      </c>
      <c r="K28" s="11" t="s">
        <v>51</v>
      </c>
      <c r="O28" s="18" t="s">
        <v>17</v>
      </c>
      <c r="P28" s="19">
        <f>AVERAGE(TblPolicyLevelAggregate[TotalClaimAmount])</f>
        <v>188831.05268001513</v>
      </c>
      <c r="R28" s="11" t="s">
        <v>53</v>
      </c>
      <c r="S28" s="11" t="s">
        <v>54</v>
      </c>
      <c r="T28" s="11" t="s">
        <v>39</v>
      </c>
      <c r="V28" s="11" t="s">
        <v>55</v>
      </c>
      <c r="W28" s="11" t="s">
        <v>39</v>
      </c>
    </row>
    <row r="29" spans="3:23" x14ac:dyDescent="0.2">
      <c r="C29" s="16" t="s">
        <v>48</v>
      </c>
      <c r="D29" s="23">
        <f>MEDIAN(claimSimResults[ValidClaimAmount])</f>
        <v>26057.220826949298</v>
      </c>
      <c r="F29" s="12" cm="1">
        <f t="array" ref="F29:H33">INDEX(_xlfn.CHOOSECOLS(
    _xlfn.SORTBY(claimSimResults[], claimSimResults[ValidClaimAmount], -1),
    MATCH("PolicyID", claimSimResults[#Headers], 0), MATCH("ValidClaimAmount", claimSimResults[#Headers], 0), MATCH("ClaimDate", claimSimResults[#Headers], 0)
), _xlfn.SEQUENCE(5), {1,2,3})</f>
        <v>2</v>
      </c>
      <c r="G29" s="17">
        <v>1000000</v>
      </c>
      <c r="H29" s="20">
        <v>45539</v>
      </c>
      <c r="J29" s="12">
        <v>25</v>
      </c>
      <c r="K29" s="17">
        <f>_xlfn.PERCENTILE.EXC(claimSimResults[ValidClaimAmount], J29/100)</f>
        <v>3439.5777339605902</v>
      </c>
      <c r="L29" s="10"/>
      <c r="M29" s="10"/>
      <c r="O29" s="16" t="s">
        <v>18</v>
      </c>
      <c r="P29" s="23">
        <f>_xlfn.STDEV.S(TblPolicyLevelAggregate[TotalClaimAmount])</f>
        <v>332318.6900074514</v>
      </c>
      <c r="R29" s="12" cm="1">
        <f t="array" ref="R29:T33">INDEX(_xlfn._xlws.SORT(TblPolicyLevelAggregate[], 3, -1), _xlfn.SEQUENCE(5), {1,2,3})</f>
        <v>64</v>
      </c>
      <c r="S29" s="12">
        <v>2</v>
      </c>
      <c r="T29" s="13">
        <v>1693380.8662473639</v>
      </c>
      <c r="V29" s="12">
        <v>25</v>
      </c>
      <c r="W29" s="13">
        <f>_xlfn.PERCENTILE.EXC(TblPolicyLevelAggregate[TotalClaimAmount], V29/100)</f>
        <v>385.06350700085898</v>
      </c>
    </row>
    <row r="30" spans="3:23" x14ac:dyDescent="0.2">
      <c r="C30" s="18" t="s">
        <v>18</v>
      </c>
      <c r="D30" s="19">
        <f>_xlfn.STDEV.S(claimSimResults[ValidClaimAmount])</f>
        <v>301297.22092569509</v>
      </c>
      <c r="F30" s="14">
        <v>10</v>
      </c>
      <c r="G30" s="19">
        <v>1000000</v>
      </c>
      <c r="H30" s="21">
        <v>45399</v>
      </c>
      <c r="J30" s="14">
        <v>50</v>
      </c>
      <c r="K30" s="19">
        <f>_xlfn.PERCENTILE.EXC(claimSimResults[ValidClaimAmount], J30/100)</f>
        <v>26057.220826949298</v>
      </c>
      <c r="L30" s="10"/>
      <c r="M30" s="10"/>
      <c r="O30" s="18" t="s">
        <v>32</v>
      </c>
      <c r="P30" s="22">
        <f>MIN(TblPolicyLevelAggregate[TotalClaimAmount])</f>
        <v>0</v>
      </c>
      <c r="R30" s="14">
        <v>243</v>
      </c>
      <c r="S30" s="14">
        <v>2</v>
      </c>
      <c r="T30" s="15">
        <v>1561802.5961819971</v>
      </c>
      <c r="V30" s="14">
        <v>50</v>
      </c>
      <c r="W30" s="15">
        <f>_xlfn.PERCENTILE.EXC(TblPolicyLevelAggregate[TotalClaimAmount], V30/100)</f>
        <v>20852.054532904338</v>
      </c>
    </row>
    <row r="31" spans="3:23" x14ac:dyDescent="0.2">
      <c r="C31" s="16" t="s">
        <v>32</v>
      </c>
      <c r="D31" s="23">
        <f>MIN(claimSimResults[ValidClaimAmount])</f>
        <v>6.81792368971192</v>
      </c>
      <c r="F31" s="12">
        <v>30</v>
      </c>
      <c r="G31" s="17">
        <v>1000000</v>
      </c>
      <c r="H31" s="20">
        <v>45328</v>
      </c>
      <c r="J31" s="12">
        <v>75</v>
      </c>
      <c r="K31" s="17">
        <f>_xlfn.PERCENTILE.EXC(claimSimResults[ValidClaimAmount], J31/100)</f>
        <v>159396.155683852</v>
      </c>
      <c r="L31" s="10"/>
      <c r="M31" s="10"/>
      <c r="O31" s="16" t="s">
        <v>33</v>
      </c>
      <c r="P31" s="23">
        <f>MAX(TblPolicyLevelAggregate[TotalClaimAmount])</f>
        <v>1693380.8662473639</v>
      </c>
      <c r="R31" s="12">
        <v>155</v>
      </c>
      <c r="S31" s="12">
        <v>2</v>
      </c>
      <c r="T31" s="13">
        <v>1370939.897626701</v>
      </c>
      <c r="V31" s="12">
        <v>75</v>
      </c>
      <c r="W31" s="13">
        <f>_xlfn.PERCENTILE.EXC(TblPolicyLevelAggregate[TotalClaimAmount], V31/100)</f>
        <v>188524.29885269975</v>
      </c>
    </row>
    <row r="32" spans="3:23" x14ac:dyDescent="0.2">
      <c r="C32" s="18" t="s">
        <v>33</v>
      </c>
      <c r="D32" s="19">
        <f>MAX(claimSimResults[ValidClaimAmount])</f>
        <v>1000000</v>
      </c>
      <c r="F32" s="14">
        <v>39</v>
      </c>
      <c r="G32" s="19">
        <v>1000000</v>
      </c>
      <c r="H32" s="21">
        <v>45617</v>
      </c>
      <c r="J32" s="14">
        <v>90</v>
      </c>
      <c r="K32" s="19">
        <f>_xlfn.PERCENTILE.EXC(claimSimResults[ValidClaimAmount], J32/100)</f>
        <v>765850.45490929775</v>
      </c>
      <c r="L32" s="10"/>
      <c r="M32" s="10"/>
      <c r="O32" s="18" t="s">
        <v>49</v>
      </c>
      <c r="P32" s="18">
        <f>SUM(TblPolicyLevelAggregate[ClaimCount])</f>
        <v>551</v>
      </c>
      <c r="R32" s="14">
        <v>344</v>
      </c>
      <c r="S32" s="14">
        <v>2</v>
      </c>
      <c r="T32" s="15">
        <v>1241060.19974872</v>
      </c>
      <c r="V32" s="14">
        <v>90</v>
      </c>
      <c r="W32" s="15">
        <f>_xlfn.PERCENTILE.EXC(TblPolicyLevelAggregate[TotalClaimAmount], V32/100)</f>
        <v>915033.7154518154</v>
      </c>
    </row>
    <row r="33" spans="3:23" x14ac:dyDescent="0.2">
      <c r="C33" s="16" t="s">
        <v>46</v>
      </c>
      <c r="D33" s="23">
        <f>SUM(claimSimResults[ValidClaimAmount])</f>
        <v>94415526.340007529</v>
      </c>
      <c r="F33" s="12">
        <v>43</v>
      </c>
      <c r="G33" s="17">
        <v>1000000</v>
      </c>
      <c r="H33" s="20">
        <v>45535</v>
      </c>
      <c r="J33" s="12">
        <v>99</v>
      </c>
      <c r="K33" s="17">
        <f>_xlfn.PERCENTILE.EXC(claimSimResults[ValidClaimAmount], J33/100)</f>
        <v>1000000</v>
      </c>
      <c r="L33" s="10"/>
      <c r="M33" s="10"/>
      <c r="O33" s="16" t="s">
        <v>50</v>
      </c>
      <c r="P33" s="23">
        <f>SUM(TblPolicyLevelAggregate[TotalClaimAmount])</f>
        <v>94415526.340007558</v>
      </c>
      <c r="R33" s="12">
        <v>318</v>
      </c>
      <c r="S33" s="12">
        <v>2</v>
      </c>
      <c r="T33" s="13">
        <v>1235244.236662714</v>
      </c>
      <c r="V33" s="12">
        <v>99</v>
      </c>
      <c r="W33" s="13">
        <f>_xlfn.PERCENTILE.EXC(TblPolicyLevelAggregate[TotalClaimAmount], V33/100)</f>
        <v>1234693.0934313866</v>
      </c>
    </row>
  </sheetData>
  <mergeCells count="9">
    <mergeCell ref="O24:W24"/>
    <mergeCell ref="O3:W3"/>
    <mergeCell ref="C24:K24"/>
    <mergeCell ref="C27:D27"/>
    <mergeCell ref="F27:H27"/>
    <mergeCell ref="O27:P27"/>
    <mergeCell ref="R27:T27"/>
    <mergeCell ref="O6:P6"/>
    <mergeCell ref="C3:J3"/>
  </mergeCells>
  <conditionalFormatting sqref="D8:D9">
    <cfRule type="expression" dxfId="19" priority="4" stopIfTrue="1">
      <formula>$C$9&lt;&gt;"Poisson"</formula>
    </cfRule>
  </conditionalFormatting>
  <conditionalFormatting sqref="E8:F9">
    <cfRule type="expression" dxfId="18" priority="3">
      <formula>$C$9&lt;&gt;"Binomial"</formula>
    </cfRule>
  </conditionalFormatting>
  <conditionalFormatting sqref="D12:E13">
    <cfRule type="expression" dxfId="17" priority="2">
      <formula>$C$13&lt;&gt;"Gamma"</formula>
    </cfRule>
  </conditionalFormatting>
  <conditionalFormatting sqref="F12:G13">
    <cfRule type="expression" dxfId="16" priority="1">
      <formula>$C$13&lt;&gt;"Lognormal"</formula>
    </cfRule>
  </conditionalFormatting>
  <dataValidations disablePrompts="1" count="3">
    <dataValidation type="list" showInputMessage="1" showErrorMessage="1" promptTitle="Poisson by default" sqref="C9" xr:uid="{D1411DE7-65CB-C84B-88A4-5928A841D417}">
      <formula1>"Poisson,Binomial"</formula1>
    </dataValidation>
    <dataValidation type="list" showInputMessage="1" showErrorMessage="1" promptTitle="Poisson by default" sqref="C13" xr:uid="{BC5627C4-B098-D145-8BA5-B12B31C0A91B}">
      <formula1>"Gamma,Lognormal"</formula1>
    </dataValidation>
    <dataValidation type="decimal" allowBlank="1" showInputMessage="1" showErrorMessage="1" sqref="J29:J33 V29:V33 O16:O23" xr:uid="{0830D58D-9A76-A548-BD30-8712FA863F92}">
      <formula1>1</formula1>
      <formula2>99</formula2>
    </dataValidation>
  </dataValidations>
  <pageMargins left="0.7" right="0.7" top="0.75" bottom="0.75" header="0.3" footer="0.3"/>
  <pageSetup scale="5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locked="0" defaultSize="0" print="0" autoFill="0" autoPict="0" macro="[0]!RunRScript">
                <anchor moveWithCells="1" sizeWithCells="1">
                  <from>
                    <xdr:col>8</xdr:col>
                    <xdr:colOff>393700</xdr:colOff>
                    <xdr:row>5</xdr:row>
                    <xdr:rowOff>190500</xdr:rowOff>
                  </from>
                  <to>
                    <xdr:col>10</xdr:col>
                    <xdr:colOff>812800</xdr:colOff>
                    <xdr:row>8</xdr:row>
                    <xdr:rowOff>63500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2A24A-ABF7-384B-A260-9AFA443BB715}">
  <sheetPr codeName="Sheet3"/>
  <dimension ref="A4:C7"/>
  <sheetViews>
    <sheetView workbookViewId="0">
      <selection activeCell="C24" sqref="C24"/>
    </sheetView>
  </sheetViews>
  <sheetFormatPr baseColWidth="10" defaultRowHeight="16" x14ac:dyDescent="0.2"/>
  <cols>
    <col min="1" max="1" width="26.1640625" customWidth="1"/>
    <col min="2" max="2" width="65.33203125" customWidth="1"/>
    <col min="3" max="3" width="72.1640625" customWidth="1"/>
  </cols>
  <sheetData>
    <row r="4" spans="1:3" x14ac:dyDescent="0.2">
      <c r="A4" t="s">
        <v>12</v>
      </c>
      <c r="B4" t="s">
        <v>13</v>
      </c>
      <c r="C4" t="s">
        <v>14</v>
      </c>
    </row>
    <row r="5" spans="1:3" x14ac:dyDescent="0.2">
      <c r="A5" s="3" t="s">
        <v>10</v>
      </c>
      <c r="B5" s="3" t="s">
        <v>11</v>
      </c>
      <c r="C5" s="3" t="s">
        <v>26</v>
      </c>
    </row>
    <row r="6" spans="1:3" x14ac:dyDescent="0.2">
      <c r="A6" t="s">
        <v>19</v>
      </c>
      <c r="B6">
        <v>500</v>
      </c>
      <c r="C6" t="s">
        <v>20</v>
      </c>
    </row>
    <row r="7" spans="1:3" x14ac:dyDescent="0.2">
      <c r="A7" t="s">
        <v>21</v>
      </c>
      <c r="B7">
        <v>1000000</v>
      </c>
      <c r="C7" t="s">
        <v>22</v>
      </c>
    </row>
  </sheetData>
  <dataValidations count="1">
    <dataValidation type="decimal" operator="greaterThan" allowBlank="1" showInputMessage="1" showErrorMessage="1" sqref="B7" xr:uid="{D63AF2E0-E563-FD4E-ABFA-E3D07213A7AA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2A0CB-66C4-BD4E-9D35-B5ED9E0C9744}">
  <sheetPr codeName="Sheet4"/>
  <dimension ref="A1:K501"/>
  <sheetViews>
    <sheetView workbookViewId="0">
      <selection activeCell="H20" sqref="H20"/>
    </sheetView>
  </sheetViews>
  <sheetFormatPr baseColWidth="10" defaultRowHeight="16" x14ac:dyDescent="0.2"/>
  <cols>
    <col min="1" max="1" width="10.5" bestFit="1" customWidth="1"/>
    <col min="2" max="2" width="13.6640625" bestFit="1" customWidth="1"/>
    <col min="3" max="3" width="19.33203125" bestFit="1" customWidth="1"/>
    <col min="4" max="4" width="12.6640625" bestFit="1" customWidth="1"/>
    <col min="5" max="5" width="19.5" bestFit="1" customWidth="1"/>
    <col min="6" max="6" width="10.5" bestFit="1" customWidth="1"/>
    <col min="7" max="7" width="13.6640625" bestFit="1" customWidth="1"/>
    <col min="8" max="8" width="16.6640625" bestFit="1" customWidth="1"/>
    <col min="9" max="10" width="13" bestFit="1" customWidth="1"/>
    <col min="11" max="11" width="15.33203125" bestFit="1" customWidth="1"/>
  </cols>
  <sheetData>
    <row r="1" spans="1:11" x14ac:dyDescent="0.2">
      <c r="A1" t="s">
        <v>0</v>
      </c>
      <c r="B1" t="s">
        <v>28</v>
      </c>
      <c r="C1" t="s">
        <v>36</v>
      </c>
    </row>
    <row r="2" spans="1:11" x14ac:dyDescent="0.2">
      <c r="A2">
        <v>1</v>
      </c>
      <c r="B2">
        <v>2</v>
      </c>
      <c r="C2">
        <v>11220.14145499643</v>
      </c>
    </row>
    <row r="3" spans="1:11" x14ac:dyDescent="0.2">
      <c r="A3">
        <v>2</v>
      </c>
      <c r="B3">
        <v>1</v>
      </c>
      <c r="C3">
        <v>1000000</v>
      </c>
      <c r="J3" s="4"/>
      <c r="K3" s="4"/>
    </row>
    <row r="4" spans="1:11" x14ac:dyDescent="0.2">
      <c r="A4">
        <v>3</v>
      </c>
      <c r="B4">
        <v>1</v>
      </c>
      <c r="C4">
        <v>342.15509677356499</v>
      </c>
      <c r="G4" s="5" t="s">
        <v>28</v>
      </c>
      <c r="H4" t="s">
        <v>29</v>
      </c>
      <c r="J4" s="4"/>
      <c r="K4" s="4"/>
    </row>
    <row r="5" spans="1:11" x14ac:dyDescent="0.2">
      <c r="A5">
        <v>6</v>
      </c>
      <c r="B5">
        <v>2</v>
      </c>
      <c r="C5">
        <v>161794.89700973881</v>
      </c>
      <c r="G5" s="6">
        <v>0</v>
      </c>
      <c r="H5" s="34">
        <v>98</v>
      </c>
      <c r="J5" s="4"/>
      <c r="K5" s="4"/>
    </row>
    <row r="6" spans="1:11" x14ac:dyDescent="0.2">
      <c r="A6">
        <v>7</v>
      </c>
      <c r="B6">
        <v>1</v>
      </c>
      <c r="C6">
        <v>4613.0662606143196</v>
      </c>
      <c r="G6" s="6">
        <v>1</v>
      </c>
      <c r="H6" s="34">
        <v>253</v>
      </c>
      <c r="J6" s="4"/>
      <c r="K6" s="4"/>
    </row>
    <row r="7" spans="1:11" x14ac:dyDescent="0.2">
      <c r="A7">
        <v>9</v>
      </c>
      <c r="B7">
        <v>1</v>
      </c>
      <c r="C7">
        <v>88860.700462814202</v>
      </c>
      <c r="G7" s="6">
        <v>2</v>
      </c>
      <c r="H7" s="34">
        <v>149</v>
      </c>
    </row>
    <row r="8" spans="1:11" x14ac:dyDescent="0.2">
      <c r="A8">
        <v>10</v>
      </c>
      <c r="B8">
        <v>1</v>
      </c>
      <c r="C8">
        <v>1000000</v>
      </c>
      <c r="G8" s="6" t="s">
        <v>27</v>
      </c>
      <c r="H8" s="34">
        <v>500</v>
      </c>
    </row>
    <row r="9" spans="1:11" x14ac:dyDescent="0.2">
      <c r="A9">
        <v>12</v>
      </c>
      <c r="B9">
        <v>1</v>
      </c>
      <c r="C9">
        <v>95534.331363986101</v>
      </c>
    </row>
    <row r="10" spans="1:11" x14ac:dyDescent="0.2">
      <c r="A10">
        <v>13</v>
      </c>
      <c r="B10">
        <v>1</v>
      </c>
      <c r="C10">
        <v>113.342908634775</v>
      </c>
    </row>
    <row r="11" spans="1:11" x14ac:dyDescent="0.2">
      <c r="A11">
        <v>14</v>
      </c>
      <c r="B11">
        <v>1</v>
      </c>
      <c r="C11">
        <v>382172.22502550803</v>
      </c>
    </row>
    <row r="12" spans="1:11" x14ac:dyDescent="0.2">
      <c r="A12">
        <v>15</v>
      </c>
      <c r="B12">
        <v>2</v>
      </c>
      <c r="C12">
        <v>673278.82999947295</v>
      </c>
    </row>
    <row r="13" spans="1:11" x14ac:dyDescent="0.2">
      <c r="A13">
        <v>17</v>
      </c>
      <c r="B13">
        <v>2</v>
      </c>
      <c r="C13">
        <v>282128.32526222407</v>
      </c>
    </row>
    <row r="14" spans="1:11" x14ac:dyDescent="0.2">
      <c r="A14">
        <v>18</v>
      </c>
      <c r="B14">
        <v>2</v>
      </c>
      <c r="C14">
        <v>107125.71150994669</v>
      </c>
    </row>
    <row r="15" spans="1:11" x14ac:dyDescent="0.2">
      <c r="A15">
        <v>19</v>
      </c>
      <c r="B15">
        <v>1</v>
      </c>
      <c r="C15">
        <v>148.05364987654499</v>
      </c>
    </row>
    <row r="16" spans="1:11" x14ac:dyDescent="0.2">
      <c r="A16">
        <v>22</v>
      </c>
      <c r="B16">
        <v>1</v>
      </c>
      <c r="C16">
        <v>1784.1496272916199</v>
      </c>
    </row>
    <row r="17" spans="1:3" x14ac:dyDescent="0.2">
      <c r="A17">
        <v>23</v>
      </c>
      <c r="B17">
        <v>1</v>
      </c>
      <c r="C17">
        <v>9927.3129791768097</v>
      </c>
    </row>
    <row r="18" spans="1:3" x14ac:dyDescent="0.2">
      <c r="A18">
        <v>25</v>
      </c>
      <c r="B18">
        <v>1</v>
      </c>
      <c r="C18">
        <v>808655.00215279695</v>
      </c>
    </row>
    <row r="19" spans="1:3" x14ac:dyDescent="0.2">
      <c r="A19">
        <v>26</v>
      </c>
      <c r="B19">
        <v>1</v>
      </c>
      <c r="C19">
        <v>12343.424183848099</v>
      </c>
    </row>
    <row r="20" spans="1:3" x14ac:dyDescent="0.2">
      <c r="A20">
        <v>27</v>
      </c>
      <c r="B20">
        <v>1</v>
      </c>
      <c r="C20">
        <v>36468.208194553001</v>
      </c>
    </row>
    <row r="21" spans="1:3" x14ac:dyDescent="0.2">
      <c r="A21">
        <v>28</v>
      </c>
      <c r="B21">
        <v>1</v>
      </c>
      <c r="C21">
        <v>316593.20196569001</v>
      </c>
    </row>
    <row r="22" spans="1:3" x14ac:dyDescent="0.2">
      <c r="A22">
        <v>29</v>
      </c>
      <c r="B22">
        <v>2</v>
      </c>
      <c r="C22">
        <v>687947.65076245938</v>
      </c>
    </row>
    <row r="23" spans="1:3" x14ac:dyDescent="0.2">
      <c r="A23">
        <v>30</v>
      </c>
      <c r="B23">
        <v>2</v>
      </c>
      <c r="C23">
        <v>1026905.9468269371</v>
      </c>
    </row>
    <row r="24" spans="1:3" x14ac:dyDescent="0.2">
      <c r="A24">
        <v>33</v>
      </c>
      <c r="B24">
        <v>1</v>
      </c>
      <c r="C24">
        <v>6260.8527275712104</v>
      </c>
    </row>
    <row r="25" spans="1:3" x14ac:dyDescent="0.2">
      <c r="A25">
        <v>35</v>
      </c>
      <c r="B25">
        <v>2</v>
      </c>
      <c r="C25">
        <v>4879.6421323860795</v>
      </c>
    </row>
    <row r="26" spans="1:3" x14ac:dyDescent="0.2">
      <c r="A26">
        <v>36</v>
      </c>
      <c r="B26">
        <v>1</v>
      </c>
      <c r="C26">
        <v>936.79095964284602</v>
      </c>
    </row>
    <row r="27" spans="1:3" x14ac:dyDescent="0.2">
      <c r="A27">
        <v>37</v>
      </c>
      <c r="B27">
        <v>1</v>
      </c>
      <c r="C27">
        <v>8412.7884125947603</v>
      </c>
    </row>
    <row r="28" spans="1:3" x14ac:dyDescent="0.2">
      <c r="A28">
        <v>38</v>
      </c>
      <c r="B28">
        <v>2</v>
      </c>
      <c r="C28">
        <v>41655.891140498752</v>
      </c>
    </row>
    <row r="29" spans="1:3" x14ac:dyDescent="0.2">
      <c r="A29">
        <v>39</v>
      </c>
      <c r="B29">
        <v>1</v>
      </c>
      <c r="C29">
        <v>1000000</v>
      </c>
    </row>
    <row r="30" spans="1:3" x14ac:dyDescent="0.2">
      <c r="A30">
        <v>40</v>
      </c>
      <c r="B30">
        <v>2</v>
      </c>
      <c r="C30">
        <v>615488.98728472774</v>
      </c>
    </row>
    <row r="31" spans="1:3" x14ac:dyDescent="0.2">
      <c r="A31">
        <v>41</v>
      </c>
      <c r="B31">
        <v>2</v>
      </c>
      <c r="C31">
        <v>501238.57260445924</v>
      </c>
    </row>
    <row r="32" spans="1:3" x14ac:dyDescent="0.2">
      <c r="A32">
        <v>42</v>
      </c>
      <c r="B32">
        <v>1</v>
      </c>
      <c r="C32">
        <v>138012.30585419599</v>
      </c>
    </row>
    <row r="33" spans="1:3" x14ac:dyDescent="0.2">
      <c r="A33">
        <v>43</v>
      </c>
      <c r="B33">
        <v>1</v>
      </c>
      <c r="C33">
        <v>1000000</v>
      </c>
    </row>
    <row r="34" spans="1:3" x14ac:dyDescent="0.2">
      <c r="A34">
        <v>44</v>
      </c>
      <c r="B34">
        <v>1</v>
      </c>
      <c r="C34">
        <v>44904.388908539302</v>
      </c>
    </row>
    <row r="35" spans="1:3" x14ac:dyDescent="0.2">
      <c r="A35">
        <v>45</v>
      </c>
      <c r="B35">
        <v>2</v>
      </c>
      <c r="C35">
        <v>160322.00253257542</v>
      </c>
    </row>
    <row r="36" spans="1:3" x14ac:dyDescent="0.2">
      <c r="A36">
        <v>46</v>
      </c>
      <c r="B36">
        <v>2</v>
      </c>
      <c r="C36">
        <v>189663.85405598959</v>
      </c>
    </row>
    <row r="37" spans="1:3" x14ac:dyDescent="0.2">
      <c r="A37">
        <v>47</v>
      </c>
      <c r="B37">
        <v>2</v>
      </c>
      <c r="C37">
        <v>7152.6958127417893</v>
      </c>
    </row>
    <row r="38" spans="1:3" x14ac:dyDescent="0.2">
      <c r="A38">
        <v>48</v>
      </c>
      <c r="B38">
        <v>1</v>
      </c>
      <c r="C38">
        <v>118628.37936247099</v>
      </c>
    </row>
    <row r="39" spans="1:3" x14ac:dyDescent="0.2">
      <c r="A39">
        <v>49</v>
      </c>
      <c r="B39">
        <v>2</v>
      </c>
      <c r="C39">
        <v>1068334.0815614187</v>
      </c>
    </row>
    <row r="40" spans="1:3" x14ac:dyDescent="0.2">
      <c r="A40">
        <v>51</v>
      </c>
      <c r="B40">
        <v>2</v>
      </c>
      <c r="C40">
        <v>46623.820415199545</v>
      </c>
    </row>
    <row r="41" spans="1:3" x14ac:dyDescent="0.2">
      <c r="A41">
        <v>52</v>
      </c>
      <c r="B41">
        <v>1</v>
      </c>
      <c r="C41">
        <v>391216.39796919702</v>
      </c>
    </row>
    <row r="42" spans="1:3" x14ac:dyDescent="0.2">
      <c r="A42">
        <v>54</v>
      </c>
      <c r="B42">
        <v>2</v>
      </c>
      <c r="C42">
        <v>44903.189027943197</v>
      </c>
    </row>
    <row r="43" spans="1:3" x14ac:dyDescent="0.2">
      <c r="A43">
        <v>55</v>
      </c>
      <c r="B43">
        <v>1</v>
      </c>
      <c r="C43">
        <v>29672.702139634199</v>
      </c>
    </row>
    <row r="44" spans="1:3" x14ac:dyDescent="0.2">
      <c r="A44">
        <v>56</v>
      </c>
      <c r="B44">
        <v>2</v>
      </c>
      <c r="C44">
        <v>41756.015468591861</v>
      </c>
    </row>
    <row r="45" spans="1:3" x14ac:dyDescent="0.2">
      <c r="A45">
        <v>57</v>
      </c>
      <c r="B45">
        <v>2</v>
      </c>
      <c r="C45">
        <v>584773.22864675405</v>
      </c>
    </row>
    <row r="46" spans="1:3" x14ac:dyDescent="0.2">
      <c r="A46">
        <v>58</v>
      </c>
      <c r="B46">
        <v>1</v>
      </c>
      <c r="C46">
        <v>75681.555854622697</v>
      </c>
    </row>
    <row r="47" spans="1:3" x14ac:dyDescent="0.2">
      <c r="A47">
        <v>60</v>
      </c>
      <c r="B47">
        <v>1</v>
      </c>
      <c r="C47">
        <v>9123.5090437650797</v>
      </c>
    </row>
    <row r="48" spans="1:3" x14ac:dyDescent="0.2">
      <c r="A48">
        <v>61</v>
      </c>
      <c r="B48">
        <v>1</v>
      </c>
      <c r="C48">
        <v>1000000</v>
      </c>
    </row>
    <row r="49" spans="1:3" x14ac:dyDescent="0.2">
      <c r="A49">
        <v>62</v>
      </c>
      <c r="B49">
        <v>2</v>
      </c>
      <c r="C49">
        <v>789293.21560856304</v>
      </c>
    </row>
    <row r="50" spans="1:3" x14ac:dyDescent="0.2">
      <c r="A50">
        <v>63</v>
      </c>
      <c r="B50">
        <v>1</v>
      </c>
      <c r="C50">
        <v>256011.67787545</v>
      </c>
    </row>
    <row r="51" spans="1:3" x14ac:dyDescent="0.2">
      <c r="A51">
        <v>64</v>
      </c>
      <c r="B51">
        <v>2</v>
      </c>
      <c r="C51">
        <v>1693380.8662473639</v>
      </c>
    </row>
    <row r="52" spans="1:3" x14ac:dyDescent="0.2">
      <c r="A52">
        <v>66</v>
      </c>
      <c r="B52">
        <v>1</v>
      </c>
      <c r="C52">
        <v>5524.1517398333299</v>
      </c>
    </row>
    <row r="53" spans="1:3" x14ac:dyDescent="0.2">
      <c r="A53">
        <v>70</v>
      </c>
      <c r="B53">
        <v>1</v>
      </c>
      <c r="C53">
        <v>46143.362893481899</v>
      </c>
    </row>
    <row r="54" spans="1:3" x14ac:dyDescent="0.2">
      <c r="A54">
        <v>71</v>
      </c>
      <c r="B54">
        <v>1</v>
      </c>
      <c r="C54">
        <v>262010.429257607</v>
      </c>
    </row>
    <row r="55" spans="1:3" x14ac:dyDescent="0.2">
      <c r="A55">
        <v>72</v>
      </c>
      <c r="B55">
        <v>1</v>
      </c>
      <c r="C55">
        <v>3757.6794731117602</v>
      </c>
    </row>
    <row r="56" spans="1:3" x14ac:dyDescent="0.2">
      <c r="A56">
        <v>73</v>
      </c>
      <c r="B56">
        <v>1</v>
      </c>
      <c r="C56">
        <v>272.79657232145502</v>
      </c>
    </row>
    <row r="57" spans="1:3" x14ac:dyDescent="0.2">
      <c r="A57">
        <v>74</v>
      </c>
      <c r="B57">
        <v>2</v>
      </c>
      <c r="C57">
        <v>21203.470839892478</v>
      </c>
    </row>
    <row r="58" spans="1:3" x14ac:dyDescent="0.2">
      <c r="A58">
        <v>75</v>
      </c>
      <c r="B58">
        <v>1</v>
      </c>
      <c r="C58">
        <v>19274.486334868001</v>
      </c>
    </row>
    <row r="59" spans="1:3" x14ac:dyDescent="0.2">
      <c r="A59">
        <v>76</v>
      </c>
      <c r="B59">
        <v>2</v>
      </c>
      <c r="C59">
        <v>92824.591049640294</v>
      </c>
    </row>
    <row r="60" spans="1:3" x14ac:dyDescent="0.2">
      <c r="A60">
        <v>77</v>
      </c>
      <c r="B60">
        <v>1</v>
      </c>
      <c r="C60">
        <v>86570.051537700405</v>
      </c>
    </row>
    <row r="61" spans="1:3" x14ac:dyDescent="0.2">
      <c r="A61">
        <v>78</v>
      </c>
      <c r="B61">
        <v>1</v>
      </c>
      <c r="C61">
        <v>2933.2741454165398</v>
      </c>
    </row>
    <row r="62" spans="1:3" x14ac:dyDescent="0.2">
      <c r="A62">
        <v>79</v>
      </c>
      <c r="B62">
        <v>1</v>
      </c>
      <c r="C62">
        <v>62212.477323175197</v>
      </c>
    </row>
    <row r="63" spans="1:3" x14ac:dyDescent="0.2">
      <c r="A63">
        <v>80</v>
      </c>
      <c r="B63">
        <v>2</v>
      </c>
      <c r="C63">
        <v>413651.58820230648</v>
      </c>
    </row>
    <row r="64" spans="1:3" x14ac:dyDescent="0.2">
      <c r="A64">
        <v>81</v>
      </c>
      <c r="B64">
        <v>2</v>
      </c>
      <c r="C64">
        <v>1000042.9637366352</v>
      </c>
    </row>
    <row r="65" spans="1:3" x14ac:dyDescent="0.2">
      <c r="A65">
        <v>82</v>
      </c>
      <c r="B65">
        <v>1</v>
      </c>
      <c r="C65">
        <v>20342.935729940698</v>
      </c>
    </row>
    <row r="66" spans="1:3" x14ac:dyDescent="0.2">
      <c r="A66">
        <v>83</v>
      </c>
      <c r="B66">
        <v>1</v>
      </c>
      <c r="C66">
        <v>501.67443003285399</v>
      </c>
    </row>
    <row r="67" spans="1:3" x14ac:dyDescent="0.2">
      <c r="A67">
        <v>84</v>
      </c>
      <c r="B67">
        <v>1</v>
      </c>
      <c r="C67">
        <v>3174.7183407310299</v>
      </c>
    </row>
    <row r="68" spans="1:3" x14ac:dyDescent="0.2">
      <c r="A68">
        <v>85</v>
      </c>
      <c r="B68">
        <v>2</v>
      </c>
      <c r="C68">
        <v>1000144.8664423929</v>
      </c>
    </row>
    <row r="69" spans="1:3" x14ac:dyDescent="0.2">
      <c r="A69">
        <v>86</v>
      </c>
      <c r="B69">
        <v>1</v>
      </c>
      <c r="C69">
        <v>155.766854939832</v>
      </c>
    </row>
    <row r="70" spans="1:3" x14ac:dyDescent="0.2">
      <c r="A70">
        <v>90</v>
      </c>
      <c r="B70">
        <v>2</v>
      </c>
      <c r="C70">
        <v>797144.89665363473</v>
      </c>
    </row>
    <row r="71" spans="1:3" x14ac:dyDescent="0.2">
      <c r="A71">
        <v>91</v>
      </c>
      <c r="B71">
        <v>2</v>
      </c>
      <c r="C71">
        <v>40119.832943069618</v>
      </c>
    </row>
    <row r="72" spans="1:3" x14ac:dyDescent="0.2">
      <c r="A72">
        <v>92</v>
      </c>
      <c r="B72">
        <v>1</v>
      </c>
      <c r="C72">
        <v>15242.9749528147</v>
      </c>
    </row>
    <row r="73" spans="1:3" x14ac:dyDescent="0.2">
      <c r="A73">
        <v>93</v>
      </c>
      <c r="B73">
        <v>1</v>
      </c>
      <c r="C73">
        <v>143548.78686893801</v>
      </c>
    </row>
    <row r="74" spans="1:3" x14ac:dyDescent="0.2">
      <c r="A74">
        <v>94</v>
      </c>
      <c r="B74">
        <v>1</v>
      </c>
      <c r="C74">
        <v>127518.822083312</v>
      </c>
    </row>
    <row r="75" spans="1:3" x14ac:dyDescent="0.2">
      <c r="A75">
        <v>95</v>
      </c>
      <c r="B75">
        <v>1</v>
      </c>
      <c r="C75">
        <v>109775.925096982</v>
      </c>
    </row>
    <row r="76" spans="1:3" x14ac:dyDescent="0.2">
      <c r="A76">
        <v>96</v>
      </c>
      <c r="B76">
        <v>2</v>
      </c>
      <c r="C76">
        <v>147165.02854381746</v>
      </c>
    </row>
    <row r="77" spans="1:3" x14ac:dyDescent="0.2">
      <c r="A77">
        <v>97</v>
      </c>
      <c r="B77">
        <v>1</v>
      </c>
      <c r="C77">
        <v>3279.3058050387599</v>
      </c>
    </row>
    <row r="78" spans="1:3" x14ac:dyDescent="0.2">
      <c r="A78">
        <v>98</v>
      </c>
      <c r="B78">
        <v>2</v>
      </c>
      <c r="C78">
        <v>8256.2690044424198</v>
      </c>
    </row>
    <row r="79" spans="1:3" x14ac:dyDescent="0.2">
      <c r="A79">
        <v>99</v>
      </c>
      <c r="B79">
        <v>1</v>
      </c>
      <c r="C79">
        <v>13588.8843274549</v>
      </c>
    </row>
    <row r="80" spans="1:3" x14ac:dyDescent="0.2">
      <c r="A80">
        <v>100</v>
      </c>
      <c r="B80">
        <v>1</v>
      </c>
      <c r="C80">
        <v>294.264806772425</v>
      </c>
    </row>
    <row r="81" spans="1:3" x14ac:dyDescent="0.2">
      <c r="A81">
        <v>101</v>
      </c>
      <c r="B81">
        <v>1</v>
      </c>
      <c r="C81">
        <v>124.988872555594</v>
      </c>
    </row>
    <row r="82" spans="1:3" x14ac:dyDescent="0.2">
      <c r="A82">
        <v>102</v>
      </c>
      <c r="B82">
        <v>1</v>
      </c>
      <c r="C82">
        <v>3529.6500403867699</v>
      </c>
    </row>
    <row r="83" spans="1:3" x14ac:dyDescent="0.2">
      <c r="A83">
        <v>103</v>
      </c>
      <c r="B83">
        <v>1</v>
      </c>
      <c r="C83">
        <v>23336.590695975101</v>
      </c>
    </row>
    <row r="84" spans="1:3" x14ac:dyDescent="0.2">
      <c r="A84">
        <v>105</v>
      </c>
      <c r="B84">
        <v>1</v>
      </c>
      <c r="C84">
        <v>1254.8422431839999</v>
      </c>
    </row>
    <row r="85" spans="1:3" x14ac:dyDescent="0.2">
      <c r="A85">
        <v>108</v>
      </c>
      <c r="B85">
        <v>1</v>
      </c>
      <c r="C85">
        <v>570532.41747131303</v>
      </c>
    </row>
    <row r="86" spans="1:3" x14ac:dyDescent="0.2">
      <c r="A86">
        <v>109</v>
      </c>
      <c r="B86">
        <v>1</v>
      </c>
      <c r="C86">
        <v>100189.113415101</v>
      </c>
    </row>
    <row r="87" spans="1:3" x14ac:dyDescent="0.2">
      <c r="A87">
        <v>110</v>
      </c>
      <c r="B87">
        <v>2</v>
      </c>
      <c r="C87">
        <v>1000965.4058444344</v>
      </c>
    </row>
    <row r="88" spans="1:3" x14ac:dyDescent="0.2">
      <c r="A88">
        <v>112</v>
      </c>
      <c r="B88">
        <v>1</v>
      </c>
      <c r="C88">
        <v>2236.1366618019301</v>
      </c>
    </row>
    <row r="89" spans="1:3" x14ac:dyDescent="0.2">
      <c r="A89">
        <v>113</v>
      </c>
      <c r="B89">
        <v>2</v>
      </c>
      <c r="C89">
        <v>213115.7299449055</v>
      </c>
    </row>
    <row r="90" spans="1:3" x14ac:dyDescent="0.2">
      <c r="A90">
        <v>115</v>
      </c>
      <c r="B90">
        <v>1</v>
      </c>
      <c r="C90">
        <v>1000000</v>
      </c>
    </row>
    <row r="91" spans="1:3" x14ac:dyDescent="0.2">
      <c r="A91">
        <v>116</v>
      </c>
      <c r="B91">
        <v>2</v>
      </c>
      <c r="C91">
        <v>65466.344699809699</v>
      </c>
    </row>
    <row r="92" spans="1:3" x14ac:dyDescent="0.2">
      <c r="A92">
        <v>117</v>
      </c>
      <c r="B92">
        <v>1</v>
      </c>
      <c r="C92">
        <v>271.61093237814799</v>
      </c>
    </row>
    <row r="93" spans="1:3" x14ac:dyDescent="0.2">
      <c r="A93">
        <v>119</v>
      </c>
      <c r="B93">
        <v>1</v>
      </c>
      <c r="C93">
        <v>615894.70219961705</v>
      </c>
    </row>
    <row r="94" spans="1:3" x14ac:dyDescent="0.2">
      <c r="A94">
        <v>120</v>
      </c>
      <c r="B94">
        <v>1</v>
      </c>
      <c r="C94">
        <v>1000000</v>
      </c>
    </row>
    <row r="95" spans="1:3" x14ac:dyDescent="0.2">
      <c r="A95">
        <v>121</v>
      </c>
      <c r="B95">
        <v>1</v>
      </c>
      <c r="C95">
        <v>9086.3321087272707</v>
      </c>
    </row>
    <row r="96" spans="1:3" x14ac:dyDescent="0.2">
      <c r="A96">
        <v>122</v>
      </c>
      <c r="B96">
        <v>1</v>
      </c>
      <c r="C96">
        <v>123.16205735894</v>
      </c>
    </row>
    <row r="97" spans="1:3" x14ac:dyDescent="0.2">
      <c r="A97">
        <v>123</v>
      </c>
      <c r="B97">
        <v>1</v>
      </c>
      <c r="C97">
        <v>104350.56194289601</v>
      </c>
    </row>
    <row r="98" spans="1:3" x14ac:dyDescent="0.2">
      <c r="A98">
        <v>124</v>
      </c>
      <c r="B98">
        <v>2</v>
      </c>
      <c r="C98">
        <v>268162.79467363306</v>
      </c>
    </row>
    <row r="99" spans="1:3" x14ac:dyDescent="0.2">
      <c r="A99">
        <v>125</v>
      </c>
      <c r="B99">
        <v>1</v>
      </c>
      <c r="C99">
        <v>45790.524235672499</v>
      </c>
    </row>
    <row r="100" spans="1:3" x14ac:dyDescent="0.2">
      <c r="A100">
        <v>127</v>
      </c>
      <c r="B100">
        <v>2</v>
      </c>
      <c r="C100">
        <v>670494.36023415287</v>
      </c>
    </row>
    <row r="101" spans="1:3" x14ac:dyDescent="0.2">
      <c r="A101">
        <v>128</v>
      </c>
      <c r="B101">
        <v>2</v>
      </c>
      <c r="C101">
        <v>22332.057608217699</v>
      </c>
    </row>
    <row r="102" spans="1:3" x14ac:dyDescent="0.2">
      <c r="A102">
        <v>129</v>
      </c>
      <c r="B102">
        <v>2</v>
      </c>
      <c r="C102">
        <v>75721.126311970947</v>
      </c>
    </row>
    <row r="103" spans="1:3" x14ac:dyDescent="0.2">
      <c r="A103">
        <v>130</v>
      </c>
      <c r="B103">
        <v>1</v>
      </c>
      <c r="C103">
        <v>23420.151959368799</v>
      </c>
    </row>
    <row r="104" spans="1:3" x14ac:dyDescent="0.2">
      <c r="A104">
        <v>131</v>
      </c>
      <c r="B104">
        <v>1</v>
      </c>
      <c r="C104">
        <v>37230.026851498398</v>
      </c>
    </row>
    <row r="105" spans="1:3" x14ac:dyDescent="0.2">
      <c r="A105">
        <v>133</v>
      </c>
      <c r="B105">
        <v>1</v>
      </c>
      <c r="C105">
        <v>18718.3757241561</v>
      </c>
    </row>
    <row r="106" spans="1:3" x14ac:dyDescent="0.2">
      <c r="A106">
        <v>134</v>
      </c>
      <c r="B106">
        <v>1</v>
      </c>
      <c r="C106">
        <v>3931.6573890183499</v>
      </c>
    </row>
    <row r="107" spans="1:3" x14ac:dyDescent="0.2">
      <c r="A107">
        <v>135</v>
      </c>
      <c r="B107">
        <v>1</v>
      </c>
      <c r="C107">
        <v>13.8456557766029</v>
      </c>
    </row>
    <row r="108" spans="1:3" x14ac:dyDescent="0.2">
      <c r="A108">
        <v>136</v>
      </c>
      <c r="B108">
        <v>1</v>
      </c>
      <c r="C108">
        <v>16036.898414617801</v>
      </c>
    </row>
    <row r="109" spans="1:3" x14ac:dyDescent="0.2">
      <c r="A109">
        <v>138</v>
      </c>
      <c r="B109">
        <v>1</v>
      </c>
      <c r="C109">
        <v>1000000</v>
      </c>
    </row>
    <row r="110" spans="1:3" x14ac:dyDescent="0.2">
      <c r="A110">
        <v>140</v>
      </c>
      <c r="B110">
        <v>1</v>
      </c>
      <c r="C110">
        <v>1024.8287554102601</v>
      </c>
    </row>
    <row r="111" spans="1:3" x14ac:dyDescent="0.2">
      <c r="A111">
        <v>141</v>
      </c>
      <c r="B111">
        <v>1</v>
      </c>
      <c r="C111">
        <v>374.564052066518</v>
      </c>
    </row>
    <row r="112" spans="1:3" x14ac:dyDescent="0.2">
      <c r="A112">
        <v>142</v>
      </c>
      <c r="B112">
        <v>1</v>
      </c>
      <c r="C112">
        <v>10314.152789997701</v>
      </c>
    </row>
    <row r="113" spans="1:3" x14ac:dyDescent="0.2">
      <c r="A113">
        <v>143</v>
      </c>
      <c r="B113">
        <v>2</v>
      </c>
      <c r="C113">
        <v>181102.67687104217</v>
      </c>
    </row>
    <row r="114" spans="1:3" x14ac:dyDescent="0.2">
      <c r="A114">
        <v>144</v>
      </c>
      <c r="B114">
        <v>2</v>
      </c>
      <c r="C114">
        <v>480548.51588794467</v>
      </c>
    </row>
    <row r="115" spans="1:3" x14ac:dyDescent="0.2">
      <c r="A115">
        <v>146</v>
      </c>
      <c r="B115">
        <v>2</v>
      </c>
      <c r="C115">
        <v>20500.638225916202</v>
      </c>
    </row>
    <row r="116" spans="1:3" x14ac:dyDescent="0.2">
      <c r="A116">
        <v>147</v>
      </c>
      <c r="B116">
        <v>2</v>
      </c>
      <c r="C116">
        <v>51924.481957119293</v>
      </c>
    </row>
    <row r="117" spans="1:3" x14ac:dyDescent="0.2">
      <c r="A117">
        <v>148</v>
      </c>
      <c r="B117">
        <v>2</v>
      </c>
      <c r="C117">
        <v>353080.08247983165</v>
      </c>
    </row>
    <row r="118" spans="1:3" x14ac:dyDescent="0.2">
      <c r="A118">
        <v>149</v>
      </c>
      <c r="B118">
        <v>2</v>
      </c>
      <c r="C118">
        <v>5895.6705595083004</v>
      </c>
    </row>
    <row r="119" spans="1:3" x14ac:dyDescent="0.2">
      <c r="A119">
        <v>150</v>
      </c>
      <c r="B119">
        <v>1</v>
      </c>
      <c r="C119">
        <v>55829.124672435602</v>
      </c>
    </row>
    <row r="120" spans="1:3" x14ac:dyDescent="0.2">
      <c r="A120">
        <v>152</v>
      </c>
      <c r="B120">
        <v>1</v>
      </c>
      <c r="C120">
        <v>34525.5118478328</v>
      </c>
    </row>
    <row r="121" spans="1:3" x14ac:dyDescent="0.2">
      <c r="A121">
        <v>153</v>
      </c>
      <c r="B121">
        <v>1</v>
      </c>
      <c r="C121">
        <v>401034.11621141399</v>
      </c>
    </row>
    <row r="122" spans="1:3" x14ac:dyDescent="0.2">
      <c r="A122">
        <v>154</v>
      </c>
      <c r="B122">
        <v>2</v>
      </c>
      <c r="C122">
        <v>26146.534790569451</v>
      </c>
    </row>
    <row r="123" spans="1:3" x14ac:dyDescent="0.2">
      <c r="A123">
        <v>155</v>
      </c>
      <c r="B123">
        <v>2</v>
      </c>
      <c r="C123">
        <v>1370939.897626701</v>
      </c>
    </row>
    <row r="124" spans="1:3" x14ac:dyDescent="0.2">
      <c r="A124">
        <v>156</v>
      </c>
      <c r="B124">
        <v>1</v>
      </c>
      <c r="C124">
        <v>3713.1982054350801</v>
      </c>
    </row>
    <row r="125" spans="1:3" x14ac:dyDescent="0.2">
      <c r="A125">
        <v>157</v>
      </c>
      <c r="B125">
        <v>1</v>
      </c>
      <c r="C125">
        <v>4124.2079283261301</v>
      </c>
    </row>
    <row r="126" spans="1:3" x14ac:dyDescent="0.2">
      <c r="A126">
        <v>158</v>
      </c>
      <c r="B126">
        <v>2</v>
      </c>
      <c r="C126">
        <v>9437.3863952068896</v>
      </c>
    </row>
    <row r="127" spans="1:3" x14ac:dyDescent="0.2">
      <c r="A127">
        <v>159</v>
      </c>
      <c r="B127">
        <v>1</v>
      </c>
      <c r="C127">
        <v>814.63783937873097</v>
      </c>
    </row>
    <row r="128" spans="1:3" x14ac:dyDescent="0.2">
      <c r="A128">
        <v>160</v>
      </c>
      <c r="B128">
        <v>2</v>
      </c>
      <c r="C128">
        <v>790968.92382871581</v>
      </c>
    </row>
    <row r="129" spans="1:3" x14ac:dyDescent="0.2">
      <c r="A129">
        <v>161</v>
      </c>
      <c r="B129">
        <v>1</v>
      </c>
      <c r="C129">
        <v>1287.4033789651401</v>
      </c>
    </row>
    <row r="130" spans="1:3" x14ac:dyDescent="0.2">
      <c r="A130">
        <v>162</v>
      </c>
      <c r="B130">
        <v>1</v>
      </c>
      <c r="C130">
        <v>3564.1513417718702</v>
      </c>
    </row>
    <row r="131" spans="1:3" x14ac:dyDescent="0.2">
      <c r="A131">
        <v>163</v>
      </c>
      <c r="B131">
        <v>1</v>
      </c>
      <c r="C131">
        <v>18967.670304977</v>
      </c>
    </row>
    <row r="132" spans="1:3" x14ac:dyDescent="0.2">
      <c r="A132">
        <v>164</v>
      </c>
      <c r="B132">
        <v>1</v>
      </c>
      <c r="C132">
        <v>604.33756410874798</v>
      </c>
    </row>
    <row r="133" spans="1:3" x14ac:dyDescent="0.2">
      <c r="A133">
        <v>165</v>
      </c>
      <c r="B133">
        <v>1</v>
      </c>
      <c r="C133">
        <v>178260.17170286999</v>
      </c>
    </row>
    <row r="134" spans="1:3" x14ac:dyDescent="0.2">
      <c r="A134">
        <v>166</v>
      </c>
      <c r="B134">
        <v>1</v>
      </c>
      <c r="C134">
        <v>277815.56138111698</v>
      </c>
    </row>
    <row r="135" spans="1:3" x14ac:dyDescent="0.2">
      <c r="A135">
        <v>167</v>
      </c>
      <c r="B135">
        <v>1</v>
      </c>
      <c r="C135">
        <v>616697.71428512805</v>
      </c>
    </row>
    <row r="136" spans="1:3" x14ac:dyDescent="0.2">
      <c r="A136">
        <v>168</v>
      </c>
      <c r="B136">
        <v>2</v>
      </c>
      <c r="C136">
        <v>1076248.185233423</v>
      </c>
    </row>
    <row r="137" spans="1:3" x14ac:dyDescent="0.2">
      <c r="A137">
        <v>169</v>
      </c>
      <c r="B137">
        <v>1</v>
      </c>
      <c r="C137">
        <v>4533.3863218141896</v>
      </c>
    </row>
    <row r="138" spans="1:3" x14ac:dyDescent="0.2">
      <c r="A138">
        <v>170</v>
      </c>
      <c r="B138">
        <v>2</v>
      </c>
      <c r="C138">
        <v>5137.0628739359699</v>
      </c>
    </row>
    <row r="139" spans="1:3" x14ac:dyDescent="0.2">
      <c r="A139">
        <v>171</v>
      </c>
      <c r="B139">
        <v>1</v>
      </c>
      <c r="C139">
        <v>197.43973882539001</v>
      </c>
    </row>
    <row r="140" spans="1:3" x14ac:dyDescent="0.2">
      <c r="A140">
        <v>172</v>
      </c>
      <c r="B140">
        <v>2</v>
      </c>
      <c r="C140">
        <v>377899.25362171017</v>
      </c>
    </row>
    <row r="141" spans="1:3" x14ac:dyDescent="0.2">
      <c r="A141">
        <v>174</v>
      </c>
      <c r="B141">
        <v>1</v>
      </c>
      <c r="C141">
        <v>170519.39878151301</v>
      </c>
    </row>
    <row r="142" spans="1:3" x14ac:dyDescent="0.2">
      <c r="A142">
        <v>175</v>
      </c>
      <c r="B142">
        <v>1</v>
      </c>
      <c r="C142">
        <v>3186.53439898241</v>
      </c>
    </row>
    <row r="143" spans="1:3" x14ac:dyDescent="0.2">
      <c r="A143">
        <v>176</v>
      </c>
      <c r="B143">
        <v>1</v>
      </c>
      <c r="C143">
        <v>1000000</v>
      </c>
    </row>
    <row r="144" spans="1:3" x14ac:dyDescent="0.2">
      <c r="A144">
        <v>177</v>
      </c>
      <c r="B144">
        <v>1</v>
      </c>
      <c r="C144">
        <v>58858.654269878301</v>
      </c>
    </row>
    <row r="145" spans="1:3" x14ac:dyDescent="0.2">
      <c r="A145">
        <v>178</v>
      </c>
      <c r="B145">
        <v>1</v>
      </c>
      <c r="C145">
        <v>46778.484934467699</v>
      </c>
    </row>
    <row r="146" spans="1:3" x14ac:dyDescent="0.2">
      <c r="A146">
        <v>180</v>
      </c>
      <c r="B146">
        <v>1</v>
      </c>
      <c r="C146">
        <v>27350.778101997901</v>
      </c>
    </row>
    <row r="147" spans="1:3" x14ac:dyDescent="0.2">
      <c r="A147">
        <v>182</v>
      </c>
      <c r="B147">
        <v>1</v>
      </c>
      <c r="C147">
        <v>522345.06994418002</v>
      </c>
    </row>
    <row r="148" spans="1:3" x14ac:dyDescent="0.2">
      <c r="A148">
        <v>183</v>
      </c>
      <c r="B148">
        <v>1</v>
      </c>
      <c r="C148">
        <v>1906.8553802752899</v>
      </c>
    </row>
    <row r="149" spans="1:3" x14ac:dyDescent="0.2">
      <c r="A149">
        <v>184</v>
      </c>
      <c r="B149">
        <v>2</v>
      </c>
      <c r="C149">
        <v>4354.8414829378744</v>
      </c>
    </row>
    <row r="150" spans="1:3" x14ac:dyDescent="0.2">
      <c r="A150">
        <v>185</v>
      </c>
      <c r="B150">
        <v>1</v>
      </c>
      <c r="C150">
        <v>10446.634931020501</v>
      </c>
    </row>
    <row r="151" spans="1:3" x14ac:dyDescent="0.2">
      <c r="A151">
        <v>186</v>
      </c>
      <c r="B151">
        <v>1</v>
      </c>
      <c r="C151">
        <v>2099.4960798941202</v>
      </c>
    </row>
    <row r="152" spans="1:3" x14ac:dyDescent="0.2">
      <c r="A152">
        <v>187</v>
      </c>
      <c r="B152">
        <v>2</v>
      </c>
      <c r="C152">
        <v>72061.4073446455</v>
      </c>
    </row>
    <row r="153" spans="1:3" x14ac:dyDescent="0.2">
      <c r="A153">
        <v>188</v>
      </c>
      <c r="B153">
        <v>1</v>
      </c>
      <c r="C153">
        <v>9343.7572848832406</v>
      </c>
    </row>
    <row r="154" spans="1:3" x14ac:dyDescent="0.2">
      <c r="A154">
        <v>191</v>
      </c>
      <c r="B154">
        <v>2</v>
      </c>
      <c r="C154">
        <v>78428.672774144099</v>
      </c>
    </row>
    <row r="155" spans="1:3" x14ac:dyDescent="0.2">
      <c r="A155">
        <v>192</v>
      </c>
      <c r="B155">
        <v>1</v>
      </c>
      <c r="C155">
        <v>1674.0695959948</v>
      </c>
    </row>
    <row r="156" spans="1:3" x14ac:dyDescent="0.2">
      <c r="A156">
        <v>194</v>
      </c>
      <c r="B156">
        <v>1</v>
      </c>
      <c r="C156">
        <v>1000000</v>
      </c>
    </row>
    <row r="157" spans="1:3" x14ac:dyDescent="0.2">
      <c r="A157">
        <v>196</v>
      </c>
      <c r="B157">
        <v>1</v>
      </c>
      <c r="C157">
        <v>20291.5353605686</v>
      </c>
    </row>
    <row r="158" spans="1:3" x14ac:dyDescent="0.2">
      <c r="A158">
        <v>197</v>
      </c>
      <c r="B158">
        <v>1</v>
      </c>
      <c r="C158">
        <v>1000000</v>
      </c>
    </row>
    <row r="159" spans="1:3" x14ac:dyDescent="0.2">
      <c r="A159">
        <v>198</v>
      </c>
      <c r="B159">
        <v>1</v>
      </c>
      <c r="C159">
        <v>235898.29356901001</v>
      </c>
    </row>
    <row r="160" spans="1:3" x14ac:dyDescent="0.2">
      <c r="A160">
        <v>199</v>
      </c>
      <c r="B160">
        <v>2</v>
      </c>
      <c r="C160">
        <v>1023370.4563185408</v>
      </c>
    </row>
    <row r="161" spans="1:3" x14ac:dyDescent="0.2">
      <c r="A161">
        <v>200</v>
      </c>
      <c r="B161">
        <v>1</v>
      </c>
      <c r="C161">
        <v>1724.7141316504001</v>
      </c>
    </row>
    <row r="162" spans="1:3" x14ac:dyDescent="0.2">
      <c r="A162">
        <v>201</v>
      </c>
      <c r="B162">
        <v>2</v>
      </c>
      <c r="C162">
        <v>845287.93235152808</v>
      </c>
    </row>
    <row r="163" spans="1:3" x14ac:dyDescent="0.2">
      <c r="A163">
        <v>203</v>
      </c>
      <c r="B163">
        <v>1</v>
      </c>
      <c r="C163">
        <v>2308.5637730650601</v>
      </c>
    </row>
    <row r="164" spans="1:3" x14ac:dyDescent="0.2">
      <c r="A164">
        <v>204</v>
      </c>
      <c r="B164">
        <v>1</v>
      </c>
      <c r="C164">
        <v>3750.6504849406501</v>
      </c>
    </row>
    <row r="165" spans="1:3" x14ac:dyDescent="0.2">
      <c r="A165">
        <v>205</v>
      </c>
      <c r="B165">
        <v>1</v>
      </c>
      <c r="C165">
        <v>2903.1543310633301</v>
      </c>
    </row>
    <row r="166" spans="1:3" x14ac:dyDescent="0.2">
      <c r="A166">
        <v>207</v>
      </c>
      <c r="B166">
        <v>1</v>
      </c>
      <c r="C166">
        <v>109719.59786247399</v>
      </c>
    </row>
    <row r="167" spans="1:3" x14ac:dyDescent="0.2">
      <c r="A167">
        <v>208</v>
      </c>
      <c r="B167">
        <v>2</v>
      </c>
      <c r="C167">
        <v>19524.28409353067</v>
      </c>
    </row>
    <row r="168" spans="1:3" x14ac:dyDescent="0.2">
      <c r="A168">
        <v>209</v>
      </c>
      <c r="B168">
        <v>2</v>
      </c>
      <c r="C168">
        <v>372423.77777224744</v>
      </c>
    </row>
    <row r="169" spans="1:3" x14ac:dyDescent="0.2">
      <c r="A169">
        <v>210</v>
      </c>
      <c r="B169">
        <v>2</v>
      </c>
      <c r="C169">
        <v>1248.7797688355631</v>
      </c>
    </row>
    <row r="170" spans="1:3" x14ac:dyDescent="0.2">
      <c r="A170">
        <v>211</v>
      </c>
      <c r="B170">
        <v>1</v>
      </c>
      <c r="C170">
        <v>84.207588193105195</v>
      </c>
    </row>
    <row r="171" spans="1:3" x14ac:dyDescent="0.2">
      <c r="A171">
        <v>212</v>
      </c>
      <c r="B171">
        <v>2</v>
      </c>
      <c r="C171">
        <v>56244.220360866333</v>
      </c>
    </row>
    <row r="172" spans="1:3" x14ac:dyDescent="0.2">
      <c r="A172">
        <v>213</v>
      </c>
      <c r="B172">
        <v>2</v>
      </c>
      <c r="C172">
        <v>69558.009856756893</v>
      </c>
    </row>
    <row r="173" spans="1:3" x14ac:dyDescent="0.2">
      <c r="A173">
        <v>214</v>
      </c>
      <c r="B173">
        <v>1</v>
      </c>
      <c r="C173">
        <v>49672.178680782803</v>
      </c>
    </row>
    <row r="174" spans="1:3" x14ac:dyDescent="0.2">
      <c r="A174">
        <v>215</v>
      </c>
      <c r="B174">
        <v>2</v>
      </c>
      <c r="C174">
        <v>35632.392962980739</v>
      </c>
    </row>
    <row r="175" spans="1:3" x14ac:dyDescent="0.2">
      <c r="A175">
        <v>216</v>
      </c>
      <c r="B175">
        <v>1</v>
      </c>
      <c r="C175">
        <v>1821.7728839486199</v>
      </c>
    </row>
    <row r="176" spans="1:3" x14ac:dyDescent="0.2">
      <c r="A176">
        <v>217</v>
      </c>
      <c r="B176">
        <v>1</v>
      </c>
      <c r="C176">
        <v>4700.4702286050697</v>
      </c>
    </row>
    <row r="177" spans="1:3" x14ac:dyDescent="0.2">
      <c r="A177">
        <v>218</v>
      </c>
      <c r="B177">
        <v>1</v>
      </c>
      <c r="C177">
        <v>37118.073300252101</v>
      </c>
    </row>
    <row r="178" spans="1:3" x14ac:dyDescent="0.2">
      <c r="A178">
        <v>221</v>
      </c>
      <c r="B178">
        <v>2</v>
      </c>
      <c r="C178">
        <v>167189.4031132251</v>
      </c>
    </row>
    <row r="179" spans="1:3" x14ac:dyDescent="0.2">
      <c r="A179">
        <v>223</v>
      </c>
      <c r="B179">
        <v>1</v>
      </c>
      <c r="C179">
        <v>93141.656331663195</v>
      </c>
    </row>
    <row r="180" spans="1:3" x14ac:dyDescent="0.2">
      <c r="A180">
        <v>224</v>
      </c>
      <c r="B180">
        <v>1</v>
      </c>
      <c r="C180">
        <v>7882.8337197694</v>
      </c>
    </row>
    <row r="181" spans="1:3" x14ac:dyDescent="0.2">
      <c r="A181">
        <v>225</v>
      </c>
      <c r="B181">
        <v>2</v>
      </c>
      <c r="C181">
        <v>332069.98360381799</v>
      </c>
    </row>
    <row r="182" spans="1:3" x14ac:dyDescent="0.2">
      <c r="A182">
        <v>226</v>
      </c>
      <c r="B182">
        <v>1</v>
      </c>
      <c r="C182">
        <v>293885.43763525598</v>
      </c>
    </row>
    <row r="183" spans="1:3" x14ac:dyDescent="0.2">
      <c r="A183">
        <v>227</v>
      </c>
      <c r="B183">
        <v>1</v>
      </c>
      <c r="C183">
        <v>7342.1571404338601</v>
      </c>
    </row>
    <row r="184" spans="1:3" x14ac:dyDescent="0.2">
      <c r="A184">
        <v>228</v>
      </c>
      <c r="B184">
        <v>1</v>
      </c>
      <c r="C184">
        <v>20227.8335961132</v>
      </c>
    </row>
    <row r="185" spans="1:3" x14ac:dyDescent="0.2">
      <c r="A185">
        <v>229</v>
      </c>
      <c r="B185">
        <v>1</v>
      </c>
      <c r="C185">
        <v>65329.446351703104</v>
      </c>
    </row>
    <row r="186" spans="1:3" x14ac:dyDescent="0.2">
      <c r="A186">
        <v>231</v>
      </c>
      <c r="B186">
        <v>1</v>
      </c>
      <c r="C186">
        <v>40810.048847561702</v>
      </c>
    </row>
    <row r="187" spans="1:3" x14ac:dyDescent="0.2">
      <c r="A187">
        <v>232</v>
      </c>
      <c r="B187">
        <v>1</v>
      </c>
      <c r="C187">
        <v>1263.7964931439101</v>
      </c>
    </row>
    <row r="188" spans="1:3" x14ac:dyDescent="0.2">
      <c r="A188">
        <v>233</v>
      </c>
      <c r="B188">
        <v>1</v>
      </c>
      <c r="C188">
        <v>28615.8379449844</v>
      </c>
    </row>
    <row r="189" spans="1:3" x14ac:dyDescent="0.2">
      <c r="A189">
        <v>234</v>
      </c>
      <c r="B189">
        <v>2</v>
      </c>
      <c r="C189">
        <v>81773.910392976992</v>
      </c>
    </row>
    <row r="190" spans="1:3" x14ac:dyDescent="0.2">
      <c r="A190">
        <v>235</v>
      </c>
      <c r="B190">
        <v>2</v>
      </c>
      <c r="C190">
        <v>29025.047505642167</v>
      </c>
    </row>
    <row r="191" spans="1:3" x14ac:dyDescent="0.2">
      <c r="A191">
        <v>236</v>
      </c>
      <c r="B191">
        <v>1</v>
      </c>
      <c r="C191">
        <v>323113.07317427098</v>
      </c>
    </row>
    <row r="192" spans="1:3" x14ac:dyDescent="0.2">
      <c r="A192">
        <v>237</v>
      </c>
      <c r="B192">
        <v>2</v>
      </c>
      <c r="C192">
        <v>488648.3573342603</v>
      </c>
    </row>
    <row r="193" spans="1:3" x14ac:dyDescent="0.2">
      <c r="A193">
        <v>239</v>
      </c>
      <c r="B193">
        <v>2</v>
      </c>
      <c r="C193">
        <v>43526.534026014553</v>
      </c>
    </row>
    <row r="194" spans="1:3" x14ac:dyDescent="0.2">
      <c r="A194">
        <v>241</v>
      </c>
      <c r="B194">
        <v>1</v>
      </c>
      <c r="C194">
        <v>93981.440617116503</v>
      </c>
    </row>
    <row r="195" spans="1:3" x14ac:dyDescent="0.2">
      <c r="A195">
        <v>242</v>
      </c>
      <c r="B195">
        <v>1</v>
      </c>
      <c r="C195">
        <v>51872.458919044402</v>
      </c>
    </row>
    <row r="196" spans="1:3" x14ac:dyDescent="0.2">
      <c r="A196">
        <v>243</v>
      </c>
      <c r="B196">
        <v>2</v>
      </c>
      <c r="C196">
        <v>1561802.5961819971</v>
      </c>
    </row>
    <row r="197" spans="1:3" x14ac:dyDescent="0.2">
      <c r="A197">
        <v>244</v>
      </c>
      <c r="B197">
        <v>1</v>
      </c>
      <c r="C197">
        <v>212.01782876567799</v>
      </c>
    </row>
    <row r="198" spans="1:3" x14ac:dyDescent="0.2">
      <c r="A198">
        <v>245</v>
      </c>
      <c r="B198">
        <v>1</v>
      </c>
      <c r="C198">
        <v>88255.815556129804</v>
      </c>
    </row>
    <row r="199" spans="1:3" x14ac:dyDescent="0.2">
      <c r="A199">
        <v>246</v>
      </c>
      <c r="B199">
        <v>1</v>
      </c>
      <c r="C199">
        <v>16442.8539205259</v>
      </c>
    </row>
    <row r="200" spans="1:3" x14ac:dyDescent="0.2">
      <c r="A200">
        <v>247</v>
      </c>
      <c r="B200">
        <v>1</v>
      </c>
      <c r="C200">
        <v>173.79590137704099</v>
      </c>
    </row>
    <row r="201" spans="1:3" x14ac:dyDescent="0.2">
      <c r="A201">
        <v>250</v>
      </c>
      <c r="B201">
        <v>1</v>
      </c>
      <c r="C201">
        <v>216.73443107490201</v>
      </c>
    </row>
    <row r="202" spans="1:3" x14ac:dyDescent="0.2">
      <c r="A202">
        <v>251</v>
      </c>
      <c r="B202">
        <v>2</v>
      </c>
      <c r="C202">
        <v>1180129.9135299299</v>
      </c>
    </row>
    <row r="203" spans="1:3" x14ac:dyDescent="0.2">
      <c r="A203">
        <v>252</v>
      </c>
      <c r="B203">
        <v>2</v>
      </c>
      <c r="C203">
        <v>1001128.3591102608</v>
      </c>
    </row>
    <row r="204" spans="1:3" x14ac:dyDescent="0.2">
      <c r="A204">
        <v>253</v>
      </c>
      <c r="B204">
        <v>1</v>
      </c>
      <c r="C204">
        <v>5082.31073961928</v>
      </c>
    </row>
    <row r="205" spans="1:3" x14ac:dyDescent="0.2">
      <c r="A205">
        <v>254</v>
      </c>
      <c r="B205">
        <v>2</v>
      </c>
      <c r="C205">
        <v>543039.51053842984</v>
      </c>
    </row>
    <row r="206" spans="1:3" x14ac:dyDescent="0.2">
      <c r="A206">
        <v>255</v>
      </c>
      <c r="B206">
        <v>1</v>
      </c>
      <c r="C206">
        <v>1000000</v>
      </c>
    </row>
    <row r="207" spans="1:3" x14ac:dyDescent="0.2">
      <c r="A207">
        <v>256</v>
      </c>
      <c r="B207">
        <v>1</v>
      </c>
      <c r="C207">
        <v>4581.8291168594697</v>
      </c>
    </row>
    <row r="208" spans="1:3" x14ac:dyDescent="0.2">
      <c r="A208">
        <v>257</v>
      </c>
      <c r="B208">
        <v>2</v>
      </c>
      <c r="C208">
        <v>76791.230948701632</v>
      </c>
    </row>
    <row r="209" spans="1:3" x14ac:dyDescent="0.2">
      <c r="A209">
        <v>258</v>
      </c>
      <c r="B209">
        <v>1</v>
      </c>
      <c r="C209">
        <v>967.75612362615402</v>
      </c>
    </row>
    <row r="210" spans="1:3" x14ac:dyDescent="0.2">
      <c r="A210">
        <v>259</v>
      </c>
      <c r="B210">
        <v>1</v>
      </c>
      <c r="C210">
        <v>21756.324588445401</v>
      </c>
    </row>
    <row r="211" spans="1:3" x14ac:dyDescent="0.2">
      <c r="A211">
        <v>263</v>
      </c>
      <c r="B211">
        <v>1</v>
      </c>
      <c r="C211">
        <v>224.09462741298299</v>
      </c>
    </row>
    <row r="212" spans="1:3" x14ac:dyDescent="0.2">
      <c r="A212">
        <v>265</v>
      </c>
      <c r="B212">
        <v>1</v>
      </c>
      <c r="C212">
        <v>3511.3863014465201</v>
      </c>
    </row>
    <row r="213" spans="1:3" x14ac:dyDescent="0.2">
      <c r="A213">
        <v>266</v>
      </c>
      <c r="B213">
        <v>1</v>
      </c>
      <c r="C213">
        <v>119563.414027127</v>
      </c>
    </row>
    <row r="214" spans="1:3" x14ac:dyDescent="0.2">
      <c r="A214">
        <v>267</v>
      </c>
      <c r="B214">
        <v>1</v>
      </c>
      <c r="C214">
        <v>269655.99821576098</v>
      </c>
    </row>
    <row r="215" spans="1:3" x14ac:dyDescent="0.2">
      <c r="A215">
        <v>268</v>
      </c>
      <c r="B215">
        <v>1</v>
      </c>
      <c r="C215">
        <v>637.50487719315595</v>
      </c>
    </row>
    <row r="216" spans="1:3" x14ac:dyDescent="0.2">
      <c r="A216">
        <v>269</v>
      </c>
      <c r="B216">
        <v>2</v>
      </c>
      <c r="C216">
        <v>309819.4944161321</v>
      </c>
    </row>
    <row r="217" spans="1:3" x14ac:dyDescent="0.2">
      <c r="A217">
        <v>270</v>
      </c>
      <c r="B217">
        <v>1</v>
      </c>
      <c r="C217">
        <v>18617.0324060686</v>
      </c>
    </row>
    <row r="218" spans="1:3" x14ac:dyDescent="0.2">
      <c r="A218">
        <v>272</v>
      </c>
      <c r="B218">
        <v>2</v>
      </c>
      <c r="C218">
        <v>10217.615438447505</v>
      </c>
    </row>
    <row r="219" spans="1:3" x14ac:dyDescent="0.2">
      <c r="A219">
        <v>273</v>
      </c>
      <c r="B219">
        <v>2</v>
      </c>
      <c r="C219">
        <v>378070.32297328056</v>
      </c>
    </row>
    <row r="220" spans="1:3" x14ac:dyDescent="0.2">
      <c r="A220">
        <v>274</v>
      </c>
      <c r="B220">
        <v>2</v>
      </c>
      <c r="C220">
        <v>202692.98142444331</v>
      </c>
    </row>
    <row r="221" spans="1:3" x14ac:dyDescent="0.2">
      <c r="A221">
        <v>275</v>
      </c>
      <c r="B221">
        <v>1</v>
      </c>
      <c r="C221">
        <v>193721.22578398199</v>
      </c>
    </row>
    <row r="222" spans="1:3" x14ac:dyDescent="0.2">
      <c r="A222">
        <v>276</v>
      </c>
      <c r="B222">
        <v>1</v>
      </c>
      <c r="C222">
        <v>67773.782070343106</v>
      </c>
    </row>
    <row r="223" spans="1:3" x14ac:dyDescent="0.2">
      <c r="A223">
        <v>278</v>
      </c>
      <c r="B223">
        <v>1</v>
      </c>
      <c r="C223">
        <v>1000000</v>
      </c>
    </row>
    <row r="224" spans="1:3" x14ac:dyDescent="0.2">
      <c r="A224">
        <v>279</v>
      </c>
      <c r="B224">
        <v>2</v>
      </c>
      <c r="C224">
        <v>144023.0544979026</v>
      </c>
    </row>
    <row r="225" spans="1:3" x14ac:dyDescent="0.2">
      <c r="A225">
        <v>280</v>
      </c>
      <c r="B225">
        <v>1</v>
      </c>
      <c r="C225">
        <v>15349.198338283</v>
      </c>
    </row>
    <row r="226" spans="1:3" x14ac:dyDescent="0.2">
      <c r="A226">
        <v>281</v>
      </c>
      <c r="B226">
        <v>1</v>
      </c>
      <c r="C226">
        <v>2233.60298054334</v>
      </c>
    </row>
    <row r="227" spans="1:3" x14ac:dyDescent="0.2">
      <c r="A227">
        <v>282</v>
      </c>
      <c r="B227">
        <v>2</v>
      </c>
      <c r="C227">
        <v>10447.258010553071</v>
      </c>
    </row>
    <row r="228" spans="1:3" x14ac:dyDescent="0.2">
      <c r="A228">
        <v>283</v>
      </c>
      <c r="B228">
        <v>1</v>
      </c>
      <c r="C228">
        <v>140042.811662238</v>
      </c>
    </row>
    <row r="229" spans="1:3" x14ac:dyDescent="0.2">
      <c r="A229">
        <v>284</v>
      </c>
      <c r="B229">
        <v>2</v>
      </c>
      <c r="C229">
        <v>468331.36367839109</v>
      </c>
    </row>
    <row r="230" spans="1:3" x14ac:dyDescent="0.2">
      <c r="A230">
        <v>285</v>
      </c>
      <c r="B230">
        <v>2</v>
      </c>
      <c r="C230">
        <v>19602.247373345112</v>
      </c>
    </row>
    <row r="231" spans="1:3" x14ac:dyDescent="0.2">
      <c r="A231">
        <v>286</v>
      </c>
      <c r="B231">
        <v>1</v>
      </c>
      <c r="C231">
        <v>209311.399462795</v>
      </c>
    </row>
    <row r="232" spans="1:3" x14ac:dyDescent="0.2">
      <c r="A232">
        <v>287</v>
      </c>
      <c r="B232">
        <v>2</v>
      </c>
      <c r="C232">
        <v>16305.323324807581</v>
      </c>
    </row>
    <row r="233" spans="1:3" x14ac:dyDescent="0.2">
      <c r="A233">
        <v>288</v>
      </c>
      <c r="B233">
        <v>2</v>
      </c>
      <c r="C233">
        <v>31313.029813824298</v>
      </c>
    </row>
    <row r="234" spans="1:3" x14ac:dyDescent="0.2">
      <c r="A234">
        <v>289</v>
      </c>
      <c r="B234">
        <v>2</v>
      </c>
      <c r="C234">
        <v>262296.93259583984</v>
      </c>
    </row>
    <row r="235" spans="1:3" x14ac:dyDescent="0.2">
      <c r="A235">
        <v>290</v>
      </c>
      <c r="B235">
        <v>1</v>
      </c>
      <c r="C235">
        <v>22205.0492055387</v>
      </c>
    </row>
    <row r="236" spans="1:3" x14ac:dyDescent="0.2">
      <c r="A236">
        <v>291</v>
      </c>
      <c r="B236">
        <v>1</v>
      </c>
      <c r="C236">
        <v>988703.936397054</v>
      </c>
    </row>
    <row r="237" spans="1:3" x14ac:dyDescent="0.2">
      <c r="A237">
        <v>292</v>
      </c>
      <c r="B237">
        <v>2</v>
      </c>
      <c r="C237">
        <v>7503.3342387126741</v>
      </c>
    </row>
    <row r="238" spans="1:3" x14ac:dyDescent="0.2">
      <c r="A238">
        <v>293</v>
      </c>
      <c r="B238">
        <v>2</v>
      </c>
      <c r="C238">
        <v>75009.461660180241</v>
      </c>
    </row>
    <row r="239" spans="1:3" x14ac:dyDescent="0.2">
      <c r="A239">
        <v>295</v>
      </c>
      <c r="B239">
        <v>1</v>
      </c>
      <c r="C239">
        <v>314974.546974728</v>
      </c>
    </row>
    <row r="240" spans="1:3" x14ac:dyDescent="0.2">
      <c r="A240">
        <v>298</v>
      </c>
      <c r="B240">
        <v>2</v>
      </c>
      <c r="C240">
        <v>16451.609678267341</v>
      </c>
    </row>
    <row r="241" spans="1:3" x14ac:dyDescent="0.2">
      <c r="A241">
        <v>299</v>
      </c>
      <c r="B241">
        <v>2</v>
      </c>
      <c r="C241">
        <v>44864.700363527867</v>
      </c>
    </row>
    <row r="242" spans="1:3" x14ac:dyDescent="0.2">
      <c r="A242">
        <v>301</v>
      </c>
      <c r="B242">
        <v>1</v>
      </c>
      <c r="C242">
        <v>345473.86451898498</v>
      </c>
    </row>
    <row r="243" spans="1:3" x14ac:dyDescent="0.2">
      <c r="A243">
        <v>302</v>
      </c>
      <c r="B243">
        <v>2</v>
      </c>
      <c r="C243">
        <v>18246.504722869329</v>
      </c>
    </row>
    <row r="244" spans="1:3" x14ac:dyDescent="0.2">
      <c r="A244">
        <v>303</v>
      </c>
      <c r="B244">
        <v>1</v>
      </c>
      <c r="C244">
        <v>1000000</v>
      </c>
    </row>
    <row r="245" spans="1:3" x14ac:dyDescent="0.2">
      <c r="A245">
        <v>304</v>
      </c>
      <c r="B245">
        <v>1</v>
      </c>
      <c r="C245">
        <v>50460.523485469501</v>
      </c>
    </row>
    <row r="246" spans="1:3" x14ac:dyDescent="0.2">
      <c r="A246">
        <v>305</v>
      </c>
      <c r="B246">
        <v>1</v>
      </c>
      <c r="C246">
        <v>11.8965280067601</v>
      </c>
    </row>
    <row r="247" spans="1:3" x14ac:dyDescent="0.2">
      <c r="A247">
        <v>306</v>
      </c>
      <c r="B247">
        <v>1</v>
      </c>
      <c r="C247">
        <v>191625.16146285299</v>
      </c>
    </row>
    <row r="248" spans="1:3" x14ac:dyDescent="0.2">
      <c r="A248">
        <v>307</v>
      </c>
      <c r="B248">
        <v>2</v>
      </c>
      <c r="C248">
        <v>922783.24690739997</v>
      </c>
    </row>
    <row r="249" spans="1:3" x14ac:dyDescent="0.2">
      <c r="A249">
        <v>308</v>
      </c>
      <c r="B249">
        <v>2</v>
      </c>
      <c r="C249">
        <v>974153.11606266443</v>
      </c>
    </row>
    <row r="250" spans="1:3" x14ac:dyDescent="0.2">
      <c r="A250">
        <v>309</v>
      </c>
      <c r="B250">
        <v>1</v>
      </c>
      <c r="C250">
        <v>551.72043924170202</v>
      </c>
    </row>
    <row r="251" spans="1:3" x14ac:dyDescent="0.2">
      <c r="A251">
        <v>310</v>
      </c>
      <c r="B251">
        <v>1</v>
      </c>
      <c r="C251">
        <v>1000000</v>
      </c>
    </row>
    <row r="252" spans="1:3" x14ac:dyDescent="0.2">
      <c r="A252">
        <v>311</v>
      </c>
      <c r="B252">
        <v>1</v>
      </c>
      <c r="C252">
        <v>235497.07346507401</v>
      </c>
    </row>
    <row r="253" spans="1:3" x14ac:dyDescent="0.2">
      <c r="A253">
        <v>312</v>
      </c>
      <c r="B253">
        <v>1</v>
      </c>
      <c r="C253">
        <v>468.80972002023799</v>
      </c>
    </row>
    <row r="254" spans="1:3" x14ac:dyDescent="0.2">
      <c r="A254">
        <v>313</v>
      </c>
      <c r="B254">
        <v>1</v>
      </c>
      <c r="C254">
        <v>7294.9840506933597</v>
      </c>
    </row>
    <row r="255" spans="1:3" x14ac:dyDescent="0.2">
      <c r="A255">
        <v>314</v>
      </c>
      <c r="B255">
        <v>2</v>
      </c>
      <c r="C255">
        <v>835182.92061261053</v>
      </c>
    </row>
    <row r="256" spans="1:3" x14ac:dyDescent="0.2">
      <c r="A256">
        <v>315</v>
      </c>
      <c r="B256">
        <v>1</v>
      </c>
      <c r="C256">
        <v>104.24631348180399</v>
      </c>
    </row>
    <row r="257" spans="1:3" x14ac:dyDescent="0.2">
      <c r="A257">
        <v>318</v>
      </c>
      <c r="B257">
        <v>2</v>
      </c>
      <c r="C257">
        <v>1235244.236662714</v>
      </c>
    </row>
    <row r="258" spans="1:3" x14ac:dyDescent="0.2">
      <c r="A258">
        <v>319</v>
      </c>
      <c r="B258">
        <v>1</v>
      </c>
      <c r="C258">
        <v>51618.567347274497</v>
      </c>
    </row>
    <row r="259" spans="1:3" x14ac:dyDescent="0.2">
      <c r="A259">
        <v>322</v>
      </c>
      <c r="B259">
        <v>1</v>
      </c>
      <c r="C259">
        <v>159396.155683852</v>
      </c>
    </row>
    <row r="260" spans="1:3" x14ac:dyDescent="0.2">
      <c r="A260">
        <v>323</v>
      </c>
      <c r="B260">
        <v>2</v>
      </c>
      <c r="C260">
        <v>80100.874597687594</v>
      </c>
    </row>
    <row r="261" spans="1:3" x14ac:dyDescent="0.2">
      <c r="A261">
        <v>324</v>
      </c>
      <c r="B261">
        <v>1</v>
      </c>
      <c r="C261">
        <v>5832.9566320682698</v>
      </c>
    </row>
    <row r="262" spans="1:3" x14ac:dyDescent="0.2">
      <c r="A262">
        <v>325</v>
      </c>
      <c r="B262">
        <v>2</v>
      </c>
      <c r="C262">
        <v>181428.83618842438</v>
      </c>
    </row>
    <row r="263" spans="1:3" x14ac:dyDescent="0.2">
      <c r="A263">
        <v>326</v>
      </c>
      <c r="B263">
        <v>2</v>
      </c>
      <c r="C263">
        <v>510017.79828447226</v>
      </c>
    </row>
    <row r="264" spans="1:3" x14ac:dyDescent="0.2">
      <c r="A264">
        <v>328</v>
      </c>
      <c r="B264">
        <v>2</v>
      </c>
      <c r="C264">
        <v>139140.03296486879</v>
      </c>
    </row>
    <row r="265" spans="1:3" x14ac:dyDescent="0.2">
      <c r="A265">
        <v>329</v>
      </c>
      <c r="B265">
        <v>1</v>
      </c>
      <c r="C265">
        <v>122351.254499879</v>
      </c>
    </row>
    <row r="266" spans="1:3" x14ac:dyDescent="0.2">
      <c r="A266">
        <v>331</v>
      </c>
      <c r="B266">
        <v>1</v>
      </c>
      <c r="C266">
        <v>1000000</v>
      </c>
    </row>
    <row r="267" spans="1:3" x14ac:dyDescent="0.2">
      <c r="A267">
        <v>332</v>
      </c>
      <c r="B267">
        <v>2</v>
      </c>
      <c r="C267">
        <v>7963.5408470751354</v>
      </c>
    </row>
    <row r="268" spans="1:3" x14ac:dyDescent="0.2">
      <c r="A268">
        <v>333</v>
      </c>
      <c r="B268">
        <v>1</v>
      </c>
      <c r="C268">
        <v>1000000</v>
      </c>
    </row>
    <row r="269" spans="1:3" x14ac:dyDescent="0.2">
      <c r="A269">
        <v>335</v>
      </c>
      <c r="B269">
        <v>1</v>
      </c>
      <c r="C269">
        <v>33771.593399319303</v>
      </c>
    </row>
    <row r="270" spans="1:3" x14ac:dyDescent="0.2">
      <c r="A270">
        <v>336</v>
      </c>
      <c r="B270">
        <v>1</v>
      </c>
      <c r="C270">
        <v>223227.52524643301</v>
      </c>
    </row>
    <row r="271" spans="1:3" x14ac:dyDescent="0.2">
      <c r="A271">
        <v>337</v>
      </c>
      <c r="B271">
        <v>1</v>
      </c>
      <c r="C271">
        <v>1710.3379652493099</v>
      </c>
    </row>
    <row r="272" spans="1:3" x14ac:dyDescent="0.2">
      <c r="A272">
        <v>338</v>
      </c>
      <c r="B272">
        <v>1</v>
      </c>
      <c r="C272">
        <v>83.039573003370606</v>
      </c>
    </row>
    <row r="273" spans="1:3" x14ac:dyDescent="0.2">
      <c r="A273">
        <v>339</v>
      </c>
      <c r="B273">
        <v>1</v>
      </c>
      <c r="C273">
        <v>47558.834543523102</v>
      </c>
    </row>
    <row r="274" spans="1:3" x14ac:dyDescent="0.2">
      <c r="A274">
        <v>341</v>
      </c>
      <c r="B274">
        <v>1</v>
      </c>
      <c r="C274">
        <v>1000000</v>
      </c>
    </row>
    <row r="275" spans="1:3" x14ac:dyDescent="0.2">
      <c r="A275">
        <v>342</v>
      </c>
      <c r="B275">
        <v>2</v>
      </c>
      <c r="C275">
        <v>1000010.4413906243</v>
      </c>
    </row>
    <row r="276" spans="1:3" x14ac:dyDescent="0.2">
      <c r="A276">
        <v>343</v>
      </c>
      <c r="B276">
        <v>1</v>
      </c>
      <c r="C276">
        <v>1000000</v>
      </c>
    </row>
    <row r="277" spans="1:3" x14ac:dyDescent="0.2">
      <c r="A277">
        <v>344</v>
      </c>
      <c r="B277">
        <v>2</v>
      </c>
      <c r="C277">
        <v>1241060.19974872</v>
      </c>
    </row>
    <row r="278" spans="1:3" x14ac:dyDescent="0.2">
      <c r="A278">
        <v>345</v>
      </c>
      <c r="B278">
        <v>1</v>
      </c>
      <c r="C278">
        <v>14829.522917616399</v>
      </c>
    </row>
    <row r="279" spans="1:3" x14ac:dyDescent="0.2">
      <c r="A279">
        <v>346</v>
      </c>
      <c r="B279">
        <v>1</v>
      </c>
      <c r="C279">
        <v>41.2739042863872</v>
      </c>
    </row>
    <row r="280" spans="1:3" x14ac:dyDescent="0.2">
      <c r="A280">
        <v>348</v>
      </c>
      <c r="B280">
        <v>1</v>
      </c>
      <c r="C280">
        <v>12637.1161855966</v>
      </c>
    </row>
    <row r="281" spans="1:3" x14ac:dyDescent="0.2">
      <c r="A281">
        <v>349</v>
      </c>
      <c r="B281">
        <v>2</v>
      </c>
      <c r="C281">
        <v>198592.98821090738</v>
      </c>
    </row>
    <row r="282" spans="1:3" x14ac:dyDescent="0.2">
      <c r="A282">
        <v>350</v>
      </c>
      <c r="B282">
        <v>1</v>
      </c>
      <c r="C282">
        <v>2222.0421929358399</v>
      </c>
    </row>
    <row r="283" spans="1:3" x14ac:dyDescent="0.2">
      <c r="A283">
        <v>351</v>
      </c>
      <c r="B283">
        <v>2</v>
      </c>
      <c r="C283">
        <v>21410.640803837858</v>
      </c>
    </row>
    <row r="284" spans="1:3" x14ac:dyDescent="0.2">
      <c r="A284">
        <v>353</v>
      </c>
      <c r="B284">
        <v>1</v>
      </c>
      <c r="C284">
        <v>8027.9611689782896</v>
      </c>
    </row>
    <row r="285" spans="1:3" x14ac:dyDescent="0.2">
      <c r="A285">
        <v>354</v>
      </c>
      <c r="B285">
        <v>2</v>
      </c>
      <c r="C285">
        <v>48083.29061774788</v>
      </c>
    </row>
    <row r="286" spans="1:3" x14ac:dyDescent="0.2">
      <c r="A286">
        <v>355</v>
      </c>
      <c r="B286">
        <v>1</v>
      </c>
      <c r="C286">
        <v>67066.763962990299</v>
      </c>
    </row>
    <row r="287" spans="1:3" x14ac:dyDescent="0.2">
      <c r="A287">
        <v>357</v>
      </c>
      <c r="B287">
        <v>1</v>
      </c>
      <c r="C287">
        <v>23796.9590405171</v>
      </c>
    </row>
    <row r="288" spans="1:3" x14ac:dyDescent="0.2">
      <c r="A288">
        <v>358</v>
      </c>
      <c r="B288">
        <v>1</v>
      </c>
      <c r="C288">
        <v>2050.9499674276099</v>
      </c>
    </row>
    <row r="289" spans="1:3" x14ac:dyDescent="0.2">
      <c r="A289">
        <v>359</v>
      </c>
      <c r="B289">
        <v>1</v>
      </c>
      <c r="C289">
        <v>158.44899391067901</v>
      </c>
    </row>
    <row r="290" spans="1:3" x14ac:dyDescent="0.2">
      <c r="A290">
        <v>361</v>
      </c>
      <c r="B290">
        <v>2</v>
      </c>
      <c r="C290">
        <v>573644.16411710682</v>
      </c>
    </row>
    <row r="291" spans="1:3" x14ac:dyDescent="0.2">
      <c r="A291">
        <v>362</v>
      </c>
      <c r="B291">
        <v>2</v>
      </c>
      <c r="C291">
        <v>32067.990121008399</v>
      </c>
    </row>
    <row r="292" spans="1:3" x14ac:dyDescent="0.2">
      <c r="A292">
        <v>364</v>
      </c>
      <c r="B292">
        <v>1</v>
      </c>
      <c r="C292">
        <v>10829.581776745101</v>
      </c>
    </row>
    <row r="293" spans="1:3" x14ac:dyDescent="0.2">
      <c r="A293">
        <v>365</v>
      </c>
      <c r="B293">
        <v>1</v>
      </c>
      <c r="C293">
        <v>29814.781620276601</v>
      </c>
    </row>
    <row r="294" spans="1:3" x14ac:dyDescent="0.2">
      <c r="A294">
        <v>366</v>
      </c>
      <c r="B294">
        <v>1</v>
      </c>
      <c r="C294">
        <v>201726.23818386599</v>
      </c>
    </row>
    <row r="295" spans="1:3" x14ac:dyDescent="0.2">
      <c r="A295">
        <v>367</v>
      </c>
      <c r="B295">
        <v>2</v>
      </c>
      <c r="C295">
        <v>1000068.3447154724</v>
      </c>
    </row>
    <row r="296" spans="1:3" x14ac:dyDescent="0.2">
      <c r="A296">
        <v>368</v>
      </c>
      <c r="B296">
        <v>2</v>
      </c>
      <c r="C296">
        <v>1006361.0733694329</v>
      </c>
    </row>
    <row r="297" spans="1:3" x14ac:dyDescent="0.2">
      <c r="A297">
        <v>369</v>
      </c>
      <c r="B297">
        <v>1</v>
      </c>
      <c r="C297">
        <v>19739.724044591399</v>
      </c>
    </row>
    <row r="298" spans="1:3" x14ac:dyDescent="0.2">
      <c r="A298">
        <v>370</v>
      </c>
      <c r="B298">
        <v>1</v>
      </c>
      <c r="C298">
        <v>2517.2008957379198</v>
      </c>
    </row>
    <row r="299" spans="1:3" x14ac:dyDescent="0.2">
      <c r="A299">
        <v>371</v>
      </c>
      <c r="B299">
        <v>1</v>
      </c>
      <c r="C299">
        <v>16540.004301845202</v>
      </c>
    </row>
    <row r="300" spans="1:3" x14ac:dyDescent="0.2">
      <c r="A300">
        <v>372</v>
      </c>
      <c r="B300">
        <v>1</v>
      </c>
      <c r="C300">
        <v>1000000</v>
      </c>
    </row>
    <row r="301" spans="1:3" x14ac:dyDescent="0.2">
      <c r="A301">
        <v>374</v>
      </c>
      <c r="B301">
        <v>1</v>
      </c>
      <c r="C301">
        <v>1000000</v>
      </c>
    </row>
    <row r="302" spans="1:3" x14ac:dyDescent="0.2">
      <c r="A302">
        <v>375</v>
      </c>
      <c r="B302">
        <v>1</v>
      </c>
      <c r="C302">
        <v>392.788234900715</v>
      </c>
    </row>
    <row r="303" spans="1:3" x14ac:dyDescent="0.2">
      <c r="A303">
        <v>377</v>
      </c>
      <c r="B303">
        <v>1</v>
      </c>
      <c r="C303">
        <v>2244.5810660719699</v>
      </c>
    </row>
    <row r="304" spans="1:3" x14ac:dyDescent="0.2">
      <c r="A304">
        <v>378</v>
      </c>
      <c r="B304">
        <v>2</v>
      </c>
      <c r="C304">
        <v>25228.133671284289</v>
      </c>
    </row>
    <row r="305" spans="1:3" x14ac:dyDescent="0.2">
      <c r="A305">
        <v>379</v>
      </c>
      <c r="B305">
        <v>1</v>
      </c>
      <c r="C305">
        <v>2534.3161201473499</v>
      </c>
    </row>
    <row r="306" spans="1:3" x14ac:dyDescent="0.2">
      <c r="A306">
        <v>381</v>
      </c>
      <c r="B306">
        <v>1</v>
      </c>
      <c r="C306">
        <v>832.51267890122199</v>
      </c>
    </row>
    <row r="307" spans="1:3" x14ac:dyDescent="0.2">
      <c r="A307">
        <v>382</v>
      </c>
      <c r="B307">
        <v>1</v>
      </c>
      <c r="C307">
        <v>512604.504115975</v>
      </c>
    </row>
    <row r="308" spans="1:3" x14ac:dyDescent="0.2">
      <c r="A308">
        <v>383</v>
      </c>
      <c r="B308">
        <v>1</v>
      </c>
      <c r="C308">
        <v>2790.2618532080701</v>
      </c>
    </row>
    <row r="309" spans="1:3" x14ac:dyDescent="0.2">
      <c r="A309">
        <v>384</v>
      </c>
      <c r="B309">
        <v>1</v>
      </c>
      <c r="C309">
        <v>1748.03873292192</v>
      </c>
    </row>
    <row r="310" spans="1:3" x14ac:dyDescent="0.2">
      <c r="A310">
        <v>385</v>
      </c>
      <c r="B310">
        <v>1</v>
      </c>
      <c r="C310">
        <v>47877.709289400998</v>
      </c>
    </row>
    <row r="311" spans="1:3" x14ac:dyDescent="0.2">
      <c r="A311">
        <v>387</v>
      </c>
      <c r="B311">
        <v>2</v>
      </c>
      <c r="C311">
        <v>179424.65083902801</v>
      </c>
    </row>
    <row r="312" spans="1:3" x14ac:dyDescent="0.2">
      <c r="A312">
        <v>388</v>
      </c>
      <c r="B312">
        <v>2</v>
      </c>
      <c r="C312">
        <v>32468.0546930657</v>
      </c>
    </row>
    <row r="313" spans="1:3" x14ac:dyDescent="0.2">
      <c r="A313">
        <v>389</v>
      </c>
      <c r="B313">
        <v>2</v>
      </c>
      <c r="C313">
        <v>108403.797501254</v>
      </c>
    </row>
    <row r="314" spans="1:3" x14ac:dyDescent="0.2">
      <c r="A314">
        <v>390</v>
      </c>
      <c r="B314">
        <v>2</v>
      </c>
      <c r="C314">
        <v>98609.382342933095</v>
      </c>
    </row>
    <row r="315" spans="1:3" x14ac:dyDescent="0.2">
      <c r="A315">
        <v>392</v>
      </c>
      <c r="B315">
        <v>1</v>
      </c>
      <c r="C315">
        <v>231541.091371755</v>
      </c>
    </row>
    <row r="316" spans="1:3" x14ac:dyDescent="0.2">
      <c r="A316">
        <v>393</v>
      </c>
      <c r="B316">
        <v>1</v>
      </c>
      <c r="C316">
        <v>21878.7119352064</v>
      </c>
    </row>
    <row r="317" spans="1:3" x14ac:dyDescent="0.2">
      <c r="A317">
        <v>394</v>
      </c>
      <c r="B317">
        <v>1</v>
      </c>
      <c r="C317">
        <v>25341.549048067802</v>
      </c>
    </row>
    <row r="318" spans="1:3" x14ac:dyDescent="0.2">
      <c r="A318">
        <v>395</v>
      </c>
      <c r="B318">
        <v>2</v>
      </c>
      <c r="C318">
        <v>27240.537407847278</v>
      </c>
    </row>
    <row r="319" spans="1:3" x14ac:dyDescent="0.2">
      <c r="A319">
        <v>396</v>
      </c>
      <c r="B319">
        <v>2</v>
      </c>
      <c r="C319">
        <v>21308.763445062508</v>
      </c>
    </row>
    <row r="320" spans="1:3" x14ac:dyDescent="0.2">
      <c r="A320">
        <v>397</v>
      </c>
      <c r="B320">
        <v>2</v>
      </c>
      <c r="C320">
        <v>1054.4477753433998</v>
      </c>
    </row>
    <row r="321" spans="1:3" x14ac:dyDescent="0.2">
      <c r="A321">
        <v>398</v>
      </c>
      <c r="B321">
        <v>2</v>
      </c>
      <c r="C321">
        <v>193046.15070413859</v>
      </c>
    </row>
    <row r="322" spans="1:3" x14ac:dyDescent="0.2">
      <c r="A322">
        <v>399</v>
      </c>
      <c r="B322">
        <v>2</v>
      </c>
      <c r="C322">
        <v>1034175.0640580811</v>
      </c>
    </row>
    <row r="323" spans="1:3" x14ac:dyDescent="0.2">
      <c r="A323">
        <v>402</v>
      </c>
      <c r="B323">
        <v>2</v>
      </c>
      <c r="C323">
        <v>13483.316688856128</v>
      </c>
    </row>
    <row r="324" spans="1:3" x14ac:dyDescent="0.2">
      <c r="A324">
        <v>404</v>
      </c>
      <c r="B324">
        <v>1</v>
      </c>
      <c r="C324">
        <v>725462.99082128005</v>
      </c>
    </row>
    <row r="325" spans="1:3" x14ac:dyDescent="0.2">
      <c r="A325">
        <v>405</v>
      </c>
      <c r="B325">
        <v>1</v>
      </c>
      <c r="C325">
        <v>233608.249269908</v>
      </c>
    </row>
    <row r="326" spans="1:3" x14ac:dyDescent="0.2">
      <c r="A326">
        <v>406</v>
      </c>
      <c r="B326">
        <v>1</v>
      </c>
      <c r="C326">
        <v>5489.6785906154</v>
      </c>
    </row>
    <row r="327" spans="1:3" x14ac:dyDescent="0.2">
      <c r="A327">
        <v>407</v>
      </c>
      <c r="B327">
        <v>1</v>
      </c>
      <c r="C327">
        <v>167257.06954470399</v>
      </c>
    </row>
    <row r="328" spans="1:3" x14ac:dyDescent="0.2">
      <c r="A328">
        <v>408</v>
      </c>
      <c r="B328">
        <v>2</v>
      </c>
      <c r="C328">
        <v>2702.8998128825119</v>
      </c>
    </row>
    <row r="329" spans="1:3" x14ac:dyDescent="0.2">
      <c r="A329">
        <v>409</v>
      </c>
      <c r="B329">
        <v>1</v>
      </c>
      <c r="C329">
        <v>1192.49913152672</v>
      </c>
    </row>
    <row r="330" spans="1:3" x14ac:dyDescent="0.2">
      <c r="A330">
        <v>410</v>
      </c>
      <c r="B330">
        <v>1</v>
      </c>
      <c r="C330">
        <v>382.48859770090701</v>
      </c>
    </row>
    <row r="331" spans="1:3" x14ac:dyDescent="0.2">
      <c r="A331">
        <v>411</v>
      </c>
      <c r="B331">
        <v>1</v>
      </c>
      <c r="C331">
        <v>169942.01586765499</v>
      </c>
    </row>
    <row r="332" spans="1:3" x14ac:dyDescent="0.2">
      <c r="A332">
        <v>413</v>
      </c>
      <c r="B332">
        <v>2</v>
      </c>
      <c r="C332">
        <v>2083.2999475365577</v>
      </c>
    </row>
    <row r="333" spans="1:3" x14ac:dyDescent="0.2">
      <c r="A333">
        <v>414</v>
      </c>
      <c r="B333">
        <v>1</v>
      </c>
      <c r="C333">
        <v>185.597871480051</v>
      </c>
    </row>
    <row r="334" spans="1:3" x14ac:dyDescent="0.2">
      <c r="A334">
        <v>415</v>
      </c>
      <c r="B334">
        <v>2</v>
      </c>
      <c r="C334">
        <v>546270.27563700185</v>
      </c>
    </row>
    <row r="335" spans="1:3" x14ac:dyDescent="0.2">
      <c r="A335">
        <v>416</v>
      </c>
      <c r="B335">
        <v>2</v>
      </c>
      <c r="C335">
        <v>2715.0968350824919</v>
      </c>
    </row>
    <row r="336" spans="1:3" x14ac:dyDescent="0.2">
      <c r="A336">
        <v>418</v>
      </c>
      <c r="B336">
        <v>1</v>
      </c>
      <c r="C336">
        <v>1702.41711677432</v>
      </c>
    </row>
    <row r="337" spans="1:3" x14ac:dyDescent="0.2">
      <c r="A337">
        <v>419</v>
      </c>
      <c r="B337">
        <v>1</v>
      </c>
      <c r="C337">
        <v>89957.792569983299</v>
      </c>
    </row>
    <row r="338" spans="1:3" x14ac:dyDescent="0.2">
      <c r="A338">
        <v>420</v>
      </c>
      <c r="B338">
        <v>2</v>
      </c>
      <c r="C338">
        <v>177087.98551403108</v>
      </c>
    </row>
    <row r="339" spans="1:3" x14ac:dyDescent="0.2">
      <c r="A339">
        <v>421</v>
      </c>
      <c r="B339">
        <v>1</v>
      </c>
      <c r="C339">
        <v>146947.679412953</v>
      </c>
    </row>
    <row r="340" spans="1:3" x14ac:dyDescent="0.2">
      <c r="A340">
        <v>422</v>
      </c>
      <c r="B340">
        <v>1</v>
      </c>
      <c r="C340">
        <v>13463.397522704699</v>
      </c>
    </row>
    <row r="341" spans="1:3" x14ac:dyDescent="0.2">
      <c r="A341">
        <v>423</v>
      </c>
      <c r="B341">
        <v>1</v>
      </c>
      <c r="C341">
        <v>1000000</v>
      </c>
    </row>
    <row r="342" spans="1:3" x14ac:dyDescent="0.2">
      <c r="A342">
        <v>424</v>
      </c>
      <c r="B342">
        <v>1</v>
      </c>
      <c r="C342">
        <v>1758.97741738164</v>
      </c>
    </row>
    <row r="343" spans="1:3" x14ac:dyDescent="0.2">
      <c r="A343">
        <v>426</v>
      </c>
      <c r="B343">
        <v>1</v>
      </c>
      <c r="C343">
        <v>43724.808480536303</v>
      </c>
    </row>
    <row r="344" spans="1:3" x14ac:dyDescent="0.2">
      <c r="A344">
        <v>427</v>
      </c>
      <c r="B344">
        <v>1</v>
      </c>
      <c r="C344">
        <v>1153.16017223626</v>
      </c>
    </row>
    <row r="345" spans="1:3" x14ac:dyDescent="0.2">
      <c r="A345">
        <v>428</v>
      </c>
      <c r="B345">
        <v>1</v>
      </c>
      <c r="C345">
        <v>77641.302356685395</v>
      </c>
    </row>
    <row r="346" spans="1:3" x14ac:dyDescent="0.2">
      <c r="A346">
        <v>429</v>
      </c>
      <c r="B346">
        <v>2</v>
      </c>
      <c r="C346">
        <v>54805.155599878155</v>
      </c>
    </row>
    <row r="347" spans="1:3" x14ac:dyDescent="0.2">
      <c r="A347">
        <v>432</v>
      </c>
      <c r="B347">
        <v>1</v>
      </c>
      <c r="C347">
        <v>3493.5773045535102</v>
      </c>
    </row>
    <row r="348" spans="1:3" x14ac:dyDescent="0.2">
      <c r="A348">
        <v>433</v>
      </c>
      <c r="B348">
        <v>1</v>
      </c>
      <c r="C348">
        <v>727.28663072414599</v>
      </c>
    </row>
    <row r="349" spans="1:3" x14ac:dyDescent="0.2">
      <c r="A349">
        <v>435</v>
      </c>
      <c r="B349">
        <v>2</v>
      </c>
      <c r="C349">
        <v>207704.32672703639</v>
      </c>
    </row>
    <row r="350" spans="1:3" x14ac:dyDescent="0.2">
      <c r="A350">
        <v>436</v>
      </c>
      <c r="B350">
        <v>1</v>
      </c>
      <c r="C350">
        <v>153.80547170121201</v>
      </c>
    </row>
    <row r="351" spans="1:3" x14ac:dyDescent="0.2">
      <c r="A351">
        <v>437</v>
      </c>
      <c r="B351">
        <v>2</v>
      </c>
      <c r="C351">
        <v>152594.22641380652</v>
      </c>
    </row>
    <row r="352" spans="1:3" x14ac:dyDescent="0.2">
      <c r="A352">
        <v>438</v>
      </c>
      <c r="B352">
        <v>1</v>
      </c>
      <c r="C352">
        <v>4617.4073198792403</v>
      </c>
    </row>
    <row r="353" spans="1:3" x14ac:dyDescent="0.2">
      <c r="A353">
        <v>439</v>
      </c>
      <c r="B353">
        <v>2</v>
      </c>
      <c r="C353">
        <v>1004996.8219211142</v>
      </c>
    </row>
    <row r="354" spans="1:3" x14ac:dyDescent="0.2">
      <c r="A354">
        <v>440</v>
      </c>
      <c r="B354">
        <v>2</v>
      </c>
      <c r="C354">
        <v>1007126.9563302754</v>
      </c>
    </row>
    <row r="355" spans="1:3" x14ac:dyDescent="0.2">
      <c r="A355">
        <v>441</v>
      </c>
      <c r="B355">
        <v>2</v>
      </c>
      <c r="C355">
        <v>425962.28180957166</v>
      </c>
    </row>
    <row r="356" spans="1:3" x14ac:dyDescent="0.2">
      <c r="A356">
        <v>442</v>
      </c>
      <c r="B356">
        <v>1</v>
      </c>
      <c r="C356">
        <v>188904.119010875</v>
      </c>
    </row>
    <row r="357" spans="1:3" x14ac:dyDescent="0.2">
      <c r="A357">
        <v>443</v>
      </c>
      <c r="B357">
        <v>1</v>
      </c>
      <c r="C357">
        <v>439915.361802336</v>
      </c>
    </row>
    <row r="358" spans="1:3" x14ac:dyDescent="0.2">
      <c r="A358">
        <v>444</v>
      </c>
      <c r="B358">
        <v>2</v>
      </c>
      <c r="C358">
        <v>2193.6346841183909</v>
      </c>
    </row>
    <row r="359" spans="1:3" x14ac:dyDescent="0.2">
      <c r="A359">
        <v>446</v>
      </c>
      <c r="B359">
        <v>1</v>
      </c>
      <c r="C359">
        <v>1178.76189080277</v>
      </c>
    </row>
    <row r="360" spans="1:3" x14ac:dyDescent="0.2">
      <c r="A360">
        <v>447</v>
      </c>
      <c r="B360">
        <v>1</v>
      </c>
      <c r="C360">
        <v>979.56515668742702</v>
      </c>
    </row>
    <row r="361" spans="1:3" x14ac:dyDescent="0.2">
      <c r="A361">
        <v>448</v>
      </c>
      <c r="B361">
        <v>2</v>
      </c>
      <c r="C361">
        <v>335212.90942511248</v>
      </c>
    </row>
    <row r="362" spans="1:3" x14ac:dyDescent="0.2">
      <c r="A362">
        <v>449</v>
      </c>
      <c r="B362">
        <v>1</v>
      </c>
      <c r="C362">
        <v>158.00225444967299</v>
      </c>
    </row>
    <row r="363" spans="1:3" x14ac:dyDescent="0.2">
      <c r="A363">
        <v>450</v>
      </c>
      <c r="B363">
        <v>1</v>
      </c>
      <c r="C363">
        <v>3838.3389088910499</v>
      </c>
    </row>
    <row r="364" spans="1:3" x14ac:dyDescent="0.2">
      <c r="A364">
        <v>451</v>
      </c>
      <c r="B364">
        <v>1</v>
      </c>
      <c r="C364">
        <v>112925.07359271101</v>
      </c>
    </row>
    <row r="365" spans="1:3" x14ac:dyDescent="0.2">
      <c r="A365">
        <v>452</v>
      </c>
      <c r="B365">
        <v>1</v>
      </c>
      <c r="C365">
        <v>103021.229816059</v>
      </c>
    </row>
    <row r="366" spans="1:3" x14ac:dyDescent="0.2">
      <c r="A366">
        <v>453</v>
      </c>
      <c r="B366">
        <v>2</v>
      </c>
      <c r="C366">
        <v>361068.49832395813</v>
      </c>
    </row>
    <row r="367" spans="1:3" x14ac:dyDescent="0.2">
      <c r="A367">
        <v>454</v>
      </c>
      <c r="B367">
        <v>2</v>
      </c>
      <c r="C367">
        <v>110520.0673102771</v>
      </c>
    </row>
    <row r="368" spans="1:3" x14ac:dyDescent="0.2">
      <c r="A368">
        <v>455</v>
      </c>
      <c r="B368">
        <v>2</v>
      </c>
      <c r="C368">
        <v>28640.858736512699</v>
      </c>
    </row>
    <row r="369" spans="1:3" x14ac:dyDescent="0.2">
      <c r="A369">
        <v>458</v>
      </c>
      <c r="B369">
        <v>1</v>
      </c>
      <c r="C369">
        <v>160.20076003075201</v>
      </c>
    </row>
    <row r="370" spans="1:3" x14ac:dyDescent="0.2">
      <c r="A370">
        <v>459</v>
      </c>
      <c r="B370">
        <v>2</v>
      </c>
      <c r="C370">
        <v>328901.49593115499</v>
      </c>
    </row>
    <row r="371" spans="1:3" x14ac:dyDescent="0.2">
      <c r="A371">
        <v>460</v>
      </c>
      <c r="B371">
        <v>2</v>
      </c>
      <c r="C371">
        <v>469227.92349348584</v>
      </c>
    </row>
    <row r="372" spans="1:3" x14ac:dyDescent="0.2">
      <c r="A372">
        <v>462</v>
      </c>
      <c r="B372">
        <v>1</v>
      </c>
      <c r="C372">
        <v>499753.10164847499</v>
      </c>
    </row>
    <row r="373" spans="1:3" x14ac:dyDescent="0.2">
      <c r="A373">
        <v>463</v>
      </c>
      <c r="B373">
        <v>1</v>
      </c>
      <c r="C373">
        <v>10565.4937422194</v>
      </c>
    </row>
    <row r="374" spans="1:3" x14ac:dyDescent="0.2">
      <c r="A374">
        <v>464</v>
      </c>
      <c r="B374">
        <v>2</v>
      </c>
      <c r="C374">
        <v>1656.0118884229189</v>
      </c>
    </row>
    <row r="375" spans="1:3" x14ac:dyDescent="0.2">
      <c r="A375">
        <v>465</v>
      </c>
      <c r="B375">
        <v>1</v>
      </c>
      <c r="C375">
        <v>9682.8627547399192</v>
      </c>
    </row>
    <row r="376" spans="1:3" x14ac:dyDescent="0.2">
      <c r="A376">
        <v>466</v>
      </c>
      <c r="B376">
        <v>2</v>
      </c>
      <c r="C376">
        <v>65020.346654309389</v>
      </c>
    </row>
    <row r="377" spans="1:3" x14ac:dyDescent="0.2">
      <c r="A377">
        <v>467</v>
      </c>
      <c r="B377">
        <v>2</v>
      </c>
      <c r="C377">
        <v>60971.270149857148</v>
      </c>
    </row>
    <row r="378" spans="1:3" x14ac:dyDescent="0.2">
      <c r="A378">
        <v>468</v>
      </c>
      <c r="B378">
        <v>1</v>
      </c>
      <c r="C378">
        <v>525966.34817988996</v>
      </c>
    </row>
    <row r="379" spans="1:3" x14ac:dyDescent="0.2">
      <c r="A379">
        <v>469</v>
      </c>
      <c r="B379">
        <v>2</v>
      </c>
      <c r="C379">
        <v>86039.001618003793</v>
      </c>
    </row>
    <row r="380" spans="1:3" x14ac:dyDescent="0.2">
      <c r="A380">
        <v>471</v>
      </c>
      <c r="B380">
        <v>2</v>
      </c>
      <c r="C380">
        <v>1072352.0607261481</v>
      </c>
    </row>
    <row r="381" spans="1:3" x14ac:dyDescent="0.2">
      <c r="A381">
        <v>473</v>
      </c>
      <c r="B381">
        <v>1</v>
      </c>
      <c r="C381">
        <v>225719.79607948801</v>
      </c>
    </row>
    <row r="382" spans="1:3" x14ac:dyDescent="0.2">
      <c r="A382">
        <v>474</v>
      </c>
      <c r="B382">
        <v>1</v>
      </c>
      <c r="C382">
        <v>1000000</v>
      </c>
    </row>
    <row r="383" spans="1:3" x14ac:dyDescent="0.2">
      <c r="A383">
        <v>475</v>
      </c>
      <c r="B383">
        <v>1</v>
      </c>
      <c r="C383">
        <v>187384.838378174</v>
      </c>
    </row>
    <row r="384" spans="1:3" x14ac:dyDescent="0.2">
      <c r="A384">
        <v>476</v>
      </c>
      <c r="B384">
        <v>1</v>
      </c>
      <c r="C384">
        <v>54154.467449854201</v>
      </c>
    </row>
    <row r="385" spans="1:3" x14ac:dyDescent="0.2">
      <c r="A385">
        <v>477</v>
      </c>
      <c r="B385">
        <v>1</v>
      </c>
      <c r="C385">
        <v>1000000</v>
      </c>
    </row>
    <row r="386" spans="1:3" x14ac:dyDescent="0.2">
      <c r="A386">
        <v>478</v>
      </c>
      <c r="B386">
        <v>2</v>
      </c>
      <c r="C386">
        <v>106327.6301005813</v>
      </c>
    </row>
    <row r="387" spans="1:3" x14ac:dyDescent="0.2">
      <c r="A387">
        <v>479</v>
      </c>
      <c r="B387">
        <v>2</v>
      </c>
      <c r="C387">
        <v>8212.7937810629592</v>
      </c>
    </row>
    <row r="388" spans="1:3" x14ac:dyDescent="0.2">
      <c r="A388">
        <v>480</v>
      </c>
      <c r="B388">
        <v>1</v>
      </c>
      <c r="C388">
        <v>15491.020005598901</v>
      </c>
    </row>
    <row r="389" spans="1:3" x14ac:dyDescent="0.2">
      <c r="A389">
        <v>481</v>
      </c>
      <c r="B389">
        <v>2</v>
      </c>
      <c r="C389">
        <v>15712.146673878091</v>
      </c>
    </row>
    <row r="390" spans="1:3" x14ac:dyDescent="0.2">
      <c r="A390">
        <v>483</v>
      </c>
      <c r="B390">
        <v>1</v>
      </c>
      <c r="C390">
        <v>52580.634382201999</v>
      </c>
    </row>
    <row r="391" spans="1:3" x14ac:dyDescent="0.2">
      <c r="A391">
        <v>484</v>
      </c>
      <c r="B391">
        <v>1</v>
      </c>
      <c r="C391">
        <v>1000000</v>
      </c>
    </row>
    <row r="392" spans="1:3" x14ac:dyDescent="0.2">
      <c r="A392">
        <v>486</v>
      </c>
      <c r="B392">
        <v>2</v>
      </c>
      <c r="C392">
        <v>711495.52549007465</v>
      </c>
    </row>
    <row r="393" spans="1:3" x14ac:dyDescent="0.2">
      <c r="A393">
        <v>487</v>
      </c>
      <c r="B393">
        <v>2</v>
      </c>
      <c r="C393">
        <v>130971.22096843651</v>
      </c>
    </row>
    <row r="394" spans="1:3" x14ac:dyDescent="0.2">
      <c r="A394">
        <v>488</v>
      </c>
      <c r="B394">
        <v>1</v>
      </c>
      <c r="C394">
        <v>31331.4841352064</v>
      </c>
    </row>
    <row r="395" spans="1:3" x14ac:dyDescent="0.2">
      <c r="A395">
        <v>489</v>
      </c>
      <c r="B395">
        <v>1</v>
      </c>
      <c r="C395">
        <v>63343.3022114794</v>
      </c>
    </row>
    <row r="396" spans="1:3" x14ac:dyDescent="0.2">
      <c r="A396">
        <v>492</v>
      </c>
      <c r="B396">
        <v>2</v>
      </c>
      <c r="C396">
        <v>120586.00393367361</v>
      </c>
    </row>
    <row r="397" spans="1:3" x14ac:dyDescent="0.2">
      <c r="A397">
        <v>493</v>
      </c>
      <c r="B397">
        <v>1</v>
      </c>
      <c r="C397">
        <v>104823.79794920899</v>
      </c>
    </row>
    <row r="398" spans="1:3" x14ac:dyDescent="0.2">
      <c r="A398">
        <v>494</v>
      </c>
      <c r="B398">
        <v>1</v>
      </c>
      <c r="C398">
        <v>15589.219111505199</v>
      </c>
    </row>
    <row r="399" spans="1:3" x14ac:dyDescent="0.2">
      <c r="A399">
        <v>495</v>
      </c>
      <c r="B399">
        <v>2</v>
      </c>
      <c r="C399">
        <v>279131.85241377639</v>
      </c>
    </row>
    <row r="400" spans="1:3" x14ac:dyDescent="0.2">
      <c r="A400">
        <v>497</v>
      </c>
      <c r="B400">
        <v>2</v>
      </c>
      <c r="C400">
        <v>1069944.9981220588</v>
      </c>
    </row>
    <row r="401" spans="1:3" x14ac:dyDescent="0.2">
      <c r="A401">
        <v>498</v>
      </c>
      <c r="B401">
        <v>2</v>
      </c>
      <c r="C401">
        <v>37574.983276982362</v>
      </c>
    </row>
    <row r="402" spans="1:3" x14ac:dyDescent="0.2">
      <c r="A402">
        <v>499</v>
      </c>
      <c r="B402">
        <v>1</v>
      </c>
      <c r="C402">
        <v>357998.61734083499</v>
      </c>
    </row>
    <row r="403" spans="1:3" x14ac:dyDescent="0.2">
      <c r="A403">
        <v>500</v>
      </c>
      <c r="B403">
        <v>1</v>
      </c>
      <c r="C403">
        <v>21369.222911803899</v>
      </c>
    </row>
    <row r="404" spans="1:3" x14ac:dyDescent="0.2">
      <c r="A404">
        <v>4</v>
      </c>
      <c r="B404">
        <v>0</v>
      </c>
      <c r="C404">
        <v>0</v>
      </c>
    </row>
    <row r="405" spans="1:3" x14ac:dyDescent="0.2">
      <c r="A405">
        <v>5</v>
      </c>
      <c r="B405">
        <v>0</v>
      </c>
      <c r="C405">
        <v>0</v>
      </c>
    </row>
    <row r="406" spans="1:3" x14ac:dyDescent="0.2">
      <c r="A406">
        <v>8</v>
      </c>
      <c r="B406">
        <v>0</v>
      </c>
      <c r="C406">
        <v>0</v>
      </c>
    </row>
    <row r="407" spans="1:3" x14ac:dyDescent="0.2">
      <c r="A407">
        <v>11</v>
      </c>
      <c r="B407">
        <v>0</v>
      </c>
      <c r="C407">
        <v>0</v>
      </c>
    </row>
    <row r="408" spans="1:3" x14ac:dyDescent="0.2">
      <c r="A408">
        <v>16</v>
      </c>
      <c r="B408">
        <v>0</v>
      </c>
      <c r="C408">
        <v>0</v>
      </c>
    </row>
    <row r="409" spans="1:3" x14ac:dyDescent="0.2">
      <c r="A409">
        <v>20</v>
      </c>
      <c r="B409">
        <v>0</v>
      </c>
      <c r="C409">
        <v>0</v>
      </c>
    </row>
    <row r="410" spans="1:3" x14ac:dyDescent="0.2">
      <c r="A410">
        <v>21</v>
      </c>
      <c r="B410">
        <v>0</v>
      </c>
      <c r="C410">
        <v>0</v>
      </c>
    </row>
    <row r="411" spans="1:3" x14ac:dyDescent="0.2">
      <c r="A411">
        <v>24</v>
      </c>
      <c r="B411">
        <v>0</v>
      </c>
      <c r="C411">
        <v>0</v>
      </c>
    </row>
    <row r="412" spans="1:3" x14ac:dyDescent="0.2">
      <c r="A412">
        <v>31</v>
      </c>
      <c r="B412">
        <v>0</v>
      </c>
      <c r="C412">
        <v>0</v>
      </c>
    </row>
    <row r="413" spans="1:3" x14ac:dyDescent="0.2">
      <c r="A413">
        <v>32</v>
      </c>
      <c r="B413">
        <v>0</v>
      </c>
      <c r="C413">
        <v>0</v>
      </c>
    </row>
    <row r="414" spans="1:3" x14ac:dyDescent="0.2">
      <c r="A414">
        <v>34</v>
      </c>
      <c r="B414">
        <v>0</v>
      </c>
      <c r="C414">
        <v>0</v>
      </c>
    </row>
    <row r="415" spans="1:3" x14ac:dyDescent="0.2">
      <c r="A415">
        <v>50</v>
      </c>
      <c r="B415">
        <v>0</v>
      </c>
      <c r="C415">
        <v>0</v>
      </c>
    </row>
    <row r="416" spans="1:3" x14ac:dyDescent="0.2">
      <c r="A416">
        <v>53</v>
      </c>
      <c r="B416">
        <v>0</v>
      </c>
      <c r="C416">
        <v>0</v>
      </c>
    </row>
    <row r="417" spans="1:3" x14ac:dyDescent="0.2">
      <c r="A417">
        <v>59</v>
      </c>
      <c r="B417">
        <v>0</v>
      </c>
      <c r="C417">
        <v>0</v>
      </c>
    </row>
    <row r="418" spans="1:3" x14ac:dyDescent="0.2">
      <c r="A418">
        <v>65</v>
      </c>
      <c r="B418">
        <v>0</v>
      </c>
      <c r="C418">
        <v>0</v>
      </c>
    </row>
    <row r="419" spans="1:3" x14ac:dyDescent="0.2">
      <c r="A419">
        <v>67</v>
      </c>
      <c r="B419">
        <v>0</v>
      </c>
      <c r="C419">
        <v>0</v>
      </c>
    </row>
    <row r="420" spans="1:3" x14ac:dyDescent="0.2">
      <c r="A420">
        <v>68</v>
      </c>
      <c r="B420">
        <v>0</v>
      </c>
      <c r="C420">
        <v>0</v>
      </c>
    </row>
    <row r="421" spans="1:3" x14ac:dyDescent="0.2">
      <c r="A421">
        <v>69</v>
      </c>
      <c r="B421">
        <v>0</v>
      </c>
      <c r="C421">
        <v>0</v>
      </c>
    </row>
    <row r="422" spans="1:3" x14ac:dyDescent="0.2">
      <c r="A422">
        <v>87</v>
      </c>
      <c r="B422">
        <v>0</v>
      </c>
      <c r="C422">
        <v>0</v>
      </c>
    </row>
    <row r="423" spans="1:3" x14ac:dyDescent="0.2">
      <c r="A423">
        <v>88</v>
      </c>
      <c r="B423">
        <v>0</v>
      </c>
      <c r="C423">
        <v>0</v>
      </c>
    </row>
    <row r="424" spans="1:3" x14ac:dyDescent="0.2">
      <c r="A424">
        <v>89</v>
      </c>
      <c r="B424">
        <v>0</v>
      </c>
      <c r="C424">
        <v>0</v>
      </c>
    </row>
    <row r="425" spans="1:3" x14ac:dyDescent="0.2">
      <c r="A425">
        <v>104</v>
      </c>
      <c r="B425">
        <v>0</v>
      </c>
      <c r="C425">
        <v>0</v>
      </c>
    </row>
    <row r="426" spans="1:3" x14ac:dyDescent="0.2">
      <c r="A426">
        <v>106</v>
      </c>
      <c r="B426">
        <v>0</v>
      </c>
      <c r="C426">
        <v>0</v>
      </c>
    </row>
    <row r="427" spans="1:3" x14ac:dyDescent="0.2">
      <c r="A427">
        <v>107</v>
      </c>
      <c r="B427">
        <v>0</v>
      </c>
      <c r="C427">
        <v>0</v>
      </c>
    </row>
    <row r="428" spans="1:3" x14ac:dyDescent="0.2">
      <c r="A428">
        <v>111</v>
      </c>
      <c r="B428">
        <v>0</v>
      </c>
      <c r="C428">
        <v>0</v>
      </c>
    </row>
    <row r="429" spans="1:3" x14ac:dyDescent="0.2">
      <c r="A429">
        <v>114</v>
      </c>
      <c r="B429">
        <v>0</v>
      </c>
      <c r="C429">
        <v>0</v>
      </c>
    </row>
    <row r="430" spans="1:3" x14ac:dyDescent="0.2">
      <c r="A430">
        <v>118</v>
      </c>
      <c r="B430">
        <v>0</v>
      </c>
      <c r="C430">
        <v>0</v>
      </c>
    </row>
    <row r="431" spans="1:3" x14ac:dyDescent="0.2">
      <c r="A431">
        <v>126</v>
      </c>
      <c r="B431">
        <v>0</v>
      </c>
      <c r="C431">
        <v>0</v>
      </c>
    </row>
    <row r="432" spans="1:3" x14ac:dyDescent="0.2">
      <c r="A432">
        <v>132</v>
      </c>
      <c r="B432">
        <v>0</v>
      </c>
      <c r="C432">
        <v>0</v>
      </c>
    </row>
    <row r="433" spans="1:3" x14ac:dyDescent="0.2">
      <c r="A433">
        <v>137</v>
      </c>
      <c r="B433">
        <v>0</v>
      </c>
      <c r="C433">
        <v>0</v>
      </c>
    </row>
    <row r="434" spans="1:3" x14ac:dyDescent="0.2">
      <c r="A434">
        <v>139</v>
      </c>
      <c r="B434">
        <v>0</v>
      </c>
      <c r="C434">
        <v>0</v>
      </c>
    </row>
    <row r="435" spans="1:3" x14ac:dyDescent="0.2">
      <c r="A435">
        <v>145</v>
      </c>
      <c r="B435">
        <v>0</v>
      </c>
      <c r="C435">
        <v>0</v>
      </c>
    </row>
    <row r="436" spans="1:3" x14ac:dyDescent="0.2">
      <c r="A436">
        <v>151</v>
      </c>
      <c r="B436">
        <v>0</v>
      </c>
      <c r="C436">
        <v>0</v>
      </c>
    </row>
    <row r="437" spans="1:3" x14ac:dyDescent="0.2">
      <c r="A437">
        <v>173</v>
      </c>
      <c r="B437">
        <v>0</v>
      </c>
      <c r="C437">
        <v>0</v>
      </c>
    </row>
    <row r="438" spans="1:3" x14ac:dyDescent="0.2">
      <c r="A438">
        <v>179</v>
      </c>
      <c r="B438">
        <v>0</v>
      </c>
      <c r="C438">
        <v>0</v>
      </c>
    </row>
    <row r="439" spans="1:3" x14ac:dyDescent="0.2">
      <c r="A439">
        <v>181</v>
      </c>
      <c r="B439">
        <v>0</v>
      </c>
      <c r="C439">
        <v>0</v>
      </c>
    </row>
    <row r="440" spans="1:3" x14ac:dyDescent="0.2">
      <c r="A440">
        <v>189</v>
      </c>
      <c r="B440">
        <v>0</v>
      </c>
      <c r="C440">
        <v>0</v>
      </c>
    </row>
    <row r="441" spans="1:3" x14ac:dyDescent="0.2">
      <c r="A441">
        <v>190</v>
      </c>
      <c r="B441">
        <v>0</v>
      </c>
      <c r="C441">
        <v>0</v>
      </c>
    </row>
    <row r="442" spans="1:3" x14ac:dyDescent="0.2">
      <c r="A442">
        <v>193</v>
      </c>
      <c r="B442">
        <v>0</v>
      </c>
      <c r="C442">
        <v>0</v>
      </c>
    </row>
    <row r="443" spans="1:3" x14ac:dyDescent="0.2">
      <c r="A443">
        <v>195</v>
      </c>
      <c r="B443">
        <v>0</v>
      </c>
      <c r="C443">
        <v>0</v>
      </c>
    </row>
    <row r="444" spans="1:3" x14ac:dyDescent="0.2">
      <c r="A444">
        <v>202</v>
      </c>
      <c r="B444">
        <v>0</v>
      </c>
      <c r="C444">
        <v>0</v>
      </c>
    </row>
    <row r="445" spans="1:3" x14ac:dyDescent="0.2">
      <c r="A445">
        <v>206</v>
      </c>
      <c r="B445">
        <v>0</v>
      </c>
      <c r="C445">
        <v>0</v>
      </c>
    </row>
    <row r="446" spans="1:3" x14ac:dyDescent="0.2">
      <c r="A446">
        <v>219</v>
      </c>
      <c r="B446">
        <v>0</v>
      </c>
      <c r="C446">
        <v>0</v>
      </c>
    </row>
    <row r="447" spans="1:3" x14ac:dyDescent="0.2">
      <c r="A447">
        <v>220</v>
      </c>
      <c r="B447">
        <v>0</v>
      </c>
      <c r="C447">
        <v>0</v>
      </c>
    </row>
    <row r="448" spans="1:3" x14ac:dyDescent="0.2">
      <c r="A448">
        <v>222</v>
      </c>
      <c r="B448">
        <v>0</v>
      </c>
      <c r="C448">
        <v>0</v>
      </c>
    </row>
    <row r="449" spans="1:3" x14ac:dyDescent="0.2">
      <c r="A449">
        <v>230</v>
      </c>
      <c r="B449">
        <v>0</v>
      </c>
      <c r="C449">
        <v>0</v>
      </c>
    </row>
    <row r="450" spans="1:3" x14ac:dyDescent="0.2">
      <c r="A450">
        <v>238</v>
      </c>
      <c r="B450">
        <v>0</v>
      </c>
      <c r="C450">
        <v>0</v>
      </c>
    </row>
    <row r="451" spans="1:3" x14ac:dyDescent="0.2">
      <c r="A451">
        <v>240</v>
      </c>
      <c r="B451">
        <v>0</v>
      </c>
      <c r="C451">
        <v>0</v>
      </c>
    </row>
    <row r="452" spans="1:3" x14ac:dyDescent="0.2">
      <c r="A452">
        <v>248</v>
      </c>
      <c r="B452">
        <v>0</v>
      </c>
      <c r="C452">
        <v>0</v>
      </c>
    </row>
    <row r="453" spans="1:3" x14ac:dyDescent="0.2">
      <c r="A453">
        <v>249</v>
      </c>
      <c r="B453">
        <v>0</v>
      </c>
      <c r="C453">
        <v>0</v>
      </c>
    </row>
    <row r="454" spans="1:3" x14ac:dyDescent="0.2">
      <c r="A454">
        <v>260</v>
      </c>
      <c r="B454">
        <v>0</v>
      </c>
      <c r="C454">
        <v>0</v>
      </c>
    </row>
    <row r="455" spans="1:3" x14ac:dyDescent="0.2">
      <c r="A455">
        <v>261</v>
      </c>
      <c r="B455">
        <v>0</v>
      </c>
      <c r="C455">
        <v>0</v>
      </c>
    </row>
    <row r="456" spans="1:3" x14ac:dyDescent="0.2">
      <c r="A456">
        <v>262</v>
      </c>
      <c r="B456">
        <v>0</v>
      </c>
      <c r="C456">
        <v>0</v>
      </c>
    </row>
    <row r="457" spans="1:3" x14ac:dyDescent="0.2">
      <c r="A457">
        <v>264</v>
      </c>
      <c r="B457">
        <v>0</v>
      </c>
      <c r="C457">
        <v>0</v>
      </c>
    </row>
    <row r="458" spans="1:3" x14ac:dyDescent="0.2">
      <c r="A458">
        <v>271</v>
      </c>
      <c r="B458">
        <v>0</v>
      </c>
      <c r="C458">
        <v>0</v>
      </c>
    </row>
    <row r="459" spans="1:3" x14ac:dyDescent="0.2">
      <c r="A459">
        <v>277</v>
      </c>
      <c r="B459">
        <v>0</v>
      </c>
      <c r="C459">
        <v>0</v>
      </c>
    </row>
    <row r="460" spans="1:3" x14ac:dyDescent="0.2">
      <c r="A460">
        <v>294</v>
      </c>
      <c r="B460">
        <v>0</v>
      </c>
      <c r="C460">
        <v>0</v>
      </c>
    </row>
    <row r="461" spans="1:3" x14ac:dyDescent="0.2">
      <c r="A461">
        <v>296</v>
      </c>
      <c r="B461">
        <v>0</v>
      </c>
      <c r="C461">
        <v>0</v>
      </c>
    </row>
    <row r="462" spans="1:3" x14ac:dyDescent="0.2">
      <c r="A462">
        <v>297</v>
      </c>
      <c r="B462">
        <v>0</v>
      </c>
      <c r="C462">
        <v>0</v>
      </c>
    </row>
    <row r="463" spans="1:3" x14ac:dyDescent="0.2">
      <c r="A463">
        <v>300</v>
      </c>
      <c r="B463">
        <v>0</v>
      </c>
      <c r="C463">
        <v>0</v>
      </c>
    </row>
    <row r="464" spans="1:3" x14ac:dyDescent="0.2">
      <c r="A464">
        <v>316</v>
      </c>
      <c r="B464">
        <v>0</v>
      </c>
      <c r="C464">
        <v>0</v>
      </c>
    </row>
    <row r="465" spans="1:3" x14ac:dyDescent="0.2">
      <c r="A465">
        <v>317</v>
      </c>
      <c r="B465">
        <v>0</v>
      </c>
      <c r="C465">
        <v>0</v>
      </c>
    </row>
    <row r="466" spans="1:3" x14ac:dyDescent="0.2">
      <c r="A466">
        <v>320</v>
      </c>
      <c r="B466">
        <v>0</v>
      </c>
      <c r="C466">
        <v>0</v>
      </c>
    </row>
    <row r="467" spans="1:3" x14ac:dyDescent="0.2">
      <c r="A467">
        <v>321</v>
      </c>
      <c r="B467">
        <v>0</v>
      </c>
      <c r="C467">
        <v>0</v>
      </c>
    </row>
    <row r="468" spans="1:3" x14ac:dyDescent="0.2">
      <c r="A468">
        <v>327</v>
      </c>
      <c r="B468">
        <v>0</v>
      </c>
      <c r="C468">
        <v>0</v>
      </c>
    </row>
    <row r="469" spans="1:3" x14ac:dyDescent="0.2">
      <c r="A469">
        <v>330</v>
      </c>
      <c r="B469">
        <v>0</v>
      </c>
      <c r="C469">
        <v>0</v>
      </c>
    </row>
    <row r="470" spans="1:3" x14ac:dyDescent="0.2">
      <c r="A470">
        <v>334</v>
      </c>
      <c r="B470">
        <v>0</v>
      </c>
      <c r="C470">
        <v>0</v>
      </c>
    </row>
    <row r="471" spans="1:3" x14ac:dyDescent="0.2">
      <c r="A471">
        <v>340</v>
      </c>
      <c r="B471">
        <v>0</v>
      </c>
      <c r="C471">
        <v>0</v>
      </c>
    </row>
    <row r="472" spans="1:3" x14ac:dyDescent="0.2">
      <c r="A472">
        <v>347</v>
      </c>
      <c r="B472">
        <v>0</v>
      </c>
      <c r="C472">
        <v>0</v>
      </c>
    </row>
    <row r="473" spans="1:3" x14ac:dyDescent="0.2">
      <c r="A473">
        <v>352</v>
      </c>
      <c r="B473">
        <v>0</v>
      </c>
      <c r="C473">
        <v>0</v>
      </c>
    </row>
    <row r="474" spans="1:3" x14ac:dyDescent="0.2">
      <c r="A474">
        <v>356</v>
      </c>
      <c r="B474">
        <v>0</v>
      </c>
      <c r="C474">
        <v>0</v>
      </c>
    </row>
    <row r="475" spans="1:3" x14ac:dyDescent="0.2">
      <c r="A475">
        <v>360</v>
      </c>
      <c r="B475">
        <v>0</v>
      </c>
      <c r="C475">
        <v>0</v>
      </c>
    </row>
    <row r="476" spans="1:3" x14ac:dyDescent="0.2">
      <c r="A476">
        <v>363</v>
      </c>
      <c r="B476">
        <v>0</v>
      </c>
      <c r="C476">
        <v>0</v>
      </c>
    </row>
    <row r="477" spans="1:3" x14ac:dyDescent="0.2">
      <c r="A477">
        <v>373</v>
      </c>
      <c r="B477">
        <v>0</v>
      </c>
      <c r="C477">
        <v>0</v>
      </c>
    </row>
    <row r="478" spans="1:3" x14ac:dyDescent="0.2">
      <c r="A478">
        <v>376</v>
      </c>
      <c r="B478">
        <v>0</v>
      </c>
      <c r="C478">
        <v>0</v>
      </c>
    </row>
    <row r="479" spans="1:3" x14ac:dyDescent="0.2">
      <c r="A479">
        <v>380</v>
      </c>
      <c r="B479">
        <v>0</v>
      </c>
      <c r="C479">
        <v>0</v>
      </c>
    </row>
    <row r="480" spans="1:3" x14ac:dyDescent="0.2">
      <c r="A480">
        <v>386</v>
      </c>
      <c r="B480">
        <v>0</v>
      </c>
      <c r="C480">
        <v>0</v>
      </c>
    </row>
    <row r="481" spans="1:3" x14ac:dyDescent="0.2">
      <c r="A481">
        <v>391</v>
      </c>
      <c r="B481">
        <v>0</v>
      </c>
      <c r="C481">
        <v>0</v>
      </c>
    </row>
    <row r="482" spans="1:3" x14ac:dyDescent="0.2">
      <c r="A482">
        <v>400</v>
      </c>
      <c r="B482">
        <v>0</v>
      </c>
      <c r="C482">
        <v>0</v>
      </c>
    </row>
    <row r="483" spans="1:3" x14ac:dyDescent="0.2">
      <c r="A483">
        <v>401</v>
      </c>
      <c r="B483">
        <v>0</v>
      </c>
      <c r="C483">
        <v>0</v>
      </c>
    </row>
    <row r="484" spans="1:3" x14ac:dyDescent="0.2">
      <c r="A484">
        <v>403</v>
      </c>
      <c r="B484">
        <v>0</v>
      </c>
      <c r="C484">
        <v>0</v>
      </c>
    </row>
    <row r="485" spans="1:3" x14ac:dyDescent="0.2">
      <c r="A485">
        <v>412</v>
      </c>
      <c r="B485">
        <v>0</v>
      </c>
      <c r="C485">
        <v>0</v>
      </c>
    </row>
    <row r="486" spans="1:3" x14ac:dyDescent="0.2">
      <c r="A486">
        <v>417</v>
      </c>
      <c r="B486">
        <v>0</v>
      </c>
      <c r="C486">
        <v>0</v>
      </c>
    </row>
    <row r="487" spans="1:3" x14ac:dyDescent="0.2">
      <c r="A487">
        <v>425</v>
      </c>
      <c r="B487">
        <v>0</v>
      </c>
      <c r="C487">
        <v>0</v>
      </c>
    </row>
    <row r="488" spans="1:3" x14ac:dyDescent="0.2">
      <c r="A488">
        <v>430</v>
      </c>
      <c r="B488">
        <v>0</v>
      </c>
      <c r="C488">
        <v>0</v>
      </c>
    </row>
    <row r="489" spans="1:3" x14ac:dyDescent="0.2">
      <c r="A489">
        <v>431</v>
      </c>
      <c r="B489">
        <v>0</v>
      </c>
      <c r="C489">
        <v>0</v>
      </c>
    </row>
    <row r="490" spans="1:3" x14ac:dyDescent="0.2">
      <c r="A490">
        <v>434</v>
      </c>
      <c r="B490">
        <v>0</v>
      </c>
      <c r="C490">
        <v>0</v>
      </c>
    </row>
    <row r="491" spans="1:3" x14ac:dyDescent="0.2">
      <c r="A491">
        <v>445</v>
      </c>
      <c r="B491">
        <v>0</v>
      </c>
      <c r="C491">
        <v>0</v>
      </c>
    </row>
    <row r="492" spans="1:3" x14ac:dyDescent="0.2">
      <c r="A492">
        <v>456</v>
      </c>
      <c r="B492">
        <v>0</v>
      </c>
      <c r="C492">
        <v>0</v>
      </c>
    </row>
    <row r="493" spans="1:3" x14ac:dyDescent="0.2">
      <c r="A493">
        <v>457</v>
      </c>
      <c r="B493">
        <v>0</v>
      </c>
      <c r="C493">
        <v>0</v>
      </c>
    </row>
    <row r="494" spans="1:3" x14ac:dyDescent="0.2">
      <c r="A494">
        <v>461</v>
      </c>
      <c r="B494">
        <v>0</v>
      </c>
      <c r="C494">
        <v>0</v>
      </c>
    </row>
    <row r="495" spans="1:3" x14ac:dyDescent="0.2">
      <c r="A495">
        <v>470</v>
      </c>
      <c r="B495">
        <v>0</v>
      </c>
      <c r="C495">
        <v>0</v>
      </c>
    </row>
    <row r="496" spans="1:3" x14ac:dyDescent="0.2">
      <c r="A496">
        <v>472</v>
      </c>
      <c r="B496">
        <v>0</v>
      </c>
      <c r="C496">
        <v>0</v>
      </c>
    </row>
    <row r="497" spans="1:3" x14ac:dyDescent="0.2">
      <c r="A497">
        <v>482</v>
      </c>
      <c r="B497">
        <v>0</v>
      </c>
      <c r="C497">
        <v>0</v>
      </c>
    </row>
    <row r="498" spans="1:3" x14ac:dyDescent="0.2">
      <c r="A498">
        <v>485</v>
      </c>
      <c r="B498">
        <v>0</v>
      </c>
      <c r="C498">
        <v>0</v>
      </c>
    </row>
    <row r="499" spans="1:3" x14ac:dyDescent="0.2">
      <c r="A499">
        <v>490</v>
      </c>
      <c r="B499">
        <v>0</v>
      </c>
      <c r="C499">
        <v>0</v>
      </c>
    </row>
    <row r="500" spans="1:3" x14ac:dyDescent="0.2">
      <c r="A500">
        <v>491</v>
      </c>
      <c r="B500">
        <v>0</v>
      </c>
      <c r="C500">
        <v>0</v>
      </c>
    </row>
    <row r="501" spans="1:3" x14ac:dyDescent="0.2">
      <c r="A501">
        <v>496</v>
      </c>
      <c r="B501">
        <v>0</v>
      </c>
      <c r="C501">
        <v>0</v>
      </c>
    </row>
  </sheetData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830F-114F-0F40-B156-4A7F1EF74B0D}">
  <sheetPr codeName="Sheet2"/>
  <dimension ref="A1:P552"/>
  <sheetViews>
    <sheetView topLeftCell="D1" workbookViewId="0">
      <selection activeCell="P21" sqref="P21"/>
    </sheetView>
  </sheetViews>
  <sheetFormatPr baseColWidth="10" defaultRowHeight="16" x14ac:dyDescent="0.2"/>
  <cols>
    <col min="1" max="1" width="10.5" customWidth="1"/>
    <col min="2" max="2" width="16.83203125" bestFit="1" customWidth="1"/>
    <col min="3" max="3" width="12.6640625" customWidth="1"/>
    <col min="4" max="4" width="25.6640625" customWidth="1"/>
    <col min="5" max="5" width="22.5" customWidth="1"/>
    <col min="6" max="6" width="19.5" customWidth="1"/>
    <col min="7" max="7" width="17.83203125" customWidth="1"/>
    <col min="8" max="8" width="10.5" customWidth="1"/>
    <col min="9" max="9" width="12.6640625" customWidth="1"/>
    <col min="10" max="10" width="10.5" bestFit="1" customWidth="1"/>
    <col min="11" max="11" width="15.83203125" bestFit="1" customWidth="1"/>
    <col min="12" max="12" width="16.83203125" bestFit="1" customWidth="1"/>
    <col min="13" max="13" width="23.1640625" bestFit="1" customWidth="1"/>
    <col min="19" max="19" width="13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25</v>
      </c>
      <c r="E1" t="s">
        <v>23</v>
      </c>
      <c r="F1" t="s">
        <v>24</v>
      </c>
    </row>
    <row r="2" spans="1:6" x14ac:dyDescent="0.2">
      <c r="A2">
        <v>1</v>
      </c>
      <c r="B2" t="s">
        <v>63</v>
      </c>
      <c r="C2" s="1">
        <v>45606</v>
      </c>
      <c r="D2" t="s">
        <v>63</v>
      </c>
      <c r="E2">
        <v>7138.0248469970602</v>
      </c>
      <c r="F2">
        <v>7138.0248469970602</v>
      </c>
    </row>
    <row r="3" spans="1:6" x14ac:dyDescent="0.2">
      <c r="A3">
        <v>1</v>
      </c>
      <c r="B3" t="s">
        <v>64</v>
      </c>
      <c r="C3" s="1">
        <v>45550</v>
      </c>
      <c r="D3" t="s">
        <v>64</v>
      </c>
      <c r="E3">
        <v>4082.11660799937</v>
      </c>
      <c r="F3">
        <v>4082.11660799937</v>
      </c>
    </row>
    <row r="4" spans="1:6" x14ac:dyDescent="0.2">
      <c r="A4">
        <v>2</v>
      </c>
      <c r="B4" t="s">
        <v>65</v>
      </c>
      <c r="C4" s="1">
        <v>45539</v>
      </c>
      <c r="D4" t="s">
        <v>65</v>
      </c>
      <c r="E4">
        <v>2664498.2220290499</v>
      </c>
      <c r="F4">
        <v>1000000</v>
      </c>
    </row>
    <row r="5" spans="1:6" x14ac:dyDescent="0.2">
      <c r="A5">
        <v>3</v>
      </c>
      <c r="B5" t="s">
        <v>66</v>
      </c>
      <c r="C5" s="1">
        <v>45622</v>
      </c>
      <c r="D5" t="s">
        <v>66</v>
      </c>
      <c r="E5">
        <v>342.15509677356499</v>
      </c>
      <c r="F5">
        <v>342.15509677356499</v>
      </c>
    </row>
    <row r="6" spans="1:6" x14ac:dyDescent="0.2">
      <c r="A6">
        <v>6</v>
      </c>
      <c r="B6" t="s">
        <v>67</v>
      </c>
      <c r="C6" s="1">
        <v>45301</v>
      </c>
      <c r="D6" t="s">
        <v>67</v>
      </c>
      <c r="E6">
        <v>146131.52436056201</v>
      </c>
      <c r="F6">
        <v>146131.52436056201</v>
      </c>
    </row>
    <row r="7" spans="1:6" x14ac:dyDescent="0.2">
      <c r="A7">
        <v>6</v>
      </c>
      <c r="B7" t="s">
        <v>68</v>
      </c>
      <c r="C7" s="1">
        <v>45461</v>
      </c>
      <c r="D7" t="s">
        <v>68</v>
      </c>
      <c r="E7">
        <v>15663.372649176799</v>
      </c>
      <c r="F7">
        <v>15663.372649176799</v>
      </c>
    </row>
    <row r="8" spans="1:6" x14ac:dyDescent="0.2">
      <c r="A8">
        <v>7</v>
      </c>
      <c r="B8" t="s">
        <v>69</v>
      </c>
      <c r="C8" s="1">
        <v>45500</v>
      </c>
      <c r="D8" t="s">
        <v>69</v>
      </c>
      <c r="E8">
        <v>4613.0662606143196</v>
      </c>
      <c r="F8">
        <v>4613.0662606143196</v>
      </c>
    </row>
    <row r="9" spans="1:6" x14ac:dyDescent="0.2">
      <c r="A9">
        <v>9</v>
      </c>
      <c r="B9" t="s">
        <v>70</v>
      </c>
      <c r="C9" s="1">
        <v>45428</v>
      </c>
      <c r="D9" t="s">
        <v>70</v>
      </c>
      <c r="E9">
        <v>88860.700462814202</v>
      </c>
      <c r="F9">
        <v>88860.700462814202</v>
      </c>
    </row>
    <row r="10" spans="1:6" x14ac:dyDescent="0.2">
      <c r="A10">
        <v>10</v>
      </c>
      <c r="B10" t="s">
        <v>71</v>
      </c>
      <c r="C10" s="1">
        <v>45399</v>
      </c>
      <c r="D10" t="s">
        <v>71</v>
      </c>
      <c r="E10">
        <v>21407179.652235001</v>
      </c>
      <c r="F10">
        <v>1000000</v>
      </c>
    </row>
    <row r="11" spans="1:6" x14ac:dyDescent="0.2">
      <c r="A11">
        <v>12</v>
      </c>
      <c r="B11" t="s">
        <v>72</v>
      </c>
      <c r="C11" s="1">
        <v>45552</v>
      </c>
      <c r="D11" t="s">
        <v>72</v>
      </c>
      <c r="E11">
        <v>95534.331363986101</v>
      </c>
      <c r="F11">
        <v>95534.331363986101</v>
      </c>
    </row>
    <row r="12" spans="1:6" x14ac:dyDescent="0.2">
      <c r="A12">
        <v>13</v>
      </c>
      <c r="B12" t="s">
        <v>73</v>
      </c>
      <c r="C12" s="1">
        <v>45617</v>
      </c>
      <c r="D12" t="s">
        <v>73</v>
      </c>
      <c r="E12">
        <v>113.342908634775</v>
      </c>
      <c r="F12">
        <v>113.342908634775</v>
      </c>
    </row>
    <row r="13" spans="1:6" x14ac:dyDescent="0.2">
      <c r="A13">
        <v>14</v>
      </c>
      <c r="B13" t="s">
        <v>74</v>
      </c>
      <c r="C13" s="1">
        <v>45364</v>
      </c>
      <c r="D13" t="s">
        <v>74</v>
      </c>
      <c r="E13">
        <v>382172.22502550803</v>
      </c>
      <c r="F13">
        <v>382172.22502550803</v>
      </c>
    </row>
    <row r="14" spans="1:6" x14ac:dyDescent="0.2">
      <c r="A14">
        <v>15</v>
      </c>
      <c r="B14" t="s">
        <v>75</v>
      </c>
      <c r="C14" s="1">
        <v>45495</v>
      </c>
      <c r="D14" t="s">
        <v>75</v>
      </c>
      <c r="E14">
        <v>277906.22404918697</v>
      </c>
      <c r="F14">
        <v>277906.22404918697</v>
      </c>
    </row>
    <row r="15" spans="1:6" x14ac:dyDescent="0.2">
      <c r="A15">
        <v>15</v>
      </c>
      <c r="B15" t="s">
        <v>76</v>
      </c>
      <c r="C15" s="1">
        <v>45502</v>
      </c>
      <c r="D15" t="s">
        <v>76</v>
      </c>
      <c r="E15">
        <v>395372.60595028597</v>
      </c>
      <c r="F15">
        <v>395372.60595028597</v>
      </c>
    </row>
    <row r="16" spans="1:6" x14ac:dyDescent="0.2">
      <c r="A16">
        <v>17</v>
      </c>
      <c r="B16" t="s">
        <v>77</v>
      </c>
      <c r="C16" s="1">
        <v>45410</v>
      </c>
      <c r="D16" t="s">
        <v>77</v>
      </c>
      <c r="E16">
        <v>335.015550651056</v>
      </c>
      <c r="F16">
        <v>335.015550651056</v>
      </c>
    </row>
    <row r="17" spans="1:16" x14ac:dyDescent="0.2">
      <c r="A17">
        <v>17</v>
      </c>
      <c r="B17" t="s">
        <v>78</v>
      </c>
      <c r="C17" s="1">
        <v>45635</v>
      </c>
      <c r="D17" t="s">
        <v>78</v>
      </c>
      <c r="E17">
        <v>281793.30971157301</v>
      </c>
      <c r="F17">
        <v>281793.30971157301</v>
      </c>
    </row>
    <row r="18" spans="1:16" x14ac:dyDescent="0.2">
      <c r="A18">
        <v>18</v>
      </c>
      <c r="B18" t="s">
        <v>79</v>
      </c>
      <c r="C18" s="1">
        <v>45425</v>
      </c>
      <c r="D18" t="s">
        <v>79</v>
      </c>
      <c r="E18">
        <v>27547.127151498298</v>
      </c>
      <c r="F18">
        <v>27547.127151498298</v>
      </c>
    </row>
    <row r="19" spans="1:16" x14ac:dyDescent="0.2">
      <c r="A19">
        <v>18</v>
      </c>
      <c r="B19" t="s">
        <v>80</v>
      </c>
      <c r="C19" s="1">
        <v>45327</v>
      </c>
      <c r="D19" t="s">
        <v>80</v>
      </c>
      <c r="E19">
        <v>79578.584358448396</v>
      </c>
      <c r="F19">
        <v>79578.584358448396</v>
      </c>
    </row>
    <row r="20" spans="1:16" x14ac:dyDescent="0.2">
      <c r="A20">
        <v>19</v>
      </c>
      <c r="B20" t="s">
        <v>81</v>
      </c>
      <c r="C20" s="1">
        <v>45531</v>
      </c>
      <c r="D20" t="s">
        <v>81</v>
      </c>
      <c r="E20">
        <v>148.05364987654499</v>
      </c>
      <c r="F20">
        <v>148.05364987654499</v>
      </c>
    </row>
    <row r="21" spans="1:16" x14ac:dyDescent="0.2">
      <c r="A21">
        <v>22</v>
      </c>
      <c r="B21" t="s">
        <v>82</v>
      </c>
      <c r="C21" s="1">
        <v>45641</v>
      </c>
      <c r="D21" t="s">
        <v>82</v>
      </c>
      <c r="E21">
        <v>1784.1496272916199</v>
      </c>
      <c r="F21">
        <v>1784.1496272916199</v>
      </c>
    </row>
    <row r="22" spans="1:16" x14ac:dyDescent="0.2">
      <c r="A22">
        <v>23</v>
      </c>
      <c r="B22" t="s">
        <v>83</v>
      </c>
      <c r="C22" s="1">
        <v>45301</v>
      </c>
      <c r="D22" t="s">
        <v>83</v>
      </c>
      <c r="E22">
        <v>9927.3129791768097</v>
      </c>
      <c r="F22">
        <v>9927.3129791768097</v>
      </c>
    </row>
    <row r="23" spans="1:16" x14ac:dyDescent="0.2">
      <c r="A23">
        <v>25</v>
      </c>
      <c r="B23" t="s">
        <v>84</v>
      </c>
      <c r="C23" s="1">
        <v>45391</v>
      </c>
      <c r="D23" t="s">
        <v>84</v>
      </c>
      <c r="E23">
        <v>808655.00215279695</v>
      </c>
      <c r="F23">
        <v>808655.00215279695</v>
      </c>
    </row>
    <row r="24" spans="1:16" x14ac:dyDescent="0.2">
      <c r="A24">
        <v>26</v>
      </c>
      <c r="B24" t="s">
        <v>85</v>
      </c>
      <c r="C24" s="1">
        <v>45471</v>
      </c>
      <c r="D24" t="s">
        <v>85</v>
      </c>
      <c r="E24">
        <v>12343.424183848099</v>
      </c>
      <c r="F24">
        <v>12343.424183848099</v>
      </c>
      <c r="P24" t="s">
        <v>37</v>
      </c>
    </row>
    <row r="25" spans="1:16" x14ac:dyDescent="0.2">
      <c r="A25">
        <v>27</v>
      </c>
      <c r="B25" t="s">
        <v>86</v>
      </c>
      <c r="C25" s="1">
        <v>45532</v>
      </c>
      <c r="D25" t="s">
        <v>86</v>
      </c>
      <c r="E25">
        <v>36468.208194553001</v>
      </c>
      <c r="F25">
        <v>36468.208194553001</v>
      </c>
    </row>
    <row r="26" spans="1:16" x14ac:dyDescent="0.2">
      <c r="A26">
        <v>28</v>
      </c>
      <c r="B26" t="s">
        <v>87</v>
      </c>
      <c r="C26" s="1">
        <v>45338</v>
      </c>
      <c r="D26" t="s">
        <v>87</v>
      </c>
      <c r="E26">
        <v>316593.20196569001</v>
      </c>
      <c r="F26">
        <v>316593.20196569001</v>
      </c>
    </row>
    <row r="27" spans="1:16" x14ac:dyDescent="0.2">
      <c r="A27">
        <v>29</v>
      </c>
      <c r="B27" t="s">
        <v>88</v>
      </c>
      <c r="C27" s="1">
        <v>45345</v>
      </c>
      <c r="D27" t="s">
        <v>88</v>
      </c>
      <c r="E27">
        <v>684052.07800533006</v>
      </c>
      <c r="F27">
        <v>684052.07800533006</v>
      </c>
    </row>
    <row r="28" spans="1:16" x14ac:dyDescent="0.2">
      <c r="A28">
        <v>29</v>
      </c>
      <c r="B28" t="s">
        <v>89</v>
      </c>
      <c r="C28" s="1">
        <v>45594</v>
      </c>
      <c r="D28" t="s">
        <v>89</v>
      </c>
      <c r="E28">
        <v>3895.5727571293401</v>
      </c>
      <c r="F28">
        <v>3895.5727571293401</v>
      </c>
    </row>
    <row r="29" spans="1:16" x14ac:dyDescent="0.2">
      <c r="A29">
        <v>30</v>
      </c>
      <c r="B29" t="s">
        <v>90</v>
      </c>
      <c r="C29" s="1">
        <v>45450</v>
      </c>
      <c r="D29" t="s">
        <v>90</v>
      </c>
      <c r="E29">
        <v>26905.946826937099</v>
      </c>
      <c r="F29">
        <v>26905.946826937099</v>
      </c>
    </row>
    <row r="30" spans="1:16" x14ac:dyDescent="0.2">
      <c r="A30">
        <v>30</v>
      </c>
      <c r="B30" t="s">
        <v>91</v>
      </c>
      <c r="C30" s="1">
        <v>45328</v>
      </c>
      <c r="D30" t="s">
        <v>91</v>
      </c>
      <c r="E30">
        <v>5959847.9926096499</v>
      </c>
      <c r="F30">
        <v>1000000</v>
      </c>
    </row>
    <row r="31" spans="1:16" x14ac:dyDescent="0.2">
      <c r="A31">
        <v>33</v>
      </c>
      <c r="B31" t="s">
        <v>92</v>
      </c>
      <c r="C31" s="1">
        <v>45339</v>
      </c>
      <c r="D31" t="s">
        <v>92</v>
      </c>
      <c r="E31">
        <v>6260.8527275712104</v>
      </c>
      <c r="F31">
        <v>6260.8527275712104</v>
      </c>
    </row>
    <row r="32" spans="1:16" x14ac:dyDescent="0.2">
      <c r="A32">
        <v>35</v>
      </c>
      <c r="B32" t="s">
        <v>93</v>
      </c>
      <c r="C32" s="1">
        <v>45430</v>
      </c>
      <c r="D32" t="s">
        <v>93</v>
      </c>
      <c r="E32">
        <v>2576.72228569464</v>
      </c>
      <c r="F32">
        <v>2576.72228569464</v>
      </c>
    </row>
    <row r="33" spans="1:6" x14ac:dyDescent="0.2">
      <c r="A33">
        <v>35</v>
      </c>
      <c r="B33" t="s">
        <v>94</v>
      </c>
      <c r="C33" s="1">
        <v>45590</v>
      </c>
      <c r="D33" t="s">
        <v>94</v>
      </c>
      <c r="E33">
        <v>2302.9198466914399</v>
      </c>
      <c r="F33">
        <v>2302.9198466914399</v>
      </c>
    </row>
    <row r="34" spans="1:6" x14ac:dyDescent="0.2">
      <c r="A34">
        <v>36</v>
      </c>
      <c r="B34" t="s">
        <v>95</v>
      </c>
      <c r="C34" s="1">
        <v>45480</v>
      </c>
      <c r="D34" t="s">
        <v>95</v>
      </c>
      <c r="E34">
        <v>936.79095964284602</v>
      </c>
      <c r="F34">
        <v>936.79095964284602</v>
      </c>
    </row>
    <row r="35" spans="1:6" x14ac:dyDescent="0.2">
      <c r="A35">
        <v>37</v>
      </c>
      <c r="B35" t="s">
        <v>96</v>
      </c>
      <c r="C35" s="1">
        <v>45480</v>
      </c>
      <c r="D35" t="s">
        <v>96</v>
      </c>
      <c r="E35">
        <v>8412.7884125947603</v>
      </c>
      <c r="F35">
        <v>8412.7884125947603</v>
      </c>
    </row>
    <row r="36" spans="1:6" x14ac:dyDescent="0.2">
      <c r="A36">
        <v>38</v>
      </c>
      <c r="B36" t="s">
        <v>97</v>
      </c>
      <c r="C36" s="1">
        <v>45375</v>
      </c>
      <c r="D36" t="s">
        <v>97</v>
      </c>
      <c r="E36">
        <v>52.319466291053203</v>
      </c>
      <c r="F36">
        <v>52.319466291053203</v>
      </c>
    </row>
    <row r="37" spans="1:6" x14ac:dyDescent="0.2">
      <c r="A37">
        <v>38</v>
      </c>
      <c r="B37" t="s">
        <v>98</v>
      </c>
      <c r="C37" s="1">
        <v>45610</v>
      </c>
      <c r="D37" t="s">
        <v>98</v>
      </c>
      <c r="E37">
        <v>41603.571674207698</v>
      </c>
      <c r="F37">
        <v>41603.571674207698</v>
      </c>
    </row>
    <row r="38" spans="1:6" x14ac:dyDescent="0.2">
      <c r="A38">
        <v>39</v>
      </c>
      <c r="B38" t="s">
        <v>99</v>
      </c>
      <c r="C38" s="1">
        <v>45617</v>
      </c>
      <c r="D38" t="s">
        <v>99</v>
      </c>
      <c r="E38">
        <v>9946408.1570503805</v>
      </c>
      <c r="F38">
        <v>1000000</v>
      </c>
    </row>
    <row r="39" spans="1:6" x14ac:dyDescent="0.2">
      <c r="A39">
        <v>40</v>
      </c>
      <c r="B39" t="s">
        <v>100</v>
      </c>
      <c r="C39" s="1">
        <v>45622</v>
      </c>
      <c r="D39" t="s">
        <v>100</v>
      </c>
      <c r="E39">
        <v>606898.235274932</v>
      </c>
      <c r="F39">
        <v>606898.235274932</v>
      </c>
    </row>
    <row r="40" spans="1:6" x14ac:dyDescent="0.2">
      <c r="A40">
        <v>40</v>
      </c>
      <c r="B40" t="s">
        <v>101</v>
      </c>
      <c r="C40" s="1">
        <v>45312</v>
      </c>
      <c r="D40" t="s">
        <v>101</v>
      </c>
      <c r="E40">
        <v>8590.7520097957095</v>
      </c>
      <c r="F40">
        <v>8590.7520097957095</v>
      </c>
    </row>
    <row r="41" spans="1:6" x14ac:dyDescent="0.2">
      <c r="A41">
        <v>41</v>
      </c>
      <c r="B41" t="s">
        <v>102</v>
      </c>
      <c r="C41" s="1">
        <v>45363</v>
      </c>
      <c r="D41" t="s">
        <v>102</v>
      </c>
      <c r="E41">
        <v>496491.39544517797</v>
      </c>
      <c r="F41">
        <v>496491.39544517797</v>
      </c>
    </row>
    <row r="42" spans="1:6" x14ac:dyDescent="0.2">
      <c r="A42">
        <v>41</v>
      </c>
      <c r="B42" t="s">
        <v>103</v>
      </c>
      <c r="C42" s="1">
        <v>45606</v>
      </c>
      <c r="D42" t="s">
        <v>103</v>
      </c>
      <c r="E42">
        <v>4747.1771592812902</v>
      </c>
      <c r="F42">
        <v>4747.1771592812902</v>
      </c>
    </row>
    <row r="43" spans="1:6" x14ac:dyDescent="0.2">
      <c r="A43">
        <v>42</v>
      </c>
      <c r="B43" t="s">
        <v>104</v>
      </c>
      <c r="C43" s="1">
        <v>45372</v>
      </c>
      <c r="D43" t="s">
        <v>104</v>
      </c>
      <c r="E43">
        <v>138012.30585419599</v>
      </c>
      <c r="F43">
        <v>138012.30585419599</v>
      </c>
    </row>
    <row r="44" spans="1:6" x14ac:dyDescent="0.2">
      <c r="A44">
        <v>43</v>
      </c>
      <c r="B44" t="s">
        <v>105</v>
      </c>
      <c r="C44" s="1">
        <v>45535</v>
      </c>
      <c r="D44" t="s">
        <v>105</v>
      </c>
      <c r="E44">
        <v>3448007.6322137699</v>
      </c>
      <c r="F44">
        <v>1000000</v>
      </c>
    </row>
    <row r="45" spans="1:6" x14ac:dyDescent="0.2">
      <c r="A45">
        <v>44</v>
      </c>
      <c r="B45" t="s">
        <v>106</v>
      </c>
      <c r="C45" s="1">
        <v>45447</v>
      </c>
      <c r="D45" t="s">
        <v>106</v>
      </c>
      <c r="E45">
        <v>44904.388908539302</v>
      </c>
      <c r="F45">
        <v>44904.388908539302</v>
      </c>
    </row>
    <row r="46" spans="1:6" x14ac:dyDescent="0.2">
      <c r="A46">
        <v>45</v>
      </c>
      <c r="B46" t="s">
        <v>107</v>
      </c>
      <c r="C46" s="1">
        <v>45530</v>
      </c>
      <c r="D46" t="s">
        <v>107</v>
      </c>
      <c r="E46">
        <v>396.89713379940599</v>
      </c>
      <c r="F46">
        <v>396.89713379940599</v>
      </c>
    </row>
    <row r="47" spans="1:6" x14ac:dyDescent="0.2">
      <c r="A47">
        <v>45</v>
      </c>
      <c r="B47" t="s">
        <v>108</v>
      </c>
      <c r="C47" s="1">
        <v>45631</v>
      </c>
      <c r="D47" t="s">
        <v>108</v>
      </c>
      <c r="E47">
        <v>159925.10539877601</v>
      </c>
      <c r="F47">
        <v>159925.10539877601</v>
      </c>
    </row>
    <row r="48" spans="1:6" x14ac:dyDescent="0.2">
      <c r="A48">
        <v>46</v>
      </c>
      <c r="B48" t="s">
        <v>109</v>
      </c>
      <c r="C48" s="1">
        <v>45439</v>
      </c>
      <c r="D48" t="s">
        <v>109</v>
      </c>
      <c r="E48">
        <v>171311.11451695699</v>
      </c>
      <c r="F48">
        <v>171311.11451695699</v>
      </c>
    </row>
    <row r="49" spans="1:6" x14ac:dyDescent="0.2">
      <c r="A49">
        <v>46</v>
      </c>
      <c r="B49" t="s">
        <v>110</v>
      </c>
      <c r="C49" s="1">
        <v>45481</v>
      </c>
      <c r="D49" t="s">
        <v>110</v>
      </c>
      <c r="E49">
        <v>18352.739539032598</v>
      </c>
      <c r="F49">
        <v>18352.739539032598</v>
      </c>
    </row>
    <row r="50" spans="1:6" x14ac:dyDescent="0.2">
      <c r="A50">
        <v>47</v>
      </c>
      <c r="B50" t="s">
        <v>111</v>
      </c>
      <c r="C50" s="1">
        <v>45406</v>
      </c>
      <c r="D50" t="s">
        <v>111</v>
      </c>
      <c r="E50">
        <v>189.11069328318899</v>
      </c>
      <c r="F50">
        <v>189.11069328318899</v>
      </c>
    </row>
    <row r="51" spans="1:6" x14ac:dyDescent="0.2">
      <c r="A51">
        <v>47</v>
      </c>
      <c r="B51" t="s">
        <v>112</v>
      </c>
      <c r="C51" s="1">
        <v>45301</v>
      </c>
      <c r="D51" t="s">
        <v>112</v>
      </c>
      <c r="E51">
        <v>6963.5851194586003</v>
      </c>
      <c r="F51">
        <v>6963.5851194586003</v>
      </c>
    </row>
    <row r="52" spans="1:6" x14ac:dyDescent="0.2">
      <c r="A52">
        <v>48</v>
      </c>
      <c r="B52" t="s">
        <v>113</v>
      </c>
      <c r="C52" s="1">
        <v>45596</v>
      </c>
      <c r="D52" t="s">
        <v>113</v>
      </c>
      <c r="E52">
        <v>118628.37936247099</v>
      </c>
      <c r="F52">
        <v>118628.37936247099</v>
      </c>
    </row>
    <row r="53" spans="1:6" x14ac:dyDescent="0.2">
      <c r="A53">
        <v>49</v>
      </c>
      <c r="B53" t="s">
        <v>114</v>
      </c>
      <c r="C53" s="1">
        <v>45583</v>
      </c>
      <c r="D53" t="s">
        <v>114</v>
      </c>
      <c r="E53">
        <v>2100431.0303178402</v>
      </c>
      <c r="F53">
        <v>1000000</v>
      </c>
    </row>
    <row r="54" spans="1:6" x14ac:dyDescent="0.2">
      <c r="A54">
        <v>49</v>
      </c>
      <c r="B54" t="s">
        <v>115</v>
      </c>
      <c r="C54" s="1">
        <v>45314</v>
      </c>
      <c r="D54" t="s">
        <v>115</v>
      </c>
      <c r="E54">
        <v>68334.081561418803</v>
      </c>
      <c r="F54">
        <v>68334.081561418803</v>
      </c>
    </row>
    <row r="55" spans="1:6" x14ac:dyDescent="0.2">
      <c r="A55">
        <v>51</v>
      </c>
      <c r="B55" t="s">
        <v>116</v>
      </c>
      <c r="C55" s="1">
        <v>45477</v>
      </c>
      <c r="D55" t="s">
        <v>116</v>
      </c>
      <c r="E55">
        <v>3936.9575677591401</v>
      </c>
      <c r="F55">
        <v>3936.9575677591401</v>
      </c>
    </row>
    <row r="56" spans="1:6" x14ac:dyDescent="0.2">
      <c r="A56">
        <v>51</v>
      </c>
      <c r="B56" t="s">
        <v>117</v>
      </c>
      <c r="C56" s="1">
        <v>45542</v>
      </c>
      <c r="D56" t="s">
        <v>117</v>
      </c>
      <c r="E56">
        <v>42686.862847440403</v>
      </c>
      <c r="F56">
        <v>42686.862847440403</v>
      </c>
    </row>
    <row r="57" spans="1:6" x14ac:dyDescent="0.2">
      <c r="A57">
        <v>52</v>
      </c>
      <c r="B57" t="s">
        <v>118</v>
      </c>
      <c r="C57" s="1">
        <v>45537</v>
      </c>
      <c r="D57" t="s">
        <v>118</v>
      </c>
      <c r="E57">
        <v>391216.39796919702</v>
      </c>
      <c r="F57">
        <v>391216.39796919702</v>
      </c>
    </row>
    <row r="58" spans="1:6" x14ac:dyDescent="0.2">
      <c r="A58">
        <v>54</v>
      </c>
      <c r="B58" t="s">
        <v>119</v>
      </c>
      <c r="C58" s="1">
        <v>45339</v>
      </c>
      <c r="D58" t="s">
        <v>119</v>
      </c>
      <c r="E58">
        <v>26057.220826949298</v>
      </c>
      <c r="F58">
        <v>26057.220826949298</v>
      </c>
    </row>
    <row r="59" spans="1:6" x14ac:dyDescent="0.2">
      <c r="A59">
        <v>54</v>
      </c>
      <c r="B59" t="s">
        <v>120</v>
      </c>
      <c r="C59" s="1">
        <v>45422</v>
      </c>
      <c r="D59" t="s">
        <v>120</v>
      </c>
      <c r="E59">
        <v>18845.968200993899</v>
      </c>
      <c r="F59">
        <v>18845.968200993899</v>
      </c>
    </row>
    <row r="60" spans="1:6" x14ac:dyDescent="0.2">
      <c r="A60">
        <v>55</v>
      </c>
      <c r="B60" t="s">
        <v>121</v>
      </c>
      <c r="C60" s="1">
        <v>45453</v>
      </c>
      <c r="D60" t="s">
        <v>121</v>
      </c>
      <c r="E60">
        <v>29672.702139634199</v>
      </c>
      <c r="F60">
        <v>29672.702139634199</v>
      </c>
    </row>
    <row r="61" spans="1:6" x14ac:dyDescent="0.2">
      <c r="A61">
        <v>56</v>
      </c>
      <c r="B61" t="s">
        <v>122</v>
      </c>
      <c r="C61" s="1">
        <v>45567</v>
      </c>
      <c r="D61" t="s">
        <v>122</v>
      </c>
      <c r="E61">
        <v>41314.045778837797</v>
      </c>
      <c r="F61">
        <v>41314.045778837797</v>
      </c>
    </row>
    <row r="62" spans="1:6" x14ac:dyDescent="0.2">
      <c r="A62">
        <v>56</v>
      </c>
      <c r="B62" t="s">
        <v>123</v>
      </c>
      <c r="C62" s="1">
        <v>45369</v>
      </c>
      <c r="D62" t="s">
        <v>123</v>
      </c>
      <c r="E62">
        <v>441.96968975406202</v>
      </c>
      <c r="F62">
        <v>441.96968975406202</v>
      </c>
    </row>
    <row r="63" spans="1:6" x14ac:dyDescent="0.2">
      <c r="A63">
        <v>57</v>
      </c>
      <c r="B63" t="s">
        <v>124</v>
      </c>
      <c r="C63" s="1">
        <v>45386</v>
      </c>
      <c r="D63" t="s">
        <v>124</v>
      </c>
      <c r="E63">
        <v>3200.9048373569999</v>
      </c>
      <c r="F63">
        <v>3200.9048373569999</v>
      </c>
    </row>
    <row r="64" spans="1:6" x14ac:dyDescent="0.2">
      <c r="A64">
        <v>57</v>
      </c>
      <c r="B64" t="s">
        <v>125</v>
      </c>
      <c r="C64" s="1">
        <v>45633</v>
      </c>
      <c r="D64" t="s">
        <v>125</v>
      </c>
      <c r="E64">
        <v>581572.32380939706</v>
      </c>
      <c r="F64">
        <v>581572.32380939706</v>
      </c>
    </row>
    <row r="65" spans="1:6" x14ac:dyDescent="0.2">
      <c r="A65">
        <v>58</v>
      </c>
      <c r="B65" t="s">
        <v>126</v>
      </c>
      <c r="C65" s="1">
        <v>45452</v>
      </c>
      <c r="D65" t="s">
        <v>126</v>
      </c>
      <c r="E65">
        <v>75681.555854622697</v>
      </c>
      <c r="F65">
        <v>75681.555854622697</v>
      </c>
    </row>
    <row r="66" spans="1:6" x14ac:dyDescent="0.2">
      <c r="A66">
        <v>60</v>
      </c>
      <c r="B66" t="s">
        <v>127</v>
      </c>
      <c r="C66" s="1">
        <v>45533</v>
      </c>
      <c r="D66" t="s">
        <v>127</v>
      </c>
      <c r="E66">
        <v>9123.5090437650797</v>
      </c>
      <c r="F66">
        <v>9123.5090437650797</v>
      </c>
    </row>
    <row r="67" spans="1:6" x14ac:dyDescent="0.2">
      <c r="A67">
        <v>61</v>
      </c>
      <c r="B67" t="s">
        <v>128</v>
      </c>
      <c r="C67" s="1">
        <v>45593</v>
      </c>
      <c r="D67" t="s">
        <v>128</v>
      </c>
      <c r="E67">
        <v>49346353.848567903</v>
      </c>
      <c r="F67">
        <v>1000000</v>
      </c>
    </row>
    <row r="68" spans="1:6" x14ac:dyDescent="0.2">
      <c r="A68">
        <v>62</v>
      </c>
      <c r="B68" t="s">
        <v>129</v>
      </c>
      <c r="C68" s="1">
        <v>45520</v>
      </c>
      <c r="D68" t="s">
        <v>129</v>
      </c>
      <c r="E68">
        <v>124207.127757468</v>
      </c>
      <c r="F68">
        <v>124207.127757468</v>
      </c>
    </row>
    <row r="69" spans="1:6" x14ac:dyDescent="0.2">
      <c r="A69">
        <v>62</v>
      </c>
      <c r="B69" t="s">
        <v>130</v>
      </c>
      <c r="C69" s="1">
        <v>45515</v>
      </c>
      <c r="D69" t="s">
        <v>130</v>
      </c>
      <c r="E69">
        <v>665086.08785109501</v>
      </c>
      <c r="F69">
        <v>665086.08785109501</v>
      </c>
    </row>
    <row r="70" spans="1:6" x14ac:dyDescent="0.2">
      <c r="A70">
        <v>63</v>
      </c>
      <c r="B70" t="s">
        <v>131</v>
      </c>
      <c r="C70" s="1">
        <v>45478</v>
      </c>
      <c r="D70" t="s">
        <v>131</v>
      </c>
      <c r="E70">
        <v>256011.67787545</v>
      </c>
      <c r="F70">
        <v>256011.67787545</v>
      </c>
    </row>
    <row r="71" spans="1:6" x14ac:dyDescent="0.2">
      <c r="A71">
        <v>64</v>
      </c>
      <c r="B71" t="s">
        <v>132</v>
      </c>
      <c r="C71" s="1">
        <v>45509</v>
      </c>
      <c r="D71" t="s">
        <v>132</v>
      </c>
      <c r="E71">
        <v>693380.86624736397</v>
      </c>
      <c r="F71">
        <v>693380.86624736397</v>
      </c>
    </row>
    <row r="72" spans="1:6" x14ac:dyDescent="0.2">
      <c r="A72">
        <v>64</v>
      </c>
      <c r="B72" t="s">
        <v>133</v>
      </c>
      <c r="C72" s="1">
        <v>45592</v>
      </c>
      <c r="D72" t="s">
        <v>133</v>
      </c>
      <c r="E72">
        <v>1635700.3885295</v>
      </c>
      <c r="F72">
        <v>1000000</v>
      </c>
    </row>
    <row r="73" spans="1:6" x14ac:dyDescent="0.2">
      <c r="A73">
        <v>66</v>
      </c>
      <c r="B73" t="s">
        <v>134</v>
      </c>
      <c r="C73" s="1">
        <v>45455</v>
      </c>
      <c r="D73" t="s">
        <v>134</v>
      </c>
      <c r="E73">
        <v>5524.1517398333299</v>
      </c>
      <c r="F73">
        <v>5524.1517398333299</v>
      </c>
    </row>
    <row r="74" spans="1:6" x14ac:dyDescent="0.2">
      <c r="A74">
        <v>70</v>
      </c>
      <c r="B74" t="s">
        <v>135</v>
      </c>
      <c r="C74" s="1">
        <v>45586</v>
      </c>
      <c r="D74" t="s">
        <v>135</v>
      </c>
      <c r="E74">
        <v>46143.362893481899</v>
      </c>
      <c r="F74">
        <v>46143.362893481899</v>
      </c>
    </row>
    <row r="75" spans="1:6" x14ac:dyDescent="0.2">
      <c r="A75">
        <v>71</v>
      </c>
      <c r="B75" t="s">
        <v>136</v>
      </c>
      <c r="C75" s="1">
        <v>45509</v>
      </c>
      <c r="D75" t="s">
        <v>136</v>
      </c>
      <c r="E75">
        <v>262010.429257607</v>
      </c>
      <c r="F75">
        <v>262010.429257607</v>
      </c>
    </row>
    <row r="76" spans="1:6" x14ac:dyDescent="0.2">
      <c r="A76">
        <v>72</v>
      </c>
      <c r="B76" t="s">
        <v>137</v>
      </c>
      <c r="C76" s="1">
        <v>45500</v>
      </c>
      <c r="D76" t="s">
        <v>137</v>
      </c>
      <c r="E76">
        <v>3757.6794731117602</v>
      </c>
      <c r="F76">
        <v>3757.6794731117602</v>
      </c>
    </row>
    <row r="77" spans="1:6" x14ac:dyDescent="0.2">
      <c r="A77">
        <v>73</v>
      </c>
      <c r="B77" t="s">
        <v>138</v>
      </c>
      <c r="C77" s="1">
        <v>45649</v>
      </c>
      <c r="D77" t="s">
        <v>138</v>
      </c>
      <c r="E77">
        <v>272.79657232145502</v>
      </c>
      <c r="F77">
        <v>272.79657232145502</v>
      </c>
    </row>
    <row r="78" spans="1:6" x14ac:dyDescent="0.2">
      <c r="A78">
        <v>74</v>
      </c>
      <c r="B78" t="s">
        <v>139</v>
      </c>
      <c r="C78" s="1">
        <v>45420</v>
      </c>
      <c r="D78" t="s">
        <v>139</v>
      </c>
      <c r="E78">
        <v>21101.043231629701</v>
      </c>
      <c r="F78">
        <v>21101.043231629701</v>
      </c>
    </row>
    <row r="79" spans="1:6" x14ac:dyDescent="0.2">
      <c r="A79">
        <v>74</v>
      </c>
      <c r="B79" t="s">
        <v>140</v>
      </c>
      <c r="C79" s="1">
        <v>45627</v>
      </c>
      <c r="D79" t="s">
        <v>140</v>
      </c>
      <c r="E79">
        <v>102.427608262777</v>
      </c>
      <c r="F79">
        <v>102.427608262777</v>
      </c>
    </row>
    <row r="80" spans="1:6" x14ac:dyDescent="0.2">
      <c r="A80">
        <v>75</v>
      </c>
      <c r="B80" t="s">
        <v>141</v>
      </c>
      <c r="C80" s="1">
        <v>45523</v>
      </c>
      <c r="D80" t="s">
        <v>141</v>
      </c>
      <c r="E80">
        <v>19274.486334868001</v>
      </c>
      <c r="F80">
        <v>19274.486334868001</v>
      </c>
    </row>
    <row r="81" spans="1:6" x14ac:dyDescent="0.2">
      <c r="A81">
        <v>76</v>
      </c>
      <c r="B81" t="s">
        <v>142</v>
      </c>
      <c r="C81" s="1">
        <v>45418</v>
      </c>
      <c r="D81" t="s">
        <v>142</v>
      </c>
      <c r="E81">
        <v>929.780811855396</v>
      </c>
      <c r="F81">
        <v>929.780811855396</v>
      </c>
    </row>
    <row r="82" spans="1:6" x14ac:dyDescent="0.2">
      <c r="A82">
        <v>76</v>
      </c>
      <c r="B82" t="s">
        <v>143</v>
      </c>
      <c r="C82" s="1">
        <v>45332</v>
      </c>
      <c r="D82" t="s">
        <v>143</v>
      </c>
      <c r="E82">
        <v>91894.810237784899</v>
      </c>
      <c r="F82">
        <v>91894.810237784899</v>
      </c>
    </row>
    <row r="83" spans="1:6" x14ac:dyDescent="0.2">
      <c r="A83">
        <v>77</v>
      </c>
      <c r="B83" t="s">
        <v>144</v>
      </c>
      <c r="C83" s="1">
        <v>45492</v>
      </c>
      <c r="D83" t="s">
        <v>144</v>
      </c>
      <c r="E83">
        <v>86570.051537700405</v>
      </c>
      <c r="F83">
        <v>86570.051537700405</v>
      </c>
    </row>
    <row r="84" spans="1:6" x14ac:dyDescent="0.2">
      <c r="A84">
        <v>78</v>
      </c>
      <c r="B84" t="s">
        <v>145</v>
      </c>
      <c r="C84" s="1">
        <v>45358</v>
      </c>
      <c r="D84" t="s">
        <v>145</v>
      </c>
      <c r="E84">
        <v>2933.2741454165398</v>
      </c>
      <c r="F84">
        <v>2933.2741454165398</v>
      </c>
    </row>
    <row r="85" spans="1:6" x14ac:dyDescent="0.2">
      <c r="A85">
        <v>79</v>
      </c>
      <c r="B85" t="s">
        <v>146</v>
      </c>
      <c r="C85" s="1">
        <v>45356</v>
      </c>
      <c r="D85" t="s">
        <v>146</v>
      </c>
      <c r="E85">
        <v>62212.477323175197</v>
      </c>
      <c r="F85">
        <v>62212.477323175197</v>
      </c>
    </row>
    <row r="86" spans="1:6" x14ac:dyDescent="0.2">
      <c r="A86">
        <v>80</v>
      </c>
      <c r="B86" t="s">
        <v>147</v>
      </c>
      <c r="C86" s="1">
        <v>45320</v>
      </c>
      <c r="D86" t="s">
        <v>147</v>
      </c>
      <c r="E86">
        <v>341126.51774162397</v>
      </c>
      <c r="F86">
        <v>341126.51774162397</v>
      </c>
    </row>
    <row r="87" spans="1:6" x14ac:dyDescent="0.2">
      <c r="A87">
        <v>80</v>
      </c>
      <c r="B87" t="s">
        <v>148</v>
      </c>
      <c r="C87" s="1">
        <v>45311</v>
      </c>
      <c r="D87" t="s">
        <v>148</v>
      </c>
      <c r="E87">
        <v>72525.070460682502</v>
      </c>
      <c r="F87">
        <v>72525.070460682502</v>
      </c>
    </row>
    <row r="88" spans="1:6" x14ac:dyDescent="0.2">
      <c r="A88">
        <v>81</v>
      </c>
      <c r="B88" t="s">
        <v>149</v>
      </c>
      <c r="C88" s="1">
        <v>45519</v>
      </c>
      <c r="D88" t="s">
        <v>149</v>
      </c>
      <c r="E88">
        <v>42.9637366351959</v>
      </c>
      <c r="F88">
        <v>42.9637366351959</v>
      </c>
    </row>
    <row r="89" spans="1:6" x14ac:dyDescent="0.2">
      <c r="A89">
        <v>81</v>
      </c>
      <c r="B89" t="s">
        <v>150</v>
      </c>
      <c r="C89" s="1">
        <v>45336</v>
      </c>
      <c r="D89" t="s">
        <v>150</v>
      </c>
      <c r="E89">
        <v>1358475.7111277899</v>
      </c>
      <c r="F89">
        <v>1000000</v>
      </c>
    </row>
    <row r="90" spans="1:6" x14ac:dyDescent="0.2">
      <c r="A90">
        <v>82</v>
      </c>
      <c r="B90" t="s">
        <v>151</v>
      </c>
      <c r="C90" s="1">
        <v>45382</v>
      </c>
      <c r="D90" t="s">
        <v>151</v>
      </c>
      <c r="E90">
        <v>20342.935729940698</v>
      </c>
      <c r="F90">
        <v>20342.935729940698</v>
      </c>
    </row>
    <row r="91" spans="1:6" x14ac:dyDescent="0.2">
      <c r="A91">
        <v>83</v>
      </c>
      <c r="B91" t="s">
        <v>152</v>
      </c>
      <c r="C91" s="1">
        <v>45429</v>
      </c>
      <c r="D91" t="s">
        <v>152</v>
      </c>
      <c r="E91">
        <v>501.67443003285399</v>
      </c>
      <c r="F91">
        <v>501.67443003285399</v>
      </c>
    </row>
    <row r="92" spans="1:6" x14ac:dyDescent="0.2">
      <c r="A92">
        <v>84</v>
      </c>
      <c r="B92" t="s">
        <v>153</v>
      </c>
      <c r="C92" s="1">
        <v>45559</v>
      </c>
      <c r="D92" t="s">
        <v>153</v>
      </c>
      <c r="E92">
        <v>3174.7183407310299</v>
      </c>
      <c r="F92">
        <v>3174.7183407310299</v>
      </c>
    </row>
    <row r="93" spans="1:6" x14ac:dyDescent="0.2">
      <c r="A93">
        <v>85</v>
      </c>
      <c r="B93" t="s">
        <v>154</v>
      </c>
      <c r="C93" s="1">
        <v>45374</v>
      </c>
      <c r="D93" t="s">
        <v>154</v>
      </c>
      <c r="E93">
        <v>144.866442392908</v>
      </c>
      <c r="F93">
        <v>144.866442392908</v>
      </c>
    </row>
    <row r="94" spans="1:6" x14ac:dyDescent="0.2">
      <c r="A94">
        <v>85</v>
      </c>
      <c r="B94" t="s">
        <v>155</v>
      </c>
      <c r="C94" s="1">
        <v>45526</v>
      </c>
      <c r="D94" t="s">
        <v>155</v>
      </c>
      <c r="E94">
        <v>5859431.97621141</v>
      </c>
      <c r="F94">
        <v>1000000</v>
      </c>
    </row>
    <row r="95" spans="1:6" x14ac:dyDescent="0.2">
      <c r="A95">
        <v>86</v>
      </c>
      <c r="B95" t="s">
        <v>156</v>
      </c>
      <c r="C95" s="1">
        <v>45546</v>
      </c>
      <c r="D95" t="s">
        <v>156</v>
      </c>
      <c r="E95">
        <v>155.766854939832</v>
      </c>
      <c r="F95">
        <v>155.766854939832</v>
      </c>
    </row>
    <row r="96" spans="1:6" x14ac:dyDescent="0.2">
      <c r="A96">
        <v>90</v>
      </c>
      <c r="B96" t="s">
        <v>157</v>
      </c>
      <c r="C96" s="1">
        <v>45362</v>
      </c>
      <c r="D96" t="s">
        <v>157</v>
      </c>
      <c r="E96">
        <v>796292.29928393301</v>
      </c>
      <c r="F96">
        <v>796292.29928393301</v>
      </c>
    </row>
    <row r="97" spans="1:6" x14ac:dyDescent="0.2">
      <c r="A97">
        <v>90</v>
      </c>
      <c r="B97" t="s">
        <v>158</v>
      </c>
      <c r="C97" s="1">
        <v>45551</v>
      </c>
      <c r="D97" t="s">
        <v>158</v>
      </c>
      <c r="E97">
        <v>852.59736970177198</v>
      </c>
      <c r="F97">
        <v>852.59736970177198</v>
      </c>
    </row>
    <row r="98" spans="1:6" x14ac:dyDescent="0.2">
      <c r="A98">
        <v>91</v>
      </c>
      <c r="B98" t="s">
        <v>159</v>
      </c>
      <c r="C98" s="1">
        <v>45358</v>
      </c>
      <c r="D98" t="s">
        <v>159</v>
      </c>
      <c r="E98">
        <v>35089.4784892975</v>
      </c>
      <c r="F98">
        <v>35089.4784892975</v>
      </c>
    </row>
    <row r="99" spans="1:6" x14ac:dyDescent="0.2">
      <c r="A99">
        <v>91</v>
      </c>
      <c r="B99" t="s">
        <v>160</v>
      </c>
      <c r="C99" s="1">
        <v>45655</v>
      </c>
      <c r="D99" t="s">
        <v>160</v>
      </c>
      <c r="E99">
        <v>5030.35445377212</v>
      </c>
      <c r="F99">
        <v>5030.35445377212</v>
      </c>
    </row>
    <row r="100" spans="1:6" x14ac:dyDescent="0.2">
      <c r="A100">
        <v>92</v>
      </c>
      <c r="B100" t="s">
        <v>161</v>
      </c>
      <c r="C100" s="1">
        <v>45529</v>
      </c>
      <c r="D100" t="s">
        <v>161</v>
      </c>
      <c r="E100">
        <v>15242.9749528147</v>
      </c>
      <c r="F100">
        <v>15242.9749528147</v>
      </c>
    </row>
    <row r="101" spans="1:6" x14ac:dyDescent="0.2">
      <c r="A101">
        <v>93</v>
      </c>
      <c r="B101" t="s">
        <v>162</v>
      </c>
      <c r="C101" s="1">
        <v>45425</v>
      </c>
      <c r="D101" t="s">
        <v>162</v>
      </c>
      <c r="E101">
        <v>143548.78686893801</v>
      </c>
      <c r="F101">
        <v>143548.78686893801</v>
      </c>
    </row>
    <row r="102" spans="1:6" x14ac:dyDescent="0.2">
      <c r="A102">
        <v>94</v>
      </c>
      <c r="B102" t="s">
        <v>163</v>
      </c>
      <c r="C102" s="1">
        <v>45407</v>
      </c>
      <c r="D102" t="s">
        <v>163</v>
      </c>
      <c r="E102">
        <v>127518.822083312</v>
      </c>
      <c r="F102">
        <v>127518.822083312</v>
      </c>
    </row>
    <row r="103" spans="1:6" x14ac:dyDescent="0.2">
      <c r="A103">
        <v>95</v>
      </c>
      <c r="B103" t="s">
        <v>164</v>
      </c>
      <c r="C103" s="1">
        <v>45310</v>
      </c>
      <c r="D103" t="s">
        <v>164</v>
      </c>
      <c r="E103">
        <v>109775.925096982</v>
      </c>
      <c r="F103">
        <v>109775.925096982</v>
      </c>
    </row>
    <row r="104" spans="1:6" x14ac:dyDescent="0.2">
      <c r="A104">
        <v>96</v>
      </c>
      <c r="B104" t="s">
        <v>165</v>
      </c>
      <c r="C104" s="1">
        <v>45471</v>
      </c>
      <c r="D104" t="s">
        <v>165</v>
      </c>
      <c r="E104">
        <v>449.291520779449</v>
      </c>
      <c r="F104">
        <v>449.291520779449</v>
      </c>
    </row>
    <row r="105" spans="1:6" x14ac:dyDescent="0.2">
      <c r="A105">
        <v>96</v>
      </c>
      <c r="B105" t="s">
        <v>166</v>
      </c>
      <c r="C105" s="1">
        <v>45513</v>
      </c>
      <c r="D105" t="s">
        <v>166</v>
      </c>
      <c r="E105">
        <v>146715.737023038</v>
      </c>
      <c r="F105">
        <v>146715.737023038</v>
      </c>
    </row>
    <row r="106" spans="1:6" x14ac:dyDescent="0.2">
      <c r="A106">
        <v>97</v>
      </c>
      <c r="B106" t="s">
        <v>167</v>
      </c>
      <c r="C106" s="1">
        <v>45381</v>
      </c>
      <c r="D106" t="s">
        <v>167</v>
      </c>
      <c r="E106">
        <v>3279.3058050387599</v>
      </c>
      <c r="F106">
        <v>3279.3058050387599</v>
      </c>
    </row>
    <row r="107" spans="1:6" x14ac:dyDescent="0.2">
      <c r="A107">
        <v>98</v>
      </c>
      <c r="B107" t="s">
        <v>168</v>
      </c>
      <c r="C107" s="1">
        <v>45566</v>
      </c>
      <c r="D107" t="s">
        <v>168</v>
      </c>
      <c r="E107">
        <v>2551.92010215663</v>
      </c>
      <c r="F107">
        <v>2551.92010215663</v>
      </c>
    </row>
    <row r="108" spans="1:6" x14ac:dyDescent="0.2">
      <c r="A108">
        <v>98</v>
      </c>
      <c r="B108" t="s">
        <v>169</v>
      </c>
      <c r="C108" s="1">
        <v>45582</v>
      </c>
      <c r="D108" t="s">
        <v>169</v>
      </c>
      <c r="E108">
        <v>5704.3489022857902</v>
      </c>
      <c r="F108">
        <v>5704.3489022857902</v>
      </c>
    </row>
    <row r="109" spans="1:6" x14ac:dyDescent="0.2">
      <c r="A109">
        <v>99</v>
      </c>
      <c r="B109" t="s">
        <v>170</v>
      </c>
      <c r="C109" s="1">
        <v>45488</v>
      </c>
      <c r="D109" t="s">
        <v>170</v>
      </c>
      <c r="E109">
        <v>13588.8843274549</v>
      </c>
      <c r="F109">
        <v>13588.8843274549</v>
      </c>
    </row>
    <row r="110" spans="1:6" x14ac:dyDescent="0.2">
      <c r="A110">
        <v>100</v>
      </c>
      <c r="B110" t="s">
        <v>171</v>
      </c>
      <c r="C110" s="1">
        <v>45460</v>
      </c>
      <c r="D110" t="s">
        <v>171</v>
      </c>
      <c r="E110">
        <v>294.264806772425</v>
      </c>
      <c r="F110">
        <v>294.264806772425</v>
      </c>
    </row>
    <row r="111" spans="1:6" x14ac:dyDescent="0.2">
      <c r="A111">
        <v>101</v>
      </c>
      <c r="B111" t="s">
        <v>172</v>
      </c>
      <c r="C111" s="1">
        <v>45340</v>
      </c>
      <c r="D111" t="s">
        <v>172</v>
      </c>
      <c r="E111">
        <v>124.988872555594</v>
      </c>
      <c r="F111">
        <v>124.988872555594</v>
      </c>
    </row>
    <row r="112" spans="1:6" x14ac:dyDescent="0.2">
      <c r="A112">
        <v>102</v>
      </c>
      <c r="B112" t="s">
        <v>173</v>
      </c>
      <c r="C112" s="1">
        <v>45611</v>
      </c>
      <c r="D112" t="s">
        <v>173</v>
      </c>
      <c r="E112">
        <v>3529.6500403867699</v>
      </c>
      <c r="F112">
        <v>3529.6500403867699</v>
      </c>
    </row>
    <row r="113" spans="1:6" x14ac:dyDescent="0.2">
      <c r="A113">
        <v>103</v>
      </c>
      <c r="B113" t="s">
        <v>174</v>
      </c>
      <c r="C113" s="1">
        <v>45293</v>
      </c>
      <c r="D113" t="s">
        <v>174</v>
      </c>
      <c r="E113">
        <v>23336.590695975101</v>
      </c>
      <c r="F113">
        <v>23336.590695975101</v>
      </c>
    </row>
    <row r="114" spans="1:6" x14ac:dyDescent="0.2">
      <c r="A114">
        <v>105</v>
      </c>
      <c r="B114" t="s">
        <v>175</v>
      </c>
      <c r="C114" s="1">
        <v>45551</v>
      </c>
      <c r="D114" t="s">
        <v>175</v>
      </c>
      <c r="E114">
        <v>1254.8422431839999</v>
      </c>
      <c r="F114">
        <v>1254.8422431839999</v>
      </c>
    </row>
    <row r="115" spans="1:6" x14ac:dyDescent="0.2">
      <c r="A115">
        <v>108</v>
      </c>
      <c r="B115" t="s">
        <v>176</v>
      </c>
      <c r="C115" s="1">
        <v>45634</v>
      </c>
      <c r="D115" t="s">
        <v>176</v>
      </c>
      <c r="E115">
        <v>570532.41747131303</v>
      </c>
      <c r="F115">
        <v>570532.41747131303</v>
      </c>
    </row>
    <row r="116" spans="1:6" x14ac:dyDescent="0.2">
      <c r="A116">
        <v>109</v>
      </c>
      <c r="B116" t="s">
        <v>177</v>
      </c>
      <c r="C116" s="1">
        <v>45520</v>
      </c>
      <c r="D116" t="s">
        <v>177</v>
      </c>
      <c r="E116">
        <v>100189.113415101</v>
      </c>
      <c r="F116">
        <v>100189.113415101</v>
      </c>
    </row>
    <row r="117" spans="1:6" x14ac:dyDescent="0.2">
      <c r="A117">
        <v>110</v>
      </c>
      <c r="B117" t="s">
        <v>178</v>
      </c>
      <c r="C117" s="1">
        <v>45347</v>
      </c>
      <c r="D117" t="s">
        <v>178</v>
      </c>
      <c r="E117">
        <v>965.40584443442697</v>
      </c>
      <c r="F117">
        <v>965.40584443442697</v>
      </c>
    </row>
    <row r="118" spans="1:6" x14ac:dyDescent="0.2">
      <c r="A118">
        <v>110</v>
      </c>
      <c r="B118" t="s">
        <v>179</v>
      </c>
      <c r="C118" s="1">
        <v>45397</v>
      </c>
      <c r="D118" t="s">
        <v>179</v>
      </c>
      <c r="E118">
        <v>2497777.6000483399</v>
      </c>
      <c r="F118">
        <v>1000000</v>
      </c>
    </row>
    <row r="119" spans="1:6" x14ac:dyDescent="0.2">
      <c r="A119">
        <v>112</v>
      </c>
      <c r="B119" t="s">
        <v>180</v>
      </c>
      <c r="C119" s="1">
        <v>45655</v>
      </c>
      <c r="D119" t="s">
        <v>180</v>
      </c>
      <c r="E119">
        <v>2236.1366618019301</v>
      </c>
      <c r="F119">
        <v>2236.1366618019301</v>
      </c>
    </row>
    <row r="120" spans="1:6" x14ac:dyDescent="0.2">
      <c r="A120">
        <v>113</v>
      </c>
      <c r="B120" t="s">
        <v>181</v>
      </c>
      <c r="C120" s="1">
        <v>45554</v>
      </c>
      <c r="D120" t="s">
        <v>181</v>
      </c>
      <c r="E120">
        <v>31277.140959391501</v>
      </c>
      <c r="F120">
        <v>31277.140959391501</v>
      </c>
    </row>
    <row r="121" spans="1:6" x14ac:dyDescent="0.2">
      <c r="A121">
        <v>113</v>
      </c>
      <c r="B121" t="s">
        <v>182</v>
      </c>
      <c r="C121" s="1">
        <v>45359</v>
      </c>
      <c r="D121" t="s">
        <v>182</v>
      </c>
      <c r="E121">
        <v>181838.58898551401</v>
      </c>
      <c r="F121">
        <v>181838.58898551401</v>
      </c>
    </row>
    <row r="122" spans="1:6" x14ac:dyDescent="0.2">
      <c r="A122">
        <v>115</v>
      </c>
      <c r="B122" t="s">
        <v>183</v>
      </c>
      <c r="C122" s="1">
        <v>45344</v>
      </c>
      <c r="D122" t="s">
        <v>183</v>
      </c>
      <c r="E122">
        <v>1609134.5141448099</v>
      </c>
      <c r="F122">
        <v>1000000</v>
      </c>
    </row>
    <row r="123" spans="1:6" x14ac:dyDescent="0.2">
      <c r="A123">
        <v>116</v>
      </c>
      <c r="B123" t="s">
        <v>184</v>
      </c>
      <c r="C123" s="1">
        <v>45614</v>
      </c>
      <c r="D123" t="s">
        <v>184</v>
      </c>
      <c r="E123">
        <v>41483.455844531098</v>
      </c>
      <c r="F123">
        <v>41483.455844531098</v>
      </c>
    </row>
    <row r="124" spans="1:6" x14ac:dyDescent="0.2">
      <c r="A124">
        <v>116</v>
      </c>
      <c r="B124" t="s">
        <v>185</v>
      </c>
      <c r="C124" s="1">
        <v>45302</v>
      </c>
      <c r="D124" t="s">
        <v>185</v>
      </c>
      <c r="E124">
        <v>23982.888855278601</v>
      </c>
      <c r="F124">
        <v>23982.888855278601</v>
      </c>
    </row>
    <row r="125" spans="1:6" x14ac:dyDescent="0.2">
      <c r="A125">
        <v>117</v>
      </c>
      <c r="B125" t="s">
        <v>186</v>
      </c>
      <c r="C125" s="1">
        <v>45640</v>
      </c>
      <c r="D125" t="s">
        <v>186</v>
      </c>
      <c r="E125">
        <v>271.61093237814799</v>
      </c>
      <c r="F125">
        <v>271.61093237814799</v>
      </c>
    </row>
    <row r="126" spans="1:6" x14ac:dyDescent="0.2">
      <c r="A126">
        <v>119</v>
      </c>
      <c r="B126" t="s">
        <v>187</v>
      </c>
      <c r="C126" s="1">
        <v>45379</v>
      </c>
      <c r="D126" t="s">
        <v>187</v>
      </c>
      <c r="E126">
        <v>615894.70219961705</v>
      </c>
      <c r="F126">
        <v>615894.70219961705</v>
      </c>
    </row>
    <row r="127" spans="1:6" x14ac:dyDescent="0.2">
      <c r="A127">
        <v>120</v>
      </c>
      <c r="B127" t="s">
        <v>188</v>
      </c>
      <c r="C127" s="1">
        <v>45302</v>
      </c>
      <c r="D127" t="s">
        <v>188</v>
      </c>
      <c r="E127">
        <v>4129060.3605997898</v>
      </c>
      <c r="F127">
        <v>1000000</v>
      </c>
    </row>
    <row r="128" spans="1:6" x14ac:dyDescent="0.2">
      <c r="A128">
        <v>121</v>
      </c>
      <c r="B128" t="s">
        <v>189</v>
      </c>
      <c r="C128" s="1">
        <v>45534</v>
      </c>
      <c r="D128" t="s">
        <v>189</v>
      </c>
      <c r="E128">
        <v>9086.3321087272707</v>
      </c>
      <c r="F128">
        <v>9086.3321087272707</v>
      </c>
    </row>
    <row r="129" spans="1:6" x14ac:dyDescent="0.2">
      <c r="A129">
        <v>122</v>
      </c>
      <c r="B129" t="s">
        <v>190</v>
      </c>
      <c r="C129" s="1">
        <v>45621</v>
      </c>
      <c r="D129" t="s">
        <v>190</v>
      </c>
      <c r="E129">
        <v>123.16205735894</v>
      </c>
      <c r="F129">
        <v>123.16205735894</v>
      </c>
    </row>
    <row r="130" spans="1:6" x14ac:dyDescent="0.2">
      <c r="A130">
        <v>123</v>
      </c>
      <c r="B130" t="s">
        <v>191</v>
      </c>
      <c r="C130" s="1">
        <v>45571</v>
      </c>
      <c r="D130" t="s">
        <v>191</v>
      </c>
      <c r="E130">
        <v>104350.56194289601</v>
      </c>
      <c r="F130">
        <v>104350.56194289601</v>
      </c>
    </row>
    <row r="131" spans="1:6" x14ac:dyDescent="0.2">
      <c r="A131">
        <v>124</v>
      </c>
      <c r="B131" t="s">
        <v>192</v>
      </c>
      <c r="C131" s="1">
        <v>45355</v>
      </c>
      <c r="D131" t="s">
        <v>192</v>
      </c>
      <c r="E131">
        <v>33272.852914673102</v>
      </c>
      <c r="F131">
        <v>33272.852914673102</v>
      </c>
    </row>
    <row r="132" spans="1:6" x14ac:dyDescent="0.2">
      <c r="A132">
        <v>124</v>
      </c>
      <c r="B132" t="s">
        <v>193</v>
      </c>
      <c r="C132" s="1">
        <v>45619</v>
      </c>
      <c r="D132" t="s">
        <v>193</v>
      </c>
      <c r="E132">
        <v>234889.94175895999</v>
      </c>
      <c r="F132">
        <v>234889.94175895999</v>
      </c>
    </row>
    <row r="133" spans="1:6" x14ac:dyDescent="0.2">
      <c r="A133">
        <v>125</v>
      </c>
      <c r="B133" t="s">
        <v>194</v>
      </c>
      <c r="C133" s="1">
        <v>45451</v>
      </c>
      <c r="D133" t="s">
        <v>194</v>
      </c>
      <c r="E133">
        <v>45790.524235672499</v>
      </c>
      <c r="F133">
        <v>45790.524235672499</v>
      </c>
    </row>
    <row r="134" spans="1:6" x14ac:dyDescent="0.2">
      <c r="A134">
        <v>127</v>
      </c>
      <c r="B134" t="s">
        <v>195</v>
      </c>
      <c r="C134" s="1">
        <v>45520</v>
      </c>
      <c r="D134" t="s">
        <v>195</v>
      </c>
      <c r="E134">
        <v>26781.370595107899</v>
      </c>
      <c r="F134">
        <v>26781.370595107899</v>
      </c>
    </row>
    <row r="135" spans="1:6" x14ac:dyDescent="0.2">
      <c r="A135">
        <v>127</v>
      </c>
      <c r="B135" t="s">
        <v>196</v>
      </c>
      <c r="C135" s="1">
        <v>45656</v>
      </c>
      <c r="D135" t="s">
        <v>196</v>
      </c>
      <c r="E135">
        <v>643712.98963904497</v>
      </c>
      <c r="F135">
        <v>643712.98963904497</v>
      </c>
    </row>
    <row r="136" spans="1:6" x14ac:dyDescent="0.2">
      <c r="A136">
        <v>128</v>
      </c>
      <c r="B136" t="s">
        <v>197</v>
      </c>
      <c r="C136" s="1">
        <v>45518</v>
      </c>
      <c r="D136" t="s">
        <v>197</v>
      </c>
      <c r="E136">
        <v>10742.3086019004</v>
      </c>
      <c r="F136">
        <v>10742.3086019004</v>
      </c>
    </row>
    <row r="137" spans="1:6" x14ac:dyDescent="0.2">
      <c r="A137">
        <v>128</v>
      </c>
      <c r="B137" t="s">
        <v>198</v>
      </c>
      <c r="C137" s="1">
        <v>45613</v>
      </c>
      <c r="D137" t="s">
        <v>198</v>
      </c>
      <c r="E137">
        <v>11589.749006317301</v>
      </c>
      <c r="F137">
        <v>11589.749006317301</v>
      </c>
    </row>
    <row r="138" spans="1:6" x14ac:dyDescent="0.2">
      <c r="A138">
        <v>129</v>
      </c>
      <c r="B138" t="s">
        <v>199</v>
      </c>
      <c r="C138" s="1">
        <v>45534</v>
      </c>
      <c r="D138" t="s">
        <v>199</v>
      </c>
      <c r="E138">
        <v>8279.7522255738404</v>
      </c>
      <c r="F138">
        <v>8279.7522255738404</v>
      </c>
    </row>
    <row r="139" spans="1:6" x14ac:dyDescent="0.2">
      <c r="A139">
        <v>129</v>
      </c>
      <c r="B139" t="s">
        <v>200</v>
      </c>
      <c r="C139" s="1">
        <v>45556</v>
      </c>
      <c r="D139" t="s">
        <v>200</v>
      </c>
      <c r="E139">
        <v>67441.374086397103</v>
      </c>
      <c r="F139">
        <v>67441.374086397103</v>
      </c>
    </row>
    <row r="140" spans="1:6" x14ac:dyDescent="0.2">
      <c r="A140">
        <v>130</v>
      </c>
      <c r="B140" t="s">
        <v>201</v>
      </c>
      <c r="C140" s="1">
        <v>45403</v>
      </c>
      <c r="D140" t="s">
        <v>201</v>
      </c>
      <c r="E140">
        <v>23420.151959368799</v>
      </c>
      <c r="F140">
        <v>23420.151959368799</v>
      </c>
    </row>
    <row r="141" spans="1:6" x14ac:dyDescent="0.2">
      <c r="A141">
        <v>131</v>
      </c>
      <c r="B141" t="s">
        <v>202</v>
      </c>
      <c r="C141" s="1">
        <v>45568</v>
      </c>
      <c r="D141" t="s">
        <v>202</v>
      </c>
      <c r="E141">
        <v>37230.026851498398</v>
      </c>
      <c r="F141">
        <v>37230.026851498398</v>
      </c>
    </row>
    <row r="142" spans="1:6" x14ac:dyDescent="0.2">
      <c r="A142">
        <v>133</v>
      </c>
      <c r="B142" t="s">
        <v>203</v>
      </c>
      <c r="C142" s="1">
        <v>45539</v>
      </c>
      <c r="D142" t="s">
        <v>203</v>
      </c>
      <c r="E142">
        <v>18718.3757241561</v>
      </c>
      <c r="F142">
        <v>18718.3757241561</v>
      </c>
    </row>
    <row r="143" spans="1:6" x14ac:dyDescent="0.2">
      <c r="A143">
        <v>134</v>
      </c>
      <c r="B143" t="s">
        <v>204</v>
      </c>
      <c r="C143" s="1">
        <v>45475</v>
      </c>
      <c r="D143" t="s">
        <v>204</v>
      </c>
      <c r="E143">
        <v>3931.6573890183499</v>
      </c>
      <c r="F143">
        <v>3931.6573890183499</v>
      </c>
    </row>
    <row r="144" spans="1:6" x14ac:dyDescent="0.2">
      <c r="A144">
        <v>135</v>
      </c>
      <c r="B144" t="s">
        <v>205</v>
      </c>
      <c r="C144" s="1">
        <v>45618</v>
      </c>
      <c r="D144" t="s">
        <v>205</v>
      </c>
      <c r="E144">
        <v>13.8456557766029</v>
      </c>
      <c r="F144">
        <v>13.8456557766029</v>
      </c>
    </row>
    <row r="145" spans="1:6" x14ac:dyDescent="0.2">
      <c r="A145">
        <v>136</v>
      </c>
      <c r="B145" t="s">
        <v>206</v>
      </c>
      <c r="C145" s="1">
        <v>45430</v>
      </c>
      <c r="D145" t="s">
        <v>206</v>
      </c>
      <c r="E145">
        <v>16036.898414617801</v>
      </c>
      <c r="F145">
        <v>16036.898414617801</v>
      </c>
    </row>
    <row r="146" spans="1:6" x14ac:dyDescent="0.2">
      <c r="A146">
        <v>138</v>
      </c>
      <c r="B146" t="s">
        <v>207</v>
      </c>
      <c r="C146" s="1">
        <v>45622</v>
      </c>
      <c r="D146" t="s">
        <v>207</v>
      </c>
      <c r="E146">
        <v>1069018.7380554201</v>
      </c>
      <c r="F146">
        <v>1000000</v>
      </c>
    </row>
    <row r="147" spans="1:6" x14ac:dyDescent="0.2">
      <c r="A147">
        <v>140</v>
      </c>
      <c r="B147" t="s">
        <v>208</v>
      </c>
      <c r="C147" s="1">
        <v>45521</v>
      </c>
      <c r="D147" t="s">
        <v>208</v>
      </c>
      <c r="E147">
        <v>1024.8287554102601</v>
      </c>
      <c r="F147">
        <v>1024.8287554102601</v>
      </c>
    </row>
    <row r="148" spans="1:6" x14ac:dyDescent="0.2">
      <c r="A148">
        <v>141</v>
      </c>
      <c r="B148" t="s">
        <v>209</v>
      </c>
      <c r="C148" s="1">
        <v>45412</v>
      </c>
      <c r="D148" t="s">
        <v>209</v>
      </c>
      <c r="E148">
        <v>374.564052066518</v>
      </c>
      <c r="F148">
        <v>374.564052066518</v>
      </c>
    </row>
    <row r="149" spans="1:6" x14ac:dyDescent="0.2">
      <c r="A149">
        <v>142</v>
      </c>
      <c r="B149" t="s">
        <v>210</v>
      </c>
      <c r="C149" s="1">
        <v>45390</v>
      </c>
      <c r="D149" t="s">
        <v>210</v>
      </c>
      <c r="E149">
        <v>10314.152789997701</v>
      </c>
      <c r="F149">
        <v>10314.152789997701</v>
      </c>
    </row>
    <row r="150" spans="1:6" x14ac:dyDescent="0.2">
      <c r="A150">
        <v>143</v>
      </c>
      <c r="B150" t="s">
        <v>211</v>
      </c>
      <c r="C150" s="1">
        <v>45304</v>
      </c>
      <c r="D150" t="s">
        <v>211</v>
      </c>
      <c r="E150">
        <v>65666.492191430196</v>
      </c>
      <c r="F150">
        <v>65666.492191430196</v>
      </c>
    </row>
    <row r="151" spans="1:6" x14ac:dyDescent="0.2">
      <c r="A151">
        <v>143</v>
      </c>
      <c r="B151" t="s">
        <v>212</v>
      </c>
      <c r="C151" s="1">
        <v>45299</v>
      </c>
      <c r="D151" t="s">
        <v>212</v>
      </c>
      <c r="E151">
        <v>115436.18467961199</v>
      </c>
      <c r="F151">
        <v>115436.18467961199</v>
      </c>
    </row>
    <row r="152" spans="1:6" x14ac:dyDescent="0.2">
      <c r="A152">
        <v>144</v>
      </c>
      <c r="B152" t="s">
        <v>213</v>
      </c>
      <c r="C152" s="1">
        <v>45308</v>
      </c>
      <c r="D152" t="s">
        <v>213</v>
      </c>
      <c r="E152">
        <v>1117.5613526756499</v>
      </c>
      <c r="F152">
        <v>1117.5613526756499</v>
      </c>
    </row>
    <row r="153" spans="1:6" x14ac:dyDescent="0.2">
      <c r="A153">
        <v>144</v>
      </c>
      <c r="B153" t="s">
        <v>214</v>
      </c>
      <c r="C153" s="1">
        <v>45497</v>
      </c>
      <c r="D153" t="s">
        <v>214</v>
      </c>
      <c r="E153">
        <v>479430.954535269</v>
      </c>
      <c r="F153">
        <v>479430.954535269</v>
      </c>
    </row>
    <row r="154" spans="1:6" x14ac:dyDescent="0.2">
      <c r="A154">
        <v>146</v>
      </c>
      <c r="B154" t="s">
        <v>215</v>
      </c>
      <c r="C154" s="1">
        <v>45525</v>
      </c>
      <c r="D154" t="s">
        <v>215</v>
      </c>
      <c r="E154">
        <v>14060.812409136301</v>
      </c>
      <c r="F154">
        <v>14060.812409136301</v>
      </c>
    </row>
    <row r="155" spans="1:6" x14ac:dyDescent="0.2">
      <c r="A155">
        <v>146</v>
      </c>
      <c r="B155" t="s">
        <v>216</v>
      </c>
      <c r="C155" s="1">
        <v>45308</v>
      </c>
      <c r="D155" t="s">
        <v>216</v>
      </c>
      <c r="E155">
        <v>6439.8258167799004</v>
      </c>
      <c r="F155">
        <v>6439.8258167799004</v>
      </c>
    </row>
    <row r="156" spans="1:6" x14ac:dyDescent="0.2">
      <c r="A156">
        <v>147</v>
      </c>
      <c r="B156" t="s">
        <v>217</v>
      </c>
      <c r="C156" s="1">
        <v>45310</v>
      </c>
      <c r="D156" t="s">
        <v>217</v>
      </c>
      <c r="E156">
        <v>34556.826523252297</v>
      </c>
      <c r="F156">
        <v>34556.826523252297</v>
      </c>
    </row>
    <row r="157" spans="1:6" x14ac:dyDescent="0.2">
      <c r="A157">
        <v>147</v>
      </c>
      <c r="B157" t="s">
        <v>218</v>
      </c>
      <c r="C157" s="1">
        <v>45532</v>
      </c>
      <c r="D157" t="s">
        <v>218</v>
      </c>
      <c r="E157">
        <v>17367.655433866999</v>
      </c>
      <c r="F157">
        <v>17367.655433866999</v>
      </c>
    </row>
    <row r="158" spans="1:6" x14ac:dyDescent="0.2">
      <c r="A158">
        <v>148</v>
      </c>
      <c r="B158" t="s">
        <v>219</v>
      </c>
      <c r="C158" s="1">
        <v>45509</v>
      </c>
      <c r="D158" t="s">
        <v>219</v>
      </c>
      <c r="E158">
        <v>42127.567923444702</v>
      </c>
      <c r="F158">
        <v>42127.567923444702</v>
      </c>
    </row>
    <row r="159" spans="1:6" x14ac:dyDescent="0.2">
      <c r="A159">
        <v>148</v>
      </c>
      <c r="B159" t="s">
        <v>220</v>
      </c>
      <c r="C159" s="1">
        <v>45446</v>
      </c>
      <c r="D159" t="s">
        <v>220</v>
      </c>
      <c r="E159">
        <v>310952.51455638697</v>
      </c>
      <c r="F159">
        <v>310952.51455638697</v>
      </c>
    </row>
    <row r="160" spans="1:6" x14ac:dyDescent="0.2">
      <c r="A160">
        <v>149</v>
      </c>
      <c r="B160" t="s">
        <v>221</v>
      </c>
      <c r="C160" s="1">
        <v>45439</v>
      </c>
      <c r="D160" t="s">
        <v>221</v>
      </c>
      <c r="E160">
        <v>3465.7781869239602</v>
      </c>
      <c r="F160">
        <v>3465.7781869239602</v>
      </c>
    </row>
    <row r="161" spans="1:6" x14ac:dyDescent="0.2">
      <c r="A161">
        <v>149</v>
      </c>
      <c r="B161" t="s">
        <v>222</v>
      </c>
      <c r="C161" s="1">
        <v>45638</v>
      </c>
      <c r="D161" t="s">
        <v>222</v>
      </c>
      <c r="E161">
        <v>2429.8923725843401</v>
      </c>
      <c r="F161">
        <v>2429.8923725843401</v>
      </c>
    </row>
    <row r="162" spans="1:6" x14ac:dyDescent="0.2">
      <c r="A162">
        <v>150</v>
      </c>
      <c r="B162" t="s">
        <v>223</v>
      </c>
      <c r="C162" s="1">
        <v>45344</v>
      </c>
      <c r="D162" t="s">
        <v>223</v>
      </c>
      <c r="E162">
        <v>55829.124672435602</v>
      </c>
      <c r="F162">
        <v>55829.124672435602</v>
      </c>
    </row>
    <row r="163" spans="1:6" x14ac:dyDescent="0.2">
      <c r="A163">
        <v>152</v>
      </c>
      <c r="B163" t="s">
        <v>224</v>
      </c>
      <c r="C163" s="1">
        <v>45450</v>
      </c>
      <c r="D163" t="s">
        <v>224</v>
      </c>
      <c r="E163">
        <v>34525.5118478328</v>
      </c>
      <c r="F163">
        <v>34525.5118478328</v>
      </c>
    </row>
    <row r="164" spans="1:6" x14ac:dyDescent="0.2">
      <c r="A164">
        <v>153</v>
      </c>
      <c r="B164" t="s">
        <v>225</v>
      </c>
      <c r="C164" s="1">
        <v>45538</v>
      </c>
      <c r="D164" t="s">
        <v>225</v>
      </c>
      <c r="E164">
        <v>401034.11621141399</v>
      </c>
      <c r="F164">
        <v>401034.11621141399</v>
      </c>
    </row>
    <row r="165" spans="1:6" x14ac:dyDescent="0.2">
      <c r="A165">
        <v>154</v>
      </c>
      <c r="B165" t="s">
        <v>226</v>
      </c>
      <c r="C165" s="1">
        <v>45639</v>
      </c>
      <c r="D165" t="s">
        <v>226</v>
      </c>
      <c r="E165">
        <v>25847.795875829299</v>
      </c>
      <c r="F165">
        <v>25847.795875829299</v>
      </c>
    </row>
    <row r="166" spans="1:6" x14ac:dyDescent="0.2">
      <c r="A166">
        <v>154</v>
      </c>
      <c r="B166" t="s">
        <v>227</v>
      </c>
      <c r="C166" s="1">
        <v>45312</v>
      </c>
      <c r="D166" t="s">
        <v>227</v>
      </c>
      <c r="E166">
        <v>298.73891474015102</v>
      </c>
      <c r="F166">
        <v>298.73891474015102</v>
      </c>
    </row>
    <row r="167" spans="1:6" x14ac:dyDescent="0.2">
      <c r="A167">
        <v>155</v>
      </c>
      <c r="B167" t="s">
        <v>228</v>
      </c>
      <c r="C167" s="1">
        <v>45314</v>
      </c>
      <c r="D167" t="s">
        <v>228</v>
      </c>
      <c r="E167">
        <v>33065769.2005792</v>
      </c>
      <c r="F167">
        <v>1000000</v>
      </c>
    </row>
    <row r="168" spans="1:6" x14ac:dyDescent="0.2">
      <c r="A168">
        <v>155</v>
      </c>
      <c r="B168" t="s">
        <v>229</v>
      </c>
      <c r="C168" s="1">
        <v>45333</v>
      </c>
      <c r="D168" t="s">
        <v>229</v>
      </c>
      <c r="E168">
        <v>370939.89762670099</v>
      </c>
      <c r="F168">
        <v>370939.89762670099</v>
      </c>
    </row>
    <row r="169" spans="1:6" x14ac:dyDescent="0.2">
      <c r="A169">
        <v>156</v>
      </c>
      <c r="B169" t="s">
        <v>230</v>
      </c>
      <c r="C169" s="1">
        <v>45373</v>
      </c>
      <c r="D169" t="s">
        <v>230</v>
      </c>
      <c r="E169">
        <v>3713.1982054350801</v>
      </c>
      <c r="F169">
        <v>3713.1982054350801</v>
      </c>
    </row>
    <row r="170" spans="1:6" x14ac:dyDescent="0.2">
      <c r="A170">
        <v>157</v>
      </c>
      <c r="B170" t="s">
        <v>231</v>
      </c>
      <c r="C170" s="1">
        <v>45355</v>
      </c>
      <c r="D170" t="s">
        <v>231</v>
      </c>
      <c r="E170">
        <v>4124.2079283261301</v>
      </c>
      <c r="F170">
        <v>4124.2079283261301</v>
      </c>
    </row>
    <row r="171" spans="1:6" x14ac:dyDescent="0.2">
      <c r="A171">
        <v>158</v>
      </c>
      <c r="B171" t="s">
        <v>232</v>
      </c>
      <c r="C171" s="1">
        <v>45437</v>
      </c>
      <c r="D171" t="s">
        <v>232</v>
      </c>
      <c r="E171">
        <v>1304.2396489109699</v>
      </c>
      <c r="F171">
        <v>1304.2396489109699</v>
      </c>
    </row>
    <row r="172" spans="1:6" x14ac:dyDescent="0.2">
      <c r="A172">
        <v>158</v>
      </c>
      <c r="B172" t="s">
        <v>233</v>
      </c>
      <c r="C172" s="1">
        <v>45557</v>
      </c>
      <c r="D172" t="s">
        <v>233</v>
      </c>
      <c r="E172">
        <v>8133.1467462959199</v>
      </c>
      <c r="F172">
        <v>8133.1467462959199</v>
      </c>
    </row>
    <row r="173" spans="1:6" x14ac:dyDescent="0.2">
      <c r="A173">
        <v>159</v>
      </c>
      <c r="B173" t="s">
        <v>234</v>
      </c>
      <c r="C173" s="1">
        <v>45630</v>
      </c>
      <c r="D173" t="s">
        <v>234</v>
      </c>
      <c r="E173">
        <v>814.63783937873097</v>
      </c>
      <c r="F173">
        <v>814.63783937873097</v>
      </c>
    </row>
    <row r="174" spans="1:6" x14ac:dyDescent="0.2">
      <c r="A174">
        <v>160</v>
      </c>
      <c r="B174" t="s">
        <v>235</v>
      </c>
      <c r="C174" s="1">
        <v>45545</v>
      </c>
      <c r="D174" t="s">
        <v>235</v>
      </c>
      <c r="E174">
        <v>726330.31511964195</v>
      </c>
      <c r="F174">
        <v>726330.31511964195</v>
      </c>
    </row>
    <row r="175" spans="1:6" x14ac:dyDescent="0.2">
      <c r="A175">
        <v>160</v>
      </c>
      <c r="B175" t="s">
        <v>236</v>
      </c>
      <c r="C175" s="1">
        <v>45403</v>
      </c>
      <c r="D175" t="s">
        <v>236</v>
      </c>
      <c r="E175">
        <v>64638.608709073902</v>
      </c>
      <c r="F175">
        <v>64638.608709073902</v>
      </c>
    </row>
    <row r="176" spans="1:6" x14ac:dyDescent="0.2">
      <c r="A176">
        <v>161</v>
      </c>
      <c r="B176" t="s">
        <v>237</v>
      </c>
      <c r="C176" s="1">
        <v>45391</v>
      </c>
      <c r="D176" t="s">
        <v>237</v>
      </c>
      <c r="E176">
        <v>1287.4033789651401</v>
      </c>
      <c r="F176">
        <v>1287.4033789651401</v>
      </c>
    </row>
    <row r="177" spans="1:6" x14ac:dyDescent="0.2">
      <c r="A177">
        <v>162</v>
      </c>
      <c r="B177" t="s">
        <v>238</v>
      </c>
      <c r="C177" s="1">
        <v>45434</v>
      </c>
      <c r="D177" t="s">
        <v>238</v>
      </c>
      <c r="E177">
        <v>3564.1513417718702</v>
      </c>
      <c r="F177">
        <v>3564.1513417718702</v>
      </c>
    </row>
    <row r="178" spans="1:6" x14ac:dyDescent="0.2">
      <c r="A178">
        <v>163</v>
      </c>
      <c r="B178" t="s">
        <v>239</v>
      </c>
      <c r="C178" s="1">
        <v>45349</v>
      </c>
      <c r="D178" t="s">
        <v>239</v>
      </c>
      <c r="E178">
        <v>18967.670304977</v>
      </c>
      <c r="F178">
        <v>18967.670304977</v>
      </c>
    </row>
    <row r="179" spans="1:6" x14ac:dyDescent="0.2">
      <c r="A179">
        <v>164</v>
      </c>
      <c r="B179" t="s">
        <v>240</v>
      </c>
      <c r="C179" s="1">
        <v>45578</v>
      </c>
      <c r="D179" t="s">
        <v>240</v>
      </c>
      <c r="E179">
        <v>604.33756410874798</v>
      </c>
      <c r="F179">
        <v>604.33756410874798</v>
      </c>
    </row>
    <row r="180" spans="1:6" x14ac:dyDescent="0.2">
      <c r="A180">
        <v>165</v>
      </c>
      <c r="B180" t="s">
        <v>241</v>
      </c>
      <c r="C180" s="1">
        <v>45593</v>
      </c>
      <c r="D180" t="s">
        <v>241</v>
      </c>
      <c r="E180">
        <v>178260.17170286999</v>
      </c>
      <c r="F180">
        <v>178260.17170286999</v>
      </c>
    </row>
    <row r="181" spans="1:6" x14ac:dyDescent="0.2">
      <c r="A181">
        <v>166</v>
      </c>
      <c r="B181" t="s">
        <v>242</v>
      </c>
      <c r="C181" s="1">
        <v>45426</v>
      </c>
      <c r="D181" t="s">
        <v>242</v>
      </c>
      <c r="E181">
        <v>277815.56138111698</v>
      </c>
      <c r="F181">
        <v>277815.56138111698</v>
      </c>
    </row>
    <row r="182" spans="1:6" x14ac:dyDescent="0.2">
      <c r="A182">
        <v>167</v>
      </c>
      <c r="B182" t="s">
        <v>243</v>
      </c>
      <c r="C182" s="1">
        <v>45612</v>
      </c>
      <c r="D182" t="s">
        <v>243</v>
      </c>
      <c r="E182">
        <v>616697.71428512805</v>
      </c>
      <c r="F182">
        <v>616697.71428512805</v>
      </c>
    </row>
    <row r="183" spans="1:6" x14ac:dyDescent="0.2">
      <c r="A183">
        <v>168</v>
      </c>
      <c r="B183" t="s">
        <v>244</v>
      </c>
      <c r="C183" s="1">
        <v>45487</v>
      </c>
      <c r="D183" t="s">
        <v>244</v>
      </c>
      <c r="E183">
        <v>2203576.8751513301</v>
      </c>
      <c r="F183">
        <v>1000000</v>
      </c>
    </row>
    <row r="184" spans="1:6" x14ac:dyDescent="0.2">
      <c r="A184">
        <v>168</v>
      </c>
      <c r="B184" t="s">
        <v>245</v>
      </c>
      <c r="C184" s="1">
        <v>45331</v>
      </c>
      <c r="D184" t="s">
        <v>245</v>
      </c>
      <c r="E184">
        <v>76248.185233423093</v>
      </c>
      <c r="F184">
        <v>76248.185233423093</v>
      </c>
    </row>
    <row r="185" spans="1:6" x14ac:dyDescent="0.2">
      <c r="A185">
        <v>169</v>
      </c>
      <c r="B185" t="s">
        <v>246</v>
      </c>
      <c r="C185" s="1">
        <v>45309</v>
      </c>
      <c r="D185" t="s">
        <v>246</v>
      </c>
      <c r="E185">
        <v>4533.3863218141896</v>
      </c>
      <c r="F185">
        <v>4533.3863218141896</v>
      </c>
    </row>
    <row r="186" spans="1:6" x14ac:dyDescent="0.2">
      <c r="A186">
        <v>170</v>
      </c>
      <c r="B186" t="s">
        <v>247</v>
      </c>
      <c r="C186" s="1">
        <v>45358</v>
      </c>
      <c r="D186" t="s">
        <v>247</v>
      </c>
      <c r="E186">
        <v>3331.78598803251</v>
      </c>
      <c r="F186">
        <v>3331.78598803251</v>
      </c>
    </row>
    <row r="187" spans="1:6" x14ac:dyDescent="0.2">
      <c r="A187">
        <v>170</v>
      </c>
      <c r="B187" t="s">
        <v>248</v>
      </c>
      <c r="C187" s="1">
        <v>45657</v>
      </c>
      <c r="D187" t="s">
        <v>248</v>
      </c>
      <c r="E187">
        <v>1805.27688590346</v>
      </c>
      <c r="F187">
        <v>1805.27688590346</v>
      </c>
    </row>
    <row r="188" spans="1:6" x14ac:dyDescent="0.2">
      <c r="A188">
        <v>171</v>
      </c>
      <c r="B188" t="s">
        <v>249</v>
      </c>
      <c r="C188" s="1">
        <v>45330</v>
      </c>
      <c r="D188" t="s">
        <v>249</v>
      </c>
      <c r="E188">
        <v>197.43973882539001</v>
      </c>
      <c r="F188">
        <v>197.43973882539001</v>
      </c>
    </row>
    <row r="189" spans="1:6" x14ac:dyDescent="0.2">
      <c r="A189">
        <v>172</v>
      </c>
      <c r="B189" t="s">
        <v>250</v>
      </c>
      <c r="C189" s="1">
        <v>45635</v>
      </c>
      <c r="D189" t="s">
        <v>250</v>
      </c>
      <c r="E189">
        <v>35932.923349131197</v>
      </c>
      <c r="F189">
        <v>35932.923349131197</v>
      </c>
    </row>
    <row r="190" spans="1:6" x14ac:dyDescent="0.2">
      <c r="A190">
        <v>172</v>
      </c>
      <c r="B190" t="s">
        <v>251</v>
      </c>
      <c r="C190" s="1">
        <v>45459</v>
      </c>
      <c r="D190" t="s">
        <v>251</v>
      </c>
      <c r="E190">
        <v>341966.33027257898</v>
      </c>
      <c r="F190">
        <v>341966.33027257898</v>
      </c>
    </row>
    <row r="191" spans="1:6" x14ac:dyDescent="0.2">
      <c r="A191">
        <v>174</v>
      </c>
      <c r="B191" t="s">
        <v>252</v>
      </c>
      <c r="C191" s="1">
        <v>45320</v>
      </c>
      <c r="D191" t="s">
        <v>252</v>
      </c>
      <c r="E191">
        <v>170519.39878151301</v>
      </c>
      <c r="F191">
        <v>170519.39878151301</v>
      </c>
    </row>
    <row r="192" spans="1:6" x14ac:dyDescent="0.2">
      <c r="A192">
        <v>175</v>
      </c>
      <c r="B192" t="s">
        <v>253</v>
      </c>
      <c r="C192" s="1">
        <v>45444</v>
      </c>
      <c r="D192" t="s">
        <v>253</v>
      </c>
      <c r="E192">
        <v>3186.53439898241</v>
      </c>
      <c r="F192">
        <v>3186.53439898241</v>
      </c>
    </row>
    <row r="193" spans="1:6" x14ac:dyDescent="0.2">
      <c r="A193">
        <v>176</v>
      </c>
      <c r="B193" t="s">
        <v>254</v>
      </c>
      <c r="C193" s="1">
        <v>45335</v>
      </c>
      <c r="D193" t="s">
        <v>254</v>
      </c>
      <c r="E193">
        <v>3427467.74327522</v>
      </c>
      <c r="F193">
        <v>1000000</v>
      </c>
    </row>
    <row r="194" spans="1:6" x14ac:dyDescent="0.2">
      <c r="A194">
        <v>177</v>
      </c>
      <c r="B194" t="s">
        <v>255</v>
      </c>
      <c r="C194" s="1">
        <v>45330</v>
      </c>
      <c r="D194" t="s">
        <v>255</v>
      </c>
      <c r="E194">
        <v>58858.654269878301</v>
      </c>
      <c r="F194">
        <v>58858.654269878301</v>
      </c>
    </row>
    <row r="195" spans="1:6" x14ac:dyDescent="0.2">
      <c r="A195">
        <v>178</v>
      </c>
      <c r="B195" t="s">
        <v>256</v>
      </c>
      <c r="C195" s="1">
        <v>45612</v>
      </c>
      <c r="D195" t="s">
        <v>256</v>
      </c>
      <c r="E195">
        <v>46778.484934467699</v>
      </c>
      <c r="F195">
        <v>46778.484934467699</v>
      </c>
    </row>
    <row r="196" spans="1:6" x14ac:dyDescent="0.2">
      <c r="A196">
        <v>180</v>
      </c>
      <c r="B196" t="s">
        <v>257</v>
      </c>
      <c r="C196" s="1">
        <v>45508</v>
      </c>
      <c r="D196" t="s">
        <v>257</v>
      </c>
      <c r="E196">
        <v>27350.778101997901</v>
      </c>
      <c r="F196">
        <v>27350.778101997901</v>
      </c>
    </row>
    <row r="197" spans="1:6" x14ac:dyDescent="0.2">
      <c r="A197">
        <v>182</v>
      </c>
      <c r="B197" t="s">
        <v>258</v>
      </c>
      <c r="C197" s="1">
        <v>45347</v>
      </c>
      <c r="D197" t="s">
        <v>258</v>
      </c>
      <c r="E197">
        <v>522345.06994418002</v>
      </c>
      <c r="F197">
        <v>522345.06994418002</v>
      </c>
    </row>
    <row r="198" spans="1:6" x14ac:dyDescent="0.2">
      <c r="A198">
        <v>183</v>
      </c>
      <c r="B198" t="s">
        <v>259</v>
      </c>
      <c r="C198" s="1">
        <v>45390</v>
      </c>
      <c r="D198" t="s">
        <v>259</v>
      </c>
      <c r="E198">
        <v>1906.8553802752899</v>
      </c>
      <c r="F198">
        <v>1906.8553802752899</v>
      </c>
    </row>
    <row r="199" spans="1:6" x14ac:dyDescent="0.2">
      <c r="A199">
        <v>184</v>
      </c>
      <c r="B199" t="s">
        <v>260</v>
      </c>
      <c r="C199" s="1">
        <v>45533</v>
      </c>
      <c r="D199" t="s">
        <v>260</v>
      </c>
      <c r="E199">
        <v>277.84508435932503</v>
      </c>
      <c r="F199">
        <v>277.84508435932503</v>
      </c>
    </row>
    <row r="200" spans="1:6" x14ac:dyDescent="0.2">
      <c r="A200">
        <v>184</v>
      </c>
      <c r="B200" t="s">
        <v>261</v>
      </c>
      <c r="C200" s="1">
        <v>45571</v>
      </c>
      <c r="D200" t="s">
        <v>261</v>
      </c>
      <c r="E200">
        <v>4076.9963985785498</v>
      </c>
      <c r="F200">
        <v>4076.9963985785498</v>
      </c>
    </row>
    <row r="201" spans="1:6" x14ac:dyDescent="0.2">
      <c r="A201">
        <v>185</v>
      </c>
      <c r="B201" t="s">
        <v>262</v>
      </c>
      <c r="C201" s="1">
        <v>45439</v>
      </c>
      <c r="D201" t="s">
        <v>262</v>
      </c>
      <c r="E201">
        <v>10446.634931020501</v>
      </c>
      <c r="F201">
        <v>10446.634931020501</v>
      </c>
    </row>
    <row r="202" spans="1:6" x14ac:dyDescent="0.2">
      <c r="A202">
        <v>186</v>
      </c>
      <c r="B202" t="s">
        <v>263</v>
      </c>
      <c r="C202" s="1">
        <v>45377</v>
      </c>
      <c r="D202" t="s">
        <v>263</v>
      </c>
      <c r="E202">
        <v>2099.4960798941202</v>
      </c>
      <c r="F202">
        <v>2099.4960798941202</v>
      </c>
    </row>
    <row r="203" spans="1:6" x14ac:dyDescent="0.2">
      <c r="A203">
        <v>187</v>
      </c>
      <c r="B203" t="s">
        <v>264</v>
      </c>
      <c r="C203" s="1">
        <v>45476</v>
      </c>
      <c r="D203" t="s">
        <v>264</v>
      </c>
      <c r="E203">
        <v>10082.4748991664</v>
      </c>
      <c r="F203">
        <v>10082.4748991664</v>
      </c>
    </row>
    <row r="204" spans="1:6" x14ac:dyDescent="0.2">
      <c r="A204">
        <v>187</v>
      </c>
      <c r="B204" t="s">
        <v>265</v>
      </c>
      <c r="C204" s="1">
        <v>45435</v>
      </c>
      <c r="D204" t="s">
        <v>265</v>
      </c>
      <c r="E204">
        <v>61978.932445479099</v>
      </c>
      <c r="F204">
        <v>61978.932445479099</v>
      </c>
    </row>
    <row r="205" spans="1:6" x14ac:dyDescent="0.2">
      <c r="A205">
        <v>188</v>
      </c>
      <c r="B205" t="s">
        <v>266</v>
      </c>
      <c r="C205" s="1">
        <v>45646</v>
      </c>
      <c r="D205" t="s">
        <v>266</v>
      </c>
      <c r="E205">
        <v>9343.7572848832406</v>
      </c>
      <c r="F205">
        <v>9343.7572848832406</v>
      </c>
    </row>
    <row r="206" spans="1:6" x14ac:dyDescent="0.2">
      <c r="A206">
        <v>191</v>
      </c>
      <c r="B206" t="s">
        <v>267</v>
      </c>
      <c r="C206" s="1">
        <v>45327</v>
      </c>
      <c r="D206" t="s">
        <v>267</v>
      </c>
      <c r="E206">
        <v>45055.568971049201</v>
      </c>
      <c r="F206">
        <v>45055.568971049201</v>
      </c>
    </row>
    <row r="207" spans="1:6" x14ac:dyDescent="0.2">
      <c r="A207">
        <v>191</v>
      </c>
      <c r="B207" t="s">
        <v>268</v>
      </c>
      <c r="C207" s="1">
        <v>45466</v>
      </c>
      <c r="D207" t="s">
        <v>268</v>
      </c>
      <c r="E207">
        <v>33373.103803094898</v>
      </c>
      <c r="F207">
        <v>33373.103803094898</v>
      </c>
    </row>
    <row r="208" spans="1:6" x14ac:dyDescent="0.2">
      <c r="A208">
        <v>192</v>
      </c>
      <c r="B208" t="s">
        <v>269</v>
      </c>
      <c r="C208" s="1">
        <v>45319</v>
      </c>
      <c r="D208" t="s">
        <v>269</v>
      </c>
      <c r="E208">
        <v>1674.0695959948</v>
      </c>
      <c r="F208">
        <v>1674.0695959948</v>
      </c>
    </row>
    <row r="209" spans="1:6" x14ac:dyDescent="0.2">
      <c r="A209">
        <v>194</v>
      </c>
      <c r="B209" t="s">
        <v>270</v>
      </c>
      <c r="C209" s="1">
        <v>45591</v>
      </c>
      <c r="D209" t="s">
        <v>270</v>
      </c>
      <c r="E209">
        <v>5837029.5378837604</v>
      </c>
      <c r="F209">
        <v>1000000</v>
      </c>
    </row>
    <row r="210" spans="1:6" x14ac:dyDescent="0.2">
      <c r="A210">
        <v>196</v>
      </c>
      <c r="B210" t="s">
        <v>271</v>
      </c>
      <c r="C210" s="1">
        <v>45444</v>
      </c>
      <c r="D210" t="s">
        <v>271</v>
      </c>
      <c r="E210">
        <v>20291.5353605686</v>
      </c>
      <c r="F210">
        <v>20291.5353605686</v>
      </c>
    </row>
    <row r="211" spans="1:6" x14ac:dyDescent="0.2">
      <c r="A211">
        <v>197</v>
      </c>
      <c r="B211" t="s">
        <v>272</v>
      </c>
      <c r="C211" s="1">
        <v>45384</v>
      </c>
      <c r="D211" t="s">
        <v>272</v>
      </c>
      <c r="E211">
        <v>20609965.169847999</v>
      </c>
      <c r="F211">
        <v>1000000</v>
      </c>
    </row>
    <row r="212" spans="1:6" x14ac:dyDescent="0.2">
      <c r="A212">
        <v>198</v>
      </c>
      <c r="B212" t="s">
        <v>273</v>
      </c>
      <c r="C212" s="1">
        <v>45454</v>
      </c>
      <c r="D212" t="s">
        <v>273</v>
      </c>
      <c r="E212">
        <v>235898.29356901001</v>
      </c>
      <c r="F212">
        <v>235898.29356901001</v>
      </c>
    </row>
    <row r="213" spans="1:6" x14ac:dyDescent="0.2">
      <c r="A213">
        <v>199</v>
      </c>
      <c r="B213" t="s">
        <v>274</v>
      </c>
      <c r="C213" s="1">
        <v>45368</v>
      </c>
      <c r="D213" t="s">
        <v>274</v>
      </c>
      <c r="E213">
        <v>211847214.751039</v>
      </c>
      <c r="F213">
        <v>1000000</v>
      </c>
    </row>
    <row r="214" spans="1:6" x14ac:dyDescent="0.2">
      <c r="A214">
        <v>199</v>
      </c>
      <c r="B214" t="s">
        <v>275</v>
      </c>
      <c r="C214" s="1">
        <v>45639</v>
      </c>
      <c r="D214" t="s">
        <v>275</v>
      </c>
      <c r="E214">
        <v>23370.456318540899</v>
      </c>
      <c r="F214">
        <v>23370.456318540899</v>
      </c>
    </row>
    <row r="215" spans="1:6" x14ac:dyDescent="0.2">
      <c r="A215">
        <v>200</v>
      </c>
      <c r="B215" t="s">
        <v>276</v>
      </c>
      <c r="C215" s="1">
        <v>45417</v>
      </c>
      <c r="D215" t="s">
        <v>276</v>
      </c>
      <c r="E215">
        <v>1724.7141316504001</v>
      </c>
      <c r="F215">
        <v>1724.7141316504001</v>
      </c>
    </row>
    <row r="216" spans="1:6" x14ac:dyDescent="0.2">
      <c r="A216">
        <v>201</v>
      </c>
      <c r="B216" t="s">
        <v>277</v>
      </c>
      <c r="C216" s="1">
        <v>45378</v>
      </c>
      <c r="D216" t="s">
        <v>277</v>
      </c>
      <c r="E216">
        <v>26001.248580273099</v>
      </c>
      <c r="F216">
        <v>26001.248580273099</v>
      </c>
    </row>
    <row r="217" spans="1:6" x14ac:dyDescent="0.2">
      <c r="A217">
        <v>201</v>
      </c>
      <c r="B217" t="s">
        <v>278</v>
      </c>
      <c r="C217" s="1">
        <v>45385</v>
      </c>
      <c r="D217" t="s">
        <v>278</v>
      </c>
      <c r="E217">
        <v>819286.68377125496</v>
      </c>
      <c r="F217">
        <v>819286.68377125496</v>
      </c>
    </row>
    <row r="218" spans="1:6" x14ac:dyDescent="0.2">
      <c r="A218">
        <v>203</v>
      </c>
      <c r="B218" t="s">
        <v>279</v>
      </c>
      <c r="C218" s="1">
        <v>45595</v>
      </c>
      <c r="D218" t="s">
        <v>279</v>
      </c>
      <c r="E218">
        <v>2308.5637730650601</v>
      </c>
      <c r="F218">
        <v>2308.5637730650601</v>
      </c>
    </row>
    <row r="219" spans="1:6" x14ac:dyDescent="0.2">
      <c r="A219">
        <v>204</v>
      </c>
      <c r="B219" t="s">
        <v>280</v>
      </c>
      <c r="C219" s="1">
        <v>45473</v>
      </c>
      <c r="D219" t="s">
        <v>280</v>
      </c>
      <c r="E219">
        <v>3750.6504849406501</v>
      </c>
      <c r="F219">
        <v>3750.6504849406501</v>
      </c>
    </row>
    <row r="220" spans="1:6" x14ac:dyDescent="0.2">
      <c r="A220">
        <v>205</v>
      </c>
      <c r="B220" t="s">
        <v>281</v>
      </c>
      <c r="C220" s="1">
        <v>45377</v>
      </c>
      <c r="D220" t="s">
        <v>281</v>
      </c>
      <c r="E220">
        <v>2903.1543310633301</v>
      </c>
      <c r="F220">
        <v>2903.1543310633301</v>
      </c>
    </row>
    <row r="221" spans="1:6" x14ac:dyDescent="0.2">
      <c r="A221">
        <v>207</v>
      </c>
      <c r="B221" t="s">
        <v>282</v>
      </c>
      <c r="C221" s="1">
        <v>45316</v>
      </c>
      <c r="D221" t="s">
        <v>282</v>
      </c>
      <c r="E221">
        <v>109719.59786247399</v>
      </c>
      <c r="F221">
        <v>109719.59786247399</v>
      </c>
    </row>
    <row r="222" spans="1:6" x14ac:dyDescent="0.2">
      <c r="A222">
        <v>208</v>
      </c>
      <c r="B222" t="s">
        <v>283</v>
      </c>
      <c r="C222" s="1">
        <v>45318</v>
      </c>
      <c r="D222" t="s">
        <v>283</v>
      </c>
      <c r="E222">
        <v>5494.5840627197704</v>
      </c>
      <c r="F222">
        <v>5494.5840627197704</v>
      </c>
    </row>
    <row r="223" spans="1:6" x14ac:dyDescent="0.2">
      <c r="A223">
        <v>208</v>
      </c>
      <c r="B223" t="s">
        <v>284</v>
      </c>
      <c r="C223" s="1">
        <v>45492</v>
      </c>
      <c r="D223" t="s">
        <v>284</v>
      </c>
      <c r="E223">
        <v>14029.7000308109</v>
      </c>
      <c r="F223">
        <v>14029.7000308109</v>
      </c>
    </row>
    <row r="224" spans="1:6" x14ac:dyDescent="0.2">
      <c r="A224">
        <v>209</v>
      </c>
      <c r="B224" t="s">
        <v>285</v>
      </c>
      <c r="C224" s="1">
        <v>45634</v>
      </c>
      <c r="D224" t="s">
        <v>285</v>
      </c>
      <c r="E224">
        <v>1594.3693856054699</v>
      </c>
      <c r="F224">
        <v>1594.3693856054699</v>
      </c>
    </row>
    <row r="225" spans="1:6" x14ac:dyDescent="0.2">
      <c r="A225">
        <v>209</v>
      </c>
      <c r="B225" t="s">
        <v>286</v>
      </c>
      <c r="C225" s="1">
        <v>45367</v>
      </c>
      <c r="D225" t="s">
        <v>286</v>
      </c>
      <c r="E225">
        <v>370829.408386642</v>
      </c>
      <c r="F225">
        <v>370829.408386642</v>
      </c>
    </row>
    <row r="226" spans="1:6" x14ac:dyDescent="0.2">
      <c r="A226">
        <v>210</v>
      </c>
      <c r="B226" t="s">
        <v>287</v>
      </c>
      <c r="C226" s="1">
        <v>45618</v>
      </c>
      <c r="D226" t="s">
        <v>287</v>
      </c>
      <c r="E226">
        <v>906.423177977705</v>
      </c>
      <c r="F226">
        <v>906.423177977705</v>
      </c>
    </row>
    <row r="227" spans="1:6" x14ac:dyDescent="0.2">
      <c r="A227">
        <v>210</v>
      </c>
      <c r="B227" t="s">
        <v>288</v>
      </c>
      <c r="C227" s="1">
        <v>45657</v>
      </c>
      <c r="D227" t="s">
        <v>288</v>
      </c>
      <c r="E227">
        <v>342.35659085785801</v>
      </c>
      <c r="F227">
        <v>342.35659085785801</v>
      </c>
    </row>
    <row r="228" spans="1:6" x14ac:dyDescent="0.2">
      <c r="A228">
        <v>211</v>
      </c>
      <c r="B228" t="s">
        <v>289</v>
      </c>
      <c r="C228" s="1">
        <v>45492</v>
      </c>
      <c r="D228" t="s">
        <v>289</v>
      </c>
      <c r="E228">
        <v>84.207588193105195</v>
      </c>
      <c r="F228">
        <v>84.207588193105195</v>
      </c>
    </row>
    <row r="229" spans="1:6" x14ac:dyDescent="0.2">
      <c r="A229">
        <v>212</v>
      </c>
      <c r="B229" t="s">
        <v>290</v>
      </c>
      <c r="C229" s="1">
        <v>45460</v>
      </c>
      <c r="D229" t="s">
        <v>290</v>
      </c>
      <c r="E229">
        <v>55864.856047323199</v>
      </c>
      <c r="F229">
        <v>55864.856047323199</v>
      </c>
    </row>
    <row r="230" spans="1:6" x14ac:dyDescent="0.2">
      <c r="A230">
        <v>212</v>
      </c>
      <c r="B230" t="s">
        <v>291</v>
      </c>
      <c r="C230" s="1">
        <v>45330</v>
      </c>
      <c r="D230" t="s">
        <v>291</v>
      </c>
      <c r="E230">
        <v>379.36431354313498</v>
      </c>
      <c r="F230">
        <v>379.36431354313498</v>
      </c>
    </row>
    <row r="231" spans="1:6" x14ac:dyDescent="0.2">
      <c r="A231">
        <v>213</v>
      </c>
      <c r="B231" t="s">
        <v>292</v>
      </c>
      <c r="C231" s="1">
        <v>45394</v>
      </c>
      <c r="D231" t="s">
        <v>292</v>
      </c>
      <c r="E231">
        <v>36315.109093106999</v>
      </c>
      <c r="F231">
        <v>36315.109093106999</v>
      </c>
    </row>
    <row r="232" spans="1:6" x14ac:dyDescent="0.2">
      <c r="A232">
        <v>213</v>
      </c>
      <c r="B232" t="s">
        <v>293</v>
      </c>
      <c r="C232" s="1">
        <v>45371</v>
      </c>
      <c r="D232" t="s">
        <v>293</v>
      </c>
      <c r="E232">
        <v>33242.900763649901</v>
      </c>
      <c r="F232">
        <v>33242.900763649901</v>
      </c>
    </row>
    <row r="233" spans="1:6" x14ac:dyDescent="0.2">
      <c r="A233">
        <v>214</v>
      </c>
      <c r="B233" t="s">
        <v>294</v>
      </c>
      <c r="C233" s="1">
        <v>45293</v>
      </c>
      <c r="D233" t="s">
        <v>294</v>
      </c>
      <c r="E233">
        <v>49672.178680782803</v>
      </c>
      <c r="F233">
        <v>49672.178680782803</v>
      </c>
    </row>
    <row r="234" spans="1:6" x14ac:dyDescent="0.2">
      <c r="A234">
        <v>215</v>
      </c>
      <c r="B234" t="s">
        <v>295</v>
      </c>
      <c r="C234" s="1">
        <v>45506</v>
      </c>
      <c r="D234" t="s">
        <v>295</v>
      </c>
      <c r="E234">
        <v>3695.22247205244</v>
      </c>
      <c r="F234">
        <v>3695.22247205244</v>
      </c>
    </row>
    <row r="235" spans="1:6" x14ac:dyDescent="0.2">
      <c r="A235">
        <v>215</v>
      </c>
      <c r="B235" t="s">
        <v>296</v>
      </c>
      <c r="C235" s="1">
        <v>45477</v>
      </c>
      <c r="D235" t="s">
        <v>296</v>
      </c>
      <c r="E235">
        <v>31937.1704909283</v>
      </c>
      <c r="F235">
        <v>31937.1704909283</v>
      </c>
    </row>
    <row r="236" spans="1:6" x14ac:dyDescent="0.2">
      <c r="A236">
        <v>216</v>
      </c>
      <c r="B236" t="s">
        <v>297</v>
      </c>
      <c r="C236" s="1">
        <v>45508</v>
      </c>
      <c r="D236" t="s">
        <v>297</v>
      </c>
      <c r="E236">
        <v>1821.7728839486199</v>
      </c>
      <c r="F236">
        <v>1821.7728839486199</v>
      </c>
    </row>
    <row r="237" spans="1:6" x14ac:dyDescent="0.2">
      <c r="A237">
        <v>217</v>
      </c>
      <c r="B237" t="s">
        <v>298</v>
      </c>
      <c r="C237" s="1">
        <v>45486</v>
      </c>
      <c r="D237" t="s">
        <v>298</v>
      </c>
      <c r="E237">
        <v>4700.4702286050697</v>
      </c>
      <c r="F237">
        <v>4700.4702286050697</v>
      </c>
    </row>
    <row r="238" spans="1:6" x14ac:dyDescent="0.2">
      <c r="A238">
        <v>218</v>
      </c>
      <c r="B238" t="s">
        <v>299</v>
      </c>
      <c r="C238" s="1">
        <v>45406</v>
      </c>
      <c r="D238" t="s">
        <v>299</v>
      </c>
      <c r="E238">
        <v>37118.073300252101</v>
      </c>
      <c r="F238">
        <v>37118.073300252101</v>
      </c>
    </row>
    <row r="239" spans="1:6" x14ac:dyDescent="0.2">
      <c r="A239">
        <v>221</v>
      </c>
      <c r="B239" t="s">
        <v>300</v>
      </c>
      <c r="C239" s="1">
        <v>45495</v>
      </c>
      <c r="D239" t="s">
        <v>300</v>
      </c>
      <c r="E239">
        <v>30380.9553110421</v>
      </c>
      <c r="F239">
        <v>30380.9553110421</v>
      </c>
    </row>
    <row r="240" spans="1:6" x14ac:dyDescent="0.2">
      <c r="A240">
        <v>221</v>
      </c>
      <c r="B240" t="s">
        <v>301</v>
      </c>
      <c r="C240" s="1">
        <v>45533</v>
      </c>
      <c r="D240" t="s">
        <v>301</v>
      </c>
      <c r="E240">
        <v>136808.44780218299</v>
      </c>
      <c r="F240">
        <v>136808.44780218299</v>
      </c>
    </row>
    <row r="241" spans="1:6" x14ac:dyDescent="0.2">
      <c r="A241">
        <v>223</v>
      </c>
      <c r="B241" t="s">
        <v>302</v>
      </c>
      <c r="C241" s="1">
        <v>45335</v>
      </c>
      <c r="D241" t="s">
        <v>302</v>
      </c>
      <c r="E241">
        <v>93141.656331663195</v>
      </c>
      <c r="F241">
        <v>93141.656331663195</v>
      </c>
    </row>
    <row r="242" spans="1:6" x14ac:dyDescent="0.2">
      <c r="A242">
        <v>224</v>
      </c>
      <c r="B242" t="s">
        <v>303</v>
      </c>
      <c r="C242" s="1">
        <v>45455</v>
      </c>
      <c r="D242" t="s">
        <v>303</v>
      </c>
      <c r="E242">
        <v>7882.8337197694</v>
      </c>
      <c r="F242">
        <v>7882.8337197694</v>
      </c>
    </row>
    <row r="243" spans="1:6" x14ac:dyDescent="0.2">
      <c r="A243">
        <v>225</v>
      </c>
      <c r="B243" t="s">
        <v>304</v>
      </c>
      <c r="C243" s="1">
        <v>45368</v>
      </c>
      <c r="D243" t="s">
        <v>304</v>
      </c>
      <c r="E243">
        <v>110796.016037423</v>
      </c>
      <c r="F243">
        <v>110796.016037423</v>
      </c>
    </row>
    <row r="244" spans="1:6" x14ac:dyDescent="0.2">
      <c r="A244">
        <v>225</v>
      </c>
      <c r="B244" t="s">
        <v>305</v>
      </c>
      <c r="C244" s="1">
        <v>45465</v>
      </c>
      <c r="D244" t="s">
        <v>305</v>
      </c>
      <c r="E244">
        <v>221273.967566395</v>
      </c>
      <c r="F244">
        <v>221273.967566395</v>
      </c>
    </row>
    <row r="245" spans="1:6" x14ac:dyDescent="0.2">
      <c r="A245">
        <v>226</v>
      </c>
      <c r="B245" t="s">
        <v>306</v>
      </c>
      <c r="C245" s="1">
        <v>45437</v>
      </c>
      <c r="D245" t="s">
        <v>306</v>
      </c>
      <c r="E245">
        <v>293885.43763525598</v>
      </c>
      <c r="F245">
        <v>293885.43763525598</v>
      </c>
    </row>
    <row r="246" spans="1:6" x14ac:dyDescent="0.2">
      <c r="A246">
        <v>227</v>
      </c>
      <c r="B246" t="s">
        <v>307</v>
      </c>
      <c r="C246" s="1">
        <v>45394</v>
      </c>
      <c r="D246" t="s">
        <v>307</v>
      </c>
      <c r="E246">
        <v>7342.1571404338601</v>
      </c>
      <c r="F246">
        <v>7342.1571404338601</v>
      </c>
    </row>
    <row r="247" spans="1:6" x14ac:dyDescent="0.2">
      <c r="A247">
        <v>228</v>
      </c>
      <c r="B247" t="s">
        <v>308</v>
      </c>
      <c r="C247" s="1">
        <v>45583</v>
      </c>
      <c r="D247" t="s">
        <v>308</v>
      </c>
      <c r="E247">
        <v>20227.8335961132</v>
      </c>
      <c r="F247">
        <v>20227.8335961132</v>
      </c>
    </row>
    <row r="248" spans="1:6" x14ac:dyDescent="0.2">
      <c r="A248">
        <v>229</v>
      </c>
      <c r="B248" t="s">
        <v>309</v>
      </c>
      <c r="C248" s="1">
        <v>45294</v>
      </c>
      <c r="D248" t="s">
        <v>309</v>
      </c>
      <c r="E248">
        <v>65329.446351703104</v>
      </c>
      <c r="F248">
        <v>65329.446351703104</v>
      </c>
    </row>
    <row r="249" spans="1:6" x14ac:dyDescent="0.2">
      <c r="A249">
        <v>231</v>
      </c>
      <c r="B249" t="s">
        <v>310</v>
      </c>
      <c r="C249" s="1">
        <v>45342</v>
      </c>
      <c r="D249" t="s">
        <v>310</v>
      </c>
      <c r="E249">
        <v>40810.048847561702</v>
      </c>
      <c r="F249">
        <v>40810.048847561702</v>
      </c>
    </row>
    <row r="250" spans="1:6" x14ac:dyDescent="0.2">
      <c r="A250">
        <v>232</v>
      </c>
      <c r="B250" t="s">
        <v>311</v>
      </c>
      <c r="C250" s="1">
        <v>45302</v>
      </c>
      <c r="D250" t="s">
        <v>311</v>
      </c>
      <c r="E250">
        <v>1263.7964931439101</v>
      </c>
      <c r="F250">
        <v>1263.7964931439101</v>
      </c>
    </row>
    <row r="251" spans="1:6" x14ac:dyDescent="0.2">
      <c r="A251">
        <v>233</v>
      </c>
      <c r="B251" t="s">
        <v>312</v>
      </c>
      <c r="C251" s="1">
        <v>45514</v>
      </c>
      <c r="D251" t="s">
        <v>312</v>
      </c>
      <c r="E251">
        <v>28615.8379449844</v>
      </c>
      <c r="F251">
        <v>28615.8379449844</v>
      </c>
    </row>
    <row r="252" spans="1:6" x14ac:dyDescent="0.2">
      <c r="A252">
        <v>234</v>
      </c>
      <c r="B252" t="s">
        <v>313</v>
      </c>
      <c r="C252" s="1">
        <v>45424</v>
      </c>
      <c r="D252" t="s">
        <v>313</v>
      </c>
      <c r="E252">
        <v>9115.3402822348908</v>
      </c>
      <c r="F252">
        <v>9115.3402822348908</v>
      </c>
    </row>
    <row r="253" spans="1:6" x14ac:dyDescent="0.2">
      <c r="A253">
        <v>234</v>
      </c>
      <c r="B253" t="s">
        <v>314</v>
      </c>
      <c r="C253" s="1">
        <v>45406</v>
      </c>
      <c r="D253" t="s">
        <v>314</v>
      </c>
      <c r="E253">
        <v>72658.570110742105</v>
      </c>
      <c r="F253">
        <v>72658.570110742105</v>
      </c>
    </row>
    <row r="254" spans="1:6" x14ac:dyDescent="0.2">
      <c r="A254">
        <v>235</v>
      </c>
      <c r="B254" t="s">
        <v>315</v>
      </c>
      <c r="C254" s="1">
        <v>45382</v>
      </c>
      <c r="D254" t="s">
        <v>315</v>
      </c>
      <c r="E254">
        <v>28963.802812484701</v>
      </c>
      <c r="F254">
        <v>28963.802812484701</v>
      </c>
    </row>
    <row r="255" spans="1:6" x14ac:dyDescent="0.2">
      <c r="A255">
        <v>235</v>
      </c>
      <c r="B255" t="s">
        <v>316</v>
      </c>
      <c r="C255" s="1">
        <v>45380</v>
      </c>
      <c r="D255" t="s">
        <v>316</v>
      </c>
      <c r="E255">
        <v>61.244693157466401</v>
      </c>
      <c r="F255">
        <v>61.244693157466401</v>
      </c>
    </row>
    <row r="256" spans="1:6" x14ac:dyDescent="0.2">
      <c r="A256">
        <v>236</v>
      </c>
      <c r="B256" t="s">
        <v>317</v>
      </c>
      <c r="C256" s="1">
        <v>45582</v>
      </c>
      <c r="D256" t="s">
        <v>317</v>
      </c>
      <c r="E256">
        <v>323113.07317427098</v>
      </c>
      <c r="F256">
        <v>323113.07317427098</v>
      </c>
    </row>
    <row r="257" spans="1:6" x14ac:dyDescent="0.2">
      <c r="A257">
        <v>237</v>
      </c>
      <c r="B257" t="s">
        <v>318</v>
      </c>
      <c r="C257" s="1">
        <v>45421</v>
      </c>
      <c r="D257" t="s">
        <v>318</v>
      </c>
      <c r="E257">
        <v>69349.5840327443</v>
      </c>
      <c r="F257">
        <v>69349.5840327443</v>
      </c>
    </row>
    <row r="258" spans="1:6" x14ac:dyDescent="0.2">
      <c r="A258">
        <v>237</v>
      </c>
      <c r="B258" t="s">
        <v>319</v>
      </c>
      <c r="C258" s="1">
        <v>45499</v>
      </c>
      <c r="D258" t="s">
        <v>319</v>
      </c>
      <c r="E258">
        <v>419298.77330151602</v>
      </c>
      <c r="F258">
        <v>419298.77330151602</v>
      </c>
    </row>
    <row r="259" spans="1:6" x14ac:dyDescent="0.2">
      <c r="A259">
        <v>239</v>
      </c>
      <c r="B259" t="s">
        <v>320</v>
      </c>
      <c r="C259" s="1">
        <v>45568</v>
      </c>
      <c r="D259" t="s">
        <v>320</v>
      </c>
      <c r="E259">
        <v>42128.062630835302</v>
      </c>
      <c r="F259">
        <v>42128.062630835302</v>
      </c>
    </row>
    <row r="260" spans="1:6" x14ac:dyDescent="0.2">
      <c r="A260">
        <v>239</v>
      </c>
      <c r="B260" t="s">
        <v>321</v>
      </c>
      <c r="C260" s="1">
        <v>45566</v>
      </c>
      <c r="D260" t="s">
        <v>321</v>
      </c>
      <c r="E260">
        <v>1398.4713951792501</v>
      </c>
      <c r="F260">
        <v>1398.4713951792501</v>
      </c>
    </row>
    <row r="261" spans="1:6" x14ac:dyDescent="0.2">
      <c r="A261">
        <v>241</v>
      </c>
      <c r="B261" t="s">
        <v>322</v>
      </c>
      <c r="C261" s="1">
        <v>45502</v>
      </c>
      <c r="D261" t="s">
        <v>322</v>
      </c>
      <c r="E261">
        <v>93981.440617116503</v>
      </c>
      <c r="F261">
        <v>93981.440617116503</v>
      </c>
    </row>
    <row r="262" spans="1:6" x14ac:dyDescent="0.2">
      <c r="A262">
        <v>242</v>
      </c>
      <c r="B262" t="s">
        <v>323</v>
      </c>
      <c r="C262" s="1">
        <v>45499</v>
      </c>
      <c r="D262" t="s">
        <v>323</v>
      </c>
      <c r="E262">
        <v>51872.458919044402</v>
      </c>
      <c r="F262">
        <v>51872.458919044402</v>
      </c>
    </row>
    <row r="263" spans="1:6" x14ac:dyDescent="0.2">
      <c r="A263">
        <v>243</v>
      </c>
      <c r="B263" t="s">
        <v>324</v>
      </c>
      <c r="C263" s="1">
        <v>45562</v>
      </c>
      <c r="D263" t="s">
        <v>324</v>
      </c>
      <c r="E263">
        <v>775730.48985671101</v>
      </c>
      <c r="F263">
        <v>775730.48985671101</v>
      </c>
    </row>
    <row r="264" spans="1:6" x14ac:dyDescent="0.2">
      <c r="A264">
        <v>243</v>
      </c>
      <c r="B264" t="s">
        <v>325</v>
      </c>
      <c r="C264" s="1">
        <v>45445</v>
      </c>
      <c r="D264" t="s">
        <v>325</v>
      </c>
      <c r="E264">
        <v>786072.10632528597</v>
      </c>
      <c r="F264">
        <v>786072.10632528597</v>
      </c>
    </row>
    <row r="265" spans="1:6" x14ac:dyDescent="0.2">
      <c r="A265">
        <v>244</v>
      </c>
      <c r="B265" t="s">
        <v>326</v>
      </c>
      <c r="C265" s="1">
        <v>45346</v>
      </c>
      <c r="D265" t="s">
        <v>326</v>
      </c>
      <c r="E265">
        <v>212.01782876567799</v>
      </c>
      <c r="F265">
        <v>212.01782876567799</v>
      </c>
    </row>
    <row r="266" spans="1:6" x14ac:dyDescent="0.2">
      <c r="A266">
        <v>245</v>
      </c>
      <c r="B266" t="s">
        <v>327</v>
      </c>
      <c r="C266" s="1">
        <v>45443</v>
      </c>
      <c r="D266" t="s">
        <v>327</v>
      </c>
      <c r="E266">
        <v>88255.815556129804</v>
      </c>
      <c r="F266">
        <v>88255.815556129804</v>
      </c>
    </row>
    <row r="267" spans="1:6" x14ac:dyDescent="0.2">
      <c r="A267">
        <v>246</v>
      </c>
      <c r="B267" t="s">
        <v>328</v>
      </c>
      <c r="C267" s="1">
        <v>45624</v>
      </c>
      <c r="D267" t="s">
        <v>328</v>
      </c>
      <c r="E267">
        <v>16442.8539205259</v>
      </c>
      <c r="F267">
        <v>16442.8539205259</v>
      </c>
    </row>
    <row r="268" spans="1:6" x14ac:dyDescent="0.2">
      <c r="A268">
        <v>247</v>
      </c>
      <c r="B268" t="s">
        <v>329</v>
      </c>
      <c r="C268" s="1">
        <v>45560</v>
      </c>
      <c r="D268" t="s">
        <v>329</v>
      </c>
      <c r="E268">
        <v>173.79590137704099</v>
      </c>
      <c r="F268">
        <v>173.79590137704099</v>
      </c>
    </row>
    <row r="269" spans="1:6" x14ac:dyDescent="0.2">
      <c r="A269">
        <v>250</v>
      </c>
      <c r="B269" t="s">
        <v>330</v>
      </c>
      <c r="C269" s="1">
        <v>45418</v>
      </c>
      <c r="D269" t="s">
        <v>330</v>
      </c>
      <c r="E269">
        <v>216.73443107490201</v>
      </c>
      <c r="F269">
        <v>216.73443107490201</v>
      </c>
    </row>
    <row r="270" spans="1:6" x14ac:dyDescent="0.2">
      <c r="A270">
        <v>251</v>
      </c>
      <c r="B270" t="s">
        <v>331</v>
      </c>
      <c r="C270" s="1">
        <v>45460</v>
      </c>
      <c r="D270" t="s">
        <v>331</v>
      </c>
      <c r="E270">
        <v>180129.91352993</v>
      </c>
      <c r="F270">
        <v>180129.91352993</v>
      </c>
    </row>
    <row r="271" spans="1:6" x14ac:dyDescent="0.2">
      <c r="A271">
        <v>251</v>
      </c>
      <c r="B271" t="s">
        <v>332</v>
      </c>
      <c r="C271" s="1">
        <v>45531</v>
      </c>
      <c r="D271" t="s">
        <v>332</v>
      </c>
      <c r="E271">
        <v>2896973.2272007298</v>
      </c>
      <c r="F271">
        <v>1000000</v>
      </c>
    </row>
    <row r="272" spans="1:6" x14ac:dyDescent="0.2">
      <c r="A272">
        <v>252</v>
      </c>
      <c r="B272" t="s">
        <v>333</v>
      </c>
      <c r="C272" s="1">
        <v>45529</v>
      </c>
      <c r="D272" t="s">
        <v>333</v>
      </c>
      <c r="E272">
        <v>1553554.19962887</v>
      </c>
      <c r="F272">
        <v>1000000</v>
      </c>
    </row>
    <row r="273" spans="1:9" x14ac:dyDescent="0.2">
      <c r="A273">
        <v>252</v>
      </c>
      <c r="B273" t="s">
        <v>334</v>
      </c>
      <c r="C273" s="1">
        <v>45527</v>
      </c>
      <c r="D273" t="s">
        <v>334</v>
      </c>
      <c r="E273">
        <v>1128.35911026082</v>
      </c>
      <c r="F273">
        <v>1128.35911026082</v>
      </c>
    </row>
    <row r="274" spans="1:9" x14ac:dyDescent="0.2">
      <c r="A274">
        <v>253</v>
      </c>
      <c r="B274" t="s">
        <v>335</v>
      </c>
      <c r="C274" s="1">
        <v>45315</v>
      </c>
      <c r="D274" t="s">
        <v>335</v>
      </c>
      <c r="E274">
        <v>5082.31073961928</v>
      </c>
      <c r="F274">
        <v>5082.31073961928</v>
      </c>
    </row>
    <row r="275" spans="1:9" x14ac:dyDescent="0.2">
      <c r="A275">
        <v>254</v>
      </c>
      <c r="B275" t="s">
        <v>336</v>
      </c>
      <c r="C275" s="1">
        <v>45407</v>
      </c>
      <c r="D275" t="s">
        <v>336</v>
      </c>
      <c r="E275">
        <v>531408.20885288005</v>
      </c>
      <c r="F275">
        <v>531408.20885288005</v>
      </c>
      <c r="I275" s="2"/>
    </row>
    <row r="276" spans="1:9" x14ac:dyDescent="0.2">
      <c r="A276">
        <v>254</v>
      </c>
      <c r="B276" t="s">
        <v>337</v>
      </c>
      <c r="C276" s="1">
        <v>45587</v>
      </c>
      <c r="D276" t="s">
        <v>337</v>
      </c>
      <c r="E276">
        <v>11631.301685549801</v>
      </c>
      <c r="F276">
        <v>11631.301685549801</v>
      </c>
    </row>
    <row r="277" spans="1:9" x14ac:dyDescent="0.2">
      <c r="A277">
        <v>255</v>
      </c>
      <c r="B277" t="s">
        <v>338</v>
      </c>
      <c r="C277" s="1">
        <v>45458</v>
      </c>
      <c r="D277" t="s">
        <v>338</v>
      </c>
      <c r="E277">
        <v>13791061.7260908</v>
      </c>
      <c r="F277">
        <v>1000000</v>
      </c>
    </row>
    <row r="278" spans="1:9" x14ac:dyDescent="0.2">
      <c r="A278">
        <v>256</v>
      </c>
      <c r="B278" t="s">
        <v>339</v>
      </c>
      <c r="C278" s="1">
        <v>45530</v>
      </c>
      <c r="D278" t="s">
        <v>339</v>
      </c>
      <c r="E278">
        <v>4581.8291168594697</v>
      </c>
      <c r="F278">
        <v>4581.8291168594697</v>
      </c>
    </row>
    <row r="279" spans="1:9" x14ac:dyDescent="0.2">
      <c r="A279">
        <v>257</v>
      </c>
      <c r="B279" t="s">
        <v>340</v>
      </c>
      <c r="C279" s="1">
        <v>45317</v>
      </c>
      <c r="D279" t="s">
        <v>340</v>
      </c>
      <c r="E279">
        <v>9301.9338694695307</v>
      </c>
      <c r="F279">
        <v>9301.9338694695307</v>
      </c>
    </row>
    <row r="280" spans="1:9" x14ac:dyDescent="0.2">
      <c r="A280">
        <v>257</v>
      </c>
      <c r="B280" t="s">
        <v>341</v>
      </c>
      <c r="C280" s="1">
        <v>45337</v>
      </c>
      <c r="D280" t="s">
        <v>341</v>
      </c>
      <c r="E280">
        <v>67489.297079232099</v>
      </c>
      <c r="F280">
        <v>67489.297079232099</v>
      </c>
    </row>
    <row r="281" spans="1:9" x14ac:dyDescent="0.2">
      <c r="A281">
        <v>258</v>
      </c>
      <c r="B281" t="s">
        <v>342</v>
      </c>
      <c r="C281" s="1">
        <v>45482</v>
      </c>
      <c r="D281" t="s">
        <v>342</v>
      </c>
      <c r="E281">
        <v>967.75612362615402</v>
      </c>
      <c r="F281">
        <v>967.75612362615402</v>
      </c>
    </row>
    <row r="282" spans="1:9" x14ac:dyDescent="0.2">
      <c r="A282">
        <v>259</v>
      </c>
      <c r="B282" t="s">
        <v>343</v>
      </c>
      <c r="C282" s="1">
        <v>45547</v>
      </c>
      <c r="D282" t="s">
        <v>343</v>
      </c>
      <c r="E282">
        <v>21756.324588445401</v>
      </c>
      <c r="F282">
        <v>21756.324588445401</v>
      </c>
    </row>
    <row r="283" spans="1:9" x14ac:dyDescent="0.2">
      <c r="A283">
        <v>263</v>
      </c>
      <c r="B283" t="s">
        <v>344</v>
      </c>
      <c r="C283" s="1">
        <v>45336</v>
      </c>
      <c r="D283" t="s">
        <v>344</v>
      </c>
      <c r="E283">
        <v>224.09462741298299</v>
      </c>
      <c r="F283">
        <v>224.09462741298299</v>
      </c>
    </row>
    <row r="284" spans="1:9" x14ac:dyDescent="0.2">
      <c r="A284">
        <v>265</v>
      </c>
      <c r="B284" t="s">
        <v>345</v>
      </c>
      <c r="C284" s="1">
        <v>45387</v>
      </c>
      <c r="D284" t="s">
        <v>345</v>
      </c>
      <c r="E284">
        <v>3511.3863014465201</v>
      </c>
      <c r="F284">
        <v>3511.3863014465201</v>
      </c>
    </row>
    <row r="285" spans="1:9" x14ac:dyDescent="0.2">
      <c r="A285">
        <v>266</v>
      </c>
      <c r="B285" t="s">
        <v>346</v>
      </c>
      <c r="C285" s="1">
        <v>45607</v>
      </c>
      <c r="D285" t="s">
        <v>346</v>
      </c>
      <c r="E285">
        <v>119563.414027127</v>
      </c>
      <c r="F285">
        <v>119563.414027127</v>
      </c>
    </row>
    <row r="286" spans="1:9" x14ac:dyDescent="0.2">
      <c r="A286">
        <v>267</v>
      </c>
      <c r="B286" t="s">
        <v>347</v>
      </c>
      <c r="C286" s="1">
        <v>45428</v>
      </c>
      <c r="D286" t="s">
        <v>347</v>
      </c>
      <c r="E286">
        <v>269655.99821576098</v>
      </c>
      <c r="F286">
        <v>269655.99821576098</v>
      </c>
    </row>
    <row r="287" spans="1:9" x14ac:dyDescent="0.2">
      <c r="A287">
        <v>268</v>
      </c>
      <c r="B287" t="s">
        <v>348</v>
      </c>
      <c r="C287" s="1">
        <v>45657</v>
      </c>
      <c r="D287" t="s">
        <v>348</v>
      </c>
      <c r="E287">
        <v>637.50487719315595</v>
      </c>
      <c r="F287">
        <v>637.50487719315595</v>
      </c>
    </row>
    <row r="288" spans="1:9" x14ac:dyDescent="0.2">
      <c r="A288">
        <v>269</v>
      </c>
      <c r="B288" t="s">
        <v>349</v>
      </c>
      <c r="C288" s="1">
        <v>45627</v>
      </c>
      <c r="D288" t="s">
        <v>349</v>
      </c>
      <c r="E288">
        <v>309754.84058933298</v>
      </c>
      <c r="F288">
        <v>309754.84058933298</v>
      </c>
    </row>
    <row r="289" spans="1:6" x14ac:dyDescent="0.2">
      <c r="A289">
        <v>269</v>
      </c>
      <c r="B289" t="s">
        <v>350</v>
      </c>
      <c r="C289" s="1">
        <v>45607</v>
      </c>
      <c r="D289" t="s">
        <v>350</v>
      </c>
      <c r="E289">
        <v>64.653826799134393</v>
      </c>
      <c r="F289">
        <v>64.653826799134393</v>
      </c>
    </row>
    <row r="290" spans="1:6" x14ac:dyDescent="0.2">
      <c r="A290">
        <v>270</v>
      </c>
      <c r="B290" t="s">
        <v>351</v>
      </c>
      <c r="C290" s="1">
        <v>45610</v>
      </c>
      <c r="D290" t="s">
        <v>351</v>
      </c>
      <c r="E290">
        <v>18617.0324060686</v>
      </c>
      <c r="F290">
        <v>18617.0324060686</v>
      </c>
    </row>
    <row r="291" spans="1:6" x14ac:dyDescent="0.2">
      <c r="A291">
        <v>272</v>
      </c>
      <c r="B291" t="s">
        <v>352</v>
      </c>
      <c r="C291" s="1">
        <v>45374</v>
      </c>
      <c r="D291" t="s">
        <v>352</v>
      </c>
      <c r="E291">
        <v>237.75729522797499</v>
      </c>
      <c r="F291">
        <v>237.75729522797499</v>
      </c>
    </row>
    <row r="292" spans="1:6" x14ac:dyDescent="0.2">
      <c r="A292">
        <v>272</v>
      </c>
      <c r="B292" t="s">
        <v>353</v>
      </c>
      <c r="C292" s="1">
        <v>45435</v>
      </c>
      <c r="D292" t="s">
        <v>353</v>
      </c>
      <c r="E292">
        <v>9979.8581432195297</v>
      </c>
      <c r="F292">
        <v>9979.8581432195297</v>
      </c>
    </row>
    <row r="293" spans="1:6" x14ac:dyDescent="0.2">
      <c r="A293">
        <v>273</v>
      </c>
      <c r="B293" t="s">
        <v>354</v>
      </c>
      <c r="C293" s="1">
        <v>45380</v>
      </c>
      <c r="D293" t="s">
        <v>354</v>
      </c>
      <c r="E293">
        <v>377495.65328186698</v>
      </c>
      <c r="F293">
        <v>377495.65328186698</v>
      </c>
    </row>
    <row r="294" spans="1:6" x14ac:dyDescent="0.2">
      <c r="A294">
        <v>273</v>
      </c>
      <c r="B294" t="s">
        <v>355</v>
      </c>
      <c r="C294" s="1">
        <v>45386</v>
      </c>
      <c r="D294" t="s">
        <v>355</v>
      </c>
      <c r="E294">
        <v>574.66969141356401</v>
      </c>
      <c r="F294">
        <v>574.66969141356401</v>
      </c>
    </row>
    <row r="295" spans="1:6" x14ac:dyDescent="0.2">
      <c r="A295">
        <v>274</v>
      </c>
      <c r="B295" t="s">
        <v>356</v>
      </c>
      <c r="C295" s="1">
        <v>45535</v>
      </c>
      <c r="D295" t="s">
        <v>356</v>
      </c>
      <c r="E295">
        <v>161659.5065812</v>
      </c>
      <c r="F295">
        <v>161659.5065812</v>
      </c>
    </row>
    <row r="296" spans="1:6" x14ac:dyDescent="0.2">
      <c r="A296">
        <v>274</v>
      </c>
      <c r="B296" t="s">
        <v>357</v>
      </c>
      <c r="C296" s="1">
        <v>45571</v>
      </c>
      <c r="D296" t="s">
        <v>357</v>
      </c>
      <c r="E296">
        <v>41033.474843243297</v>
      </c>
      <c r="F296">
        <v>41033.474843243297</v>
      </c>
    </row>
    <row r="297" spans="1:6" x14ac:dyDescent="0.2">
      <c r="A297">
        <v>275</v>
      </c>
      <c r="B297" t="s">
        <v>358</v>
      </c>
      <c r="C297" s="1">
        <v>45648</v>
      </c>
      <c r="D297" t="s">
        <v>358</v>
      </c>
      <c r="E297">
        <v>193721.22578398199</v>
      </c>
      <c r="F297">
        <v>193721.22578398199</v>
      </c>
    </row>
    <row r="298" spans="1:6" x14ac:dyDescent="0.2">
      <c r="A298">
        <v>276</v>
      </c>
      <c r="B298" t="s">
        <v>359</v>
      </c>
      <c r="C298" s="1">
        <v>45326</v>
      </c>
      <c r="D298" t="s">
        <v>359</v>
      </c>
      <c r="E298">
        <v>67773.782070343106</v>
      </c>
      <c r="F298">
        <v>67773.782070343106</v>
      </c>
    </row>
    <row r="299" spans="1:6" x14ac:dyDescent="0.2">
      <c r="A299">
        <v>278</v>
      </c>
      <c r="B299" t="s">
        <v>360</v>
      </c>
      <c r="C299" s="1">
        <v>45557</v>
      </c>
      <c r="D299" t="s">
        <v>360</v>
      </c>
      <c r="E299">
        <v>19224670.453902598</v>
      </c>
      <c r="F299">
        <v>1000000</v>
      </c>
    </row>
    <row r="300" spans="1:6" x14ac:dyDescent="0.2">
      <c r="A300">
        <v>279</v>
      </c>
      <c r="B300" t="s">
        <v>361</v>
      </c>
      <c r="C300" s="1">
        <v>45573</v>
      </c>
      <c r="D300" t="s">
        <v>361</v>
      </c>
      <c r="E300">
        <v>102171.930265869</v>
      </c>
      <c r="F300">
        <v>102171.930265869</v>
      </c>
    </row>
    <row r="301" spans="1:6" x14ac:dyDescent="0.2">
      <c r="A301">
        <v>279</v>
      </c>
      <c r="B301" t="s">
        <v>362</v>
      </c>
      <c r="C301" s="1">
        <v>45495</v>
      </c>
      <c r="D301" t="s">
        <v>362</v>
      </c>
      <c r="E301">
        <v>41851.124232033602</v>
      </c>
      <c r="F301">
        <v>41851.124232033602</v>
      </c>
    </row>
    <row r="302" spans="1:6" x14ac:dyDescent="0.2">
      <c r="A302">
        <v>280</v>
      </c>
      <c r="B302" t="s">
        <v>363</v>
      </c>
      <c r="C302" s="1">
        <v>45336</v>
      </c>
      <c r="D302" t="s">
        <v>363</v>
      </c>
      <c r="E302">
        <v>15349.198338283</v>
      </c>
      <c r="F302">
        <v>15349.198338283</v>
      </c>
    </row>
    <row r="303" spans="1:6" x14ac:dyDescent="0.2">
      <c r="A303">
        <v>281</v>
      </c>
      <c r="B303" t="s">
        <v>364</v>
      </c>
      <c r="C303" s="1">
        <v>45630</v>
      </c>
      <c r="D303" t="s">
        <v>364</v>
      </c>
      <c r="E303">
        <v>2233.60298054334</v>
      </c>
      <c r="F303">
        <v>2233.60298054334</v>
      </c>
    </row>
    <row r="304" spans="1:6" x14ac:dyDescent="0.2">
      <c r="A304">
        <v>282</v>
      </c>
      <c r="B304" t="s">
        <v>365</v>
      </c>
      <c r="C304" s="1">
        <v>45596</v>
      </c>
      <c r="D304" t="s">
        <v>365</v>
      </c>
      <c r="E304">
        <v>8840.3929476820904</v>
      </c>
      <c r="F304">
        <v>8840.3929476820904</v>
      </c>
    </row>
    <row r="305" spans="1:6" x14ac:dyDescent="0.2">
      <c r="A305">
        <v>282</v>
      </c>
      <c r="B305" t="s">
        <v>366</v>
      </c>
      <c r="C305" s="1">
        <v>45491</v>
      </c>
      <c r="D305" t="s">
        <v>366</v>
      </c>
      <c r="E305">
        <v>1606.86506287098</v>
      </c>
      <c r="F305">
        <v>1606.86506287098</v>
      </c>
    </row>
    <row r="306" spans="1:6" x14ac:dyDescent="0.2">
      <c r="A306">
        <v>283</v>
      </c>
      <c r="B306" t="s">
        <v>367</v>
      </c>
      <c r="C306" s="1">
        <v>45577</v>
      </c>
      <c r="D306" t="s">
        <v>367</v>
      </c>
      <c r="E306">
        <v>140042.811662238</v>
      </c>
      <c r="F306">
        <v>140042.811662238</v>
      </c>
    </row>
    <row r="307" spans="1:6" x14ac:dyDescent="0.2">
      <c r="A307">
        <v>284</v>
      </c>
      <c r="B307" t="s">
        <v>368</v>
      </c>
      <c r="C307" s="1">
        <v>45337</v>
      </c>
      <c r="D307" t="s">
        <v>368</v>
      </c>
      <c r="E307">
        <v>66584.438564128097</v>
      </c>
      <c r="F307">
        <v>66584.438564128097</v>
      </c>
    </row>
    <row r="308" spans="1:6" x14ac:dyDescent="0.2">
      <c r="A308">
        <v>284</v>
      </c>
      <c r="B308" t="s">
        <v>369</v>
      </c>
      <c r="C308" s="1">
        <v>45303</v>
      </c>
      <c r="D308" t="s">
        <v>369</v>
      </c>
      <c r="E308">
        <v>401746.92511426302</v>
      </c>
      <c r="F308">
        <v>401746.92511426302</v>
      </c>
    </row>
    <row r="309" spans="1:6" x14ac:dyDescent="0.2">
      <c r="A309">
        <v>285</v>
      </c>
      <c r="B309" t="s">
        <v>370</v>
      </c>
      <c r="C309" s="1">
        <v>45417</v>
      </c>
      <c r="D309" t="s">
        <v>370</v>
      </c>
      <c r="E309">
        <v>11216.219584435699</v>
      </c>
      <c r="F309">
        <v>11216.219584435699</v>
      </c>
    </row>
    <row r="310" spans="1:6" x14ac:dyDescent="0.2">
      <c r="A310">
        <v>285</v>
      </c>
      <c r="B310" t="s">
        <v>371</v>
      </c>
      <c r="C310" s="1">
        <v>45343</v>
      </c>
      <c r="D310" t="s">
        <v>371</v>
      </c>
      <c r="E310">
        <v>8386.0277889094104</v>
      </c>
      <c r="F310">
        <v>8386.0277889094104</v>
      </c>
    </row>
    <row r="311" spans="1:6" x14ac:dyDescent="0.2">
      <c r="A311">
        <v>286</v>
      </c>
      <c r="B311" t="s">
        <v>372</v>
      </c>
      <c r="C311" s="1">
        <v>45583</v>
      </c>
      <c r="D311" t="s">
        <v>372</v>
      </c>
      <c r="E311">
        <v>209311.399462795</v>
      </c>
      <c r="F311">
        <v>209311.399462795</v>
      </c>
    </row>
    <row r="312" spans="1:6" x14ac:dyDescent="0.2">
      <c r="A312">
        <v>287</v>
      </c>
      <c r="B312" t="s">
        <v>373</v>
      </c>
      <c r="C312" s="1">
        <v>45360</v>
      </c>
      <c r="D312" t="s">
        <v>373</v>
      </c>
      <c r="E312">
        <v>3743.0798556496802</v>
      </c>
      <c r="F312">
        <v>3743.0798556496802</v>
      </c>
    </row>
    <row r="313" spans="1:6" x14ac:dyDescent="0.2">
      <c r="A313">
        <v>287</v>
      </c>
      <c r="B313" t="s">
        <v>374</v>
      </c>
      <c r="C313" s="1">
        <v>45458</v>
      </c>
      <c r="D313" t="s">
        <v>374</v>
      </c>
      <c r="E313">
        <v>12562.2434691579</v>
      </c>
      <c r="F313">
        <v>12562.2434691579</v>
      </c>
    </row>
    <row r="314" spans="1:6" x14ac:dyDescent="0.2">
      <c r="A314">
        <v>288</v>
      </c>
      <c r="B314" t="s">
        <v>375</v>
      </c>
      <c r="C314" s="1">
        <v>45481</v>
      </c>
      <c r="D314" t="s">
        <v>375</v>
      </c>
      <c r="E314">
        <v>21759.768011807799</v>
      </c>
      <c r="F314">
        <v>21759.768011807799</v>
      </c>
    </row>
    <row r="315" spans="1:6" x14ac:dyDescent="0.2">
      <c r="A315">
        <v>288</v>
      </c>
      <c r="B315" t="s">
        <v>376</v>
      </c>
      <c r="C315" s="1">
        <v>45512</v>
      </c>
      <c r="D315" t="s">
        <v>376</v>
      </c>
      <c r="E315">
        <v>9553.2618020164991</v>
      </c>
      <c r="F315">
        <v>9553.2618020164991</v>
      </c>
    </row>
    <row r="316" spans="1:6" x14ac:dyDescent="0.2">
      <c r="A316">
        <v>289</v>
      </c>
      <c r="B316" t="s">
        <v>377</v>
      </c>
      <c r="C316" s="1">
        <v>45594</v>
      </c>
      <c r="D316" t="s">
        <v>377</v>
      </c>
      <c r="E316">
        <v>9535.5622917488508</v>
      </c>
      <c r="F316">
        <v>9535.5622917488508</v>
      </c>
    </row>
    <row r="317" spans="1:6" x14ac:dyDescent="0.2">
      <c r="A317">
        <v>289</v>
      </c>
      <c r="B317" t="s">
        <v>378</v>
      </c>
      <c r="C317" s="1">
        <v>45433</v>
      </c>
      <c r="D317" t="s">
        <v>378</v>
      </c>
      <c r="E317">
        <v>252761.37030409099</v>
      </c>
      <c r="F317">
        <v>252761.37030409099</v>
      </c>
    </row>
    <row r="318" spans="1:6" x14ac:dyDescent="0.2">
      <c r="A318">
        <v>290</v>
      </c>
      <c r="B318" t="s">
        <v>379</v>
      </c>
      <c r="C318" s="1">
        <v>45453</v>
      </c>
      <c r="D318" t="s">
        <v>379</v>
      </c>
      <c r="E318">
        <v>22205.0492055387</v>
      </c>
      <c r="F318">
        <v>22205.0492055387</v>
      </c>
    </row>
    <row r="319" spans="1:6" x14ac:dyDescent="0.2">
      <c r="A319">
        <v>291</v>
      </c>
      <c r="B319" t="s">
        <v>380</v>
      </c>
      <c r="C319" s="1">
        <v>45498</v>
      </c>
      <c r="D319" t="s">
        <v>380</v>
      </c>
      <c r="E319">
        <v>988703.936397054</v>
      </c>
      <c r="F319">
        <v>988703.936397054</v>
      </c>
    </row>
    <row r="320" spans="1:6" x14ac:dyDescent="0.2">
      <c r="A320">
        <v>292</v>
      </c>
      <c r="B320" t="s">
        <v>381</v>
      </c>
      <c r="C320" s="1">
        <v>45547</v>
      </c>
      <c r="D320" t="s">
        <v>381</v>
      </c>
      <c r="E320">
        <v>68.929555861803806</v>
      </c>
      <c r="F320">
        <v>68.929555861803806</v>
      </c>
    </row>
    <row r="321" spans="1:6" x14ac:dyDescent="0.2">
      <c r="A321">
        <v>292</v>
      </c>
      <c r="B321" t="s">
        <v>382</v>
      </c>
      <c r="C321" s="1">
        <v>45565</v>
      </c>
      <c r="D321" t="s">
        <v>382</v>
      </c>
      <c r="E321">
        <v>7434.4046828508699</v>
      </c>
      <c r="F321">
        <v>7434.4046828508699</v>
      </c>
    </row>
    <row r="322" spans="1:6" x14ac:dyDescent="0.2">
      <c r="A322">
        <v>293</v>
      </c>
      <c r="B322" t="s">
        <v>383</v>
      </c>
      <c r="C322" s="1">
        <v>45343</v>
      </c>
      <c r="D322" t="s">
        <v>383</v>
      </c>
      <c r="E322">
        <v>3098.4601018562398</v>
      </c>
      <c r="F322">
        <v>3098.4601018562398</v>
      </c>
    </row>
    <row r="323" spans="1:6" x14ac:dyDescent="0.2">
      <c r="A323">
        <v>293</v>
      </c>
      <c r="B323" t="s">
        <v>384</v>
      </c>
      <c r="C323" s="1">
        <v>45482</v>
      </c>
      <c r="D323" t="s">
        <v>384</v>
      </c>
      <c r="E323">
        <v>71911.001558324002</v>
      </c>
      <c r="F323">
        <v>71911.001558324002</v>
      </c>
    </row>
    <row r="324" spans="1:6" x14ac:dyDescent="0.2">
      <c r="A324">
        <v>295</v>
      </c>
      <c r="B324" t="s">
        <v>385</v>
      </c>
      <c r="C324" s="1">
        <v>45657</v>
      </c>
      <c r="D324" t="s">
        <v>385</v>
      </c>
      <c r="E324">
        <v>314974.546974728</v>
      </c>
      <c r="F324">
        <v>314974.546974728</v>
      </c>
    </row>
    <row r="325" spans="1:6" x14ac:dyDescent="0.2">
      <c r="A325">
        <v>298</v>
      </c>
      <c r="B325" t="s">
        <v>386</v>
      </c>
      <c r="C325" s="1">
        <v>45562</v>
      </c>
      <c r="D325" t="s">
        <v>386</v>
      </c>
      <c r="E325">
        <v>9595.0095662926906</v>
      </c>
      <c r="F325">
        <v>9595.0095662926906</v>
      </c>
    </row>
    <row r="326" spans="1:6" x14ac:dyDescent="0.2">
      <c r="A326">
        <v>298</v>
      </c>
      <c r="B326" t="s">
        <v>387</v>
      </c>
      <c r="C326" s="1">
        <v>45468</v>
      </c>
      <c r="D326" t="s">
        <v>387</v>
      </c>
      <c r="E326">
        <v>6856.6001119746497</v>
      </c>
      <c r="F326">
        <v>6856.6001119746497</v>
      </c>
    </row>
    <row r="327" spans="1:6" x14ac:dyDescent="0.2">
      <c r="A327">
        <v>299</v>
      </c>
      <c r="B327" t="s">
        <v>388</v>
      </c>
      <c r="C327" s="1">
        <v>45607</v>
      </c>
      <c r="D327" t="s">
        <v>388</v>
      </c>
      <c r="E327">
        <v>44567.036576890503</v>
      </c>
      <c r="F327">
        <v>44567.036576890503</v>
      </c>
    </row>
    <row r="328" spans="1:6" x14ac:dyDescent="0.2">
      <c r="A328">
        <v>299</v>
      </c>
      <c r="B328" t="s">
        <v>389</v>
      </c>
      <c r="C328" s="1">
        <v>45637</v>
      </c>
      <c r="D328" t="s">
        <v>389</v>
      </c>
      <c r="E328">
        <v>297.663786637361</v>
      </c>
      <c r="F328">
        <v>297.663786637361</v>
      </c>
    </row>
    <row r="329" spans="1:6" x14ac:dyDescent="0.2">
      <c r="A329">
        <v>301</v>
      </c>
      <c r="B329" t="s">
        <v>390</v>
      </c>
      <c r="C329" s="1">
        <v>45326</v>
      </c>
      <c r="D329" t="s">
        <v>390</v>
      </c>
      <c r="E329">
        <v>345473.86451898498</v>
      </c>
      <c r="F329">
        <v>345473.86451898498</v>
      </c>
    </row>
    <row r="330" spans="1:6" x14ac:dyDescent="0.2">
      <c r="A330">
        <v>302</v>
      </c>
      <c r="B330" t="s">
        <v>391</v>
      </c>
      <c r="C330" s="1">
        <v>45543</v>
      </c>
      <c r="D330" t="s">
        <v>391</v>
      </c>
      <c r="E330">
        <v>729.56004662562998</v>
      </c>
      <c r="F330">
        <v>729.56004662562998</v>
      </c>
    </row>
    <row r="331" spans="1:6" x14ac:dyDescent="0.2">
      <c r="A331">
        <v>302</v>
      </c>
      <c r="B331" t="s">
        <v>392</v>
      </c>
      <c r="C331" s="1">
        <v>45364</v>
      </c>
      <c r="D331" t="s">
        <v>392</v>
      </c>
      <c r="E331">
        <v>17516.9446762437</v>
      </c>
      <c r="F331">
        <v>17516.9446762437</v>
      </c>
    </row>
    <row r="332" spans="1:6" x14ac:dyDescent="0.2">
      <c r="A332">
        <v>303</v>
      </c>
      <c r="B332" t="s">
        <v>393</v>
      </c>
      <c r="C332" s="1">
        <v>45466</v>
      </c>
      <c r="D332" t="s">
        <v>393</v>
      </c>
      <c r="E332">
        <v>20405590.548953399</v>
      </c>
      <c r="F332">
        <v>1000000</v>
      </c>
    </row>
    <row r="333" spans="1:6" x14ac:dyDescent="0.2">
      <c r="A333">
        <v>304</v>
      </c>
      <c r="B333" t="s">
        <v>394</v>
      </c>
      <c r="C333" s="1">
        <v>45460</v>
      </c>
      <c r="D333" t="s">
        <v>394</v>
      </c>
      <c r="E333">
        <v>50460.523485469501</v>
      </c>
      <c r="F333">
        <v>50460.523485469501</v>
      </c>
    </row>
    <row r="334" spans="1:6" x14ac:dyDescent="0.2">
      <c r="A334">
        <v>305</v>
      </c>
      <c r="B334" t="s">
        <v>395</v>
      </c>
      <c r="C334" s="1">
        <v>45558</v>
      </c>
      <c r="D334" t="s">
        <v>395</v>
      </c>
      <c r="E334">
        <v>11.8965280067601</v>
      </c>
      <c r="F334">
        <v>11.8965280067601</v>
      </c>
    </row>
    <row r="335" spans="1:6" x14ac:dyDescent="0.2">
      <c r="A335">
        <v>306</v>
      </c>
      <c r="B335" t="s">
        <v>396</v>
      </c>
      <c r="C335" s="1">
        <v>45527</v>
      </c>
      <c r="D335" t="s">
        <v>396</v>
      </c>
      <c r="E335">
        <v>191625.16146285299</v>
      </c>
      <c r="F335">
        <v>191625.16146285299</v>
      </c>
    </row>
    <row r="336" spans="1:6" x14ac:dyDescent="0.2">
      <c r="A336">
        <v>307</v>
      </c>
      <c r="B336" t="s">
        <v>397</v>
      </c>
      <c r="C336" s="1">
        <v>45560</v>
      </c>
      <c r="D336" t="s">
        <v>397</v>
      </c>
      <c r="E336">
        <v>1528.030730987</v>
      </c>
      <c r="F336">
        <v>1528.030730987</v>
      </c>
    </row>
    <row r="337" spans="1:6" x14ac:dyDescent="0.2">
      <c r="A337">
        <v>307</v>
      </c>
      <c r="B337" t="s">
        <v>398</v>
      </c>
      <c r="C337" s="1">
        <v>45367</v>
      </c>
      <c r="D337" t="s">
        <v>398</v>
      </c>
      <c r="E337">
        <v>921255.216176413</v>
      </c>
      <c r="F337">
        <v>921255.216176413</v>
      </c>
    </row>
    <row r="338" spans="1:6" x14ac:dyDescent="0.2">
      <c r="A338">
        <v>308</v>
      </c>
      <c r="B338" t="s">
        <v>399</v>
      </c>
      <c r="C338" s="1">
        <v>45558</v>
      </c>
      <c r="D338" t="s">
        <v>399</v>
      </c>
      <c r="E338">
        <v>72513.573754350393</v>
      </c>
      <c r="F338">
        <v>72513.573754350393</v>
      </c>
    </row>
    <row r="339" spans="1:6" x14ac:dyDescent="0.2">
      <c r="A339">
        <v>308</v>
      </c>
      <c r="B339" t="s">
        <v>400</v>
      </c>
      <c r="C339" s="1">
        <v>45310</v>
      </c>
      <c r="D339" t="s">
        <v>400</v>
      </c>
      <c r="E339">
        <v>901639.542308314</v>
      </c>
      <c r="F339">
        <v>901639.542308314</v>
      </c>
    </row>
    <row r="340" spans="1:6" x14ac:dyDescent="0.2">
      <c r="A340">
        <v>309</v>
      </c>
      <c r="B340" t="s">
        <v>401</v>
      </c>
      <c r="C340" s="1">
        <v>45647</v>
      </c>
      <c r="D340" t="s">
        <v>401</v>
      </c>
      <c r="E340">
        <v>551.72043924170202</v>
      </c>
      <c r="F340">
        <v>551.72043924170202</v>
      </c>
    </row>
    <row r="341" spans="1:6" x14ac:dyDescent="0.2">
      <c r="A341">
        <v>310</v>
      </c>
      <c r="B341" t="s">
        <v>402</v>
      </c>
      <c r="C341" s="1">
        <v>45446</v>
      </c>
      <c r="D341" t="s">
        <v>402</v>
      </c>
      <c r="E341">
        <v>2570375.8320589401</v>
      </c>
      <c r="F341">
        <v>1000000</v>
      </c>
    </row>
    <row r="342" spans="1:6" x14ac:dyDescent="0.2">
      <c r="A342">
        <v>311</v>
      </c>
      <c r="B342" t="s">
        <v>403</v>
      </c>
      <c r="C342" s="1">
        <v>45543</v>
      </c>
      <c r="D342" t="s">
        <v>403</v>
      </c>
      <c r="E342">
        <v>235497.07346507401</v>
      </c>
      <c r="F342">
        <v>235497.07346507401</v>
      </c>
    </row>
    <row r="343" spans="1:6" x14ac:dyDescent="0.2">
      <c r="A343">
        <v>312</v>
      </c>
      <c r="B343" t="s">
        <v>404</v>
      </c>
      <c r="C343" s="1">
        <v>45519</v>
      </c>
      <c r="D343" t="s">
        <v>404</v>
      </c>
      <c r="E343">
        <v>468.80972002023799</v>
      </c>
      <c r="F343">
        <v>468.80972002023799</v>
      </c>
    </row>
    <row r="344" spans="1:6" x14ac:dyDescent="0.2">
      <c r="A344">
        <v>313</v>
      </c>
      <c r="B344" t="s">
        <v>405</v>
      </c>
      <c r="C344" s="1">
        <v>45339</v>
      </c>
      <c r="D344" t="s">
        <v>405</v>
      </c>
      <c r="E344">
        <v>7294.9840506933597</v>
      </c>
      <c r="F344">
        <v>7294.9840506933597</v>
      </c>
    </row>
    <row r="345" spans="1:6" x14ac:dyDescent="0.2">
      <c r="A345">
        <v>314</v>
      </c>
      <c r="B345" t="s">
        <v>406</v>
      </c>
      <c r="C345" s="1">
        <v>45487</v>
      </c>
      <c r="D345" t="s">
        <v>406</v>
      </c>
      <c r="E345">
        <v>25883.055385424501</v>
      </c>
      <c r="F345">
        <v>25883.055385424501</v>
      </c>
    </row>
    <row r="346" spans="1:6" x14ac:dyDescent="0.2">
      <c r="A346">
        <v>314</v>
      </c>
      <c r="B346" t="s">
        <v>407</v>
      </c>
      <c r="C346" s="1">
        <v>45460</v>
      </c>
      <c r="D346" t="s">
        <v>407</v>
      </c>
      <c r="E346">
        <v>809299.865227186</v>
      </c>
      <c r="F346">
        <v>809299.865227186</v>
      </c>
    </row>
    <row r="347" spans="1:6" x14ac:dyDescent="0.2">
      <c r="A347">
        <v>315</v>
      </c>
      <c r="B347" t="s">
        <v>408</v>
      </c>
      <c r="C347" s="1">
        <v>45386</v>
      </c>
      <c r="D347" t="s">
        <v>408</v>
      </c>
      <c r="E347">
        <v>104.24631348180399</v>
      </c>
      <c r="F347">
        <v>104.24631348180399</v>
      </c>
    </row>
    <row r="348" spans="1:6" x14ac:dyDescent="0.2">
      <c r="A348">
        <v>318</v>
      </c>
      <c r="B348" t="s">
        <v>409</v>
      </c>
      <c r="C348" s="1">
        <v>45428</v>
      </c>
      <c r="D348" t="s">
        <v>409</v>
      </c>
      <c r="E348">
        <v>235244.23666271401</v>
      </c>
      <c r="F348">
        <v>235244.23666271401</v>
      </c>
    </row>
    <row r="349" spans="1:6" x14ac:dyDescent="0.2">
      <c r="A349">
        <v>318</v>
      </c>
      <c r="B349" t="s">
        <v>410</v>
      </c>
      <c r="C349" s="1">
        <v>45630</v>
      </c>
      <c r="D349" t="s">
        <v>410</v>
      </c>
      <c r="E349">
        <v>2083316.8167975601</v>
      </c>
      <c r="F349">
        <v>1000000</v>
      </c>
    </row>
    <row r="350" spans="1:6" x14ac:dyDescent="0.2">
      <c r="A350">
        <v>319</v>
      </c>
      <c r="B350" t="s">
        <v>411</v>
      </c>
      <c r="C350" s="1">
        <v>45351</v>
      </c>
      <c r="D350" t="s">
        <v>411</v>
      </c>
      <c r="E350">
        <v>51618.567347274497</v>
      </c>
      <c r="F350">
        <v>51618.567347274497</v>
      </c>
    </row>
    <row r="351" spans="1:6" x14ac:dyDescent="0.2">
      <c r="A351">
        <v>322</v>
      </c>
      <c r="B351" t="s">
        <v>412</v>
      </c>
      <c r="C351" s="1">
        <v>45308</v>
      </c>
      <c r="D351" t="s">
        <v>412</v>
      </c>
      <c r="E351">
        <v>159396.155683852</v>
      </c>
      <c r="F351">
        <v>159396.155683852</v>
      </c>
    </row>
    <row r="352" spans="1:6" x14ac:dyDescent="0.2">
      <c r="A352">
        <v>323</v>
      </c>
      <c r="B352" t="s">
        <v>413</v>
      </c>
      <c r="C352" s="1">
        <v>45623</v>
      </c>
      <c r="D352" t="s">
        <v>413</v>
      </c>
      <c r="E352">
        <v>26072.7124957339</v>
      </c>
      <c r="F352">
        <v>26072.7124957339</v>
      </c>
    </row>
    <row r="353" spans="1:6" x14ac:dyDescent="0.2">
      <c r="A353">
        <v>323</v>
      </c>
      <c r="B353" t="s">
        <v>414</v>
      </c>
      <c r="C353" s="1">
        <v>45566</v>
      </c>
      <c r="D353" t="s">
        <v>414</v>
      </c>
      <c r="E353">
        <v>54028.162101953698</v>
      </c>
      <c r="F353">
        <v>54028.162101953698</v>
      </c>
    </row>
    <row r="354" spans="1:6" x14ac:dyDescent="0.2">
      <c r="A354">
        <v>324</v>
      </c>
      <c r="B354" t="s">
        <v>415</v>
      </c>
      <c r="C354" s="1">
        <v>45558</v>
      </c>
      <c r="D354" t="s">
        <v>415</v>
      </c>
      <c r="E354">
        <v>5832.9566320682698</v>
      </c>
      <c r="F354">
        <v>5832.9566320682698</v>
      </c>
    </row>
    <row r="355" spans="1:6" x14ac:dyDescent="0.2">
      <c r="A355">
        <v>325</v>
      </c>
      <c r="B355" t="s">
        <v>416</v>
      </c>
      <c r="C355" s="1">
        <v>45635</v>
      </c>
      <c r="D355" t="s">
        <v>416</v>
      </c>
      <c r="E355">
        <v>26708.327039121399</v>
      </c>
      <c r="F355">
        <v>26708.327039121399</v>
      </c>
    </row>
    <row r="356" spans="1:6" x14ac:dyDescent="0.2">
      <c r="A356">
        <v>325</v>
      </c>
      <c r="B356" t="s">
        <v>417</v>
      </c>
      <c r="C356" s="1">
        <v>45630</v>
      </c>
      <c r="D356" t="s">
        <v>417</v>
      </c>
      <c r="E356">
        <v>154720.50914930299</v>
      </c>
      <c r="F356">
        <v>154720.50914930299</v>
      </c>
    </row>
    <row r="357" spans="1:6" x14ac:dyDescent="0.2">
      <c r="A357">
        <v>326</v>
      </c>
      <c r="B357" t="s">
        <v>418</v>
      </c>
      <c r="C357" s="1">
        <v>45396</v>
      </c>
      <c r="D357" t="s">
        <v>418</v>
      </c>
      <c r="E357">
        <v>3194.8577365493102</v>
      </c>
      <c r="F357">
        <v>3194.8577365493102</v>
      </c>
    </row>
    <row r="358" spans="1:6" x14ac:dyDescent="0.2">
      <c r="A358">
        <v>326</v>
      </c>
      <c r="B358" t="s">
        <v>419</v>
      </c>
      <c r="C358" s="1">
        <v>45570</v>
      </c>
      <c r="D358" t="s">
        <v>419</v>
      </c>
      <c r="E358">
        <v>506822.94054792298</v>
      </c>
      <c r="F358">
        <v>506822.94054792298</v>
      </c>
    </row>
    <row r="359" spans="1:6" x14ac:dyDescent="0.2">
      <c r="A359">
        <v>328</v>
      </c>
      <c r="B359" t="s">
        <v>420</v>
      </c>
      <c r="C359" s="1">
        <v>45309</v>
      </c>
      <c r="D359" t="s">
        <v>420</v>
      </c>
      <c r="E359">
        <v>20149.164184769801</v>
      </c>
      <c r="F359">
        <v>20149.164184769801</v>
      </c>
    </row>
    <row r="360" spans="1:6" x14ac:dyDescent="0.2">
      <c r="A360">
        <v>328</v>
      </c>
      <c r="B360" t="s">
        <v>421</v>
      </c>
      <c r="C360" s="1">
        <v>45393</v>
      </c>
      <c r="D360" t="s">
        <v>421</v>
      </c>
      <c r="E360">
        <v>118990.868780099</v>
      </c>
      <c r="F360">
        <v>118990.868780099</v>
      </c>
    </row>
    <row r="361" spans="1:6" x14ac:dyDescent="0.2">
      <c r="A361">
        <v>329</v>
      </c>
      <c r="B361" t="s">
        <v>422</v>
      </c>
      <c r="C361" s="1">
        <v>45362</v>
      </c>
      <c r="D361" t="s">
        <v>422</v>
      </c>
      <c r="E361">
        <v>122351.254499879</v>
      </c>
      <c r="F361">
        <v>122351.254499879</v>
      </c>
    </row>
    <row r="362" spans="1:6" x14ac:dyDescent="0.2">
      <c r="A362">
        <v>331</v>
      </c>
      <c r="B362" t="s">
        <v>423</v>
      </c>
      <c r="C362" s="1">
        <v>45371</v>
      </c>
      <c r="D362" t="s">
        <v>423</v>
      </c>
      <c r="E362">
        <v>23267792.6358248</v>
      </c>
      <c r="F362">
        <v>1000000</v>
      </c>
    </row>
    <row r="363" spans="1:6" x14ac:dyDescent="0.2">
      <c r="A363">
        <v>332</v>
      </c>
      <c r="B363" t="s">
        <v>424</v>
      </c>
      <c r="C363" s="1">
        <v>45529</v>
      </c>
      <c r="D363" t="s">
        <v>424</v>
      </c>
      <c r="E363">
        <v>276.84333170973503</v>
      </c>
      <c r="F363">
        <v>276.84333170973503</v>
      </c>
    </row>
    <row r="364" spans="1:6" x14ac:dyDescent="0.2">
      <c r="A364">
        <v>332</v>
      </c>
      <c r="B364" t="s">
        <v>425</v>
      </c>
      <c r="C364" s="1">
        <v>45609</v>
      </c>
      <c r="D364" t="s">
        <v>425</v>
      </c>
      <c r="E364">
        <v>7686.6975153654002</v>
      </c>
      <c r="F364">
        <v>7686.6975153654002</v>
      </c>
    </row>
    <row r="365" spans="1:6" x14ac:dyDescent="0.2">
      <c r="A365">
        <v>333</v>
      </c>
      <c r="B365" t="s">
        <v>426</v>
      </c>
      <c r="C365" s="1">
        <v>45445</v>
      </c>
      <c r="D365" t="s">
        <v>426</v>
      </c>
      <c r="E365">
        <v>2872989.3270525401</v>
      </c>
      <c r="F365">
        <v>1000000</v>
      </c>
    </row>
    <row r="366" spans="1:6" x14ac:dyDescent="0.2">
      <c r="A366">
        <v>335</v>
      </c>
      <c r="B366" t="s">
        <v>427</v>
      </c>
      <c r="C366" s="1">
        <v>45568</v>
      </c>
      <c r="D366" t="s">
        <v>427</v>
      </c>
      <c r="E366">
        <v>33771.593399319303</v>
      </c>
      <c r="F366">
        <v>33771.593399319303</v>
      </c>
    </row>
    <row r="367" spans="1:6" x14ac:dyDescent="0.2">
      <c r="A367">
        <v>336</v>
      </c>
      <c r="B367" t="s">
        <v>428</v>
      </c>
      <c r="C367" s="1">
        <v>45649</v>
      </c>
      <c r="D367" t="s">
        <v>428</v>
      </c>
      <c r="E367">
        <v>223227.52524643301</v>
      </c>
      <c r="F367">
        <v>223227.52524643301</v>
      </c>
    </row>
    <row r="368" spans="1:6" x14ac:dyDescent="0.2">
      <c r="A368">
        <v>337</v>
      </c>
      <c r="B368" t="s">
        <v>429</v>
      </c>
      <c r="C368" s="1">
        <v>45385</v>
      </c>
      <c r="D368" t="s">
        <v>429</v>
      </c>
      <c r="E368">
        <v>1710.3379652493099</v>
      </c>
      <c r="F368">
        <v>1710.3379652493099</v>
      </c>
    </row>
    <row r="369" spans="1:6" x14ac:dyDescent="0.2">
      <c r="A369">
        <v>338</v>
      </c>
      <c r="B369" t="s">
        <v>430</v>
      </c>
      <c r="C369" s="1">
        <v>45540</v>
      </c>
      <c r="D369" t="s">
        <v>430</v>
      </c>
      <c r="E369">
        <v>83.039573003370606</v>
      </c>
      <c r="F369">
        <v>83.039573003370606</v>
      </c>
    </row>
    <row r="370" spans="1:6" x14ac:dyDescent="0.2">
      <c r="A370">
        <v>339</v>
      </c>
      <c r="B370" t="s">
        <v>431</v>
      </c>
      <c r="C370" s="1">
        <v>45597</v>
      </c>
      <c r="D370" t="s">
        <v>431</v>
      </c>
      <c r="E370">
        <v>47558.834543523102</v>
      </c>
      <c r="F370">
        <v>47558.834543523102</v>
      </c>
    </row>
    <row r="371" spans="1:6" x14ac:dyDescent="0.2">
      <c r="A371">
        <v>341</v>
      </c>
      <c r="B371" t="s">
        <v>432</v>
      </c>
      <c r="C371" s="1">
        <v>45443</v>
      </c>
      <c r="D371" t="s">
        <v>432</v>
      </c>
      <c r="E371">
        <v>3262396.8066337099</v>
      </c>
      <c r="F371">
        <v>1000000</v>
      </c>
    </row>
    <row r="372" spans="1:6" x14ac:dyDescent="0.2">
      <c r="A372">
        <v>342</v>
      </c>
      <c r="B372" t="s">
        <v>433</v>
      </c>
      <c r="C372" s="1">
        <v>45578</v>
      </c>
      <c r="D372" t="s">
        <v>433</v>
      </c>
      <c r="E372">
        <v>5919999.06110946</v>
      </c>
      <c r="F372">
        <v>1000000</v>
      </c>
    </row>
    <row r="373" spans="1:6" x14ac:dyDescent="0.2">
      <c r="A373">
        <v>342</v>
      </c>
      <c r="B373" t="s">
        <v>434</v>
      </c>
      <c r="C373" s="1">
        <v>45351</v>
      </c>
      <c r="D373" t="s">
        <v>434</v>
      </c>
      <c r="E373">
        <v>10.4413906243249</v>
      </c>
      <c r="F373">
        <v>10.4413906243249</v>
      </c>
    </row>
    <row r="374" spans="1:6" x14ac:dyDescent="0.2">
      <c r="A374">
        <v>343</v>
      </c>
      <c r="B374" t="s">
        <v>435</v>
      </c>
      <c r="C374" s="1">
        <v>45516</v>
      </c>
      <c r="D374" t="s">
        <v>435</v>
      </c>
      <c r="E374">
        <v>1888585.0695488099</v>
      </c>
      <c r="F374">
        <v>1000000</v>
      </c>
    </row>
    <row r="375" spans="1:6" x14ac:dyDescent="0.2">
      <c r="A375">
        <v>344</v>
      </c>
      <c r="B375" t="s">
        <v>436</v>
      </c>
      <c r="C375" s="1">
        <v>45493</v>
      </c>
      <c r="D375" t="s">
        <v>436</v>
      </c>
      <c r="E375">
        <v>241060.19974872001</v>
      </c>
      <c r="F375">
        <v>241060.19974872001</v>
      </c>
    </row>
    <row r="376" spans="1:6" x14ac:dyDescent="0.2">
      <c r="A376">
        <v>344</v>
      </c>
      <c r="B376" t="s">
        <v>437</v>
      </c>
      <c r="C376" s="1">
        <v>45462</v>
      </c>
      <c r="D376" t="s">
        <v>437</v>
      </c>
      <c r="E376">
        <v>5552721.7101029903</v>
      </c>
      <c r="F376">
        <v>1000000</v>
      </c>
    </row>
    <row r="377" spans="1:6" x14ac:dyDescent="0.2">
      <c r="A377">
        <v>345</v>
      </c>
      <c r="B377" t="s">
        <v>438</v>
      </c>
      <c r="C377" s="1">
        <v>45530</v>
      </c>
      <c r="D377" t="s">
        <v>438</v>
      </c>
      <c r="E377">
        <v>14829.522917616399</v>
      </c>
      <c r="F377">
        <v>14829.522917616399</v>
      </c>
    </row>
    <row r="378" spans="1:6" x14ac:dyDescent="0.2">
      <c r="A378">
        <v>346</v>
      </c>
      <c r="B378" t="s">
        <v>439</v>
      </c>
      <c r="C378" s="1">
        <v>45531</v>
      </c>
      <c r="D378" t="s">
        <v>439</v>
      </c>
      <c r="E378">
        <v>41.2739042863872</v>
      </c>
      <c r="F378">
        <v>41.2739042863872</v>
      </c>
    </row>
    <row r="379" spans="1:6" x14ac:dyDescent="0.2">
      <c r="A379">
        <v>348</v>
      </c>
      <c r="B379" t="s">
        <v>440</v>
      </c>
      <c r="C379" s="1">
        <v>45423</v>
      </c>
      <c r="D379" t="s">
        <v>440</v>
      </c>
      <c r="E379">
        <v>12637.1161855966</v>
      </c>
      <c r="F379">
        <v>12637.1161855966</v>
      </c>
    </row>
    <row r="380" spans="1:6" x14ac:dyDescent="0.2">
      <c r="A380">
        <v>349</v>
      </c>
      <c r="B380" t="s">
        <v>441</v>
      </c>
      <c r="C380" s="1">
        <v>45368</v>
      </c>
      <c r="D380" t="s">
        <v>441</v>
      </c>
      <c r="E380">
        <v>111731.330143028</v>
      </c>
      <c r="F380">
        <v>111731.330143028</v>
      </c>
    </row>
    <row r="381" spans="1:6" x14ac:dyDescent="0.2">
      <c r="A381">
        <v>349</v>
      </c>
      <c r="B381" t="s">
        <v>442</v>
      </c>
      <c r="C381" s="1">
        <v>45601</v>
      </c>
      <c r="D381" t="s">
        <v>442</v>
      </c>
      <c r="E381">
        <v>86861.658067879398</v>
      </c>
      <c r="F381">
        <v>86861.658067879398</v>
      </c>
    </row>
    <row r="382" spans="1:6" x14ac:dyDescent="0.2">
      <c r="A382">
        <v>350</v>
      </c>
      <c r="B382" t="s">
        <v>443</v>
      </c>
      <c r="C382" s="1">
        <v>45636</v>
      </c>
      <c r="D382" t="s">
        <v>443</v>
      </c>
      <c r="E382">
        <v>2222.0421929358399</v>
      </c>
      <c r="F382">
        <v>2222.0421929358399</v>
      </c>
    </row>
    <row r="383" spans="1:6" x14ac:dyDescent="0.2">
      <c r="A383">
        <v>351</v>
      </c>
      <c r="B383" t="s">
        <v>444</v>
      </c>
      <c r="C383" s="1">
        <v>45552</v>
      </c>
      <c r="D383" t="s">
        <v>444</v>
      </c>
      <c r="E383">
        <v>17840.357990193999</v>
      </c>
      <c r="F383">
        <v>17840.357990193999</v>
      </c>
    </row>
    <row r="384" spans="1:6" x14ac:dyDescent="0.2">
      <c r="A384">
        <v>351</v>
      </c>
      <c r="B384" t="s">
        <v>445</v>
      </c>
      <c r="C384" s="1">
        <v>45641</v>
      </c>
      <c r="D384" t="s">
        <v>445</v>
      </c>
      <c r="E384">
        <v>3570.2828136438602</v>
      </c>
      <c r="F384">
        <v>3570.2828136438602</v>
      </c>
    </row>
    <row r="385" spans="1:6" x14ac:dyDescent="0.2">
      <c r="A385">
        <v>353</v>
      </c>
      <c r="B385" t="s">
        <v>446</v>
      </c>
      <c r="C385" s="1">
        <v>45436</v>
      </c>
      <c r="D385" t="s">
        <v>446</v>
      </c>
      <c r="E385">
        <v>8027.9611689782896</v>
      </c>
      <c r="F385">
        <v>8027.9611689782896</v>
      </c>
    </row>
    <row r="386" spans="1:6" x14ac:dyDescent="0.2">
      <c r="A386">
        <v>354</v>
      </c>
      <c r="B386" t="s">
        <v>447</v>
      </c>
      <c r="C386" s="1">
        <v>45480</v>
      </c>
      <c r="D386" t="s">
        <v>447</v>
      </c>
      <c r="E386">
        <v>2689.17346484068</v>
      </c>
      <c r="F386">
        <v>2689.17346484068</v>
      </c>
    </row>
    <row r="387" spans="1:6" x14ac:dyDescent="0.2">
      <c r="A387">
        <v>354</v>
      </c>
      <c r="B387" t="s">
        <v>448</v>
      </c>
      <c r="C387" s="1">
        <v>45558</v>
      </c>
      <c r="D387" t="s">
        <v>448</v>
      </c>
      <c r="E387">
        <v>45394.117152907202</v>
      </c>
      <c r="F387">
        <v>45394.117152907202</v>
      </c>
    </row>
    <row r="388" spans="1:6" x14ac:dyDescent="0.2">
      <c r="A388">
        <v>355</v>
      </c>
      <c r="B388" t="s">
        <v>449</v>
      </c>
      <c r="C388" s="1">
        <v>45452</v>
      </c>
      <c r="D388" t="s">
        <v>449</v>
      </c>
      <c r="E388">
        <v>67066.763962990299</v>
      </c>
      <c r="F388">
        <v>67066.763962990299</v>
      </c>
    </row>
    <row r="389" spans="1:6" x14ac:dyDescent="0.2">
      <c r="A389">
        <v>357</v>
      </c>
      <c r="B389" t="s">
        <v>450</v>
      </c>
      <c r="C389" s="1">
        <v>45429</v>
      </c>
      <c r="D389" t="s">
        <v>450</v>
      </c>
      <c r="E389">
        <v>23796.9590405171</v>
      </c>
      <c r="F389">
        <v>23796.9590405171</v>
      </c>
    </row>
    <row r="390" spans="1:6" x14ac:dyDescent="0.2">
      <c r="A390">
        <v>358</v>
      </c>
      <c r="B390" t="s">
        <v>451</v>
      </c>
      <c r="C390" s="1">
        <v>45329</v>
      </c>
      <c r="D390" t="s">
        <v>451</v>
      </c>
      <c r="E390">
        <v>2050.9499674276099</v>
      </c>
      <c r="F390">
        <v>2050.9499674276099</v>
      </c>
    </row>
    <row r="391" spans="1:6" x14ac:dyDescent="0.2">
      <c r="A391">
        <v>359</v>
      </c>
      <c r="B391" t="s">
        <v>452</v>
      </c>
      <c r="C391" s="1">
        <v>45582</v>
      </c>
      <c r="D391" t="s">
        <v>452</v>
      </c>
      <c r="E391">
        <v>158.44899391067901</v>
      </c>
      <c r="F391">
        <v>158.44899391067901</v>
      </c>
    </row>
    <row r="392" spans="1:6" x14ac:dyDescent="0.2">
      <c r="A392">
        <v>361</v>
      </c>
      <c r="B392" t="s">
        <v>453</v>
      </c>
      <c r="C392" s="1">
        <v>45409</v>
      </c>
      <c r="D392" t="s">
        <v>453</v>
      </c>
      <c r="E392">
        <v>570261.91028953996</v>
      </c>
      <c r="F392">
        <v>570261.91028953996</v>
      </c>
    </row>
    <row r="393" spans="1:6" x14ac:dyDescent="0.2">
      <c r="A393">
        <v>361</v>
      </c>
      <c r="B393" t="s">
        <v>454</v>
      </c>
      <c r="C393" s="1">
        <v>45558</v>
      </c>
      <c r="D393" t="s">
        <v>454</v>
      </c>
      <c r="E393">
        <v>3382.2538275668098</v>
      </c>
      <c r="F393">
        <v>3382.2538275668098</v>
      </c>
    </row>
    <row r="394" spans="1:6" x14ac:dyDescent="0.2">
      <c r="A394">
        <v>362</v>
      </c>
      <c r="B394" t="s">
        <v>455</v>
      </c>
      <c r="C394" s="1">
        <v>45594</v>
      </c>
      <c r="D394" t="s">
        <v>455</v>
      </c>
      <c r="E394">
        <v>17042.758424858399</v>
      </c>
      <c r="F394">
        <v>17042.758424858399</v>
      </c>
    </row>
    <row r="395" spans="1:6" x14ac:dyDescent="0.2">
      <c r="A395">
        <v>362</v>
      </c>
      <c r="B395" t="s">
        <v>456</v>
      </c>
      <c r="C395" s="1">
        <v>45475</v>
      </c>
      <c r="D395" t="s">
        <v>456</v>
      </c>
      <c r="E395">
        <v>15025.23169615</v>
      </c>
      <c r="F395">
        <v>15025.23169615</v>
      </c>
    </row>
    <row r="396" spans="1:6" x14ac:dyDescent="0.2">
      <c r="A396">
        <v>364</v>
      </c>
      <c r="B396" t="s">
        <v>457</v>
      </c>
      <c r="C396" s="1">
        <v>45446</v>
      </c>
      <c r="D396" t="s">
        <v>457</v>
      </c>
      <c r="E396">
        <v>10829.581776745101</v>
      </c>
      <c r="F396">
        <v>10829.581776745101</v>
      </c>
    </row>
    <row r="397" spans="1:6" x14ac:dyDescent="0.2">
      <c r="A397">
        <v>365</v>
      </c>
      <c r="B397" t="s">
        <v>458</v>
      </c>
      <c r="C397" s="1">
        <v>45527</v>
      </c>
      <c r="D397" t="s">
        <v>458</v>
      </c>
      <c r="E397">
        <v>29814.781620276601</v>
      </c>
      <c r="F397">
        <v>29814.781620276601</v>
      </c>
    </row>
    <row r="398" spans="1:6" x14ac:dyDescent="0.2">
      <c r="A398">
        <v>366</v>
      </c>
      <c r="B398" t="s">
        <v>459</v>
      </c>
      <c r="C398" s="1">
        <v>45340</v>
      </c>
      <c r="D398" t="s">
        <v>459</v>
      </c>
      <c r="E398">
        <v>201726.23818386599</v>
      </c>
      <c r="F398">
        <v>201726.23818386599</v>
      </c>
    </row>
    <row r="399" spans="1:6" x14ac:dyDescent="0.2">
      <c r="A399">
        <v>367</v>
      </c>
      <c r="B399" t="s">
        <v>460</v>
      </c>
      <c r="C399" s="1">
        <v>45545</v>
      </c>
      <c r="D399" t="s">
        <v>460</v>
      </c>
      <c r="E399">
        <v>1684512.4341400501</v>
      </c>
      <c r="F399">
        <v>1000000</v>
      </c>
    </row>
    <row r="400" spans="1:6" x14ac:dyDescent="0.2">
      <c r="A400">
        <v>367</v>
      </c>
      <c r="B400" t="s">
        <v>461</v>
      </c>
      <c r="C400" s="1">
        <v>45435</v>
      </c>
      <c r="D400" t="s">
        <v>461</v>
      </c>
      <c r="E400">
        <v>68.344715472430707</v>
      </c>
      <c r="F400">
        <v>68.344715472430707</v>
      </c>
    </row>
    <row r="401" spans="1:6" x14ac:dyDescent="0.2">
      <c r="A401">
        <v>368</v>
      </c>
      <c r="B401" t="s">
        <v>462</v>
      </c>
      <c r="C401" s="1">
        <v>45418</v>
      </c>
      <c r="D401" t="s">
        <v>462</v>
      </c>
      <c r="E401">
        <v>2623736.1047459301</v>
      </c>
      <c r="F401">
        <v>1000000</v>
      </c>
    </row>
    <row r="402" spans="1:6" x14ac:dyDescent="0.2">
      <c r="A402">
        <v>368</v>
      </c>
      <c r="B402" t="s">
        <v>463</v>
      </c>
      <c r="C402" s="1">
        <v>45481</v>
      </c>
      <c r="D402" t="s">
        <v>463</v>
      </c>
      <c r="E402">
        <v>6361.0733694329901</v>
      </c>
      <c r="F402">
        <v>6361.0733694329901</v>
      </c>
    </row>
    <row r="403" spans="1:6" x14ac:dyDescent="0.2">
      <c r="A403">
        <v>369</v>
      </c>
      <c r="B403" t="s">
        <v>464</v>
      </c>
      <c r="C403" s="1">
        <v>45411</v>
      </c>
      <c r="D403" t="s">
        <v>464</v>
      </c>
      <c r="E403">
        <v>19739.724044591399</v>
      </c>
      <c r="F403">
        <v>19739.724044591399</v>
      </c>
    </row>
    <row r="404" spans="1:6" x14ac:dyDescent="0.2">
      <c r="A404">
        <v>370</v>
      </c>
      <c r="B404" t="s">
        <v>465</v>
      </c>
      <c r="C404" s="1">
        <v>45407</v>
      </c>
      <c r="D404" t="s">
        <v>465</v>
      </c>
      <c r="E404">
        <v>2517.2008957379198</v>
      </c>
      <c r="F404">
        <v>2517.2008957379198</v>
      </c>
    </row>
    <row r="405" spans="1:6" x14ac:dyDescent="0.2">
      <c r="A405">
        <v>371</v>
      </c>
      <c r="B405" t="s">
        <v>466</v>
      </c>
      <c r="C405" s="1">
        <v>45387</v>
      </c>
      <c r="D405" t="s">
        <v>466</v>
      </c>
      <c r="E405">
        <v>16540.004301845202</v>
      </c>
      <c r="F405">
        <v>16540.004301845202</v>
      </c>
    </row>
    <row r="406" spans="1:6" x14ac:dyDescent="0.2">
      <c r="A406">
        <v>372</v>
      </c>
      <c r="B406" t="s">
        <v>467</v>
      </c>
      <c r="C406" s="1">
        <v>45471</v>
      </c>
      <c r="D406" t="s">
        <v>467</v>
      </c>
      <c r="E406">
        <v>38416347.0602099</v>
      </c>
      <c r="F406">
        <v>1000000</v>
      </c>
    </row>
    <row r="407" spans="1:6" x14ac:dyDescent="0.2">
      <c r="A407">
        <v>374</v>
      </c>
      <c r="B407" t="s">
        <v>468</v>
      </c>
      <c r="C407" s="1">
        <v>45567</v>
      </c>
      <c r="D407" t="s">
        <v>468</v>
      </c>
      <c r="E407">
        <v>2254170.7004765598</v>
      </c>
      <c r="F407">
        <v>1000000</v>
      </c>
    </row>
    <row r="408" spans="1:6" x14ac:dyDescent="0.2">
      <c r="A408">
        <v>375</v>
      </c>
      <c r="B408" t="s">
        <v>469</v>
      </c>
      <c r="C408" s="1">
        <v>45366</v>
      </c>
      <c r="D408" t="s">
        <v>469</v>
      </c>
      <c r="E408">
        <v>392.788234900715</v>
      </c>
      <c r="F408">
        <v>392.788234900715</v>
      </c>
    </row>
    <row r="409" spans="1:6" x14ac:dyDescent="0.2">
      <c r="A409">
        <v>377</v>
      </c>
      <c r="B409" t="s">
        <v>470</v>
      </c>
      <c r="C409" s="1">
        <v>45520</v>
      </c>
      <c r="D409" t="s">
        <v>470</v>
      </c>
      <c r="E409">
        <v>2244.5810660719699</v>
      </c>
      <c r="F409">
        <v>2244.5810660719699</v>
      </c>
    </row>
    <row r="410" spans="1:6" x14ac:dyDescent="0.2">
      <c r="A410">
        <v>378</v>
      </c>
      <c r="B410" t="s">
        <v>471</v>
      </c>
      <c r="C410" s="1">
        <v>45548</v>
      </c>
      <c r="D410" t="s">
        <v>471</v>
      </c>
      <c r="E410">
        <v>21308.5250896053</v>
      </c>
      <c r="F410">
        <v>21308.5250896053</v>
      </c>
    </row>
    <row r="411" spans="1:6" x14ac:dyDescent="0.2">
      <c r="A411">
        <v>378</v>
      </c>
      <c r="B411" t="s">
        <v>472</v>
      </c>
      <c r="C411" s="1">
        <v>45453</v>
      </c>
      <c r="D411" t="s">
        <v>472</v>
      </c>
      <c r="E411">
        <v>3919.60858167899</v>
      </c>
      <c r="F411">
        <v>3919.60858167899</v>
      </c>
    </row>
    <row r="412" spans="1:6" x14ac:dyDescent="0.2">
      <c r="A412">
        <v>379</v>
      </c>
      <c r="B412" t="s">
        <v>473</v>
      </c>
      <c r="C412" s="1">
        <v>45358</v>
      </c>
      <c r="D412" t="s">
        <v>473</v>
      </c>
      <c r="E412">
        <v>2534.3161201473499</v>
      </c>
      <c r="F412">
        <v>2534.3161201473499</v>
      </c>
    </row>
    <row r="413" spans="1:6" x14ac:dyDescent="0.2">
      <c r="A413">
        <v>381</v>
      </c>
      <c r="B413" t="s">
        <v>474</v>
      </c>
      <c r="C413" s="1">
        <v>45547</v>
      </c>
      <c r="D413" t="s">
        <v>474</v>
      </c>
      <c r="E413">
        <v>832.51267890122199</v>
      </c>
      <c r="F413">
        <v>832.51267890122199</v>
      </c>
    </row>
    <row r="414" spans="1:6" x14ac:dyDescent="0.2">
      <c r="A414">
        <v>382</v>
      </c>
      <c r="B414" t="s">
        <v>475</v>
      </c>
      <c r="C414" s="1">
        <v>45295</v>
      </c>
      <c r="D414" t="s">
        <v>475</v>
      </c>
      <c r="E414">
        <v>512604.504115975</v>
      </c>
      <c r="F414">
        <v>512604.504115975</v>
      </c>
    </row>
    <row r="415" spans="1:6" x14ac:dyDescent="0.2">
      <c r="A415">
        <v>383</v>
      </c>
      <c r="B415" t="s">
        <v>476</v>
      </c>
      <c r="C415" s="1">
        <v>45508</v>
      </c>
      <c r="D415" t="s">
        <v>476</v>
      </c>
      <c r="E415">
        <v>2790.2618532080701</v>
      </c>
      <c r="F415">
        <v>2790.2618532080701</v>
      </c>
    </row>
    <row r="416" spans="1:6" x14ac:dyDescent="0.2">
      <c r="A416">
        <v>384</v>
      </c>
      <c r="B416" t="s">
        <v>477</v>
      </c>
      <c r="C416" s="1">
        <v>45504</v>
      </c>
      <c r="D416" t="s">
        <v>477</v>
      </c>
      <c r="E416">
        <v>1748.03873292192</v>
      </c>
      <c r="F416">
        <v>1748.03873292192</v>
      </c>
    </row>
    <row r="417" spans="1:6" x14ac:dyDescent="0.2">
      <c r="A417">
        <v>385</v>
      </c>
      <c r="B417" t="s">
        <v>478</v>
      </c>
      <c r="C417" s="1">
        <v>45540</v>
      </c>
      <c r="D417" t="s">
        <v>478</v>
      </c>
      <c r="E417">
        <v>47877.709289400998</v>
      </c>
      <c r="F417">
        <v>47877.709289400998</v>
      </c>
    </row>
    <row r="418" spans="1:6" x14ac:dyDescent="0.2">
      <c r="A418">
        <v>387</v>
      </c>
      <c r="B418" t="s">
        <v>479</v>
      </c>
      <c r="C418" s="1">
        <v>45578</v>
      </c>
      <c r="D418" t="s">
        <v>479</v>
      </c>
      <c r="E418">
        <v>145290.53253168601</v>
      </c>
      <c r="F418">
        <v>145290.53253168601</v>
      </c>
    </row>
    <row r="419" spans="1:6" x14ac:dyDescent="0.2">
      <c r="A419">
        <v>387</v>
      </c>
      <c r="B419" t="s">
        <v>480</v>
      </c>
      <c r="C419" s="1">
        <v>45489</v>
      </c>
      <c r="D419" t="s">
        <v>480</v>
      </c>
      <c r="E419">
        <v>34134.118307342003</v>
      </c>
      <c r="F419">
        <v>34134.118307342003</v>
      </c>
    </row>
    <row r="420" spans="1:6" x14ac:dyDescent="0.2">
      <c r="A420">
        <v>388</v>
      </c>
      <c r="B420" t="s">
        <v>481</v>
      </c>
      <c r="C420" s="1">
        <v>45596</v>
      </c>
      <c r="D420" t="s">
        <v>481</v>
      </c>
      <c r="E420">
        <v>28836.7937227371</v>
      </c>
      <c r="F420">
        <v>28836.7937227371</v>
      </c>
    </row>
    <row r="421" spans="1:6" x14ac:dyDescent="0.2">
      <c r="A421">
        <v>388</v>
      </c>
      <c r="B421" t="s">
        <v>482</v>
      </c>
      <c r="C421" s="1">
        <v>45542</v>
      </c>
      <c r="D421" t="s">
        <v>482</v>
      </c>
      <c r="E421">
        <v>3631.2609703285998</v>
      </c>
      <c r="F421">
        <v>3631.2609703285998</v>
      </c>
    </row>
    <row r="422" spans="1:6" x14ac:dyDescent="0.2">
      <c r="A422">
        <v>389</v>
      </c>
      <c r="B422" t="s">
        <v>483</v>
      </c>
      <c r="C422" s="1">
        <v>45655</v>
      </c>
      <c r="D422" t="s">
        <v>483</v>
      </c>
      <c r="E422">
        <v>44395.830762670099</v>
      </c>
      <c r="F422">
        <v>44395.830762670099</v>
      </c>
    </row>
    <row r="423" spans="1:6" x14ac:dyDescent="0.2">
      <c r="A423">
        <v>389</v>
      </c>
      <c r="B423" t="s">
        <v>484</v>
      </c>
      <c r="C423" s="1">
        <v>45466</v>
      </c>
      <c r="D423" t="s">
        <v>484</v>
      </c>
      <c r="E423">
        <v>64007.966738583898</v>
      </c>
      <c r="F423">
        <v>64007.966738583898</v>
      </c>
    </row>
    <row r="424" spans="1:6" x14ac:dyDescent="0.2">
      <c r="A424">
        <v>390</v>
      </c>
      <c r="B424" t="s">
        <v>485</v>
      </c>
      <c r="C424" s="1">
        <v>45434</v>
      </c>
      <c r="D424" t="s">
        <v>485</v>
      </c>
      <c r="E424">
        <v>42707.672756061897</v>
      </c>
      <c r="F424">
        <v>42707.672756061897</v>
      </c>
    </row>
    <row r="425" spans="1:6" x14ac:dyDescent="0.2">
      <c r="A425">
        <v>390</v>
      </c>
      <c r="B425" t="s">
        <v>486</v>
      </c>
      <c r="C425" s="1">
        <v>45638</v>
      </c>
      <c r="D425" t="s">
        <v>486</v>
      </c>
      <c r="E425">
        <v>55901.709586871199</v>
      </c>
      <c r="F425">
        <v>55901.709586871199</v>
      </c>
    </row>
    <row r="426" spans="1:6" x14ac:dyDescent="0.2">
      <c r="A426">
        <v>392</v>
      </c>
      <c r="B426" t="s">
        <v>487</v>
      </c>
      <c r="C426" s="1">
        <v>45612</v>
      </c>
      <c r="D426" t="s">
        <v>487</v>
      </c>
      <c r="E426">
        <v>231541.091371755</v>
      </c>
      <c r="F426">
        <v>231541.091371755</v>
      </c>
    </row>
    <row r="427" spans="1:6" x14ac:dyDescent="0.2">
      <c r="A427">
        <v>393</v>
      </c>
      <c r="B427" t="s">
        <v>488</v>
      </c>
      <c r="C427" s="1">
        <v>45505</v>
      </c>
      <c r="D427" t="s">
        <v>488</v>
      </c>
      <c r="E427">
        <v>21878.7119352064</v>
      </c>
      <c r="F427">
        <v>21878.7119352064</v>
      </c>
    </row>
    <row r="428" spans="1:6" x14ac:dyDescent="0.2">
      <c r="A428">
        <v>394</v>
      </c>
      <c r="B428" t="s">
        <v>489</v>
      </c>
      <c r="C428" s="1">
        <v>45300</v>
      </c>
      <c r="D428" t="s">
        <v>489</v>
      </c>
      <c r="E428">
        <v>25341.549048067802</v>
      </c>
      <c r="F428">
        <v>25341.549048067802</v>
      </c>
    </row>
    <row r="429" spans="1:6" x14ac:dyDescent="0.2">
      <c r="A429">
        <v>395</v>
      </c>
      <c r="B429" t="s">
        <v>490</v>
      </c>
      <c r="C429" s="1">
        <v>45323</v>
      </c>
      <c r="D429" t="s">
        <v>490</v>
      </c>
      <c r="E429">
        <v>27154.517248999899</v>
      </c>
      <c r="F429">
        <v>27154.517248999899</v>
      </c>
    </row>
    <row r="430" spans="1:6" x14ac:dyDescent="0.2">
      <c r="A430">
        <v>395</v>
      </c>
      <c r="B430" t="s">
        <v>491</v>
      </c>
      <c r="C430" s="1">
        <v>45600</v>
      </c>
      <c r="D430" t="s">
        <v>491</v>
      </c>
      <c r="E430">
        <v>86.0201588473805</v>
      </c>
      <c r="F430">
        <v>86.0201588473805</v>
      </c>
    </row>
    <row r="431" spans="1:6" x14ac:dyDescent="0.2">
      <c r="A431">
        <v>396</v>
      </c>
      <c r="B431" t="s">
        <v>492</v>
      </c>
      <c r="C431" s="1">
        <v>45406</v>
      </c>
      <c r="D431" t="s">
        <v>492</v>
      </c>
      <c r="E431">
        <v>17455.029325947598</v>
      </c>
      <c r="F431">
        <v>17455.029325947598</v>
      </c>
    </row>
    <row r="432" spans="1:6" x14ac:dyDescent="0.2">
      <c r="A432">
        <v>396</v>
      </c>
      <c r="B432" t="s">
        <v>493</v>
      </c>
      <c r="C432" s="1">
        <v>45572</v>
      </c>
      <c r="D432" t="s">
        <v>493</v>
      </c>
      <c r="E432">
        <v>3853.7341191149098</v>
      </c>
      <c r="F432">
        <v>3853.7341191149098</v>
      </c>
    </row>
    <row r="433" spans="1:6" x14ac:dyDescent="0.2">
      <c r="A433">
        <v>397</v>
      </c>
      <c r="B433" t="s">
        <v>494</v>
      </c>
      <c r="C433" s="1">
        <v>45423</v>
      </c>
      <c r="D433" t="s">
        <v>494</v>
      </c>
      <c r="E433">
        <v>245.64938042359699</v>
      </c>
      <c r="F433">
        <v>245.64938042359699</v>
      </c>
    </row>
    <row r="434" spans="1:6" x14ac:dyDescent="0.2">
      <c r="A434">
        <v>397</v>
      </c>
      <c r="B434" t="s">
        <v>495</v>
      </c>
      <c r="C434" s="1">
        <v>45500</v>
      </c>
      <c r="D434" t="s">
        <v>495</v>
      </c>
      <c r="E434">
        <v>808.79839491980294</v>
      </c>
      <c r="F434">
        <v>808.79839491980294</v>
      </c>
    </row>
    <row r="435" spans="1:6" x14ac:dyDescent="0.2">
      <c r="A435">
        <v>398</v>
      </c>
      <c r="B435" t="s">
        <v>496</v>
      </c>
      <c r="C435" s="1">
        <v>45643</v>
      </c>
      <c r="D435" t="s">
        <v>496</v>
      </c>
      <c r="E435">
        <v>189606.57297017801</v>
      </c>
      <c r="F435">
        <v>189606.57297017801</v>
      </c>
    </row>
    <row r="436" spans="1:6" x14ac:dyDescent="0.2">
      <c r="A436">
        <v>398</v>
      </c>
      <c r="B436" t="s">
        <v>497</v>
      </c>
      <c r="C436" s="1">
        <v>45417</v>
      </c>
      <c r="D436" t="s">
        <v>497</v>
      </c>
      <c r="E436">
        <v>3439.5777339605902</v>
      </c>
      <c r="F436">
        <v>3439.5777339605902</v>
      </c>
    </row>
    <row r="437" spans="1:6" x14ac:dyDescent="0.2">
      <c r="A437">
        <v>399</v>
      </c>
      <c r="B437" t="s">
        <v>498</v>
      </c>
      <c r="C437" s="1">
        <v>45644</v>
      </c>
      <c r="D437" t="s">
        <v>498</v>
      </c>
      <c r="E437">
        <v>34175.064058081101</v>
      </c>
      <c r="F437">
        <v>34175.064058081101</v>
      </c>
    </row>
    <row r="438" spans="1:6" x14ac:dyDescent="0.2">
      <c r="A438">
        <v>399</v>
      </c>
      <c r="B438" t="s">
        <v>499</v>
      </c>
      <c r="C438" s="1">
        <v>45406</v>
      </c>
      <c r="D438" t="s">
        <v>499</v>
      </c>
      <c r="E438">
        <v>22190746.733320098</v>
      </c>
      <c r="F438">
        <v>1000000</v>
      </c>
    </row>
    <row r="439" spans="1:6" x14ac:dyDescent="0.2">
      <c r="A439">
        <v>402</v>
      </c>
      <c r="B439" t="s">
        <v>500</v>
      </c>
      <c r="C439" s="1">
        <v>45625</v>
      </c>
      <c r="D439" t="s">
        <v>500</v>
      </c>
      <c r="E439">
        <v>8809.5450751545395</v>
      </c>
      <c r="F439">
        <v>8809.5450751545395</v>
      </c>
    </row>
    <row r="440" spans="1:6" x14ac:dyDescent="0.2">
      <c r="A440">
        <v>402</v>
      </c>
      <c r="B440" t="s">
        <v>501</v>
      </c>
      <c r="C440" s="1">
        <v>45426</v>
      </c>
      <c r="D440" t="s">
        <v>501</v>
      </c>
      <c r="E440">
        <v>4673.7716137015896</v>
      </c>
      <c r="F440">
        <v>4673.7716137015896</v>
      </c>
    </row>
    <row r="441" spans="1:6" x14ac:dyDescent="0.2">
      <c r="A441">
        <v>404</v>
      </c>
      <c r="B441" t="s">
        <v>502</v>
      </c>
      <c r="C441" s="1">
        <v>45507</v>
      </c>
      <c r="D441" t="s">
        <v>502</v>
      </c>
      <c r="E441">
        <v>725462.99082128005</v>
      </c>
      <c r="F441">
        <v>725462.99082128005</v>
      </c>
    </row>
    <row r="442" spans="1:6" x14ac:dyDescent="0.2">
      <c r="A442">
        <v>405</v>
      </c>
      <c r="B442" t="s">
        <v>503</v>
      </c>
      <c r="C442" s="1">
        <v>45571</v>
      </c>
      <c r="D442" t="s">
        <v>503</v>
      </c>
      <c r="E442">
        <v>233608.249269908</v>
      </c>
      <c r="F442">
        <v>233608.249269908</v>
      </c>
    </row>
    <row r="443" spans="1:6" x14ac:dyDescent="0.2">
      <c r="A443">
        <v>406</v>
      </c>
      <c r="B443" t="s">
        <v>504</v>
      </c>
      <c r="C443" s="1">
        <v>45337</v>
      </c>
      <c r="D443" t="s">
        <v>504</v>
      </c>
      <c r="E443">
        <v>5489.6785906154</v>
      </c>
      <c r="F443">
        <v>5489.6785906154</v>
      </c>
    </row>
    <row r="444" spans="1:6" x14ac:dyDescent="0.2">
      <c r="A444">
        <v>407</v>
      </c>
      <c r="B444" t="s">
        <v>505</v>
      </c>
      <c r="C444" s="1">
        <v>45340</v>
      </c>
      <c r="D444" t="s">
        <v>505</v>
      </c>
      <c r="E444">
        <v>167257.06954470399</v>
      </c>
      <c r="F444">
        <v>167257.06954470399</v>
      </c>
    </row>
    <row r="445" spans="1:6" x14ac:dyDescent="0.2">
      <c r="A445">
        <v>408</v>
      </c>
      <c r="B445" t="s">
        <v>506</v>
      </c>
      <c r="C445" s="1">
        <v>45368</v>
      </c>
      <c r="D445" t="s">
        <v>506</v>
      </c>
      <c r="E445">
        <v>1863.77110332849</v>
      </c>
      <c r="F445">
        <v>1863.77110332849</v>
      </c>
    </row>
    <row r="446" spans="1:6" x14ac:dyDescent="0.2">
      <c r="A446">
        <v>408</v>
      </c>
      <c r="B446" t="s">
        <v>507</v>
      </c>
      <c r="C446" s="1">
        <v>45502</v>
      </c>
      <c r="D446" t="s">
        <v>507</v>
      </c>
      <c r="E446">
        <v>839.12870955402195</v>
      </c>
      <c r="F446">
        <v>839.12870955402195</v>
      </c>
    </row>
    <row r="447" spans="1:6" x14ac:dyDescent="0.2">
      <c r="A447">
        <v>409</v>
      </c>
      <c r="B447" t="s">
        <v>508</v>
      </c>
      <c r="C447" s="1">
        <v>45311</v>
      </c>
      <c r="D447" t="s">
        <v>508</v>
      </c>
      <c r="E447">
        <v>1192.49913152672</v>
      </c>
      <c r="F447">
        <v>1192.49913152672</v>
      </c>
    </row>
    <row r="448" spans="1:6" x14ac:dyDescent="0.2">
      <c r="A448">
        <v>410</v>
      </c>
      <c r="B448" t="s">
        <v>509</v>
      </c>
      <c r="C448" s="1">
        <v>45537</v>
      </c>
      <c r="D448" t="s">
        <v>509</v>
      </c>
      <c r="E448">
        <v>382.48859770090701</v>
      </c>
      <c r="F448">
        <v>382.48859770090701</v>
      </c>
    </row>
    <row r="449" spans="1:6" x14ac:dyDescent="0.2">
      <c r="A449">
        <v>411</v>
      </c>
      <c r="B449" t="s">
        <v>510</v>
      </c>
      <c r="C449" s="1">
        <v>45504</v>
      </c>
      <c r="D449" t="s">
        <v>510</v>
      </c>
      <c r="E449">
        <v>169942.01586765499</v>
      </c>
      <c r="F449">
        <v>169942.01586765499</v>
      </c>
    </row>
    <row r="450" spans="1:6" x14ac:dyDescent="0.2">
      <c r="A450">
        <v>413</v>
      </c>
      <c r="B450" t="s">
        <v>511</v>
      </c>
      <c r="C450" s="1">
        <v>45333</v>
      </c>
      <c r="D450" t="s">
        <v>511</v>
      </c>
      <c r="E450">
        <v>1110.54240204434</v>
      </c>
      <c r="F450">
        <v>1110.54240204434</v>
      </c>
    </row>
    <row r="451" spans="1:6" x14ac:dyDescent="0.2">
      <c r="A451">
        <v>413</v>
      </c>
      <c r="B451" t="s">
        <v>512</v>
      </c>
      <c r="C451" s="1">
        <v>45430</v>
      </c>
      <c r="D451" t="s">
        <v>512</v>
      </c>
      <c r="E451">
        <v>972.75754549221801</v>
      </c>
      <c r="F451">
        <v>972.75754549221801</v>
      </c>
    </row>
    <row r="452" spans="1:6" x14ac:dyDescent="0.2">
      <c r="A452">
        <v>414</v>
      </c>
      <c r="B452" t="s">
        <v>513</v>
      </c>
      <c r="C452" s="1">
        <v>45494</v>
      </c>
      <c r="D452" t="s">
        <v>513</v>
      </c>
      <c r="E452">
        <v>185.597871480051</v>
      </c>
      <c r="F452">
        <v>185.597871480051</v>
      </c>
    </row>
    <row r="453" spans="1:6" x14ac:dyDescent="0.2">
      <c r="A453">
        <v>415</v>
      </c>
      <c r="B453" t="s">
        <v>514</v>
      </c>
      <c r="C453" s="1">
        <v>45533</v>
      </c>
      <c r="D453" t="s">
        <v>514</v>
      </c>
      <c r="E453">
        <v>499678.598220293</v>
      </c>
      <c r="F453">
        <v>499678.598220293</v>
      </c>
    </row>
    <row r="454" spans="1:6" x14ac:dyDescent="0.2">
      <c r="A454">
        <v>415</v>
      </c>
      <c r="B454" t="s">
        <v>515</v>
      </c>
      <c r="C454" s="1">
        <v>45514</v>
      </c>
      <c r="D454" t="s">
        <v>515</v>
      </c>
      <c r="E454">
        <v>46591.677416708801</v>
      </c>
      <c r="F454">
        <v>46591.677416708801</v>
      </c>
    </row>
    <row r="455" spans="1:6" x14ac:dyDescent="0.2">
      <c r="A455">
        <v>416</v>
      </c>
      <c r="B455" t="s">
        <v>516</v>
      </c>
      <c r="C455" s="1">
        <v>45328</v>
      </c>
      <c r="D455" t="s">
        <v>516</v>
      </c>
      <c r="E455">
        <v>2708.2789113927802</v>
      </c>
      <c r="F455">
        <v>2708.2789113927802</v>
      </c>
    </row>
    <row r="456" spans="1:6" x14ac:dyDescent="0.2">
      <c r="A456">
        <v>416</v>
      </c>
      <c r="B456" t="s">
        <v>517</v>
      </c>
      <c r="C456" s="1">
        <v>45652</v>
      </c>
      <c r="D456" t="s">
        <v>517</v>
      </c>
      <c r="E456">
        <v>6.81792368971192</v>
      </c>
      <c r="F456">
        <v>6.81792368971192</v>
      </c>
    </row>
    <row r="457" spans="1:6" x14ac:dyDescent="0.2">
      <c r="A457">
        <v>418</v>
      </c>
      <c r="B457" t="s">
        <v>518</v>
      </c>
      <c r="C457" s="1">
        <v>45340</v>
      </c>
      <c r="D457" t="s">
        <v>518</v>
      </c>
      <c r="E457">
        <v>1702.41711677432</v>
      </c>
      <c r="F457">
        <v>1702.41711677432</v>
      </c>
    </row>
    <row r="458" spans="1:6" x14ac:dyDescent="0.2">
      <c r="A458">
        <v>419</v>
      </c>
      <c r="B458" t="s">
        <v>519</v>
      </c>
      <c r="C458" s="1">
        <v>45441</v>
      </c>
      <c r="D458" t="s">
        <v>519</v>
      </c>
      <c r="E458">
        <v>89957.792569983299</v>
      </c>
      <c r="F458">
        <v>89957.792569983299</v>
      </c>
    </row>
    <row r="459" spans="1:6" x14ac:dyDescent="0.2">
      <c r="A459">
        <v>420</v>
      </c>
      <c r="B459" t="s">
        <v>520</v>
      </c>
      <c r="C459" s="1">
        <v>45565</v>
      </c>
      <c r="D459" t="s">
        <v>520</v>
      </c>
      <c r="E459">
        <v>137450.051918552</v>
      </c>
      <c r="F459">
        <v>137450.051918552</v>
      </c>
    </row>
    <row r="460" spans="1:6" x14ac:dyDescent="0.2">
      <c r="A460">
        <v>420</v>
      </c>
      <c r="B460" t="s">
        <v>521</v>
      </c>
      <c r="C460" s="1">
        <v>45418</v>
      </c>
      <c r="D460" t="s">
        <v>521</v>
      </c>
      <c r="E460">
        <v>39637.933595479102</v>
      </c>
      <c r="F460">
        <v>39637.933595479102</v>
      </c>
    </row>
    <row r="461" spans="1:6" x14ac:dyDescent="0.2">
      <c r="A461">
        <v>421</v>
      </c>
      <c r="B461" t="s">
        <v>522</v>
      </c>
      <c r="C461" s="1">
        <v>45465</v>
      </c>
      <c r="D461" t="s">
        <v>522</v>
      </c>
      <c r="E461">
        <v>146947.679412953</v>
      </c>
      <c r="F461">
        <v>146947.679412953</v>
      </c>
    </row>
    <row r="462" spans="1:6" x14ac:dyDescent="0.2">
      <c r="A462">
        <v>422</v>
      </c>
      <c r="B462" t="s">
        <v>523</v>
      </c>
      <c r="C462" s="1">
        <v>45596</v>
      </c>
      <c r="D462" t="s">
        <v>523</v>
      </c>
      <c r="E462">
        <v>13463.397522704699</v>
      </c>
      <c r="F462">
        <v>13463.397522704699</v>
      </c>
    </row>
    <row r="463" spans="1:6" x14ac:dyDescent="0.2">
      <c r="A463">
        <v>423</v>
      </c>
      <c r="B463" t="s">
        <v>524</v>
      </c>
      <c r="C463" s="1">
        <v>45489</v>
      </c>
      <c r="D463" t="s">
        <v>524</v>
      </c>
      <c r="E463">
        <v>1462585.0628253601</v>
      </c>
      <c r="F463">
        <v>1000000</v>
      </c>
    </row>
    <row r="464" spans="1:6" x14ac:dyDescent="0.2">
      <c r="A464">
        <v>424</v>
      </c>
      <c r="B464" t="s">
        <v>525</v>
      </c>
      <c r="C464" s="1">
        <v>45448</v>
      </c>
      <c r="D464" t="s">
        <v>525</v>
      </c>
      <c r="E464">
        <v>1758.97741738164</v>
      </c>
      <c r="F464">
        <v>1758.97741738164</v>
      </c>
    </row>
    <row r="465" spans="1:6" x14ac:dyDescent="0.2">
      <c r="A465">
        <v>426</v>
      </c>
      <c r="B465" t="s">
        <v>526</v>
      </c>
      <c r="C465" s="1">
        <v>45657</v>
      </c>
      <c r="D465" t="s">
        <v>526</v>
      </c>
      <c r="E465">
        <v>43724.808480536303</v>
      </c>
      <c r="F465">
        <v>43724.808480536303</v>
      </c>
    </row>
    <row r="466" spans="1:6" x14ac:dyDescent="0.2">
      <c r="A466">
        <v>427</v>
      </c>
      <c r="B466" t="s">
        <v>527</v>
      </c>
      <c r="C466" s="1">
        <v>45473</v>
      </c>
      <c r="D466" t="s">
        <v>527</v>
      </c>
      <c r="E466">
        <v>1153.16017223626</v>
      </c>
      <c r="F466">
        <v>1153.16017223626</v>
      </c>
    </row>
    <row r="467" spans="1:6" x14ac:dyDescent="0.2">
      <c r="A467">
        <v>428</v>
      </c>
      <c r="B467" t="s">
        <v>528</v>
      </c>
      <c r="C467" s="1">
        <v>45337</v>
      </c>
      <c r="D467" t="s">
        <v>528</v>
      </c>
      <c r="E467">
        <v>77641.302356685395</v>
      </c>
      <c r="F467">
        <v>77641.302356685395</v>
      </c>
    </row>
    <row r="468" spans="1:6" x14ac:dyDescent="0.2">
      <c r="A468">
        <v>429</v>
      </c>
      <c r="B468" t="s">
        <v>529</v>
      </c>
      <c r="C468" s="1">
        <v>45453</v>
      </c>
      <c r="D468" t="s">
        <v>529</v>
      </c>
      <c r="E468">
        <v>607.40413690755304</v>
      </c>
      <c r="F468">
        <v>607.40413690755304</v>
      </c>
    </row>
    <row r="469" spans="1:6" x14ac:dyDescent="0.2">
      <c r="A469">
        <v>429</v>
      </c>
      <c r="B469" t="s">
        <v>530</v>
      </c>
      <c r="C469" s="1">
        <v>45498</v>
      </c>
      <c r="D469" t="s">
        <v>530</v>
      </c>
      <c r="E469">
        <v>54197.751462970598</v>
      </c>
      <c r="F469">
        <v>54197.751462970598</v>
      </c>
    </row>
    <row r="470" spans="1:6" x14ac:dyDescent="0.2">
      <c r="A470">
        <v>432</v>
      </c>
      <c r="B470" t="s">
        <v>531</v>
      </c>
      <c r="C470" s="1">
        <v>45552</v>
      </c>
      <c r="D470" t="s">
        <v>531</v>
      </c>
      <c r="E470">
        <v>3493.5773045535102</v>
      </c>
      <c r="F470">
        <v>3493.5773045535102</v>
      </c>
    </row>
    <row r="471" spans="1:6" x14ac:dyDescent="0.2">
      <c r="A471">
        <v>433</v>
      </c>
      <c r="B471" t="s">
        <v>532</v>
      </c>
      <c r="C471" s="1">
        <v>45532</v>
      </c>
      <c r="D471" t="s">
        <v>532</v>
      </c>
      <c r="E471">
        <v>727.28663072414599</v>
      </c>
      <c r="F471">
        <v>727.28663072414599</v>
      </c>
    </row>
    <row r="472" spans="1:6" x14ac:dyDescent="0.2">
      <c r="A472">
        <v>435</v>
      </c>
      <c r="B472" t="s">
        <v>533</v>
      </c>
      <c r="C472" s="1">
        <v>45546</v>
      </c>
      <c r="D472" t="s">
        <v>533</v>
      </c>
      <c r="E472">
        <v>10323.445427230399</v>
      </c>
      <c r="F472">
        <v>10323.445427230399</v>
      </c>
    </row>
    <row r="473" spans="1:6" x14ac:dyDescent="0.2">
      <c r="A473">
        <v>435</v>
      </c>
      <c r="B473" t="s">
        <v>534</v>
      </c>
      <c r="C473" s="1">
        <v>45609</v>
      </c>
      <c r="D473" t="s">
        <v>534</v>
      </c>
      <c r="E473">
        <v>197380.881299806</v>
      </c>
      <c r="F473">
        <v>197380.881299806</v>
      </c>
    </row>
    <row r="474" spans="1:6" x14ac:dyDescent="0.2">
      <c r="A474">
        <v>436</v>
      </c>
      <c r="B474" t="s">
        <v>535</v>
      </c>
      <c r="C474" s="1">
        <v>45392</v>
      </c>
      <c r="D474" t="s">
        <v>535</v>
      </c>
      <c r="E474">
        <v>153.80547170121201</v>
      </c>
      <c r="F474">
        <v>153.80547170121201</v>
      </c>
    </row>
    <row r="475" spans="1:6" x14ac:dyDescent="0.2">
      <c r="A475">
        <v>437</v>
      </c>
      <c r="B475" t="s">
        <v>536</v>
      </c>
      <c r="C475" s="1">
        <v>45476</v>
      </c>
      <c r="D475" t="s">
        <v>536</v>
      </c>
      <c r="E475">
        <v>135725.64137450201</v>
      </c>
      <c r="F475">
        <v>135725.64137450201</v>
      </c>
    </row>
    <row r="476" spans="1:6" x14ac:dyDescent="0.2">
      <c r="A476">
        <v>437</v>
      </c>
      <c r="B476" t="s">
        <v>537</v>
      </c>
      <c r="C476" s="1">
        <v>45641</v>
      </c>
      <c r="D476" t="s">
        <v>537</v>
      </c>
      <c r="E476">
        <v>16868.5850393045</v>
      </c>
      <c r="F476">
        <v>16868.5850393045</v>
      </c>
    </row>
    <row r="477" spans="1:6" x14ac:dyDescent="0.2">
      <c r="A477">
        <v>438</v>
      </c>
      <c r="B477" t="s">
        <v>538</v>
      </c>
      <c r="C477" s="1">
        <v>45517</v>
      </c>
      <c r="D477" t="s">
        <v>538</v>
      </c>
      <c r="E477">
        <v>4617.4073198792403</v>
      </c>
      <c r="F477">
        <v>4617.4073198792403</v>
      </c>
    </row>
    <row r="478" spans="1:6" x14ac:dyDescent="0.2">
      <c r="A478">
        <v>439</v>
      </c>
      <c r="B478" t="s">
        <v>539</v>
      </c>
      <c r="C478" s="1">
        <v>45620</v>
      </c>
      <c r="D478" t="s">
        <v>539</v>
      </c>
      <c r="E478">
        <v>4996.8219211142004</v>
      </c>
      <c r="F478">
        <v>4996.8219211142004</v>
      </c>
    </row>
    <row r="479" spans="1:6" x14ac:dyDescent="0.2">
      <c r="A479">
        <v>439</v>
      </c>
      <c r="B479" t="s">
        <v>540</v>
      </c>
      <c r="C479" s="1">
        <v>45609</v>
      </c>
      <c r="D479" t="s">
        <v>540</v>
      </c>
      <c r="E479">
        <v>4219686.73256063</v>
      </c>
      <c r="F479">
        <v>1000000</v>
      </c>
    </row>
    <row r="480" spans="1:6" x14ac:dyDescent="0.2">
      <c r="A480">
        <v>440</v>
      </c>
      <c r="B480" t="s">
        <v>541</v>
      </c>
      <c r="C480" s="1">
        <v>45323</v>
      </c>
      <c r="D480" t="s">
        <v>541</v>
      </c>
      <c r="E480">
        <v>7126.9563302753504</v>
      </c>
      <c r="F480">
        <v>7126.9563302753504</v>
      </c>
    </row>
    <row r="481" spans="1:6" x14ac:dyDescent="0.2">
      <c r="A481">
        <v>440</v>
      </c>
      <c r="B481" t="s">
        <v>542</v>
      </c>
      <c r="C481" s="1">
        <v>45393</v>
      </c>
      <c r="D481" t="s">
        <v>542</v>
      </c>
      <c r="E481">
        <v>4821548.3345839297</v>
      </c>
      <c r="F481">
        <v>1000000</v>
      </c>
    </row>
    <row r="482" spans="1:6" x14ac:dyDescent="0.2">
      <c r="A482">
        <v>441</v>
      </c>
      <c r="B482" t="s">
        <v>543</v>
      </c>
      <c r="C482" s="1">
        <v>45420</v>
      </c>
      <c r="D482" t="s">
        <v>543</v>
      </c>
      <c r="E482">
        <v>422092.53797307698</v>
      </c>
      <c r="F482">
        <v>422092.53797307698</v>
      </c>
    </row>
    <row r="483" spans="1:6" x14ac:dyDescent="0.2">
      <c r="A483">
        <v>441</v>
      </c>
      <c r="B483" t="s">
        <v>544</v>
      </c>
      <c r="C483" s="1">
        <v>45362</v>
      </c>
      <c r="D483" t="s">
        <v>544</v>
      </c>
      <c r="E483">
        <v>3869.7438364946902</v>
      </c>
      <c r="F483">
        <v>3869.7438364946902</v>
      </c>
    </row>
    <row r="484" spans="1:6" x14ac:dyDescent="0.2">
      <c r="A484">
        <v>442</v>
      </c>
      <c r="B484" t="s">
        <v>545</v>
      </c>
      <c r="C484" s="1">
        <v>45327</v>
      </c>
      <c r="D484" t="s">
        <v>545</v>
      </c>
      <c r="E484">
        <v>188904.119010875</v>
      </c>
      <c r="F484">
        <v>188904.119010875</v>
      </c>
    </row>
    <row r="485" spans="1:6" x14ac:dyDescent="0.2">
      <c r="A485">
        <v>443</v>
      </c>
      <c r="B485" t="s">
        <v>546</v>
      </c>
      <c r="C485" s="1">
        <v>45574</v>
      </c>
      <c r="D485" t="s">
        <v>546</v>
      </c>
      <c r="E485">
        <v>439915.361802336</v>
      </c>
      <c r="F485">
        <v>439915.361802336</v>
      </c>
    </row>
    <row r="486" spans="1:6" x14ac:dyDescent="0.2">
      <c r="A486">
        <v>444</v>
      </c>
      <c r="B486" t="s">
        <v>547</v>
      </c>
      <c r="C486" s="1">
        <v>45324</v>
      </c>
      <c r="D486" t="s">
        <v>547</v>
      </c>
      <c r="E486">
        <v>2133.4176081904102</v>
      </c>
      <c r="F486">
        <v>2133.4176081904102</v>
      </c>
    </row>
    <row r="487" spans="1:6" x14ac:dyDescent="0.2">
      <c r="A487">
        <v>444</v>
      </c>
      <c r="B487" t="s">
        <v>548</v>
      </c>
      <c r="C487" s="1">
        <v>45397</v>
      </c>
      <c r="D487" t="s">
        <v>548</v>
      </c>
      <c r="E487">
        <v>60.217075927980503</v>
      </c>
      <c r="F487">
        <v>60.217075927980503</v>
      </c>
    </row>
    <row r="488" spans="1:6" x14ac:dyDescent="0.2">
      <c r="A488">
        <v>446</v>
      </c>
      <c r="B488" t="s">
        <v>549</v>
      </c>
      <c r="C488" s="1">
        <v>45634</v>
      </c>
      <c r="D488" t="s">
        <v>549</v>
      </c>
      <c r="E488">
        <v>1178.76189080277</v>
      </c>
      <c r="F488">
        <v>1178.76189080277</v>
      </c>
    </row>
    <row r="489" spans="1:6" x14ac:dyDescent="0.2">
      <c r="A489">
        <v>447</v>
      </c>
      <c r="B489" t="s">
        <v>550</v>
      </c>
      <c r="C489" s="1">
        <v>45481</v>
      </c>
      <c r="D489" t="s">
        <v>550</v>
      </c>
      <c r="E489">
        <v>979.56515668742702</v>
      </c>
      <c r="F489">
        <v>979.56515668742702</v>
      </c>
    </row>
    <row r="490" spans="1:6" x14ac:dyDescent="0.2">
      <c r="A490">
        <v>448</v>
      </c>
      <c r="B490" t="s">
        <v>551</v>
      </c>
      <c r="C490" s="1">
        <v>45370</v>
      </c>
      <c r="D490" t="s">
        <v>551</v>
      </c>
      <c r="E490">
        <v>310479.52048084699</v>
      </c>
      <c r="F490">
        <v>310479.52048084699</v>
      </c>
    </row>
    <row r="491" spans="1:6" x14ac:dyDescent="0.2">
      <c r="A491">
        <v>448</v>
      </c>
      <c r="B491" t="s">
        <v>552</v>
      </c>
      <c r="C491" s="1">
        <v>45515</v>
      </c>
      <c r="D491" t="s">
        <v>552</v>
      </c>
      <c r="E491">
        <v>24733.388944265502</v>
      </c>
      <c r="F491">
        <v>24733.388944265502</v>
      </c>
    </row>
    <row r="492" spans="1:6" x14ac:dyDescent="0.2">
      <c r="A492">
        <v>449</v>
      </c>
      <c r="B492" t="s">
        <v>553</v>
      </c>
      <c r="C492" s="1">
        <v>45653</v>
      </c>
      <c r="D492" t="s">
        <v>553</v>
      </c>
      <c r="E492">
        <v>158.00225444967299</v>
      </c>
      <c r="F492">
        <v>158.00225444967299</v>
      </c>
    </row>
    <row r="493" spans="1:6" x14ac:dyDescent="0.2">
      <c r="A493">
        <v>450</v>
      </c>
      <c r="B493" t="s">
        <v>554</v>
      </c>
      <c r="C493" s="1">
        <v>45380</v>
      </c>
      <c r="D493" t="s">
        <v>554</v>
      </c>
      <c r="E493">
        <v>3838.3389088910499</v>
      </c>
      <c r="F493">
        <v>3838.3389088910499</v>
      </c>
    </row>
    <row r="494" spans="1:6" x14ac:dyDescent="0.2">
      <c r="A494">
        <v>451</v>
      </c>
      <c r="B494" t="s">
        <v>555</v>
      </c>
      <c r="C494" s="1">
        <v>45570</v>
      </c>
      <c r="D494" t="s">
        <v>555</v>
      </c>
      <c r="E494">
        <v>112925.07359271101</v>
      </c>
      <c r="F494">
        <v>112925.07359271101</v>
      </c>
    </row>
    <row r="495" spans="1:6" x14ac:dyDescent="0.2">
      <c r="A495">
        <v>452</v>
      </c>
      <c r="B495" t="s">
        <v>556</v>
      </c>
      <c r="C495" s="1">
        <v>45414</v>
      </c>
      <c r="D495" t="s">
        <v>556</v>
      </c>
      <c r="E495">
        <v>103021.229816059</v>
      </c>
      <c r="F495">
        <v>103021.229816059</v>
      </c>
    </row>
    <row r="496" spans="1:6" x14ac:dyDescent="0.2">
      <c r="A496">
        <v>453</v>
      </c>
      <c r="B496" t="s">
        <v>557</v>
      </c>
      <c r="C496" s="1">
        <v>45546</v>
      </c>
      <c r="D496" t="s">
        <v>557</v>
      </c>
      <c r="E496">
        <v>4655.9544406371697</v>
      </c>
      <c r="F496">
        <v>4655.9544406371697</v>
      </c>
    </row>
    <row r="497" spans="1:6" x14ac:dyDescent="0.2">
      <c r="A497">
        <v>453</v>
      </c>
      <c r="B497" t="s">
        <v>558</v>
      </c>
      <c r="C497" s="1">
        <v>45479</v>
      </c>
      <c r="D497" t="s">
        <v>558</v>
      </c>
      <c r="E497">
        <v>356412.54388332099</v>
      </c>
      <c r="F497">
        <v>356412.54388332099</v>
      </c>
    </row>
    <row r="498" spans="1:6" x14ac:dyDescent="0.2">
      <c r="A498">
        <v>454</v>
      </c>
      <c r="B498" t="s">
        <v>559</v>
      </c>
      <c r="C498" s="1">
        <v>45575</v>
      </c>
      <c r="D498" t="s">
        <v>559</v>
      </c>
      <c r="E498">
        <v>692.63030874108597</v>
      </c>
      <c r="F498">
        <v>692.63030874108597</v>
      </c>
    </row>
    <row r="499" spans="1:6" x14ac:dyDescent="0.2">
      <c r="A499">
        <v>454</v>
      </c>
      <c r="B499" t="s">
        <v>560</v>
      </c>
      <c r="C499" s="1">
        <v>45496</v>
      </c>
      <c r="D499" t="s">
        <v>560</v>
      </c>
      <c r="E499">
        <v>109827.437001536</v>
      </c>
      <c r="F499">
        <v>109827.437001536</v>
      </c>
    </row>
    <row r="500" spans="1:6" x14ac:dyDescent="0.2">
      <c r="A500">
        <v>455</v>
      </c>
      <c r="B500" t="s">
        <v>561</v>
      </c>
      <c r="C500" s="1">
        <v>45598</v>
      </c>
      <c r="D500" t="s">
        <v>561</v>
      </c>
      <c r="E500">
        <v>13661.731208564899</v>
      </c>
      <c r="F500">
        <v>13661.731208564899</v>
      </c>
    </row>
    <row r="501" spans="1:6" x14ac:dyDescent="0.2">
      <c r="A501">
        <v>455</v>
      </c>
      <c r="B501" t="s">
        <v>562</v>
      </c>
      <c r="C501" s="1">
        <v>45322</v>
      </c>
      <c r="D501" t="s">
        <v>562</v>
      </c>
      <c r="E501">
        <v>14979.1275279478</v>
      </c>
      <c r="F501">
        <v>14979.1275279478</v>
      </c>
    </row>
    <row r="502" spans="1:6" x14ac:dyDescent="0.2">
      <c r="A502">
        <v>458</v>
      </c>
      <c r="B502" t="s">
        <v>563</v>
      </c>
      <c r="C502" s="1">
        <v>45366</v>
      </c>
      <c r="D502" t="s">
        <v>563</v>
      </c>
      <c r="E502">
        <v>160.20076003075201</v>
      </c>
      <c r="F502">
        <v>160.20076003075201</v>
      </c>
    </row>
    <row r="503" spans="1:6" x14ac:dyDescent="0.2">
      <c r="A503">
        <v>459</v>
      </c>
      <c r="B503" t="s">
        <v>564</v>
      </c>
      <c r="C503" s="1">
        <v>45609</v>
      </c>
      <c r="D503" t="s">
        <v>564</v>
      </c>
      <c r="E503">
        <v>252410.384644315</v>
      </c>
      <c r="F503">
        <v>252410.384644315</v>
      </c>
    </row>
    <row r="504" spans="1:6" x14ac:dyDescent="0.2">
      <c r="A504">
        <v>459</v>
      </c>
      <c r="B504" t="s">
        <v>565</v>
      </c>
      <c r="C504" s="1">
        <v>45602</v>
      </c>
      <c r="D504" t="s">
        <v>565</v>
      </c>
      <c r="E504">
        <v>76491.111286839994</v>
      </c>
      <c r="F504">
        <v>76491.111286839994</v>
      </c>
    </row>
    <row r="505" spans="1:6" x14ac:dyDescent="0.2">
      <c r="A505">
        <v>460</v>
      </c>
      <c r="B505" t="s">
        <v>566</v>
      </c>
      <c r="C505" s="1">
        <v>45303</v>
      </c>
      <c r="D505" t="s">
        <v>566</v>
      </c>
      <c r="E505">
        <v>465909.99340543803</v>
      </c>
      <c r="F505">
        <v>465909.99340543803</v>
      </c>
    </row>
    <row r="506" spans="1:6" x14ac:dyDescent="0.2">
      <c r="A506">
        <v>460</v>
      </c>
      <c r="B506" t="s">
        <v>567</v>
      </c>
      <c r="C506" s="1">
        <v>45335</v>
      </c>
      <c r="D506" t="s">
        <v>567</v>
      </c>
      <c r="E506">
        <v>3317.9300880477899</v>
      </c>
      <c r="F506">
        <v>3317.9300880477899</v>
      </c>
    </row>
    <row r="507" spans="1:6" x14ac:dyDescent="0.2">
      <c r="A507">
        <v>462</v>
      </c>
      <c r="B507" t="s">
        <v>568</v>
      </c>
      <c r="C507" s="1">
        <v>45647</v>
      </c>
      <c r="D507" t="s">
        <v>568</v>
      </c>
      <c r="E507">
        <v>499753.10164847499</v>
      </c>
      <c r="F507">
        <v>499753.10164847499</v>
      </c>
    </row>
    <row r="508" spans="1:6" x14ac:dyDescent="0.2">
      <c r="A508">
        <v>463</v>
      </c>
      <c r="B508" t="s">
        <v>569</v>
      </c>
      <c r="C508" s="1">
        <v>45468</v>
      </c>
      <c r="D508" t="s">
        <v>569</v>
      </c>
      <c r="E508">
        <v>10565.4937422194</v>
      </c>
      <c r="F508">
        <v>10565.4937422194</v>
      </c>
    </row>
    <row r="509" spans="1:6" x14ac:dyDescent="0.2">
      <c r="A509">
        <v>464</v>
      </c>
      <c r="B509" t="s">
        <v>570</v>
      </c>
      <c r="C509" s="1">
        <v>45368</v>
      </c>
      <c r="D509" t="s">
        <v>570</v>
      </c>
      <c r="E509">
        <v>1326.4916749317899</v>
      </c>
      <c r="F509">
        <v>1326.4916749317899</v>
      </c>
    </row>
    <row r="510" spans="1:6" x14ac:dyDescent="0.2">
      <c r="A510">
        <v>464</v>
      </c>
      <c r="B510" t="s">
        <v>571</v>
      </c>
      <c r="C510" s="1">
        <v>45394</v>
      </c>
      <c r="D510" t="s">
        <v>571</v>
      </c>
      <c r="E510">
        <v>329.52021349112903</v>
      </c>
      <c r="F510">
        <v>329.52021349112903</v>
      </c>
    </row>
    <row r="511" spans="1:6" x14ac:dyDescent="0.2">
      <c r="A511">
        <v>465</v>
      </c>
      <c r="B511" t="s">
        <v>572</v>
      </c>
      <c r="C511" s="1">
        <v>45435</v>
      </c>
      <c r="D511" t="s">
        <v>572</v>
      </c>
      <c r="E511">
        <v>9682.8627547399192</v>
      </c>
      <c r="F511">
        <v>9682.8627547399192</v>
      </c>
    </row>
    <row r="512" spans="1:6" x14ac:dyDescent="0.2">
      <c r="A512">
        <v>466</v>
      </c>
      <c r="B512" t="s">
        <v>573</v>
      </c>
      <c r="C512" s="1">
        <v>45347</v>
      </c>
      <c r="D512" t="s">
        <v>573</v>
      </c>
      <c r="E512">
        <v>497.40527689788797</v>
      </c>
      <c r="F512">
        <v>497.40527689788797</v>
      </c>
    </row>
    <row r="513" spans="1:6" x14ac:dyDescent="0.2">
      <c r="A513">
        <v>466</v>
      </c>
      <c r="B513" t="s">
        <v>574</v>
      </c>
      <c r="C513" s="1">
        <v>45317</v>
      </c>
      <c r="D513" t="s">
        <v>574</v>
      </c>
      <c r="E513">
        <v>64522.941377411502</v>
      </c>
      <c r="F513">
        <v>64522.941377411502</v>
      </c>
    </row>
    <row r="514" spans="1:6" x14ac:dyDescent="0.2">
      <c r="A514">
        <v>467</v>
      </c>
      <c r="B514" t="s">
        <v>575</v>
      </c>
      <c r="C514" s="1">
        <v>45301</v>
      </c>
      <c r="D514" t="s">
        <v>575</v>
      </c>
      <c r="E514">
        <v>60806.516352616403</v>
      </c>
      <c r="F514">
        <v>60806.516352616403</v>
      </c>
    </row>
    <row r="515" spans="1:6" x14ac:dyDescent="0.2">
      <c r="A515">
        <v>467</v>
      </c>
      <c r="B515" t="s">
        <v>576</v>
      </c>
      <c r="C515" s="1">
        <v>45329</v>
      </c>
      <c r="D515" t="s">
        <v>576</v>
      </c>
      <c r="E515">
        <v>164.75379724074801</v>
      </c>
      <c r="F515">
        <v>164.75379724074801</v>
      </c>
    </row>
    <row r="516" spans="1:6" x14ac:dyDescent="0.2">
      <c r="A516">
        <v>468</v>
      </c>
      <c r="B516" t="s">
        <v>577</v>
      </c>
      <c r="C516" s="1">
        <v>45506</v>
      </c>
      <c r="D516" t="s">
        <v>577</v>
      </c>
      <c r="E516">
        <v>525966.34817988996</v>
      </c>
      <c r="F516">
        <v>525966.34817988996</v>
      </c>
    </row>
    <row r="517" spans="1:6" x14ac:dyDescent="0.2">
      <c r="A517">
        <v>469</v>
      </c>
      <c r="B517" t="s">
        <v>578</v>
      </c>
      <c r="C517" s="1">
        <v>45506</v>
      </c>
      <c r="D517" t="s">
        <v>578</v>
      </c>
      <c r="E517">
        <v>68969.458325228101</v>
      </c>
      <c r="F517">
        <v>68969.458325228101</v>
      </c>
    </row>
    <row r="518" spans="1:6" x14ac:dyDescent="0.2">
      <c r="A518">
        <v>469</v>
      </c>
      <c r="B518" t="s">
        <v>579</v>
      </c>
      <c r="C518" s="1">
        <v>45438</v>
      </c>
      <c r="D518" t="s">
        <v>579</v>
      </c>
      <c r="E518">
        <v>17069.543292775699</v>
      </c>
      <c r="F518">
        <v>17069.543292775699</v>
      </c>
    </row>
    <row r="519" spans="1:6" x14ac:dyDescent="0.2">
      <c r="A519">
        <v>471</v>
      </c>
      <c r="B519" t="s">
        <v>580</v>
      </c>
      <c r="C519" s="1">
        <v>45355</v>
      </c>
      <c r="D519" t="s">
        <v>580</v>
      </c>
      <c r="E519">
        <v>72352.060726148004</v>
      </c>
      <c r="F519">
        <v>72352.060726148004</v>
      </c>
    </row>
    <row r="520" spans="1:6" x14ac:dyDescent="0.2">
      <c r="A520">
        <v>471</v>
      </c>
      <c r="B520" t="s">
        <v>581</v>
      </c>
      <c r="C520" s="1">
        <v>45456</v>
      </c>
      <c r="D520" t="s">
        <v>581</v>
      </c>
      <c r="E520">
        <v>6013287.4186588498</v>
      </c>
      <c r="F520">
        <v>1000000</v>
      </c>
    </row>
    <row r="521" spans="1:6" x14ac:dyDescent="0.2">
      <c r="A521">
        <v>473</v>
      </c>
      <c r="B521" t="s">
        <v>582</v>
      </c>
      <c r="C521" s="1">
        <v>45317</v>
      </c>
      <c r="D521" t="s">
        <v>582</v>
      </c>
      <c r="E521">
        <v>225719.79607948801</v>
      </c>
      <c r="F521">
        <v>225719.79607948801</v>
      </c>
    </row>
    <row r="522" spans="1:6" x14ac:dyDescent="0.2">
      <c r="A522">
        <v>474</v>
      </c>
      <c r="B522" t="s">
        <v>583</v>
      </c>
      <c r="C522" s="1">
        <v>45520</v>
      </c>
      <c r="D522" t="s">
        <v>583</v>
      </c>
      <c r="E522">
        <v>310015676.09055197</v>
      </c>
      <c r="F522">
        <v>1000000</v>
      </c>
    </row>
    <row r="523" spans="1:6" x14ac:dyDescent="0.2">
      <c r="A523">
        <v>475</v>
      </c>
      <c r="B523" t="s">
        <v>584</v>
      </c>
      <c r="C523" s="1">
        <v>45414</v>
      </c>
      <c r="D523" t="s">
        <v>584</v>
      </c>
      <c r="E523">
        <v>187384.838378174</v>
      </c>
      <c r="F523">
        <v>187384.838378174</v>
      </c>
    </row>
    <row r="524" spans="1:6" x14ac:dyDescent="0.2">
      <c r="A524">
        <v>476</v>
      </c>
      <c r="B524" t="s">
        <v>585</v>
      </c>
      <c r="C524" s="1">
        <v>45534</v>
      </c>
      <c r="D524" t="s">
        <v>585</v>
      </c>
      <c r="E524">
        <v>54154.467449854201</v>
      </c>
      <c r="F524">
        <v>54154.467449854201</v>
      </c>
    </row>
    <row r="525" spans="1:6" x14ac:dyDescent="0.2">
      <c r="A525">
        <v>477</v>
      </c>
      <c r="B525" t="s">
        <v>586</v>
      </c>
      <c r="C525" s="1">
        <v>45475</v>
      </c>
      <c r="D525" t="s">
        <v>586</v>
      </c>
      <c r="E525">
        <v>11841437.954380101</v>
      </c>
      <c r="F525">
        <v>1000000</v>
      </c>
    </row>
    <row r="526" spans="1:6" x14ac:dyDescent="0.2">
      <c r="A526">
        <v>478</v>
      </c>
      <c r="B526" t="s">
        <v>587</v>
      </c>
      <c r="C526" s="1">
        <v>45632</v>
      </c>
      <c r="D526" t="s">
        <v>587</v>
      </c>
      <c r="E526">
        <v>16506.5144440396</v>
      </c>
      <c r="F526">
        <v>16506.5144440396</v>
      </c>
    </row>
    <row r="527" spans="1:6" x14ac:dyDescent="0.2">
      <c r="A527">
        <v>478</v>
      </c>
      <c r="B527" t="s">
        <v>588</v>
      </c>
      <c r="C527" s="1">
        <v>45601</v>
      </c>
      <c r="D527" t="s">
        <v>588</v>
      </c>
      <c r="E527">
        <v>89821.115656541704</v>
      </c>
      <c r="F527">
        <v>89821.115656541704</v>
      </c>
    </row>
    <row r="528" spans="1:6" x14ac:dyDescent="0.2">
      <c r="A528">
        <v>479</v>
      </c>
      <c r="B528" t="s">
        <v>589</v>
      </c>
      <c r="C528" s="1">
        <v>45593</v>
      </c>
      <c r="D528" t="s">
        <v>589</v>
      </c>
      <c r="E528">
        <v>3157.0178074714599</v>
      </c>
      <c r="F528">
        <v>3157.0178074714599</v>
      </c>
    </row>
    <row r="529" spans="1:6" x14ac:dyDescent="0.2">
      <c r="A529">
        <v>479</v>
      </c>
      <c r="B529" t="s">
        <v>590</v>
      </c>
      <c r="C529" s="1">
        <v>45642</v>
      </c>
      <c r="D529" t="s">
        <v>590</v>
      </c>
      <c r="E529">
        <v>5055.7759735914997</v>
      </c>
      <c r="F529">
        <v>5055.7759735914997</v>
      </c>
    </row>
    <row r="530" spans="1:6" x14ac:dyDescent="0.2">
      <c r="A530">
        <v>480</v>
      </c>
      <c r="B530" t="s">
        <v>591</v>
      </c>
      <c r="C530" s="1">
        <v>45507</v>
      </c>
      <c r="D530" t="s">
        <v>591</v>
      </c>
      <c r="E530">
        <v>15491.020005598901</v>
      </c>
      <c r="F530">
        <v>15491.020005598901</v>
      </c>
    </row>
    <row r="531" spans="1:6" x14ac:dyDescent="0.2">
      <c r="A531">
        <v>481</v>
      </c>
      <c r="B531" t="s">
        <v>592</v>
      </c>
      <c r="C531" s="1">
        <v>45564</v>
      </c>
      <c r="D531" t="s">
        <v>592</v>
      </c>
      <c r="E531">
        <v>7503.9912020146403</v>
      </c>
      <c r="F531">
        <v>7503.9912020146403</v>
      </c>
    </row>
    <row r="532" spans="1:6" x14ac:dyDescent="0.2">
      <c r="A532">
        <v>481</v>
      </c>
      <c r="B532" t="s">
        <v>593</v>
      </c>
      <c r="C532" s="1">
        <v>45365</v>
      </c>
      <c r="D532" t="s">
        <v>593</v>
      </c>
      <c r="E532">
        <v>8208.1554718634507</v>
      </c>
      <c r="F532">
        <v>8208.1554718634507</v>
      </c>
    </row>
    <row r="533" spans="1:6" x14ac:dyDescent="0.2">
      <c r="A533">
        <v>483</v>
      </c>
      <c r="B533" t="s">
        <v>594</v>
      </c>
      <c r="C533" s="1">
        <v>45361</v>
      </c>
      <c r="D533" t="s">
        <v>594</v>
      </c>
      <c r="E533">
        <v>52580.634382201999</v>
      </c>
      <c r="F533">
        <v>52580.634382201999</v>
      </c>
    </row>
    <row r="534" spans="1:6" x14ac:dyDescent="0.2">
      <c r="A534">
        <v>484</v>
      </c>
      <c r="B534" t="s">
        <v>595</v>
      </c>
      <c r="C534" s="1">
        <v>45393</v>
      </c>
      <c r="D534" t="s">
        <v>595</v>
      </c>
      <c r="E534">
        <v>1056621.7164095601</v>
      </c>
      <c r="F534">
        <v>1000000</v>
      </c>
    </row>
    <row r="535" spans="1:6" x14ac:dyDescent="0.2">
      <c r="A535">
        <v>486</v>
      </c>
      <c r="B535" t="s">
        <v>596</v>
      </c>
      <c r="C535" s="1">
        <v>45339</v>
      </c>
      <c r="D535" t="s">
        <v>596</v>
      </c>
      <c r="E535">
        <v>2601.1121015916901</v>
      </c>
      <c r="F535">
        <v>2601.1121015916901</v>
      </c>
    </row>
    <row r="536" spans="1:6" x14ac:dyDescent="0.2">
      <c r="A536">
        <v>486</v>
      </c>
      <c r="B536" t="s">
        <v>597</v>
      </c>
      <c r="C536" s="1">
        <v>45528</v>
      </c>
      <c r="D536" t="s">
        <v>597</v>
      </c>
      <c r="E536">
        <v>708894.41338848299</v>
      </c>
      <c r="F536">
        <v>708894.41338848299</v>
      </c>
    </row>
    <row r="537" spans="1:6" x14ac:dyDescent="0.2">
      <c r="A537">
        <v>487</v>
      </c>
      <c r="B537" t="s">
        <v>598</v>
      </c>
      <c r="C537" s="1">
        <v>45629</v>
      </c>
      <c r="D537" t="s">
        <v>598</v>
      </c>
      <c r="E537">
        <v>1244.4535831815001</v>
      </c>
      <c r="F537">
        <v>1244.4535831815001</v>
      </c>
    </row>
    <row r="538" spans="1:6" x14ac:dyDescent="0.2">
      <c r="A538">
        <v>487</v>
      </c>
      <c r="B538" t="s">
        <v>599</v>
      </c>
      <c r="C538" s="1">
        <v>45635</v>
      </c>
      <c r="D538" t="s">
        <v>599</v>
      </c>
      <c r="E538">
        <v>129726.76738525501</v>
      </c>
      <c r="F538">
        <v>129726.76738525501</v>
      </c>
    </row>
    <row r="539" spans="1:6" x14ac:dyDescent="0.2">
      <c r="A539">
        <v>488</v>
      </c>
      <c r="B539" t="s">
        <v>600</v>
      </c>
      <c r="C539" s="1">
        <v>45483</v>
      </c>
      <c r="D539" t="s">
        <v>600</v>
      </c>
      <c r="E539">
        <v>31331.4841352064</v>
      </c>
      <c r="F539">
        <v>31331.4841352064</v>
      </c>
    </row>
    <row r="540" spans="1:6" x14ac:dyDescent="0.2">
      <c r="A540">
        <v>489</v>
      </c>
      <c r="B540" t="s">
        <v>601</v>
      </c>
      <c r="C540" s="1">
        <v>45338</v>
      </c>
      <c r="D540" t="s">
        <v>601</v>
      </c>
      <c r="E540">
        <v>63343.3022114794</v>
      </c>
      <c r="F540">
        <v>63343.3022114794</v>
      </c>
    </row>
    <row r="541" spans="1:6" x14ac:dyDescent="0.2">
      <c r="A541">
        <v>492</v>
      </c>
      <c r="B541" t="s">
        <v>602</v>
      </c>
      <c r="C541" s="1">
        <v>45609</v>
      </c>
      <c r="D541" t="s">
        <v>602</v>
      </c>
      <c r="E541">
        <v>78036.575924860605</v>
      </c>
      <c r="F541">
        <v>78036.575924860605</v>
      </c>
    </row>
    <row r="542" spans="1:6" x14ac:dyDescent="0.2">
      <c r="A542">
        <v>492</v>
      </c>
      <c r="B542" t="s">
        <v>603</v>
      </c>
      <c r="C542" s="1">
        <v>45444</v>
      </c>
      <c r="D542" t="s">
        <v>603</v>
      </c>
      <c r="E542">
        <v>42549.428008813004</v>
      </c>
      <c r="F542">
        <v>42549.428008813004</v>
      </c>
    </row>
    <row r="543" spans="1:6" x14ac:dyDescent="0.2">
      <c r="A543">
        <v>493</v>
      </c>
      <c r="B543" t="s">
        <v>604</v>
      </c>
      <c r="C543" s="1">
        <v>45570</v>
      </c>
      <c r="D543" t="s">
        <v>604</v>
      </c>
      <c r="E543">
        <v>104823.79794920899</v>
      </c>
      <c r="F543">
        <v>104823.79794920899</v>
      </c>
    </row>
    <row r="544" spans="1:6" x14ac:dyDescent="0.2">
      <c r="A544">
        <v>494</v>
      </c>
      <c r="B544" t="s">
        <v>605</v>
      </c>
      <c r="C544" s="1">
        <v>45302</v>
      </c>
      <c r="D544" t="s">
        <v>605</v>
      </c>
      <c r="E544">
        <v>15589.219111505199</v>
      </c>
      <c r="F544">
        <v>15589.219111505199</v>
      </c>
    </row>
    <row r="545" spans="1:6" x14ac:dyDescent="0.2">
      <c r="A545">
        <v>495</v>
      </c>
      <c r="B545" t="s">
        <v>606</v>
      </c>
      <c r="C545" s="1">
        <v>45619</v>
      </c>
      <c r="D545" t="s">
        <v>606</v>
      </c>
      <c r="E545">
        <v>62724.343855720399</v>
      </c>
      <c r="F545">
        <v>62724.343855720399</v>
      </c>
    </row>
    <row r="546" spans="1:6" x14ac:dyDescent="0.2">
      <c r="A546">
        <v>495</v>
      </c>
      <c r="B546" t="s">
        <v>607</v>
      </c>
      <c r="C546" s="1">
        <v>45362</v>
      </c>
      <c r="D546" t="s">
        <v>607</v>
      </c>
      <c r="E546">
        <v>216407.508558056</v>
      </c>
      <c r="F546">
        <v>216407.508558056</v>
      </c>
    </row>
    <row r="547" spans="1:6" x14ac:dyDescent="0.2">
      <c r="A547">
        <v>497</v>
      </c>
      <c r="B547" t="s">
        <v>608</v>
      </c>
      <c r="C547" s="1">
        <v>45547</v>
      </c>
      <c r="D547" t="s">
        <v>608</v>
      </c>
      <c r="E547">
        <v>1880800.7131389701</v>
      </c>
      <c r="F547">
        <v>1000000</v>
      </c>
    </row>
    <row r="548" spans="1:6" x14ac:dyDescent="0.2">
      <c r="A548">
        <v>497</v>
      </c>
      <c r="B548" t="s">
        <v>609</v>
      </c>
      <c r="C548" s="1">
        <v>45304</v>
      </c>
      <c r="D548" t="s">
        <v>609</v>
      </c>
      <c r="E548">
        <v>69944.998122058896</v>
      </c>
      <c r="F548">
        <v>69944.998122058896</v>
      </c>
    </row>
    <row r="549" spans="1:6" x14ac:dyDescent="0.2">
      <c r="A549">
        <v>498</v>
      </c>
      <c r="B549" t="s">
        <v>610</v>
      </c>
      <c r="C549" s="1">
        <v>45540</v>
      </c>
      <c r="D549" t="s">
        <v>610</v>
      </c>
      <c r="E549">
        <v>1246.99082285336</v>
      </c>
      <c r="F549">
        <v>1246.99082285336</v>
      </c>
    </row>
    <row r="550" spans="1:6" x14ac:dyDescent="0.2">
      <c r="A550">
        <v>498</v>
      </c>
      <c r="B550" t="s">
        <v>611</v>
      </c>
      <c r="C550" s="1">
        <v>45650</v>
      </c>
      <c r="D550" t="s">
        <v>611</v>
      </c>
      <c r="E550">
        <v>36327.992454129002</v>
      </c>
      <c r="F550">
        <v>36327.992454129002</v>
      </c>
    </row>
    <row r="551" spans="1:6" x14ac:dyDescent="0.2">
      <c r="A551">
        <v>499</v>
      </c>
      <c r="B551" t="s">
        <v>612</v>
      </c>
      <c r="C551" s="1">
        <v>45515</v>
      </c>
      <c r="D551" t="s">
        <v>612</v>
      </c>
      <c r="E551">
        <v>357998.61734083499</v>
      </c>
      <c r="F551">
        <v>357998.61734083499</v>
      </c>
    </row>
    <row r="552" spans="1:6" x14ac:dyDescent="0.2">
      <c r="A552">
        <v>500</v>
      </c>
      <c r="B552" t="s">
        <v>613</v>
      </c>
      <c r="C552" s="1">
        <v>45502</v>
      </c>
      <c r="D552" t="s">
        <v>613</v>
      </c>
      <c r="E552">
        <v>21369.222911803899</v>
      </c>
      <c r="F552">
        <v>21369.222911803899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669E2-991D-2543-9D02-623C79944BCA}">
  <sheetPr codeName="Sheet5"/>
  <dimension ref="B1:G509"/>
  <sheetViews>
    <sheetView workbookViewId="0">
      <selection activeCell="G19" sqref="G19"/>
    </sheetView>
  </sheetViews>
  <sheetFormatPr baseColWidth="10" defaultRowHeight="16" x14ac:dyDescent="0.2"/>
  <cols>
    <col min="2" max="2" width="20.83203125" customWidth="1"/>
    <col min="3" max="3" width="21" customWidth="1"/>
    <col min="5" max="5" width="15.5" customWidth="1"/>
    <col min="7" max="7" width="13.1640625" customWidth="1"/>
    <col min="10" max="10" width="17.6640625" customWidth="1"/>
  </cols>
  <sheetData>
    <row r="1" spans="2:7" x14ac:dyDescent="0.2">
      <c r="B1" t="s">
        <v>31</v>
      </c>
    </row>
    <row r="3" spans="2:7" x14ac:dyDescent="0.2">
      <c r="B3" t="s">
        <v>30</v>
      </c>
      <c r="C3" t="s">
        <v>43</v>
      </c>
    </row>
    <row r="4" spans="2:7" x14ac:dyDescent="0.2">
      <c r="B4" cm="1">
        <f t="array" ref="B4:B509">_xlfn._xlws.SORT(_xlfn.UNIQUE(claimSimResults[ValidClaimAmount]), 1, -1)</f>
        <v>1000000</v>
      </c>
      <c r="C4" cm="1">
        <f t="array" ref="C4:C509">_xlfn.BYROW(_xlfn.ANCHORARRAY(B4), _xlfn.LAMBDA(_xlpm.x, COUNTIF(claimSimResults[ValidClaimAmount], "&lt;=" &amp; _xlpm.x) / COUNT(claimSimResults[ValidClaimAmount])))</f>
        <v>1</v>
      </c>
    </row>
    <row r="5" spans="2:7" x14ac:dyDescent="0.2">
      <c r="B5">
        <v>988703.936397054</v>
      </c>
      <c r="C5">
        <v>0.91651542649727769</v>
      </c>
      <c r="G5" s="4"/>
    </row>
    <row r="6" spans="2:7" x14ac:dyDescent="0.2">
      <c r="B6">
        <v>921255.216176413</v>
      </c>
      <c r="C6">
        <v>0.9147005444646098</v>
      </c>
    </row>
    <row r="7" spans="2:7" x14ac:dyDescent="0.2">
      <c r="B7">
        <v>901639.542308314</v>
      </c>
      <c r="C7">
        <v>0.91288566243194191</v>
      </c>
    </row>
    <row r="8" spans="2:7" x14ac:dyDescent="0.2">
      <c r="B8">
        <v>819286.68377125496</v>
      </c>
      <c r="C8">
        <v>0.91107078039927403</v>
      </c>
    </row>
    <row r="9" spans="2:7" x14ac:dyDescent="0.2">
      <c r="B9">
        <v>809299.865227186</v>
      </c>
      <c r="C9">
        <v>0.90925589836660614</v>
      </c>
    </row>
    <row r="10" spans="2:7" x14ac:dyDescent="0.2">
      <c r="B10">
        <v>808655.00215279695</v>
      </c>
      <c r="C10">
        <v>0.90744101633393826</v>
      </c>
    </row>
    <row r="11" spans="2:7" x14ac:dyDescent="0.2">
      <c r="B11">
        <v>796292.29928393301</v>
      </c>
      <c r="C11">
        <v>0.90562613430127037</v>
      </c>
    </row>
    <row r="12" spans="2:7" x14ac:dyDescent="0.2">
      <c r="B12">
        <v>786072.10632528597</v>
      </c>
      <c r="C12">
        <v>0.90381125226860259</v>
      </c>
    </row>
    <row r="13" spans="2:7" x14ac:dyDescent="0.2">
      <c r="B13">
        <v>775730.48985671101</v>
      </c>
      <c r="C13">
        <v>0.90199637023593471</v>
      </c>
    </row>
    <row r="14" spans="2:7" x14ac:dyDescent="0.2">
      <c r="B14">
        <v>726330.31511964195</v>
      </c>
      <c r="C14">
        <v>0.90018148820326682</v>
      </c>
    </row>
    <row r="15" spans="2:7" x14ac:dyDescent="0.2">
      <c r="B15">
        <v>725462.99082128005</v>
      </c>
      <c r="C15">
        <v>0.89836660617059894</v>
      </c>
    </row>
    <row r="16" spans="2:7" x14ac:dyDescent="0.2">
      <c r="B16">
        <v>708894.41338848299</v>
      </c>
      <c r="C16">
        <v>0.89655172413793105</v>
      </c>
    </row>
    <row r="17" spans="2:3" x14ac:dyDescent="0.2">
      <c r="B17">
        <v>693380.86624736397</v>
      </c>
      <c r="C17">
        <v>0.89473684210526316</v>
      </c>
    </row>
    <row r="18" spans="2:3" x14ac:dyDescent="0.2">
      <c r="B18">
        <v>684052.07800533006</v>
      </c>
      <c r="C18">
        <v>0.89292196007259528</v>
      </c>
    </row>
    <row r="19" spans="2:3" x14ac:dyDescent="0.2">
      <c r="B19">
        <v>665086.08785109501</v>
      </c>
      <c r="C19">
        <v>0.89110707803992739</v>
      </c>
    </row>
    <row r="20" spans="2:3" x14ac:dyDescent="0.2">
      <c r="B20">
        <v>643712.98963904497</v>
      </c>
      <c r="C20">
        <v>0.88929219600725951</v>
      </c>
    </row>
    <row r="21" spans="2:3" x14ac:dyDescent="0.2">
      <c r="B21">
        <v>616697.71428512805</v>
      </c>
      <c r="C21">
        <v>0.88747731397459162</v>
      </c>
    </row>
    <row r="22" spans="2:3" x14ac:dyDescent="0.2">
      <c r="B22">
        <v>615894.70219961705</v>
      </c>
      <c r="C22">
        <v>0.88566243194192373</v>
      </c>
    </row>
    <row r="23" spans="2:3" x14ac:dyDescent="0.2">
      <c r="B23">
        <v>606898.235274932</v>
      </c>
      <c r="C23">
        <v>0.88384754990925585</v>
      </c>
    </row>
    <row r="24" spans="2:3" x14ac:dyDescent="0.2">
      <c r="B24">
        <v>581572.32380939706</v>
      </c>
      <c r="C24">
        <v>0.88203266787658807</v>
      </c>
    </row>
    <row r="25" spans="2:3" x14ac:dyDescent="0.2">
      <c r="B25">
        <v>570532.41747131303</v>
      </c>
      <c r="C25">
        <v>0.88021778584392019</v>
      </c>
    </row>
    <row r="26" spans="2:3" x14ac:dyDescent="0.2">
      <c r="B26">
        <v>570261.91028953996</v>
      </c>
      <c r="C26">
        <v>0.8784029038112523</v>
      </c>
    </row>
    <row r="27" spans="2:3" x14ac:dyDescent="0.2">
      <c r="B27">
        <v>531408.20885288005</v>
      </c>
      <c r="C27">
        <v>0.87658802177858441</v>
      </c>
    </row>
    <row r="28" spans="2:3" x14ac:dyDescent="0.2">
      <c r="B28">
        <v>525966.34817988996</v>
      </c>
      <c r="C28">
        <v>0.87477313974591653</v>
      </c>
    </row>
    <row r="29" spans="2:3" x14ac:dyDescent="0.2">
      <c r="B29">
        <v>522345.06994418002</v>
      </c>
      <c r="C29">
        <v>0.87295825771324864</v>
      </c>
    </row>
    <row r="30" spans="2:3" x14ac:dyDescent="0.2">
      <c r="B30">
        <v>512604.504115975</v>
      </c>
      <c r="C30">
        <v>0.87114337568058076</v>
      </c>
    </row>
    <row r="31" spans="2:3" x14ac:dyDescent="0.2">
      <c r="B31">
        <v>506822.94054792298</v>
      </c>
      <c r="C31">
        <v>0.86932849364791287</v>
      </c>
    </row>
    <row r="32" spans="2:3" x14ac:dyDescent="0.2">
      <c r="B32">
        <v>499753.10164847499</v>
      </c>
      <c r="C32">
        <v>0.86751361161524498</v>
      </c>
    </row>
    <row r="33" spans="2:3" x14ac:dyDescent="0.2">
      <c r="B33">
        <v>499678.598220293</v>
      </c>
      <c r="C33">
        <v>0.8656987295825771</v>
      </c>
    </row>
    <row r="34" spans="2:3" x14ac:dyDescent="0.2">
      <c r="B34">
        <v>496491.39544517797</v>
      </c>
      <c r="C34">
        <v>0.86388384754990921</v>
      </c>
    </row>
    <row r="35" spans="2:3" x14ac:dyDescent="0.2">
      <c r="B35">
        <v>479430.954535269</v>
      </c>
      <c r="C35">
        <v>0.86206896551724133</v>
      </c>
    </row>
    <row r="36" spans="2:3" x14ac:dyDescent="0.2">
      <c r="B36">
        <v>465909.99340543803</v>
      </c>
      <c r="C36">
        <v>0.86025408348457355</v>
      </c>
    </row>
    <row r="37" spans="2:3" x14ac:dyDescent="0.2">
      <c r="B37">
        <v>439915.361802336</v>
      </c>
      <c r="C37">
        <v>0.85843920145190566</v>
      </c>
    </row>
    <row r="38" spans="2:3" x14ac:dyDescent="0.2">
      <c r="B38">
        <v>422092.53797307698</v>
      </c>
      <c r="C38">
        <v>0.85662431941923778</v>
      </c>
    </row>
    <row r="39" spans="2:3" x14ac:dyDescent="0.2">
      <c r="B39">
        <v>419298.77330151602</v>
      </c>
      <c r="C39">
        <v>0.85480943738656989</v>
      </c>
    </row>
    <row r="40" spans="2:3" x14ac:dyDescent="0.2">
      <c r="B40">
        <v>401746.92511426302</v>
      </c>
      <c r="C40">
        <v>0.85299455535390201</v>
      </c>
    </row>
    <row r="41" spans="2:3" x14ac:dyDescent="0.2">
      <c r="B41">
        <v>401034.11621141399</v>
      </c>
      <c r="C41">
        <v>0.85117967332123412</v>
      </c>
    </row>
    <row r="42" spans="2:3" x14ac:dyDescent="0.2">
      <c r="B42">
        <v>395372.60595028597</v>
      </c>
      <c r="C42">
        <v>0.84936479128856623</v>
      </c>
    </row>
    <row r="43" spans="2:3" x14ac:dyDescent="0.2">
      <c r="B43">
        <v>391216.39796919702</v>
      </c>
      <c r="C43">
        <v>0.84754990925589835</v>
      </c>
    </row>
    <row r="44" spans="2:3" x14ac:dyDescent="0.2">
      <c r="B44">
        <v>382172.22502550803</v>
      </c>
      <c r="C44">
        <v>0.84573502722323046</v>
      </c>
    </row>
    <row r="45" spans="2:3" x14ac:dyDescent="0.2">
      <c r="B45">
        <v>377495.65328186698</v>
      </c>
      <c r="C45">
        <v>0.84392014519056258</v>
      </c>
    </row>
    <row r="46" spans="2:3" x14ac:dyDescent="0.2">
      <c r="B46">
        <v>370939.89762670099</v>
      </c>
      <c r="C46">
        <v>0.84210526315789469</v>
      </c>
    </row>
    <row r="47" spans="2:3" x14ac:dyDescent="0.2">
      <c r="B47">
        <v>370829.408386642</v>
      </c>
      <c r="C47">
        <v>0.84029038112522692</v>
      </c>
    </row>
    <row r="48" spans="2:3" x14ac:dyDescent="0.2">
      <c r="B48">
        <v>357998.61734083499</v>
      </c>
      <c r="C48">
        <v>0.83847549909255903</v>
      </c>
    </row>
    <row r="49" spans="2:3" x14ac:dyDescent="0.2">
      <c r="B49">
        <v>356412.54388332099</v>
      </c>
      <c r="C49">
        <v>0.83666061705989114</v>
      </c>
    </row>
    <row r="50" spans="2:3" x14ac:dyDescent="0.2">
      <c r="B50">
        <v>345473.86451898498</v>
      </c>
      <c r="C50">
        <v>0.83484573502722326</v>
      </c>
    </row>
    <row r="51" spans="2:3" x14ac:dyDescent="0.2">
      <c r="B51">
        <v>341966.33027257898</v>
      </c>
      <c r="C51">
        <v>0.83303085299455537</v>
      </c>
    </row>
    <row r="52" spans="2:3" x14ac:dyDescent="0.2">
      <c r="B52">
        <v>341126.51774162397</v>
      </c>
      <c r="C52">
        <v>0.83121597096188748</v>
      </c>
    </row>
    <row r="53" spans="2:3" x14ac:dyDescent="0.2">
      <c r="B53">
        <v>323113.07317427098</v>
      </c>
      <c r="C53">
        <v>0.8294010889292196</v>
      </c>
    </row>
    <row r="54" spans="2:3" x14ac:dyDescent="0.2">
      <c r="B54">
        <v>316593.20196569001</v>
      </c>
      <c r="C54">
        <v>0.82758620689655171</v>
      </c>
    </row>
    <row r="55" spans="2:3" x14ac:dyDescent="0.2">
      <c r="B55">
        <v>314974.546974728</v>
      </c>
      <c r="C55">
        <v>0.82577132486388383</v>
      </c>
    </row>
    <row r="56" spans="2:3" x14ac:dyDescent="0.2">
      <c r="B56">
        <v>310952.51455638697</v>
      </c>
      <c r="C56">
        <v>0.82395644283121594</v>
      </c>
    </row>
    <row r="57" spans="2:3" x14ac:dyDescent="0.2">
      <c r="B57">
        <v>310479.52048084699</v>
      </c>
      <c r="C57">
        <v>0.82214156079854805</v>
      </c>
    </row>
    <row r="58" spans="2:3" x14ac:dyDescent="0.2">
      <c r="B58">
        <v>309754.84058933298</v>
      </c>
      <c r="C58">
        <v>0.82032667876588017</v>
      </c>
    </row>
    <row r="59" spans="2:3" x14ac:dyDescent="0.2">
      <c r="B59">
        <v>293885.43763525598</v>
      </c>
      <c r="C59">
        <v>0.81851179673321239</v>
      </c>
    </row>
    <row r="60" spans="2:3" x14ac:dyDescent="0.2">
      <c r="B60">
        <v>281793.30971157301</v>
      </c>
      <c r="C60">
        <v>0.81669691470054451</v>
      </c>
    </row>
    <row r="61" spans="2:3" x14ac:dyDescent="0.2">
      <c r="B61">
        <v>277906.22404918697</v>
      </c>
      <c r="C61">
        <v>0.81488203266787662</v>
      </c>
    </row>
    <row r="62" spans="2:3" x14ac:dyDescent="0.2">
      <c r="B62">
        <v>277815.56138111698</v>
      </c>
      <c r="C62">
        <v>0.81306715063520874</v>
      </c>
    </row>
    <row r="63" spans="2:3" x14ac:dyDescent="0.2">
      <c r="B63">
        <v>269655.99821576098</v>
      </c>
      <c r="C63">
        <v>0.81125226860254085</v>
      </c>
    </row>
    <row r="64" spans="2:3" x14ac:dyDescent="0.2">
      <c r="B64">
        <v>262010.429257607</v>
      </c>
      <c r="C64">
        <v>0.80943738656987296</v>
      </c>
    </row>
    <row r="65" spans="2:3" x14ac:dyDescent="0.2">
      <c r="B65">
        <v>256011.67787545</v>
      </c>
      <c r="C65">
        <v>0.80762250453720508</v>
      </c>
    </row>
    <row r="66" spans="2:3" x14ac:dyDescent="0.2">
      <c r="B66">
        <v>252761.37030409099</v>
      </c>
      <c r="C66">
        <v>0.80580762250453719</v>
      </c>
    </row>
    <row r="67" spans="2:3" x14ac:dyDescent="0.2">
      <c r="B67">
        <v>252410.384644315</v>
      </c>
      <c r="C67">
        <v>0.8039927404718693</v>
      </c>
    </row>
    <row r="68" spans="2:3" x14ac:dyDescent="0.2">
      <c r="B68">
        <v>241060.19974872001</v>
      </c>
      <c r="C68">
        <v>0.80217785843920142</v>
      </c>
    </row>
    <row r="69" spans="2:3" x14ac:dyDescent="0.2">
      <c r="B69">
        <v>235898.29356901001</v>
      </c>
      <c r="C69">
        <v>0.80036297640653353</v>
      </c>
    </row>
    <row r="70" spans="2:3" x14ac:dyDescent="0.2">
      <c r="B70">
        <v>235497.07346507401</v>
      </c>
      <c r="C70">
        <v>0.79854809437386565</v>
      </c>
    </row>
    <row r="71" spans="2:3" x14ac:dyDescent="0.2">
      <c r="B71">
        <v>235244.23666271401</v>
      </c>
      <c r="C71">
        <v>0.79673321234119787</v>
      </c>
    </row>
    <row r="72" spans="2:3" x14ac:dyDescent="0.2">
      <c r="B72">
        <v>234889.94175895999</v>
      </c>
      <c r="C72">
        <v>0.79491833030852999</v>
      </c>
    </row>
    <row r="73" spans="2:3" x14ac:dyDescent="0.2">
      <c r="B73">
        <v>233608.249269908</v>
      </c>
      <c r="C73">
        <v>0.7931034482758621</v>
      </c>
    </row>
    <row r="74" spans="2:3" x14ac:dyDescent="0.2">
      <c r="B74">
        <v>231541.091371755</v>
      </c>
      <c r="C74">
        <v>0.79128856624319421</v>
      </c>
    </row>
    <row r="75" spans="2:3" x14ac:dyDescent="0.2">
      <c r="B75">
        <v>225719.79607948801</v>
      </c>
      <c r="C75">
        <v>0.78947368421052633</v>
      </c>
    </row>
    <row r="76" spans="2:3" x14ac:dyDescent="0.2">
      <c r="B76">
        <v>223227.52524643301</v>
      </c>
      <c r="C76">
        <v>0.78765880217785844</v>
      </c>
    </row>
    <row r="77" spans="2:3" x14ac:dyDescent="0.2">
      <c r="B77">
        <v>221273.967566395</v>
      </c>
      <c r="C77">
        <v>0.78584392014519056</v>
      </c>
    </row>
    <row r="78" spans="2:3" x14ac:dyDescent="0.2">
      <c r="B78">
        <v>216407.508558056</v>
      </c>
      <c r="C78">
        <v>0.78402903811252267</v>
      </c>
    </row>
    <row r="79" spans="2:3" x14ac:dyDescent="0.2">
      <c r="B79">
        <v>209311.399462795</v>
      </c>
      <c r="C79">
        <v>0.78221415607985478</v>
      </c>
    </row>
    <row r="80" spans="2:3" x14ac:dyDescent="0.2">
      <c r="B80">
        <v>201726.23818386599</v>
      </c>
      <c r="C80">
        <v>0.7803992740471869</v>
      </c>
    </row>
    <row r="81" spans="2:3" x14ac:dyDescent="0.2">
      <c r="B81">
        <v>197380.881299806</v>
      </c>
      <c r="C81">
        <v>0.77858439201451901</v>
      </c>
    </row>
    <row r="82" spans="2:3" x14ac:dyDescent="0.2">
      <c r="B82">
        <v>193721.22578398199</v>
      </c>
      <c r="C82">
        <v>0.77676950998185113</v>
      </c>
    </row>
    <row r="83" spans="2:3" x14ac:dyDescent="0.2">
      <c r="B83">
        <v>191625.16146285299</v>
      </c>
      <c r="C83">
        <v>0.77495462794918335</v>
      </c>
    </row>
    <row r="84" spans="2:3" x14ac:dyDescent="0.2">
      <c r="B84">
        <v>189606.57297017801</v>
      </c>
      <c r="C84">
        <v>0.77313974591651546</v>
      </c>
    </row>
    <row r="85" spans="2:3" x14ac:dyDescent="0.2">
      <c r="B85">
        <v>188904.119010875</v>
      </c>
      <c r="C85">
        <v>0.77132486388384758</v>
      </c>
    </row>
    <row r="86" spans="2:3" x14ac:dyDescent="0.2">
      <c r="B86">
        <v>187384.838378174</v>
      </c>
      <c r="C86">
        <v>0.76950998185117969</v>
      </c>
    </row>
    <row r="87" spans="2:3" x14ac:dyDescent="0.2">
      <c r="B87">
        <v>181838.58898551401</v>
      </c>
      <c r="C87">
        <v>0.76769509981851181</v>
      </c>
    </row>
    <row r="88" spans="2:3" x14ac:dyDescent="0.2">
      <c r="B88">
        <v>180129.91352993</v>
      </c>
      <c r="C88">
        <v>0.76588021778584392</v>
      </c>
    </row>
    <row r="89" spans="2:3" x14ac:dyDescent="0.2">
      <c r="B89">
        <v>178260.17170286999</v>
      </c>
      <c r="C89">
        <v>0.76406533575317603</v>
      </c>
    </row>
    <row r="90" spans="2:3" x14ac:dyDescent="0.2">
      <c r="B90">
        <v>171311.11451695699</v>
      </c>
      <c r="C90">
        <v>0.76225045372050815</v>
      </c>
    </row>
    <row r="91" spans="2:3" x14ac:dyDescent="0.2">
      <c r="B91">
        <v>170519.39878151301</v>
      </c>
      <c r="C91">
        <v>0.76043557168784026</v>
      </c>
    </row>
    <row r="92" spans="2:3" x14ac:dyDescent="0.2">
      <c r="B92">
        <v>169942.01586765499</v>
      </c>
      <c r="C92">
        <v>0.75862068965517238</v>
      </c>
    </row>
    <row r="93" spans="2:3" x14ac:dyDescent="0.2">
      <c r="B93">
        <v>167257.06954470399</v>
      </c>
      <c r="C93">
        <v>0.75680580762250449</v>
      </c>
    </row>
    <row r="94" spans="2:3" x14ac:dyDescent="0.2">
      <c r="B94">
        <v>161659.5065812</v>
      </c>
      <c r="C94">
        <v>0.75499092558983671</v>
      </c>
    </row>
    <row r="95" spans="2:3" x14ac:dyDescent="0.2">
      <c r="B95">
        <v>159925.10539877601</v>
      </c>
      <c r="C95">
        <v>0.75317604355716883</v>
      </c>
    </row>
    <row r="96" spans="2:3" x14ac:dyDescent="0.2">
      <c r="B96">
        <v>159396.155683852</v>
      </c>
      <c r="C96">
        <v>0.75136116152450094</v>
      </c>
    </row>
    <row r="97" spans="2:3" x14ac:dyDescent="0.2">
      <c r="B97">
        <v>154720.50914930299</v>
      </c>
      <c r="C97">
        <v>0.74954627949183306</v>
      </c>
    </row>
    <row r="98" spans="2:3" x14ac:dyDescent="0.2">
      <c r="B98">
        <v>146947.679412953</v>
      </c>
      <c r="C98">
        <v>0.74773139745916517</v>
      </c>
    </row>
    <row r="99" spans="2:3" x14ac:dyDescent="0.2">
      <c r="B99">
        <v>146715.737023038</v>
      </c>
      <c r="C99">
        <v>0.74591651542649728</v>
      </c>
    </row>
    <row r="100" spans="2:3" x14ac:dyDescent="0.2">
      <c r="B100">
        <v>146131.52436056201</v>
      </c>
      <c r="C100">
        <v>0.7441016333938294</v>
      </c>
    </row>
    <row r="101" spans="2:3" x14ac:dyDescent="0.2">
      <c r="B101">
        <v>145290.53253168601</v>
      </c>
      <c r="C101">
        <v>0.74228675136116151</v>
      </c>
    </row>
    <row r="102" spans="2:3" x14ac:dyDescent="0.2">
      <c r="B102">
        <v>143548.78686893801</v>
      </c>
      <c r="C102">
        <v>0.74047186932849363</v>
      </c>
    </row>
    <row r="103" spans="2:3" x14ac:dyDescent="0.2">
      <c r="B103">
        <v>140042.811662238</v>
      </c>
      <c r="C103">
        <v>0.73865698729582574</v>
      </c>
    </row>
    <row r="104" spans="2:3" x14ac:dyDescent="0.2">
      <c r="B104">
        <v>138012.30585419599</v>
      </c>
      <c r="C104">
        <v>0.73684210526315785</v>
      </c>
    </row>
    <row r="105" spans="2:3" x14ac:dyDescent="0.2">
      <c r="B105">
        <v>137450.051918552</v>
      </c>
      <c r="C105">
        <v>0.73502722323048997</v>
      </c>
    </row>
    <row r="106" spans="2:3" x14ac:dyDescent="0.2">
      <c r="B106">
        <v>136808.44780218299</v>
      </c>
      <c r="C106">
        <v>0.73321234119782219</v>
      </c>
    </row>
    <row r="107" spans="2:3" x14ac:dyDescent="0.2">
      <c r="B107">
        <v>135725.64137450201</v>
      </c>
      <c r="C107">
        <v>0.73139745916515431</v>
      </c>
    </row>
    <row r="108" spans="2:3" x14ac:dyDescent="0.2">
      <c r="B108">
        <v>129726.76738525501</v>
      </c>
      <c r="C108">
        <v>0.72958257713248642</v>
      </c>
    </row>
    <row r="109" spans="2:3" x14ac:dyDescent="0.2">
      <c r="B109">
        <v>127518.822083312</v>
      </c>
      <c r="C109">
        <v>0.72776769509981853</v>
      </c>
    </row>
    <row r="110" spans="2:3" x14ac:dyDescent="0.2">
      <c r="B110">
        <v>124207.127757468</v>
      </c>
      <c r="C110">
        <v>0.72595281306715065</v>
      </c>
    </row>
    <row r="111" spans="2:3" x14ac:dyDescent="0.2">
      <c r="B111">
        <v>122351.254499879</v>
      </c>
      <c r="C111">
        <v>0.72413793103448276</v>
      </c>
    </row>
    <row r="112" spans="2:3" x14ac:dyDescent="0.2">
      <c r="B112">
        <v>119563.414027127</v>
      </c>
      <c r="C112">
        <v>0.72232304900181488</v>
      </c>
    </row>
    <row r="113" spans="2:3" x14ac:dyDescent="0.2">
      <c r="B113">
        <v>118990.868780099</v>
      </c>
      <c r="C113">
        <v>0.72050816696914699</v>
      </c>
    </row>
    <row r="114" spans="2:3" x14ac:dyDescent="0.2">
      <c r="B114">
        <v>118628.37936247099</v>
      </c>
      <c r="C114">
        <v>0.7186932849364791</v>
      </c>
    </row>
    <row r="115" spans="2:3" x14ac:dyDescent="0.2">
      <c r="B115">
        <v>115436.18467961199</v>
      </c>
      <c r="C115">
        <v>0.71687840290381122</v>
      </c>
    </row>
    <row r="116" spans="2:3" x14ac:dyDescent="0.2">
      <c r="B116">
        <v>112925.07359271101</v>
      </c>
      <c r="C116">
        <v>0.71506352087114333</v>
      </c>
    </row>
    <row r="117" spans="2:3" x14ac:dyDescent="0.2">
      <c r="B117">
        <v>111731.330143028</v>
      </c>
      <c r="C117">
        <v>0.71324863883847545</v>
      </c>
    </row>
    <row r="118" spans="2:3" x14ac:dyDescent="0.2">
      <c r="B118">
        <v>110796.016037423</v>
      </c>
      <c r="C118">
        <v>0.71143375680580767</v>
      </c>
    </row>
    <row r="119" spans="2:3" x14ac:dyDescent="0.2">
      <c r="B119">
        <v>109827.437001536</v>
      </c>
      <c r="C119">
        <v>0.70961887477313979</v>
      </c>
    </row>
    <row r="120" spans="2:3" x14ac:dyDescent="0.2">
      <c r="B120">
        <v>109775.925096982</v>
      </c>
      <c r="C120">
        <v>0.7078039927404719</v>
      </c>
    </row>
    <row r="121" spans="2:3" x14ac:dyDescent="0.2">
      <c r="B121">
        <v>109719.59786247399</v>
      </c>
      <c r="C121">
        <v>0.70598911070780401</v>
      </c>
    </row>
    <row r="122" spans="2:3" x14ac:dyDescent="0.2">
      <c r="B122">
        <v>104823.79794920899</v>
      </c>
      <c r="C122">
        <v>0.70417422867513613</v>
      </c>
    </row>
    <row r="123" spans="2:3" x14ac:dyDescent="0.2">
      <c r="B123">
        <v>104350.56194289601</v>
      </c>
      <c r="C123">
        <v>0.70235934664246824</v>
      </c>
    </row>
    <row r="124" spans="2:3" x14ac:dyDescent="0.2">
      <c r="B124">
        <v>103021.229816059</v>
      </c>
      <c r="C124">
        <v>0.70054446460980035</v>
      </c>
    </row>
    <row r="125" spans="2:3" x14ac:dyDescent="0.2">
      <c r="B125">
        <v>102171.930265869</v>
      </c>
      <c r="C125">
        <v>0.69872958257713247</v>
      </c>
    </row>
    <row r="126" spans="2:3" x14ac:dyDescent="0.2">
      <c r="B126">
        <v>100189.113415101</v>
      </c>
      <c r="C126">
        <v>0.69691470054446458</v>
      </c>
    </row>
    <row r="127" spans="2:3" x14ac:dyDescent="0.2">
      <c r="B127">
        <v>95534.331363986101</v>
      </c>
      <c r="C127">
        <v>0.6950998185117967</v>
      </c>
    </row>
    <row r="128" spans="2:3" x14ac:dyDescent="0.2">
      <c r="B128">
        <v>93981.440617116503</v>
      </c>
      <c r="C128">
        <v>0.69328493647912881</v>
      </c>
    </row>
    <row r="129" spans="2:3" x14ac:dyDescent="0.2">
      <c r="B129">
        <v>93141.656331663195</v>
      </c>
      <c r="C129">
        <v>0.69147005444646104</v>
      </c>
    </row>
    <row r="130" spans="2:3" x14ac:dyDescent="0.2">
      <c r="B130">
        <v>91894.810237784899</v>
      </c>
      <c r="C130">
        <v>0.68965517241379315</v>
      </c>
    </row>
    <row r="131" spans="2:3" x14ac:dyDescent="0.2">
      <c r="B131">
        <v>89957.792569983299</v>
      </c>
      <c r="C131">
        <v>0.68784029038112526</v>
      </c>
    </row>
    <row r="132" spans="2:3" x14ac:dyDescent="0.2">
      <c r="B132">
        <v>89821.115656541704</v>
      </c>
      <c r="C132">
        <v>0.68602540834845738</v>
      </c>
    </row>
    <row r="133" spans="2:3" x14ac:dyDescent="0.2">
      <c r="B133">
        <v>88860.700462814202</v>
      </c>
      <c r="C133">
        <v>0.68421052631578949</v>
      </c>
    </row>
    <row r="134" spans="2:3" x14ac:dyDescent="0.2">
      <c r="B134">
        <v>88255.815556129804</v>
      </c>
      <c r="C134">
        <v>0.68239564428312161</v>
      </c>
    </row>
    <row r="135" spans="2:3" x14ac:dyDescent="0.2">
      <c r="B135">
        <v>86861.658067879398</v>
      </c>
      <c r="C135">
        <v>0.68058076225045372</v>
      </c>
    </row>
    <row r="136" spans="2:3" x14ac:dyDescent="0.2">
      <c r="B136">
        <v>86570.051537700405</v>
      </c>
      <c r="C136">
        <v>0.67876588021778583</v>
      </c>
    </row>
    <row r="137" spans="2:3" x14ac:dyDescent="0.2">
      <c r="B137">
        <v>79578.584358448396</v>
      </c>
      <c r="C137">
        <v>0.67695099818511795</v>
      </c>
    </row>
    <row r="138" spans="2:3" x14ac:dyDescent="0.2">
      <c r="B138">
        <v>78036.575924860605</v>
      </c>
      <c r="C138">
        <v>0.67513611615245006</v>
      </c>
    </row>
    <row r="139" spans="2:3" x14ac:dyDescent="0.2">
      <c r="B139">
        <v>77641.302356685395</v>
      </c>
      <c r="C139">
        <v>0.67332123411978217</v>
      </c>
    </row>
    <row r="140" spans="2:3" x14ac:dyDescent="0.2">
      <c r="B140">
        <v>76491.111286839994</v>
      </c>
      <c r="C140">
        <v>0.67150635208711429</v>
      </c>
    </row>
    <row r="141" spans="2:3" x14ac:dyDescent="0.2">
      <c r="B141">
        <v>76248.185233423093</v>
      </c>
      <c r="C141">
        <v>0.66969147005444651</v>
      </c>
    </row>
    <row r="142" spans="2:3" x14ac:dyDescent="0.2">
      <c r="B142">
        <v>75681.555854622697</v>
      </c>
      <c r="C142">
        <v>0.66787658802177863</v>
      </c>
    </row>
    <row r="143" spans="2:3" x14ac:dyDescent="0.2">
      <c r="B143">
        <v>72658.570110742105</v>
      </c>
      <c r="C143">
        <v>0.66606170598911074</v>
      </c>
    </row>
    <row r="144" spans="2:3" x14ac:dyDescent="0.2">
      <c r="B144">
        <v>72525.070460682502</v>
      </c>
      <c r="C144">
        <v>0.66424682395644286</v>
      </c>
    </row>
    <row r="145" spans="2:3" x14ac:dyDescent="0.2">
      <c r="B145">
        <v>72513.573754350393</v>
      </c>
      <c r="C145">
        <v>0.66243194192377497</v>
      </c>
    </row>
    <row r="146" spans="2:3" x14ac:dyDescent="0.2">
      <c r="B146">
        <v>72352.060726148004</v>
      </c>
      <c r="C146">
        <v>0.66061705989110708</v>
      </c>
    </row>
    <row r="147" spans="2:3" x14ac:dyDescent="0.2">
      <c r="B147">
        <v>71911.001558324002</v>
      </c>
      <c r="C147">
        <v>0.6588021778584392</v>
      </c>
    </row>
    <row r="148" spans="2:3" x14ac:dyDescent="0.2">
      <c r="B148">
        <v>69944.998122058896</v>
      </c>
      <c r="C148">
        <v>0.65698729582577131</v>
      </c>
    </row>
    <row r="149" spans="2:3" x14ac:dyDescent="0.2">
      <c r="B149">
        <v>69349.5840327443</v>
      </c>
      <c r="C149">
        <v>0.65517241379310343</v>
      </c>
    </row>
    <row r="150" spans="2:3" x14ac:dyDescent="0.2">
      <c r="B150">
        <v>68969.458325228101</v>
      </c>
      <c r="C150">
        <v>0.65335753176043554</v>
      </c>
    </row>
    <row r="151" spans="2:3" x14ac:dyDescent="0.2">
      <c r="B151">
        <v>68334.081561418803</v>
      </c>
      <c r="C151">
        <v>0.65154264972776765</v>
      </c>
    </row>
    <row r="152" spans="2:3" x14ac:dyDescent="0.2">
      <c r="B152">
        <v>67773.782070343106</v>
      </c>
      <c r="C152">
        <v>0.64972776769509977</v>
      </c>
    </row>
    <row r="153" spans="2:3" x14ac:dyDescent="0.2">
      <c r="B153">
        <v>67489.297079232099</v>
      </c>
      <c r="C153">
        <v>0.64791288566243199</v>
      </c>
    </row>
    <row r="154" spans="2:3" x14ac:dyDescent="0.2">
      <c r="B154">
        <v>67441.374086397103</v>
      </c>
      <c r="C154">
        <v>0.64609800362976411</v>
      </c>
    </row>
    <row r="155" spans="2:3" x14ac:dyDescent="0.2">
      <c r="B155">
        <v>67066.763962990299</v>
      </c>
      <c r="C155">
        <v>0.64428312159709622</v>
      </c>
    </row>
    <row r="156" spans="2:3" x14ac:dyDescent="0.2">
      <c r="B156">
        <v>66584.438564128097</v>
      </c>
      <c r="C156">
        <v>0.64246823956442833</v>
      </c>
    </row>
    <row r="157" spans="2:3" x14ac:dyDescent="0.2">
      <c r="B157">
        <v>65666.492191430196</v>
      </c>
      <c r="C157">
        <v>0.64065335753176045</v>
      </c>
    </row>
    <row r="158" spans="2:3" x14ac:dyDescent="0.2">
      <c r="B158">
        <v>65329.446351703104</v>
      </c>
      <c r="C158">
        <v>0.63883847549909256</v>
      </c>
    </row>
    <row r="159" spans="2:3" x14ac:dyDescent="0.2">
      <c r="B159">
        <v>64638.608709073902</v>
      </c>
      <c r="C159">
        <v>0.63702359346642468</v>
      </c>
    </row>
    <row r="160" spans="2:3" x14ac:dyDescent="0.2">
      <c r="B160">
        <v>64522.941377411502</v>
      </c>
      <c r="C160">
        <v>0.63520871143375679</v>
      </c>
    </row>
    <row r="161" spans="2:3" x14ac:dyDescent="0.2">
      <c r="B161">
        <v>64007.966738583898</v>
      </c>
      <c r="C161">
        <v>0.6333938294010889</v>
      </c>
    </row>
    <row r="162" spans="2:3" x14ac:dyDescent="0.2">
      <c r="B162">
        <v>63343.3022114794</v>
      </c>
      <c r="C162">
        <v>0.63157894736842102</v>
      </c>
    </row>
    <row r="163" spans="2:3" x14ac:dyDescent="0.2">
      <c r="B163">
        <v>62724.343855720399</v>
      </c>
      <c r="C163">
        <v>0.62976406533575313</v>
      </c>
    </row>
    <row r="164" spans="2:3" x14ac:dyDescent="0.2">
      <c r="B164">
        <v>62212.477323175197</v>
      </c>
      <c r="C164">
        <v>0.62794918330308525</v>
      </c>
    </row>
    <row r="165" spans="2:3" x14ac:dyDescent="0.2">
      <c r="B165">
        <v>61978.932445479099</v>
      </c>
      <c r="C165">
        <v>0.62613430127041747</v>
      </c>
    </row>
    <row r="166" spans="2:3" x14ac:dyDescent="0.2">
      <c r="B166">
        <v>60806.516352616403</v>
      </c>
      <c r="C166">
        <v>0.62431941923774958</v>
      </c>
    </row>
    <row r="167" spans="2:3" x14ac:dyDescent="0.2">
      <c r="B167">
        <v>58858.654269878301</v>
      </c>
      <c r="C167">
        <v>0.6225045372050817</v>
      </c>
    </row>
    <row r="168" spans="2:3" x14ac:dyDescent="0.2">
      <c r="B168">
        <v>55901.709586871199</v>
      </c>
      <c r="C168">
        <v>0.62068965517241381</v>
      </c>
    </row>
    <row r="169" spans="2:3" x14ac:dyDescent="0.2">
      <c r="B169">
        <v>55864.856047323199</v>
      </c>
      <c r="C169">
        <v>0.61887477313974593</v>
      </c>
    </row>
    <row r="170" spans="2:3" x14ac:dyDescent="0.2">
      <c r="B170">
        <v>55829.124672435602</v>
      </c>
      <c r="C170">
        <v>0.61705989110707804</v>
      </c>
    </row>
    <row r="171" spans="2:3" x14ac:dyDescent="0.2">
      <c r="B171">
        <v>54197.751462970598</v>
      </c>
      <c r="C171">
        <v>0.61524500907441015</v>
      </c>
    </row>
    <row r="172" spans="2:3" x14ac:dyDescent="0.2">
      <c r="B172">
        <v>54154.467449854201</v>
      </c>
      <c r="C172">
        <v>0.61343012704174227</v>
      </c>
    </row>
    <row r="173" spans="2:3" x14ac:dyDescent="0.2">
      <c r="B173">
        <v>54028.162101953698</v>
      </c>
      <c r="C173">
        <v>0.61161524500907438</v>
      </c>
    </row>
    <row r="174" spans="2:3" x14ac:dyDescent="0.2">
      <c r="B174">
        <v>52580.634382201999</v>
      </c>
      <c r="C174">
        <v>0.6098003629764065</v>
      </c>
    </row>
    <row r="175" spans="2:3" x14ac:dyDescent="0.2">
      <c r="B175">
        <v>51872.458919044402</v>
      </c>
      <c r="C175">
        <v>0.60798548094373861</v>
      </c>
    </row>
    <row r="176" spans="2:3" x14ac:dyDescent="0.2">
      <c r="B176">
        <v>51618.567347274497</v>
      </c>
      <c r="C176">
        <v>0.60617059891107083</v>
      </c>
    </row>
    <row r="177" spans="2:3" x14ac:dyDescent="0.2">
      <c r="B177">
        <v>50460.523485469501</v>
      </c>
      <c r="C177">
        <v>0.60435571687840295</v>
      </c>
    </row>
    <row r="178" spans="2:3" x14ac:dyDescent="0.2">
      <c r="B178">
        <v>49672.178680782803</v>
      </c>
      <c r="C178">
        <v>0.60254083484573506</v>
      </c>
    </row>
    <row r="179" spans="2:3" x14ac:dyDescent="0.2">
      <c r="B179">
        <v>47877.709289400998</v>
      </c>
      <c r="C179">
        <v>0.60072595281306718</v>
      </c>
    </row>
    <row r="180" spans="2:3" x14ac:dyDescent="0.2">
      <c r="B180">
        <v>47558.834543523102</v>
      </c>
      <c r="C180">
        <v>0.59891107078039929</v>
      </c>
    </row>
    <row r="181" spans="2:3" x14ac:dyDescent="0.2">
      <c r="B181">
        <v>46778.484934467699</v>
      </c>
      <c r="C181">
        <v>0.5970961887477314</v>
      </c>
    </row>
    <row r="182" spans="2:3" x14ac:dyDescent="0.2">
      <c r="B182">
        <v>46591.677416708801</v>
      </c>
      <c r="C182">
        <v>0.59528130671506352</v>
      </c>
    </row>
    <row r="183" spans="2:3" x14ac:dyDescent="0.2">
      <c r="B183">
        <v>46143.362893481899</v>
      </c>
      <c r="C183">
        <v>0.59346642468239563</v>
      </c>
    </row>
    <row r="184" spans="2:3" x14ac:dyDescent="0.2">
      <c r="B184">
        <v>45790.524235672499</v>
      </c>
      <c r="C184">
        <v>0.59165154264972775</v>
      </c>
    </row>
    <row r="185" spans="2:3" x14ac:dyDescent="0.2">
      <c r="B185">
        <v>45394.117152907202</v>
      </c>
      <c r="C185">
        <v>0.58983666061705986</v>
      </c>
    </row>
    <row r="186" spans="2:3" x14ac:dyDescent="0.2">
      <c r="B186">
        <v>45055.568971049201</v>
      </c>
      <c r="C186">
        <v>0.58802177858439197</v>
      </c>
    </row>
    <row r="187" spans="2:3" x14ac:dyDescent="0.2">
      <c r="B187">
        <v>44904.388908539302</v>
      </c>
      <c r="C187">
        <v>0.58620689655172409</v>
      </c>
    </row>
    <row r="188" spans="2:3" x14ac:dyDescent="0.2">
      <c r="B188">
        <v>44567.036576890503</v>
      </c>
      <c r="C188">
        <v>0.58439201451905631</v>
      </c>
    </row>
    <row r="189" spans="2:3" x14ac:dyDescent="0.2">
      <c r="B189">
        <v>44395.830762670099</v>
      </c>
      <c r="C189">
        <v>0.58257713248638843</v>
      </c>
    </row>
    <row r="190" spans="2:3" x14ac:dyDescent="0.2">
      <c r="B190">
        <v>43724.808480536303</v>
      </c>
      <c r="C190">
        <v>0.58076225045372054</v>
      </c>
    </row>
    <row r="191" spans="2:3" x14ac:dyDescent="0.2">
      <c r="B191">
        <v>42707.672756061897</v>
      </c>
      <c r="C191">
        <v>0.57894736842105265</v>
      </c>
    </row>
    <row r="192" spans="2:3" x14ac:dyDescent="0.2">
      <c r="B192">
        <v>42686.862847440403</v>
      </c>
      <c r="C192">
        <v>0.57713248638838477</v>
      </c>
    </row>
    <row r="193" spans="2:3" x14ac:dyDescent="0.2">
      <c r="B193">
        <v>42549.428008813004</v>
      </c>
      <c r="C193">
        <v>0.57531760435571688</v>
      </c>
    </row>
    <row r="194" spans="2:3" x14ac:dyDescent="0.2">
      <c r="B194">
        <v>42128.062630835302</v>
      </c>
      <c r="C194">
        <v>0.573502722323049</v>
      </c>
    </row>
    <row r="195" spans="2:3" x14ac:dyDescent="0.2">
      <c r="B195">
        <v>42127.567923444702</v>
      </c>
      <c r="C195">
        <v>0.57168784029038111</v>
      </c>
    </row>
    <row r="196" spans="2:3" x14ac:dyDescent="0.2">
      <c r="B196">
        <v>41851.124232033602</v>
      </c>
      <c r="C196">
        <v>0.56987295825771322</v>
      </c>
    </row>
    <row r="197" spans="2:3" x14ac:dyDescent="0.2">
      <c r="B197">
        <v>41603.571674207698</v>
      </c>
      <c r="C197">
        <v>0.56805807622504534</v>
      </c>
    </row>
    <row r="198" spans="2:3" x14ac:dyDescent="0.2">
      <c r="B198">
        <v>41483.455844531098</v>
      </c>
      <c r="C198">
        <v>0.56624319419237745</v>
      </c>
    </row>
    <row r="199" spans="2:3" x14ac:dyDescent="0.2">
      <c r="B199">
        <v>41314.045778837797</v>
      </c>
      <c r="C199">
        <v>0.56442831215970957</v>
      </c>
    </row>
    <row r="200" spans="2:3" x14ac:dyDescent="0.2">
      <c r="B200">
        <v>41033.474843243297</v>
      </c>
      <c r="C200">
        <v>0.56261343012704179</v>
      </c>
    </row>
    <row r="201" spans="2:3" x14ac:dyDescent="0.2">
      <c r="B201">
        <v>40810.048847561702</v>
      </c>
      <c r="C201">
        <v>0.56079854809437391</v>
      </c>
    </row>
    <row r="202" spans="2:3" x14ac:dyDescent="0.2">
      <c r="B202">
        <v>39637.933595479102</v>
      </c>
      <c r="C202">
        <v>0.55898366606170602</v>
      </c>
    </row>
    <row r="203" spans="2:3" x14ac:dyDescent="0.2">
      <c r="B203">
        <v>37230.026851498398</v>
      </c>
      <c r="C203">
        <v>0.55716878402903813</v>
      </c>
    </row>
    <row r="204" spans="2:3" x14ac:dyDescent="0.2">
      <c r="B204">
        <v>37118.073300252101</v>
      </c>
      <c r="C204">
        <v>0.55535390199637025</v>
      </c>
    </row>
    <row r="205" spans="2:3" x14ac:dyDescent="0.2">
      <c r="B205">
        <v>36468.208194553001</v>
      </c>
      <c r="C205">
        <v>0.55353901996370236</v>
      </c>
    </row>
    <row r="206" spans="2:3" x14ac:dyDescent="0.2">
      <c r="B206">
        <v>36327.992454129002</v>
      </c>
      <c r="C206">
        <v>0.55172413793103448</v>
      </c>
    </row>
    <row r="207" spans="2:3" x14ac:dyDescent="0.2">
      <c r="B207">
        <v>36315.109093106999</v>
      </c>
      <c r="C207">
        <v>0.54990925589836659</v>
      </c>
    </row>
    <row r="208" spans="2:3" x14ac:dyDescent="0.2">
      <c r="B208">
        <v>35932.923349131197</v>
      </c>
      <c r="C208">
        <v>0.5480943738656987</v>
      </c>
    </row>
    <row r="209" spans="2:3" x14ac:dyDescent="0.2">
      <c r="B209">
        <v>35089.4784892975</v>
      </c>
      <c r="C209">
        <v>0.54627949183303082</v>
      </c>
    </row>
    <row r="210" spans="2:3" x14ac:dyDescent="0.2">
      <c r="B210">
        <v>34556.826523252297</v>
      </c>
      <c r="C210">
        <v>0.54446460980036293</v>
      </c>
    </row>
    <row r="211" spans="2:3" x14ac:dyDescent="0.2">
      <c r="B211">
        <v>34525.5118478328</v>
      </c>
      <c r="C211">
        <v>0.54264972776769504</v>
      </c>
    </row>
    <row r="212" spans="2:3" x14ac:dyDescent="0.2">
      <c r="B212">
        <v>34175.064058081101</v>
      </c>
      <c r="C212">
        <v>0.54083484573502727</v>
      </c>
    </row>
    <row r="213" spans="2:3" x14ac:dyDescent="0.2">
      <c r="B213">
        <v>34134.118307342003</v>
      </c>
      <c r="C213">
        <v>0.53901996370235938</v>
      </c>
    </row>
    <row r="214" spans="2:3" x14ac:dyDescent="0.2">
      <c r="B214">
        <v>33771.593399319303</v>
      </c>
      <c r="C214">
        <v>0.5372050816696915</v>
      </c>
    </row>
    <row r="215" spans="2:3" x14ac:dyDescent="0.2">
      <c r="B215">
        <v>33373.103803094898</v>
      </c>
      <c r="C215">
        <v>0.53539019963702361</v>
      </c>
    </row>
    <row r="216" spans="2:3" x14ac:dyDescent="0.2">
      <c r="B216">
        <v>33272.852914673102</v>
      </c>
      <c r="C216">
        <v>0.53357531760435573</v>
      </c>
    </row>
    <row r="217" spans="2:3" x14ac:dyDescent="0.2">
      <c r="B217">
        <v>33242.900763649901</v>
      </c>
      <c r="C217">
        <v>0.53176043557168784</v>
      </c>
    </row>
    <row r="218" spans="2:3" x14ac:dyDescent="0.2">
      <c r="B218">
        <v>31937.1704909283</v>
      </c>
      <c r="C218">
        <v>0.52994555353901995</v>
      </c>
    </row>
    <row r="219" spans="2:3" x14ac:dyDescent="0.2">
      <c r="B219">
        <v>31331.4841352064</v>
      </c>
      <c r="C219">
        <v>0.52813067150635207</v>
      </c>
    </row>
    <row r="220" spans="2:3" x14ac:dyDescent="0.2">
      <c r="B220">
        <v>31277.140959391501</v>
      </c>
      <c r="C220">
        <v>0.52631578947368418</v>
      </c>
    </row>
    <row r="221" spans="2:3" x14ac:dyDescent="0.2">
      <c r="B221">
        <v>30380.9553110421</v>
      </c>
      <c r="C221">
        <v>0.5245009074410163</v>
      </c>
    </row>
    <row r="222" spans="2:3" x14ac:dyDescent="0.2">
      <c r="B222">
        <v>29814.781620276601</v>
      </c>
      <c r="C222">
        <v>0.52268602540834841</v>
      </c>
    </row>
    <row r="223" spans="2:3" x14ac:dyDescent="0.2">
      <c r="B223">
        <v>29672.702139634199</v>
      </c>
      <c r="C223">
        <v>0.52087114337568063</v>
      </c>
    </row>
    <row r="224" spans="2:3" x14ac:dyDescent="0.2">
      <c r="B224">
        <v>28963.802812484701</v>
      </c>
      <c r="C224">
        <v>0.51905626134301275</v>
      </c>
    </row>
    <row r="225" spans="2:3" x14ac:dyDescent="0.2">
      <c r="B225">
        <v>28836.7937227371</v>
      </c>
      <c r="C225">
        <v>0.51724137931034486</v>
      </c>
    </row>
    <row r="226" spans="2:3" x14ac:dyDescent="0.2">
      <c r="B226">
        <v>28615.8379449844</v>
      </c>
      <c r="C226">
        <v>0.51542649727767698</v>
      </c>
    </row>
    <row r="227" spans="2:3" x14ac:dyDescent="0.2">
      <c r="B227">
        <v>27547.127151498298</v>
      </c>
      <c r="C227">
        <v>0.51361161524500909</v>
      </c>
    </row>
    <row r="228" spans="2:3" x14ac:dyDescent="0.2">
      <c r="B228">
        <v>27350.778101997901</v>
      </c>
      <c r="C228">
        <v>0.5117967332123412</v>
      </c>
    </row>
    <row r="229" spans="2:3" x14ac:dyDescent="0.2">
      <c r="B229">
        <v>27154.517248999899</v>
      </c>
      <c r="C229">
        <v>0.50998185117967332</v>
      </c>
    </row>
    <row r="230" spans="2:3" x14ac:dyDescent="0.2">
      <c r="B230">
        <v>26905.946826937099</v>
      </c>
      <c r="C230">
        <v>0.50816696914700543</v>
      </c>
    </row>
    <row r="231" spans="2:3" x14ac:dyDescent="0.2">
      <c r="B231">
        <v>26781.370595107899</v>
      </c>
      <c r="C231">
        <v>0.50635208711433755</v>
      </c>
    </row>
    <row r="232" spans="2:3" x14ac:dyDescent="0.2">
      <c r="B232">
        <v>26708.327039121399</v>
      </c>
      <c r="C232">
        <v>0.50453720508166966</v>
      </c>
    </row>
    <row r="233" spans="2:3" x14ac:dyDescent="0.2">
      <c r="B233">
        <v>26072.7124957339</v>
      </c>
      <c r="C233">
        <v>0.50272232304900177</v>
      </c>
    </row>
    <row r="234" spans="2:3" x14ac:dyDescent="0.2">
      <c r="B234">
        <v>26057.220826949298</v>
      </c>
      <c r="C234">
        <v>0.50090744101633389</v>
      </c>
    </row>
    <row r="235" spans="2:3" x14ac:dyDescent="0.2">
      <c r="B235">
        <v>26001.248580273099</v>
      </c>
      <c r="C235">
        <v>0.49909255898366606</v>
      </c>
    </row>
    <row r="236" spans="2:3" x14ac:dyDescent="0.2">
      <c r="B236">
        <v>25883.055385424501</v>
      </c>
      <c r="C236">
        <v>0.49727767695099817</v>
      </c>
    </row>
    <row r="237" spans="2:3" x14ac:dyDescent="0.2">
      <c r="B237">
        <v>25847.795875829299</v>
      </c>
      <c r="C237">
        <v>0.49546279491833028</v>
      </c>
    </row>
    <row r="238" spans="2:3" x14ac:dyDescent="0.2">
      <c r="B238">
        <v>25341.549048067802</v>
      </c>
      <c r="C238">
        <v>0.49364791288566245</v>
      </c>
    </row>
    <row r="239" spans="2:3" x14ac:dyDescent="0.2">
      <c r="B239">
        <v>24733.388944265502</v>
      </c>
      <c r="C239">
        <v>0.49183303085299457</v>
      </c>
    </row>
    <row r="240" spans="2:3" x14ac:dyDescent="0.2">
      <c r="B240">
        <v>23982.888855278601</v>
      </c>
      <c r="C240">
        <v>0.49001814882032668</v>
      </c>
    </row>
    <row r="241" spans="2:3" x14ac:dyDescent="0.2">
      <c r="B241">
        <v>23796.9590405171</v>
      </c>
      <c r="C241">
        <v>0.4882032667876588</v>
      </c>
    </row>
    <row r="242" spans="2:3" x14ac:dyDescent="0.2">
      <c r="B242">
        <v>23420.151959368799</v>
      </c>
      <c r="C242">
        <v>0.48638838475499091</v>
      </c>
    </row>
    <row r="243" spans="2:3" x14ac:dyDescent="0.2">
      <c r="B243">
        <v>23370.456318540899</v>
      </c>
      <c r="C243">
        <v>0.48457350272232302</v>
      </c>
    </row>
    <row r="244" spans="2:3" x14ac:dyDescent="0.2">
      <c r="B244">
        <v>23336.590695975101</v>
      </c>
      <c r="C244">
        <v>0.48275862068965519</v>
      </c>
    </row>
    <row r="245" spans="2:3" x14ac:dyDescent="0.2">
      <c r="B245">
        <v>22205.0492055387</v>
      </c>
      <c r="C245">
        <v>0.48094373865698731</v>
      </c>
    </row>
    <row r="246" spans="2:3" x14ac:dyDescent="0.2">
      <c r="B246">
        <v>21878.7119352064</v>
      </c>
      <c r="C246">
        <v>0.47912885662431942</v>
      </c>
    </row>
    <row r="247" spans="2:3" x14ac:dyDescent="0.2">
      <c r="B247">
        <v>21759.768011807799</v>
      </c>
      <c r="C247">
        <v>0.47731397459165154</v>
      </c>
    </row>
    <row r="248" spans="2:3" x14ac:dyDescent="0.2">
      <c r="B248">
        <v>21756.324588445401</v>
      </c>
      <c r="C248">
        <v>0.47549909255898365</v>
      </c>
    </row>
    <row r="249" spans="2:3" x14ac:dyDescent="0.2">
      <c r="B249">
        <v>21369.222911803899</v>
      </c>
      <c r="C249">
        <v>0.47368421052631576</v>
      </c>
    </row>
    <row r="250" spans="2:3" x14ac:dyDescent="0.2">
      <c r="B250">
        <v>21308.5250896053</v>
      </c>
      <c r="C250">
        <v>0.47186932849364793</v>
      </c>
    </row>
    <row r="251" spans="2:3" x14ac:dyDescent="0.2">
      <c r="B251">
        <v>21101.043231629701</v>
      </c>
      <c r="C251">
        <v>0.47005444646098005</v>
      </c>
    </row>
    <row r="252" spans="2:3" x14ac:dyDescent="0.2">
      <c r="B252">
        <v>20342.935729940698</v>
      </c>
      <c r="C252">
        <v>0.46823956442831216</v>
      </c>
    </row>
    <row r="253" spans="2:3" x14ac:dyDescent="0.2">
      <c r="B253">
        <v>20291.5353605686</v>
      </c>
      <c r="C253">
        <v>0.46642468239564427</v>
      </c>
    </row>
    <row r="254" spans="2:3" x14ac:dyDescent="0.2">
      <c r="B254">
        <v>20227.8335961132</v>
      </c>
      <c r="C254">
        <v>0.46460980036297639</v>
      </c>
    </row>
    <row r="255" spans="2:3" x14ac:dyDescent="0.2">
      <c r="B255">
        <v>20149.164184769801</v>
      </c>
      <c r="C255">
        <v>0.4627949183303085</v>
      </c>
    </row>
    <row r="256" spans="2:3" x14ac:dyDescent="0.2">
      <c r="B256">
        <v>19739.724044591399</v>
      </c>
      <c r="C256">
        <v>0.46098003629764067</v>
      </c>
    </row>
    <row r="257" spans="2:3" x14ac:dyDescent="0.2">
      <c r="B257">
        <v>19274.486334868001</v>
      </c>
      <c r="C257">
        <v>0.45916515426497279</v>
      </c>
    </row>
    <row r="258" spans="2:3" x14ac:dyDescent="0.2">
      <c r="B258">
        <v>18967.670304977</v>
      </c>
      <c r="C258">
        <v>0.4573502722323049</v>
      </c>
    </row>
    <row r="259" spans="2:3" x14ac:dyDescent="0.2">
      <c r="B259">
        <v>18845.968200993899</v>
      </c>
      <c r="C259">
        <v>0.45553539019963701</v>
      </c>
    </row>
    <row r="260" spans="2:3" x14ac:dyDescent="0.2">
      <c r="B260">
        <v>18718.3757241561</v>
      </c>
      <c r="C260">
        <v>0.45372050816696913</v>
      </c>
    </row>
    <row r="261" spans="2:3" x14ac:dyDescent="0.2">
      <c r="B261">
        <v>18617.0324060686</v>
      </c>
      <c r="C261">
        <v>0.4519056261343013</v>
      </c>
    </row>
    <row r="262" spans="2:3" x14ac:dyDescent="0.2">
      <c r="B262">
        <v>18352.739539032598</v>
      </c>
      <c r="C262">
        <v>0.45009074410163341</v>
      </c>
    </row>
    <row r="263" spans="2:3" x14ac:dyDescent="0.2">
      <c r="B263">
        <v>17840.357990193999</v>
      </c>
      <c r="C263">
        <v>0.44827586206896552</v>
      </c>
    </row>
    <row r="264" spans="2:3" x14ac:dyDescent="0.2">
      <c r="B264">
        <v>17516.9446762437</v>
      </c>
      <c r="C264">
        <v>0.44646098003629764</v>
      </c>
    </row>
    <row r="265" spans="2:3" x14ac:dyDescent="0.2">
      <c r="B265">
        <v>17455.029325947598</v>
      </c>
      <c r="C265">
        <v>0.44464609800362975</v>
      </c>
    </row>
    <row r="266" spans="2:3" x14ac:dyDescent="0.2">
      <c r="B266">
        <v>17367.655433866999</v>
      </c>
      <c r="C266">
        <v>0.44283121597096187</v>
      </c>
    </row>
    <row r="267" spans="2:3" x14ac:dyDescent="0.2">
      <c r="B267">
        <v>17069.543292775699</v>
      </c>
      <c r="C267">
        <v>0.44101633393829404</v>
      </c>
    </row>
    <row r="268" spans="2:3" x14ac:dyDescent="0.2">
      <c r="B268">
        <v>17042.758424858399</v>
      </c>
      <c r="C268">
        <v>0.43920145190562615</v>
      </c>
    </row>
    <row r="269" spans="2:3" x14ac:dyDescent="0.2">
      <c r="B269">
        <v>16868.5850393045</v>
      </c>
      <c r="C269">
        <v>0.43738656987295826</v>
      </c>
    </row>
    <row r="270" spans="2:3" x14ac:dyDescent="0.2">
      <c r="B270">
        <v>16540.004301845202</v>
      </c>
      <c r="C270">
        <v>0.43557168784029038</v>
      </c>
    </row>
    <row r="271" spans="2:3" x14ac:dyDescent="0.2">
      <c r="B271">
        <v>16506.5144440396</v>
      </c>
      <c r="C271">
        <v>0.43375680580762249</v>
      </c>
    </row>
    <row r="272" spans="2:3" x14ac:dyDescent="0.2">
      <c r="B272">
        <v>16442.8539205259</v>
      </c>
      <c r="C272">
        <v>0.43194192377495461</v>
      </c>
    </row>
    <row r="273" spans="2:3" x14ac:dyDescent="0.2">
      <c r="B273">
        <v>16036.898414617801</v>
      </c>
      <c r="C273">
        <v>0.43012704174228678</v>
      </c>
    </row>
    <row r="274" spans="2:3" x14ac:dyDescent="0.2">
      <c r="B274">
        <v>15663.372649176799</v>
      </c>
      <c r="C274">
        <v>0.42831215970961889</v>
      </c>
    </row>
    <row r="275" spans="2:3" x14ac:dyDescent="0.2">
      <c r="B275">
        <v>15589.219111505199</v>
      </c>
      <c r="C275">
        <v>0.426497277676951</v>
      </c>
    </row>
    <row r="276" spans="2:3" x14ac:dyDescent="0.2">
      <c r="B276">
        <v>15491.020005598901</v>
      </c>
      <c r="C276">
        <v>0.42468239564428312</v>
      </c>
    </row>
    <row r="277" spans="2:3" x14ac:dyDescent="0.2">
      <c r="B277">
        <v>15349.198338283</v>
      </c>
      <c r="C277">
        <v>0.42286751361161523</v>
      </c>
    </row>
    <row r="278" spans="2:3" x14ac:dyDescent="0.2">
      <c r="B278">
        <v>15242.9749528147</v>
      </c>
      <c r="C278">
        <v>0.42105263157894735</v>
      </c>
    </row>
    <row r="279" spans="2:3" x14ac:dyDescent="0.2">
      <c r="B279">
        <v>15025.23169615</v>
      </c>
      <c r="C279">
        <v>0.41923774954627951</v>
      </c>
    </row>
    <row r="280" spans="2:3" x14ac:dyDescent="0.2">
      <c r="B280">
        <v>14979.1275279478</v>
      </c>
      <c r="C280">
        <v>0.41742286751361163</v>
      </c>
    </row>
    <row r="281" spans="2:3" x14ac:dyDescent="0.2">
      <c r="B281">
        <v>14829.522917616399</v>
      </c>
      <c r="C281">
        <v>0.41560798548094374</v>
      </c>
    </row>
    <row r="282" spans="2:3" x14ac:dyDescent="0.2">
      <c r="B282">
        <v>14060.812409136301</v>
      </c>
      <c r="C282">
        <v>0.41379310344827586</v>
      </c>
    </row>
    <row r="283" spans="2:3" x14ac:dyDescent="0.2">
      <c r="B283">
        <v>14029.7000308109</v>
      </c>
      <c r="C283">
        <v>0.41197822141560797</v>
      </c>
    </row>
    <row r="284" spans="2:3" x14ac:dyDescent="0.2">
      <c r="B284">
        <v>13661.731208564899</v>
      </c>
      <c r="C284">
        <v>0.41016333938294008</v>
      </c>
    </row>
    <row r="285" spans="2:3" x14ac:dyDescent="0.2">
      <c r="B285">
        <v>13588.8843274549</v>
      </c>
      <c r="C285">
        <v>0.40834845735027225</v>
      </c>
    </row>
    <row r="286" spans="2:3" x14ac:dyDescent="0.2">
      <c r="B286">
        <v>13463.397522704699</v>
      </c>
      <c r="C286">
        <v>0.40653357531760437</v>
      </c>
    </row>
    <row r="287" spans="2:3" x14ac:dyDescent="0.2">
      <c r="B287">
        <v>12637.1161855966</v>
      </c>
      <c r="C287">
        <v>0.40471869328493648</v>
      </c>
    </row>
    <row r="288" spans="2:3" x14ac:dyDescent="0.2">
      <c r="B288">
        <v>12562.2434691579</v>
      </c>
      <c r="C288">
        <v>0.4029038112522686</v>
      </c>
    </row>
    <row r="289" spans="2:3" x14ac:dyDescent="0.2">
      <c r="B289">
        <v>12343.424183848099</v>
      </c>
      <c r="C289">
        <v>0.40108892921960071</v>
      </c>
    </row>
    <row r="290" spans="2:3" x14ac:dyDescent="0.2">
      <c r="B290">
        <v>11631.301685549801</v>
      </c>
      <c r="C290">
        <v>0.39927404718693282</v>
      </c>
    </row>
    <row r="291" spans="2:3" x14ac:dyDescent="0.2">
      <c r="B291">
        <v>11589.749006317301</v>
      </c>
      <c r="C291">
        <v>0.39745916515426499</v>
      </c>
    </row>
    <row r="292" spans="2:3" x14ac:dyDescent="0.2">
      <c r="B292">
        <v>11216.219584435699</v>
      </c>
      <c r="C292">
        <v>0.39564428312159711</v>
      </c>
    </row>
    <row r="293" spans="2:3" x14ac:dyDescent="0.2">
      <c r="B293">
        <v>10829.581776745101</v>
      </c>
      <c r="C293">
        <v>0.39382940108892922</v>
      </c>
    </row>
    <row r="294" spans="2:3" x14ac:dyDescent="0.2">
      <c r="B294">
        <v>10742.3086019004</v>
      </c>
      <c r="C294">
        <v>0.39201451905626133</v>
      </c>
    </row>
    <row r="295" spans="2:3" x14ac:dyDescent="0.2">
      <c r="B295">
        <v>10565.4937422194</v>
      </c>
      <c r="C295">
        <v>0.39019963702359345</v>
      </c>
    </row>
    <row r="296" spans="2:3" x14ac:dyDescent="0.2">
      <c r="B296">
        <v>10446.634931020501</v>
      </c>
      <c r="C296">
        <v>0.38838475499092556</v>
      </c>
    </row>
    <row r="297" spans="2:3" x14ac:dyDescent="0.2">
      <c r="B297">
        <v>10323.445427230399</v>
      </c>
      <c r="C297">
        <v>0.38656987295825773</v>
      </c>
    </row>
    <row r="298" spans="2:3" x14ac:dyDescent="0.2">
      <c r="B298">
        <v>10314.152789997701</v>
      </c>
      <c r="C298">
        <v>0.38475499092558985</v>
      </c>
    </row>
    <row r="299" spans="2:3" x14ac:dyDescent="0.2">
      <c r="B299">
        <v>10082.4748991664</v>
      </c>
      <c r="C299">
        <v>0.38294010889292196</v>
      </c>
    </row>
    <row r="300" spans="2:3" x14ac:dyDescent="0.2">
      <c r="B300">
        <v>9979.8581432195297</v>
      </c>
      <c r="C300">
        <v>0.38112522686025407</v>
      </c>
    </row>
    <row r="301" spans="2:3" x14ac:dyDescent="0.2">
      <c r="B301">
        <v>9927.3129791768097</v>
      </c>
      <c r="C301">
        <v>0.37931034482758619</v>
      </c>
    </row>
    <row r="302" spans="2:3" x14ac:dyDescent="0.2">
      <c r="B302">
        <v>9682.8627547399192</v>
      </c>
      <c r="C302">
        <v>0.37749546279491836</v>
      </c>
    </row>
    <row r="303" spans="2:3" x14ac:dyDescent="0.2">
      <c r="B303">
        <v>9595.0095662926906</v>
      </c>
      <c r="C303">
        <v>0.37568058076225047</v>
      </c>
    </row>
    <row r="304" spans="2:3" x14ac:dyDescent="0.2">
      <c r="B304">
        <v>9553.2618020164991</v>
      </c>
      <c r="C304">
        <v>0.37386569872958259</v>
      </c>
    </row>
    <row r="305" spans="2:3" x14ac:dyDescent="0.2">
      <c r="B305">
        <v>9535.5622917488508</v>
      </c>
      <c r="C305">
        <v>0.3720508166969147</v>
      </c>
    </row>
    <row r="306" spans="2:3" x14ac:dyDescent="0.2">
      <c r="B306">
        <v>9343.7572848832406</v>
      </c>
      <c r="C306">
        <v>0.37023593466424681</v>
      </c>
    </row>
    <row r="307" spans="2:3" x14ac:dyDescent="0.2">
      <c r="B307">
        <v>9301.9338694695307</v>
      </c>
      <c r="C307">
        <v>0.36842105263157893</v>
      </c>
    </row>
    <row r="308" spans="2:3" x14ac:dyDescent="0.2">
      <c r="B308">
        <v>9123.5090437650797</v>
      </c>
      <c r="C308">
        <v>0.3666061705989111</v>
      </c>
    </row>
    <row r="309" spans="2:3" x14ac:dyDescent="0.2">
      <c r="B309">
        <v>9115.3402822348908</v>
      </c>
      <c r="C309">
        <v>0.36479128856624321</v>
      </c>
    </row>
    <row r="310" spans="2:3" x14ac:dyDescent="0.2">
      <c r="B310">
        <v>9086.3321087272707</v>
      </c>
      <c r="C310">
        <v>0.36297640653357532</v>
      </c>
    </row>
    <row r="311" spans="2:3" x14ac:dyDescent="0.2">
      <c r="B311">
        <v>8840.3929476820904</v>
      </c>
      <c r="C311">
        <v>0.36116152450090744</v>
      </c>
    </row>
    <row r="312" spans="2:3" x14ac:dyDescent="0.2">
      <c r="B312">
        <v>8809.5450751545395</v>
      </c>
      <c r="C312">
        <v>0.35934664246823955</v>
      </c>
    </row>
    <row r="313" spans="2:3" x14ac:dyDescent="0.2">
      <c r="B313">
        <v>8590.7520097957095</v>
      </c>
      <c r="C313">
        <v>0.35753176043557167</v>
      </c>
    </row>
    <row r="314" spans="2:3" x14ac:dyDescent="0.2">
      <c r="B314">
        <v>8412.7884125947603</v>
      </c>
      <c r="C314">
        <v>0.35571687840290384</v>
      </c>
    </row>
    <row r="315" spans="2:3" x14ac:dyDescent="0.2">
      <c r="B315">
        <v>8386.0277889094104</v>
      </c>
      <c r="C315">
        <v>0.35390199637023595</v>
      </c>
    </row>
    <row r="316" spans="2:3" x14ac:dyDescent="0.2">
      <c r="B316">
        <v>8279.7522255738404</v>
      </c>
      <c r="C316">
        <v>0.35208711433756806</v>
      </c>
    </row>
    <row r="317" spans="2:3" x14ac:dyDescent="0.2">
      <c r="B317">
        <v>8208.1554718634507</v>
      </c>
      <c r="C317">
        <v>0.35027223230490018</v>
      </c>
    </row>
    <row r="318" spans="2:3" x14ac:dyDescent="0.2">
      <c r="B318">
        <v>8133.1467462959199</v>
      </c>
      <c r="C318">
        <v>0.34845735027223229</v>
      </c>
    </row>
    <row r="319" spans="2:3" x14ac:dyDescent="0.2">
      <c r="B319">
        <v>8027.9611689782896</v>
      </c>
      <c r="C319">
        <v>0.34664246823956441</v>
      </c>
    </row>
    <row r="320" spans="2:3" x14ac:dyDescent="0.2">
      <c r="B320">
        <v>7882.8337197694</v>
      </c>
      <c r="C320">
        <v>0.34482758620689657</v>
      </c>
    </row>
    <row r="321" spans="2:3" x14ac:dyDescent="0.2">
      <c r="B321">
        <v>7686.6975153654002</v>
      </c>
      <c r="C321">
        <v>0.34301270417422869</v>
      </c>
    </row>
    <row r="322" spans="2:3" x14ac:dyDescent="0.2">
      <c r="B322">
        <v>7503.9912020146403</v>
      </c>
      <c r="C322">
        <v>0.3411978221415608</v>
      </c>
    </row>
    <row r="323" spans="2:3" x14ac:dyDescent="0.2">
      <c r="B323">
        <v>7434.4046828508699</v>
      </c>
      <c r="C323">
        <v>0.33938294010889292</v>
      </c>
    </row>
    <row r="324" spans="2:3" x14ac:dyDescent="0.2">
      <c r="B324">
        <v>7342.1571404338601</v>
      </c>
      <c r="C324">
        <v>0.33756805807622503</v>
      </c>
    </row>
    <row r="325" spans="2:3" x14ac:dyDescent="0.2">
      <c r="B325">
        <v>7294.9840506933597</v>
      </c>
      <c r="C325">
        <v>0.33575317604355714</v>
      </c>
    </row>
    <row r="326" spans="2:3" x14ac:dyDescent="0.2">
      <c r="B326">
        <v>7138.0248469970602</v>
      </c>
      <c r="C326">
        <v>0.33393829401088931</v>
      </c>
    </row>
    <row r="327" spans="2:3" x14ac:dyDescent="0.2">
      <c r="B327">
        <v>7126.9563302753504</v>
      </c>
      <c r="C327">
        <v>0.33212341197822143</v>
      </c>
    </row>
    <row r="328" spans="2:3" x14ac:dyDescent="0.2">
      <c r="B328">
        <v>6963.5851194586003</v>
      </c>
      <c r="C328">
        <v>0.33030852994555354</v>
      </c>
    </row>
    <row r="329" spans="2:3" x14ac:dyDescent="0.2">
      <c r="B329">
        <v>6856.6001119746497</v>
      </c>
      <c r="C329">
        <v>0.32849364791288566</v>
      </c>
    </row>
    <row r="330" spans="2:3" x14ac:dyDescent="0.2">
      <c r="B330">
        <v>6439.8258167799004</v>
      </c>
      <c r="C330">
        <v>0.32667876588021777</v>
      </c>
    </row>
    <row r="331" spans="2:3" x14ac:dyDescent="0.2">
      <c r="B331">
        <v>6361.0733694329901</v>
      </c>
      <c r="C331">
        <v>0.32486388384754988</v>
      </c>
    </row>
    <row r="332" spans="2:3" x14ac:dyDescent="0.2">
      <c r="B332">
        <v>6260.8527275712104</v>
      </c>
      <c r="C332">
        <v>0.32304900181488205</v>
      </c>
    </row>
    <row r="333" spans="2:3" x14ac:dyDescent="0.2">
      <c r="B333">
        <v>5832.9566320682698</v>
      </c>
      <c r="C333">
        <v>0.32123411978221417</v>
      </c>
    </row>
    <row r="334" spans="2:3" x14ac:dyDescent="0.2">
      <c r="B334">
        <v>5704.3489022857902</v>
      </c>
      <c r="C334">
        <v>0.31941923774954628</v>
      </c>
    </row>
    <row r="335" spans="2:3" x14ac:dyDescent="0.2">
      <c r="B335">
        <v>5524.1517398333299</v>
      </c>
      <c r="C335">
        <v>0.31760435571687839</v>
      </c>
    </row>
    <row r="336" spans="2:3" x14ac:dyDescent="0.2">
      <c r="B336">
        <v>5494.5840627197704</v>
      </c>
      <c r="C336">
        <v>0.31578947368421051</v>
      </c>
    </row>
    <row r="337" spans="2:3" x14ac:dyDescent="0.2">
      <c r="B337">
        <v>5489.6785906154</v>
      </c>
      <c r="C337">
        <v>0.31397459165154262</v>
      </c>
    </row>
    <row r="338" spans="2:3" x14ac:dyDescent="0.2">
      <c r="B338">
        <v>5082.31073961928</v>
      </c>
      <c r="C338">
        <v>0.31215970961887479</v>
      </c>
    </row>
    <row r="339" spans="2:3" x14ac:dyDescent="0.2">
      <c r="B339">
        <v>5055.7759735914997</v>
      </c>
      <c r="C339">
        <v>0.31034482758620691</v>
      </c>
    </row>
    <row r="340" spans="2:3" x14ac:dyDescent="0.2">
      <c r="B340">
        <v>5030.35445377212</v>
      </c>
      <c r="C340">
        <v>0.30852994555353902</v>
      </c>
    </row>
    <row r="341" spans="2:3" x14ac:dyDescent="0.2">
      <c r="B341">
        <v>4996.8219211142004</v>
      </c>
      <c r="C341">
        <v>0.30671506352087113</v>
      </c>
    </row>
    <row r="342" spans="2:3" x14ac:dyDescent="0.2">
      <c r="B342">
        <v>4747.1771592812902</v>
      </c>
      <c r="C342">
        <v>0.30490018148820325</v>
      </c>
    </row>
    <row r="343" spans="2:3" x14ac:dyDescent="0.2">
      <c r="B343">
        <v>4700.4702286050697</v>
      </c>
      <c r="C343">
        <v>0.30308529945553542</v>
      </c>
    </row>
    <row r="344" spans="2:3" x14ac:dyDescent="0.2">
      <c r="B344">
        <v>4673.7716137015896</v>
      </c>
      <c r="C344">
        <v>0.30127041742286753</v>
      </c>
    </row>
    <row r="345" spans="2:3" x14ac:dyDescent="0.2">
      <c r="B345">
        <v>4655.9544406371697</v>
      </c>
      <c r="C345">
        <v>0.29945553539019965</v>
      </c>
    </row>
    <row r="346" spans="2:3" x14ac:dyDescent="0.2">
      <c r="B346">
        <v>4617.4073198792403</v>
      </c>
      <c r="C346">
        <v>0.29764065335753176</v>
      </c>
    </row>
    <row r="347" spans="2:3" x14ac:dyDescent="0.2">
      <c r="B347">
        <v>4613.0662606143196</v>
      </c>
      <c r="C347">
        <v>0.29582577132486387</v>
      </c>
    </row>
    <row r="348" spans="2:3" x14ac:dyDescent="0.2">
      <c r="B348">
        <v>4581.8291168594697</v>
      </c>
      <c r="C348">
        <v>0.29401088929219599</v>
      </c>
    </row>
    <row r="349" spans="2:3" x14ac:dyDescent="0.2">
      <c r="B349">
        <v>4533.3863218141896</v>
      </c>
      <c r="C349">
        <v>0.29219600725952816</v>
      </c>
    </row>
    <row r="350" spans="2:3" x14ac:dyDescent="0.2">
      <c r="B350">
        <v>4124.2079283261301</v>
      </c>
      <c r="C350">
        <v>0.29038112522686027</v>
      </c>
    </row>
    <row r="351" spans="2:3" x14ac:dyDescent="0.2">
      <c r="B351">
        <v>4082.11660799937</v>
      </c>
      <c r="C351">
        <v>0.28856624319419238</v>
      </c>
    </row>
    <row r="352" spans="2:3" x14ac:dyDescent="0.2">
      <c r="B352">
        <v>4076.9963985785498</v>
      </c>
      <c r="C352">
        <v>0.2867513611615245</v>
      </c>
    </row>
    <row r="353" spans="2:3" x14ac:dyDescent="0.2">
      <c r="B353">
        <v>3936.9575677591401</v>
      </c>
      <c r="C353">
        <v>0.28493647912885661</v>
      </c>
    </row>
    <row r="354" spans="2:3" x14ac:dyDescent="0.2">
      <c r="B354">
        <v>3931.6573890183499</v>
      </c>
      <c r="C354">
        <v>0.28312159709618873</v>
      </c>
    </row>
    <row r="355" spans="2:3" x14ac:dyDescent="0.2">
      <c r="B355">
        <v>3919.60858167899</v>
      </c>
      <c r="C355">
        <v>0.2813067150635209</v>
      </c>
    </row>
    <row r="356" spans="2:3" x14ac:dyDescent="0.2">
      <c r="B356">
        <v>3895.5727571293401</v>
      </c>
      <c r="C356">
        <v>0.27949183303085301</v>
      </c>
    </row>
    <row r="357" spans="2:3" x14ac:dyDescent="0.2">
      <c r="B357">
        <v>3869.7438364946902</v>
      </c>
      <c r="C357">
        <v>0.27767695099818512</v>
      </c>
    </row>
    <row r="358" spans="2:3" x14ac:dyDescent="0.2">
      <c r="B358">
        <v>3853.7341191149098</v>
      </c>
      <c r="C358">
        <v>0.27586206896551724</v>
      </c>
    </row>
    <row r="359" spans="2:3" x14ac:dyDescent="0.2">
      <c r="B359">
        <v>3838.3389088910499</v>
      </c>
      <c r="C359">
        <v>0.27404718693284935</v>
      </c>
    </row>
    <row r="360" spans="2:3" x14ac:dyDescent="0.2">
      <c r="B360">
        <v>3757.6794731117602</v>
      </c>
      <c r="C360">
        <v>0.27223230490018147</v>
      </c>
    </row>
    <row r="361" spans="2:3" x14ac:dyDescent="0.2">
      <c r="B361">
        <v>3750.6504849406501</v>
      </c>
      <c r="C361">
        <v>0.27041742286751363</v>
      </c>
    </row>
    <row r="362" spans="2:3" x14ac:dyDescent="0.2">
      <c r="B362">
        <v>3743.0798556496802</v>
      </c>
      <c r="C362">
        <v>0.26860254083484575</v>
      </c>
    </row>
    <row r="363" spans="2:3" x14ac:dyDescent="0.2">
      <c r="B363">
        <v>3713.1982054350801</v>
      </c>
      <c r="C363">
        <v>0.26678765880217786</v>
      </c>
    </row>
    <row r="364" spans="2:3" x14ac:dyDescent="0.2">
      <c r="B364">
        <v>3695.22247205244</v>
      </c>
      <c r="C364">
        <v>0.26497277676950998</v>
      </c>
    </row>
    <row r="365" spans="2:3" x14ac:dyDescent="0.2">
      <c r="B365">
        <v>3631.2609703285998</v>
      </c>
      <c r="C365">
        <v>0.26315789473684209</v>
      </c>
    </row>
    <row r="366" spans="2:3" x14ac:dyDescent="0.2">
      <c r="B366">
        <v>3570.2828136438602</v>
      </c>
      <c r="C366">
        <v>0.2613430127041742</v>
      </c>
    </row>
    <row r="367" spans="2:3" x14ac:dyDescent="0.2">
      <c r="B367">
        <v>3564.1513417718702</v>
      </c>
      <c r="C367">
        <v>0.25952813067150637</v>
      </c>
    </row>
    <row r="368" spans="2:3" x14ac:dyDescent="0.2">
      <c r="B368">
        <v>3529.6500403867699</v>
      </c>
      <c r="C368">
        <v>0.25771324863883849</v>
      </c>
    </row>
    <row r="369" spans="2:3" x14ac:dyDescent="0.2">
      <c r="B369">
        <v>3511.3863014465201</v>
      </c>
      <c r="C369">
        <v>0.2558983666061706</v>
      </c>
    </row>
    <row r="370" spans="2:3" x14ac:dyDescent="0.2">
      <c r="B370">
        <v>3493.5773045535102</v>
      </c>
      <c r="C370">
        <v>0.25408348457350272</v>
      </c>
    </row>
    <row r="371" spans="2:3" x14ac:dyDescent="0.2">
      <c r="B371">
        <v>3465.7781869239602</v>
      </c>
      <c r="C371">
        <v>0.25226860254083483</v>
      </c>
    </row>
    <row r="372" spans="2:3" x14ac:dyDescent="0.2">
      <c r="B372">
        <v>3439.5777339605902</v>
      </c>
      <c r="C372">
        <v>0.25045372050816694</v>
      </c>
    </row>
    <row r="373" spans="2:3" x14ac:dyDescent="0.2">
      <c r="B373">
        <v>3382.2538275668098</v>
      </c>
      <c r="C373">
        <v>0.24863883847549909</v>
      </c>
    </row>
    <row r="374" spans="2:3" x14ac:dyDescent="0.2">
      <c r="B374">
        <v>3331.78598803251</v>
      </c>
      <c r="C374">
        <v>0.24682395644283123</v>
      </c>
    </row>
    <row r="375" spans="2:3" x14ac:dyDescent="0.2">
      <c r="B375">
        <v>3317.9300880477899</v>
      </c>
      <c r="C375">
        <v>0.24500907441016334</v>
      </c>
    </row>
    <row r="376" spans="2:3" x14ac:dyDescent="0.2">
      <c r="B376">
        <v>3279.3058050387599</v>
      </c>
      <c r="C376">
        <v>0.24319419237749546</v>
      </c>
    </row>
    <row r="377" spans="2:3" x14ac:dyDescent="0.2">
      <c r="B377">
        <v>3200.9048373569999</v>
      </c>
      <c r="C377">
        <v>0.2413793103448276</v>
      </c>
    </row>
    <row r="378" spans="2:3" x14ac:dyDescent="0.2">
      <c r="B378">
        <v>3194.8577365493102</v>
      </c>
      <c r="C378">
        <v>0.23956442831215971</v>
      </c>
    </row>
    <row r="379" spans="2:3" x14ac:dyDescent="0.2">
      <c r="B379">
        <v>3186.53439898241</v>
      </c>
      <c r="C379">
        <v>0.23774954627949182</v>
      </c>
    </row>
    <row r="380" spans="2:3" x14ac:dyDescent="0.2">
      <c r="B380">
        <v>3174.7183407310299</v>
      </c>
      <c r="C380">
        <v>0.23593466424682397</v>
      </c>
    </row>
    <row r="381" spans="2:3" x14ac:dyDescent="0.2">
      <c r="B381">
        <v>3157.0178074714599</v>
      </c>
      <c r="C381">
        <v>0.23411978221415608</v>
      </c>
    </row>
    <row r="382" spans="2:3" x14ac:dyDescent="0.2">
      <c r="B382">
        <v>3098.4601018562398</v>
      </c>
      <c r="C382">
        <v>0.23230490018148819</v>
      </c>
    </row>
    <row r="383" spans="2:3" x14ac:dyDescent="0.2">
      <c r="B383">
        <v>2933.2741454165398</v>
      </c>
      <c r="C383">
        <v>0.23049001814882034</v>
      </c>
    </row>
    <row r="384" spans="2:3" x14ac:dyDescent="0.2">
      <c r="B384">
        <v>2903.1543310633301</v>
      </c>
      <c r="C384">
        <v>0.22867513611615245</v>
      </c>
    </row>
    <row r="385" spans="2:3" x14ac:dyDescent="0.2">
      <c r="B385">
        <v>2790.2618532080701</v>
      </c>
      <c r="C385">
        <v>0.22686025408348456</v>
      </c>
    </row>
    <row r="386" spans="2:3" x14ac:dyDescent="0.2">
      <c r="B386">
        <v>2708.2789113927802</v>
      </c>
      <c r="C386">
        <v>0.22504537205081671</v>
      </c>
    </row>
    <row r="387" spans="2:3" x14ac:dyDescent="0.2">
      <c r="B387">
        <v>2689.17346484068</v>
      </c>
      <c r="C387">
        <v>0.22323049001814882</v>
      </c>
    </row>
    <row r="388" spans="2:3" x14ac:dyDescent="0.2">
      <c r="B388">
        <v>2601.1121015916901</v>
      </c>
      <c r="C388">
        <v>0.22141560798548093</v>
      </c>
    </row>
    <row r="389" spans="2:3" x14ac:dyDescent="0.2">
      <c r="B389">
        <v>2576.72228569464</v>
      </c>
      <c r="C389">
        <v>0.21960072595281308</v>
      </c>
    </row>
    <row r="390" spans="2:3" x14ac:dyDescent="0.2">
      <c r="B390">
        <v>2551.92010215663</v>
      </c>
      <c r="C390">
        <v>0.21778584392014519</v>
      </c>
    </row>
    <row r="391" spans="2:3" x14ac:dyDescent="0.2">
      <c r="B391">
        <v>2534.3161201473499</v>
      </c>
      <c r="C391">
        <v>0.2159709618874773</v>
      </c>
    </row>
    <row r="392" spans="2:3" x14ac:dyDescent="0.2">
      <c r="B392">
        <v>2517.2008957379198</v>
      </c>
      <c r="C392">
        <v>0.21415607985480944</v>
      </c>
    </row>
    <row r="393" spans="2:3" x14ac:dyDescent="0.2">
      <c r="B393">
        <v>2429.8923725843401</v>
      </c>
      <c r="C393">
        <v>0.21234119782214156</v>
      </c>
    </row>
    <row r="394" spans="2:3" x14ac:dyDescent="0.2">
      <c r="B394">
        <v>2308.5637730650601</v>
      </c>
      <c r="C394">
        <v>0.21052631578947367</v>
      </c>
    </row>
    <row r="395" spans="2:3" x14ac:dyDescent="0.2">
      <c r="B395">
        <v>2302.9198466914399</v>
      </c>
      <c r="C395">
        <v>0.20871143375680581</v>
      </c>
    </row>
    <row r="396" spans="2:3" x14ac:dyDescent="0.2">
      <c r="B396">
        <v>2244.5810660719699</v>
      </c>
      <c r="C396">
        <v>0.20689655172413793</v>
      </c>
    </row>
    <row r="397" spans="2:3" x14ac:dyDescent="0.2">
      <c r="B397">
        <v>2236.1366618019301</v>
      </c>
      <c r="C397">
        <v>0.20508166969147004</v>
      </c>
    </row>
    <row r="398" spans="2:3" x14ac:dyDescent="0.2">
      <c r="B398">
        <v>2233.60298054334</v>
      </c>
      <c r="C398">
        <v>0.20326678765880218</v>
      </c>
    </row>
    <row r="399" spans="2:3" x14ac:dyDescent="0.2">
      <c r="B399">
        <v>2222.0421929358399</v>
      </c>
      <c r="C399">
        <v>0.2014519056261343</v>
      </c>
    </row>
    <row r="400" spans="2:3" x14ac:dyDescent="0.2">
      <c r="B400">
        <v>2133.4176081904102</v>
      </c>
      <c r="C400">
        <v>0.19963702359346641</v>
      </c>
    </row>
    <row r="401" spans="2:3" x14ac:dyDescent="0.2">
      <c r="B401">
        <v>2099.4960798941202</v>
      </c>
      <c r="C401">
        <v>0.19782214156079855</v>
      </c>
    </row>
    <row r="402" spans="2:3" x14ac:dyDescent="0.2">
      <c r="B402">
        <v>2050.9499674276099</v>
      </c>
      <c r="C402">
        <v>0.19600725952813067</v>
      </c>
    </row>
    <row r="403" spans="2:3" x14ac:dyDescent="0.2">
      <c r="B403">
        <v>1906.8553802752899</v>
      </c>
      <c r="C403">
        <v>0.19419237749546278</v>
      </c>
    </row>
    <row r="404" spans="2:3" x14ac:dyDescent="0.2">
      <c r="B404">
        <v>1863.77110332849</v>
      </c>
      <c r="C404">
        <v>0.19237749546279492</v>
      </c>
    </row>
    <row r="405" spans="2:3" x14ac:dyDescent="0.2">
      <c r="B405">
        <v>1821.7728839486199</v>
      </c>
      <c r="C405">
        <v>0.19056261343012704</v>
      </c>
    </row>
    <row r="406" spans="2:3" x14ac:dyDescent="0.2">
      <c r="B406">
        <v>1805.27688590346</v>
      </c>
      <c r="C406">
        <v>0.18874773139745918</v>
      </c>
    </row>
    <row r="407" spans="2:3" x14ac:dyDescent="0.2">
      <c r="B407">
        <v>1784.1496272916199</v>
      </c>
      <c r="C407">
        <v>0.18693284936479129</v>
      </c>
    </row>
    <row r="408" spans="2:3" x14ac:dyDescent="0.2">
      <c r="B408">
        <v>1758.97741738164</v>
      </c>
      <c r="C408">
        <v>0.18511796733212341</v>
      </c>
    </row>
    <row r="409" spans="2:3" x14ac:dyDescent="0.2">
      <c r="B409">
        <v>1748.03873292192</v>
      </c>
      <c r="C409">
        <v>0.18330308529945555</v>
      </c>
    </row>
    <row r="410" spans="2:3" x14ac:dyDescent="0.2">
      <c r="B410">
        <v>1724.7141316504001</v>
      </c>
      <c r="C410">
        <v>0.18148820326678766</v>
      </c>
    </row>
    <row r="411" spans="2:3" x14ac:dyDescent="0.2">
      <c r="B411">
        <v>1710.3379652493099</v>
      </c>
      <c r="C411">
        <v>0.17967332123411978</v>
      </c>
    </row>
    <row r="412" spans="2:3" x14ac:dyDescent="0.2">
      <c r="B412">
        <v>1702.41711677432</v>
      </c>
      <c r="C412">
        <v>0.17785843920145192</v>
      </c>
    </row>
    <row r="413" spans="2:3" x14ac:dyDescent="0.2">
      <c r="B413">
        <v>1674.0695959948</v>
      </c>
      <c r="C413">
        <v>0.17604355716878403</v>
      </c>
    </row>
    <row r="414" spans="2:3" x14ac:dyDescent="0.2">
      <c r="B414">
        <v>1606.86506287098</v>
      </c>
      <c r="C414">
        <v>0.17422867513611615</v>
      </c>
    </row>
    <row r="415" spans="2:3" x14ac:dyDescent="0.2">
      <c r="B415">
        <v>1594.3693856054699</v>
      </c>
      <c r="C415">
        <v>0.17241379310344829</v>
      </c>
    </row>
    <row r="416" spans="2:3" x14ac:dyDescent="0.2">
      <c r="B416">
        <v>1528.030730987</v>
      </c>
      <c r="C416">
        <v>0.1705989110707804</v>
      </c>
    </row>
    <row r="417" spans="2:3" x14ac:dyDescent="0.2">
      <c r="B417">
        <v>1398.4713951792501</v>
      </c>
      <c r="C417">
        <v>0.16878402903811252</v>
      </c>
    </row>
    <row r="418" spans="2:3" x14ac:dyDescent="0.2">
      <c r="B418">
        <v>1326.4916749317899</v>
      </c>
      <c r="C418">
        <v>0.16696914700544466</v>
      </c>
    </row>
    <row r="419" spans="2:3" x14ac:dyDescent="0.2">
      <c r="B419">
        <v>1304.2396489109699</v>
      </c>
      <c r="C419">
        <v>0.16515426497277677</v>
      </c>
    </row>
    <row r="420" spans="2:3" x14ac:dyDescent="0.2">
      <c r="B420">
        <v>1287.4033789651401</v>
      </c>
      <c r="C420">
        <v>0.16333938294010888</v>
      </c>
    </row>
    <row r="421" spans="2:3" x14ac:dyDescent="0.2">
      <c r="B421">
        <v>1263.7964931439101</v>
      </c>
      <c r="C421">
        <v>0.16152450090744103</v>
      </c>
    </row>
    <row r="422" spans="2:3" x14ac:dyDescent="0.2">
      <c r="B422">
        <v>1254.8422431839999</v>
      </c>
      <c r="C422">
        <v>0.15970961887477314</v>
      </c>
    </row>
    <row r="423" spans="2:3" x14ac:dyDescent="0.2">
      <c r="B423">
        <v>1246.99082285336</v>
      </c>
      <c r="C423">
        <v>0.15789473684210525</v>
      </c>
    </row>
    <row r="424" spans="2:3" x14ac:dyDescent="0.2">
      <c r="B424">
        <v>1244.4535831815001</v>
      </c>
      <c r="C424">
        <v>0.1560798548094374</v>
      </c>
    </row>
    <row r="425" spans="2:3" x14ac:dyDescent="0.2">
      <c r="B425">
        <v>1192.49913152672</v>
      </c>
      <c r="C425">
        <v>0.15426497277676951</v>
      </c>
    </row>
    <row r="426" spans="2:3" x14ac:dyDescent="0.2">
      <c r="B426">
        <v>1178.76189080277</v>
      </c>
      <c r="C426">
        <v>0.15245009074410162</v>
      </c>
    </row>
    <row r="427" spans="2:3" x14ac:dyDescent="0.2">
      <c r="B427">
        <v>1153.16017223626</v>
      </c>
      <c r="C427">
        <v>0.15063520871143377</v>
      </c>
    </row>
    <row r="428" spans="2:3" x14ac:dyDescent="0.2">
      <c r="B428">
        <v>1128.35911026082</v>
      </c>
      <c r="C428">
        <v>0.14882032667876588</v>
      </c>
    </row>
    <row r="429" spans="2:3" x14ac:dyDescent="0.2">
      <c r="B429">
        <v>1117.5613526756499</v>
      </c>
      <c r="C429">
        <v>0.14700544464609799</v>
      </c>
    </row>
    <row r="430" spans="2:3" x14ac:dyDescent="0.2">
      <c r="B430">
        <v>1110.54240204434</v>
      </c>
      <c r="C430">
        <v>0.14519056261343014</v>
      </c>
    </row>
    <row r="431" spans="2:3" x14ac:dyDescent="0.2">
      <c r="B431">
        <v>1024.8287554102601</v>
      </c>
      <c r="C431">
        <v>0.14337568058076225</v>
      </c>
    </row>
    <row r="432" spans="2:3" x14ac:dyDescent="0.2">
      <c r="B432">
        <v>979.56515668742702</v>
      </c>
      <c r="C432">
        <v>0.14156079854809436</v>
      </c>
    </row>
    <row r="433" spans="2:3" x14ac:dyDescent="0.2">
      <c r="B433">
        <v>972.75754549221801</v>
      </c>
      <c r="C433">
        <v>0.1397459165154265</v>
      </c>
    </row>
    <row r="434" spans="2:3" x14ac:dyDescent="0.2">
      <c r="B434">
        <v>967.75612362615402</v>
      </c>
      <c r="C434">
        <v>0.13793103448275862</v>
      </c>
    </row>
    <row r="435" spans="2:3" x14ac:dyDescent="0.2">
      <c r="B435">
        <v>965.40584443442697</v>
      </c>
      <c r="C435">
        <v>0.13611615245009073</v>
      </c>
    </row>
    <row r="436" spans="2:3" x14ac:dyDescent="0.2">
      <c r="B436">
        <v>936.79095964284602</v>
      </c>
      <c r="C436">
        <v>0.13430127041742287</v>
      </c>
    </row>
    <row r="437" spans="2:3" x14ac:dyDescent="0.2">
      <c r="B437">
        <v>929.780811855396</v>
      </c>
      <c r="C437">
        <v>0.13248638838475499</v>
      </c>
    </row>
    <row r="438" spans="2:3" x14ac:dyDescent="0.2">
      <c r="B438">
        <v>906.423177977705</v>
      </c>
      <c r="C438">
        <v>0.1306715063520871</v>
      </c>
    </row>
    <row r="439" spans="2:3" x14ac:dyDescent="0.2">
      <c r="B439">
        <v>852.59736970177198</v>
      </c>
      <c r="C439">
        <v>0.12885662431941924</v>
      </c>
    </row>
    <row r="440" spans="2:3" x14ac:dyDescent="0.2">
      <c r="B440">
        <v>839.12870955402195</v>
      </c>
      <c r="C440">
        <v>0.12704174228675136</v>
      </c>
    </row>
    <row r="441" spans="2:3" x14ac:dyDescent="0.2">
      <c r="B441">
        <v>832.51267890122199</v>
      </c>
      <c r="C441">
        <v>0.12522686025408347</v>
      </c>
    </row>
    <row r="442" spans="2:3" x14ac:dyDescent="0.2">
      <c r="B442">
        <v>814.63783937873097</v>
      </c>
      <c r="C442">
        <v>0.12341197822141561</v>
      </c>
    </row>
    <row r="443" spans="2:3" x14ac:dyDescent="0.2">
      <c r="B443">
        <v>808.79839491980294</v>
      </c>
      <c r="C443">
        <v>0.12159709618874773</v>
      </c>
    </row>
    <row r="444" spans="2:3" x14ac:dyDescent="0.2">
      <c r="B444">
        <v>729.56004662562998</v>
      </c>
      <c r="C444">
        <v>0.11978221415607986</v>
      </c>
    </row>
    <row r="445" spans="2:3" x14ac:dyDescent="0.2">
      <c r="B445">
        <v>727.28663072414599</v>
      </c>
      <c r="C445">
        <v>0.11796733212341198</v>
      </c>
    </row>
    <row r="446" spans="2:3" x14ac:dyDescent="0.2">
      <c r="B446">
        <v>692.63030874108597</v>
      </c>
      <c r="C446">
        <v>0.1161524500907441</v>
      </c>
    </row>
    <row r="447" spans="2:3" x14ac:dyDescent="0.2">
      <c r="B447">
        <v>637.50487719315595</v>
      </c>
      <c r="C447">
        <v>0.11433756805807622</v>
      </c>
    </row>
    <row r="448" spans="2:3" x14ac:dyDescent="0.2">
      <c r="B448">
        <v>607.40413690755304</v>
      </c>
      <c r="C448">
        <v>0.11252268602540835</v>
      </c>
    </row>
    <row r="449" spans="2:3" x14ac:dyDescent="0.2">
      <c r="B449">
        <v>604.33756410874798</v>
      </c>
      <c r="C449">
        <v>0.11070780399274047</v>
      </c>
    </row>
    <row r="450" spans="2:3" x14ac:dyDescent="0.2">
      <c r="B450">
        <v>574.66969141356401</v>
      </c>
      <c r="C450">
        <v>0.10889292196007259</v>
      </c>
    </row>
    <row r="451" spans="2:3" x14ac:dyDescent="0.2">
      <c r="B451">
        <v>551.72043924170202</v>
      </c>
      <c r="C451">
        <v>0.10707803992740472</v>
      </c>
    </row>
    <row r="452" spans="2:3" x14ac:dyDescent="0.2">
      <c r="B452">
        <v>501.67443003285399</v>
      </c>
      <c r="C452">
        <v>0.10526315789473684</v>
      </c>
    </row>
    <row r="453" spans="2:3" x14ac:dyDescent="0.2">
      <c r="B453">
        <v>497.40527689788797</v>
      </c>
      <c r="C453">
        <v>0.10344827586206896</v>
      </c>
    </row>
    <row r="454" spans="2:3" x14ac:dyDescent="0.2">
      <c r="B454">
        <v>468.80972002023799</v>
      </c>
      <c r="C454">
        <v>0.10163339382940109</v>
      </c>
    </row>
    <row r="455" spans="2:3" x14ac:dyDescent="0.2">
      <c r="B455">
        <v>449.291520779449</v>
      </c>
      <c r="C455">
        <v>9.9818511796733206E-2</v>
      </c>
    </row>
    <row r="456" spans="2:3" x14ac:dyDescent="0.2">
      <c r="B456">
        <v>441.96968975406202</v>
      </c>
      <c r="C456">
        <v>9.8003629764065334E-2</v>
      </c>
    </row>
    <row r="457" spans="2:3" x14ac:dyDescent="0.2">
      <c r="B457">
        <v>396.89713379940599</v>
      </c>
      <c r="C457">
        <v>9.6188747731397461E-2</v>
      </c>
    </row>
    <row r="458" spans="2:3" x14ac:dyDescent="0.2">
      <c r="B458">
        <v>392.788234900715</v>
      </c>
      <c r="C458">
        <v>9.4373865698729589E-2</v>
      </c>
    </row>
    <row r="459" spans="2:3" x14ac:dyDescent="0.2">
      <c r="B459">
        <v>382.48859770090701</v>
      </c>
      <c r="C459">
        <v>9.2558983666061703E-2</v>
      </c>
    </row>
    <row r="460" spans="2:3" x14ac:dyDescent="0.2">
      <c r="B460">
        <v>379.36431354313498</v>
      </c>
      <c r="C460">
        <v>9.0744101633393831E-2</v>
      </c>
    </row>
    <row r="461" spans="2:3" x14ac:dyDescent="0.2">
      <c r="B461">
        <v>374.564052066518</v>
      </c>
      <c r="C461">
        <v>8.8929219600725959E-2</v>
      </c>
    </row>
    <row r="462" spans="2:3" x14ac:dyDescent="0.2">
      <c r="B462">
        <v>342.35659085785801</v>
      </c>
      <c r="C462">
        <v>8.7114337568058073E-2</v>
      </c>
    </row>
    <row r="463" spans="2:3" x14ac:dyDescent="0.2">
      <c r="B463">
        <v>342.15509677356499</v>
      </c>
      <c r="C463">
        <v>8.5299455535390201E-2</v>
      </c>
    </row>
    <row r="464" spans="2:3" x14ac:dyDescent="0.2">
      <c r="B464">
        <v>335.015550651056</v>
      </c>
      <c r="C464">
        <v>8.3484573502722328E-2</v>
      </c>
    </row>
    <row r="465" spans="2:3" x14ac:dyDescent="0.2">
      <c r="B465">
        <v>329.52021349112903</v>
      </c>
      <c r="C465">
        <v>8.1669691470054442E-2</v>
      </c>
    </row>
    <row r="466" spans="2:3" x14ac:dyDescent="0.2">
      <c r="B466">
        <v>298.73891474015102</v>
      </c>
      <c r="C466">
        <v>7.985480943738657E-2</v>
      </c>
    </row>
    <row r="467" spans="2:3" x14ac:dyDescent="0.2">
      <c r="B467">
        <v>297.663786637361</v>
      </c>
      <c r="C467">
        <v>7.8039927404718698E-2</v>
      </c>
    </row>
    <row r="468" spans="2:3" x14ac:dyDescent="0.2">
      <c r="B468">
        <v>294.264806772425</v>
      </c>
      <c r="C468">
        <v>7.6225045372050812E-2</v>
      </c>
    </row>
    <row r="469" spans="2:3" x14ac:dyDescent="0.2">
      <c r="B469">
        <v>277.84508435932503</v>
      </c>
      <c r="C469">
        <v>7.441016333938294E-2</v>
      </c>
    </row>
    <row r="470" spans="2:3" x14ac:dyDescent="0.2">
      <c r="B470">
        <v>276.84333170973503</v>
      </c>
      <c r="C470">
        <v>7.2595281306715068E-2</v>
      </c>
    </row>
    <row r="471" spans="2:3" x14ac:dyDescent="0.2">
      <c r="B471">
        <v>272.79657232145502</v>
      </c>
      <c r="C471">
        <v>7.0780399274047182E-2</v>
      </c>
    </row>
    <row r="472" spans="2:3" x14ac:dyDescent="0.2">
      <c r="B472">
        <v>271.61093237814799</v>
      </c>
      <c r="C472">
        <v>6.8965517241379309E-2</v>
      </c>
    </row>
    <row r="473" spans="2:3" x14ac:dyDescent="0.2">
      <c r="B473">
        <v>245.64938042359699</v>
      </c>
      <c r="C473">
        <v>6.7150635208711437E-2</v>
      </c>
    </row>
    <row r="474" spans="2:3" x14ac:dyDescent="0.2">
      <c r="B474">
        <v>237.75729522797499</v>
      </c>
      <c r="C474">
        <v>6.5335753176043551E-2</v>
      </c>
    </row>
    <row r="475" spans="2:3" x14ac:dyDescent="0.2">
      <c r="B475">
        <v>224.09462741298299</v>
      </c>
      <c r="C475">
        <v>6.3520871143375679E-2</v>
      </c>
    </row>
    <row r="476" spans="2:3" x14ac:dyDescent="0.2">
      <c r="B476">
        <v>216.73443107490201</v>
      </c>
      <c r="C476">
        <v>6.1705989110707807E-2</v>
      </c>
    </row>
    <row r="477" spans="2:3" x14ac:dyDescent="0.2">
      <c r="B477">
        <v>212.01782876567799</v>
      </c>
      <c r="C477">
        <v>5.9891107078039928E-2</v>
      </c>
    </row>
    <row r="478" spans="2:3" x14ac:dyDescent="0.2">
      <c r="B478">
        <v>197.43973882539001</v>
      </c>
      <c r="C478">
        <v>5.8076225045372049E-2</v>
      </c>
    </row>
    <row r="479" spans="2:3" x14ac:dyDescent="0.2">
      <c r="B479">
        <v>189.11069328318899</v>
      </c>
      <c r="C479">
        <v>5.6261343012704176E-2</v>
      </c>
    </row>
    <row r="480" spans="2:3" x14ac:dyDescent="0.2">
      <c r="B480">
        <v>185.597871480051</v>
      </c>
      <c r="C480">
        <v>5.4446460980036297E-2</v>
      </c>
    </row>
    <row r="481" spans="2:3" x14ac:dyDescent="0.2">
      <c r="B481">
        <v>173.79590137704099</v>
      </c>
      <c r="C481">
        <v>5.2631578947368418E-2</v>
      </c>
    </row>
    <row r="482" spans="2:3" x14ac:dyDescent="0.2">
      <c r="B482">
        <v>164.75379724074801</v>
      </c>
      <c r="C482">
        <v>5.0816696914700546E-2</v>
      </c>
    </row>
    <row r="483" spans="2:3" x14ac:dyDescent="0.2">
      <c r="B483">
        <v>160.20076003075201</v>
      </c>
      <c r="C483">
        <v>4.9001814882032667E-2</v>
      </c>
    </row>
    <row r="484" spans="2:3" x14ac:dyDescent="0.2">
      <c r="B484">
        <v>158.44899391067901</v>
      </c>
      <c r="C484">
        <v>4.7186932849364795E-2</v>
      </c>
    </row>
    <row r="485" spans="2:3" x14ac:dyDescent="0.2">
      <c r="B485">
        <v>158.00225444967299</v>
      </c>
      <c r="C485">
        <v>4.5372050816696916E-2</v>
      </c>
    </row>
    <row r="486" spans="2:3" x14ac:dyDescent="0.2">
      <c r="B486">
        <v>155.766854939832</v>
      </c>
      <c r="C486">
        <v>4.3557168784029036E-2</v>
      </c>
    </row>
    <row r="487" spans="2:3" x14ac:dyDescent="0.2">
      <c r="B487">
        <v>153.80547170121201</v>
      </c>
      <c r="C487">
        <v>4.1742286751361164E-2</v>
      </c>
    </row>
    <row r="488" spans="2:3" x14ac:dyDescent="0.2">
      <c r="B488">
        <v>148.05364987654499</v>
      </c>
      <c r="C488">
        <v>3.9927404718693285E-2</v>
      </c>
    </row>
    <row r="489" spans="2:3" x14ac:dyDescent="0.2">
      <c r="B489">
        <v>144.866442392908</v>
      </c>
      <c r="C489">
        <v>3.8112522686025406E-2</v>
      </c>
    </row>
    <row r="490" spans="2:3" x14ac:dyDescent="0.2">
      <c r="B490">
        <v>124.988872555594</v>
      </c>
      <c r="C490">
        <v>3.6297640653357534E-2</v>
      </c>
    </row>
    <row r="491" spans="2:3" x14ac:dyDescent="0.2">
      <c r="B491">
        <v>123.16205735894</v>
      </c>
      <c r="C491">
        <v>3.4482758620689655E-2</v>
      </c>
    </row>
    <row r="492" spans="2:3" x14ac:dyDescent="0.2">
      <c r="B492">
        <v>113.342908634775</v>
      </c>
      <c r="C492">
        <v>3.2667876588021776E-2</v>
      </c>
    </row>
    <row r="493" spans="2:3" x14ac:dyDescent="0.2">
      <c r="B493">
        <v>104.24631348180399</v>
      </c>
      <c r="C493">
        <v>3.0852994555353903E-2</v>
      </c>
    </row>
    <row r="494" spans="2:3" x14ac:dyDescent="0.2">
      <c r="B494">
        <v>102.427608262777</v>
      </c>
      <c r="C494">
        <v>2.9038112522686024E-2</v>
      </c>
    </row>
    <row r="495" spans="2:3" x14ac:dyDescent="0.2">
      <c r="B495">
        <v>86.0201588473805</v>
      </c>
      <c r="C495">
        <v>2.7223230490018149E-2</v>
      </c>
    </row>
    <row r="496" spans="2:3" x14ac:dyDescent="0.2">
      <c r="B496">
        <v>84.207588193105195</v>
      </c>
      <c r="C496">
        <v>2.5408348457350273E-2</v>
      </c>
    </row>
    <row r="497" spans="2:3" x14ac:dyDescent="0.2">
      <c r="B497">
        <v>83.039573003370606</v>
      </c>
      <c r="C497">
        <v>2.3593466424682397E-2</v>
      </c>
    </row>
    <row r="498" spans="2:3" x14ac:dyDescent="0.2">
      <c r="B498">
        <v>68.929555861803806</v>
      </c>
      <c r="C498">
        <v>2.1778584392014518E-2</v>
      </c>
    </row>
    <row r="499" spans="2:3" x14ac:dyDescent="0.2">
      <c r="B499">
        <v>68.344715472430707</v>
      </c>
      <c r="C499">
        <v>1.9963702359346643E-2</v>
      </c>
    </row>
    <row r="500" spans="2:3" x14ac:dyDescent="0.2">
      <c r="B500">
        <v>64.653826799134393</v>
      </c>
      <c r="C500">
        <v>1.8148820326678767E-2</v>
      </c>
    </row>
    <row r="501" spans="2:3" x14ac:dyDescent="0.2">
      <c r="B501">
        <v>61.244693157466401</v>
      </c>
      <c r="C501">
        <v>1.6333938294010888E-2</v>
      </c>
    </row>
    <row r="502" spans="2:3" x14ac:dyDescent="0.2">
      <c r="B502">
        <v>60.217075927980503</v>
      </c>
      <c r="C502">
        <v>1.4519056261343012E-2</v>
      </c>
    </row>
    <row r="503" spans="2:3" x14ac:dyDescent="0.2">
      <c r="B503">
        <v>52.319466291053203</v>
      </c>
      <c r="C503">
        <v>1.2704174228675136E-2</v>
      </c>
    </row>
    <row r="504" spans="2:3" x14ac:dyDescent="0.2">
      <c r="B504">
        <v>42.9637366351959</v>
      </c>
      <c r="C504">
        <v>1.0889292196007259E-2</v>
      </c>
    </row>
    <row r="505" spans="2:3" x14ac:dyDescent="0.2">
      <c r="B505">
        <v>41.2739042863872</v>
      </c>
      <c r="C505">
        <v>9.0744101633393835E-3</v>
      </c>
    </row>
    <row r="506" spans="2:3" x14ac:dyDescent="0.2">
      <c r="B506">
        <v>13.8456557766029</v>
      </c>
      <c r="C506">
        <v>7.2595281306715061E-3</v>
      </c>
    </row>
    <row r="507" spans="2:3" x14ac:dyDescent="0.2">
      <c r="B507">
        <v>11.8965280067601</v>
      </c>
      <c r="C507">
        <v>5.4446460980036296E-3</v>
      </c>
    </row>
    <row r="508" spans="2:3" x14ac:dyDescent="0.2">
      <c r="B508">
        <v>10.4413906243249</v>
      </c>
      <c r="C508">
        <v>3.629764065335753E-3</v>
      </c>
    </row>
    <row r="509" spans="2:3" x14ac:dyDescent="0.2">
      <c r="B509">
        <v>6.81792368971192</v>
      </c>
      <c r="C509">
        <v>1.8148820326678765E-3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9976-3870-CF42-92C2-85C908A6FFD5}">
  <sheetPr codeName="Sheet6"/>
  <dimension ref="B1:F380"/>
  <sheetViews>
    <sheetView workbookViewId="0">
      <selection activeCell="F3" sqref="F3"/>
    </sheetView>
  </sheetViews>
  <sheetFormatPr baseColWidth="10" defaultRowHeight="16" x14ac:dyDescent="0.2"/>
  <cols>
    <col min="2" max="2" width="18" customWidth="1"/>
    <col min="3" max="3" width="20.83203125" customWidth="1"/>
  </cols>
  <sheetData>
    <row r="1" spans="2:6" x14ac:dyDescent="0.2">
      <c r="B1" t="s">
        <v>41</v>
      </c>
      <c r="C1" t="s">
        <v>42</v>
      </c>
    </row>
    <row r="2" spans="2:6" x14ac:dyDescent="0.2">
      <c r="B2" cm="1">
        <f t="array" ref="B2:B380">_xlfn._xlws.SORT(_xlfn.UNIQUE(TblPolicyLevelAggregate[TotalClaimAmount]), 1, -1)</f>
        <v>1693380.8662473639</v>
      </c>
      <c r="C2" cm="1">
        <f t="array" ref="C2:C380">_xlfn.BYROW(_xlfn.ANCHORARRAY(B2), _xlfn.LAMBDA(_xlpm.x, COUNTIF(TblPolicyLevelAggregate[TotalClaimAmount], "&lt;=" &amp; _xlpm.x) / COUNT(TblPolicyLevelAggregate[PolicyID])))</f>
        <v>1</v>
      </c>
    </row>
    <row r="3" spans="2:6" x14ac:dyDescent="0.2">
      <c r="B3">
        <v>1561802.5961819971</v>
      </c>
      <c r="C3">
        <v>0.998</v>
      </c>
      <c r="F3" t="s">
        <v>40</v>
      </c>
    </row>
    <row r="4" spans="2:6" x14ac:dyDescent="0.2">
      <c r="B4">
        <v>1370939.897626701</v>
      </c>
      <c r="C4">
        <v>0.996</v>
      </c>
    </row>
    <row r="5" spans="2:6" x14ac:dyDescent="0.2">
      <c r="B5">
        <v>1241060.19974872</v>
      </c>
      <c r="C5">
        <v>0.99399999999999999</v>
      </c>
    </row>
    <row r="6" spans="2:6" x14ac:dyDescent="0.2">
      <c r="B6">
        <v>1235244.236662714</v>
      </c>
      <c r="C6">
        <v>0.99199999999999999</v>
      </c>
    </row>
    <row r="7" spans="2:6" x14ac:dyDescent="0.2">
      <c r="B7">
        <v>1180129.9135299299</v>
      </c>
      <c r="C7">
        <v>0.99</v>
      </c>
    </row>
    <row r="8" spans="2:6" x14ac:dyDescent="0.2">
      <c r="B8">
        <v>1076248.185233423</v>
      </c>
      <c r="C8">
        <v>0.98799999999999999</v>
      </c>
    </row>
    <row r="9" spans="2:6" x14ac:dyDescent="0.2">
      <c r="B9">
        <v>1072352.0607261481</v>
      </c>
      <c r="C9">
        <v>0.98599999999999999</v>
      </c>
    </row>
    <row r="10" spans="2:6" x14ac:dyDescent="0.2">
      <c r="B10">
        <v>1069944.9981220588</v>
      </c>
      <c r="C10">
        <v>0.98399999999999999</v>
      </c>
    </row>
    <row r="11" spans="2:6" x14ac:dyDescent="0.2">
      <c r="B11">
        <v>1068334.0815614187</v>
      </c>
      <c r="C11">
        <v>0.98199999999999998</v>
      </c>
    </row>
    <row r="12" spans="2:6" x14ac:dyDescent="0.2">
      <c r="B12">
        <v>1034175.0640580811</v>
      </c>
      <c r="C12">
        <v>0.98</v>
      </c>
    </row>
    <row r="13" spans="2:6" x14ac:dyDescent="0.2">
      <c r="B13">
        <v>1026905.9468269371</v>
      </c>
      <c r="C13">
        <v>0.97799999999999998</v>
      </c>
    </row>
    <row r="14" spans="2:6" x14ac:dyDescent="0.2">
      <c r="B14">
        <v>1023370.4563185408</v>
      </c>
      <c r="C14">
        <v>0.97599999999999998</v>
      </c>
    </row>
    <row r="15" spans="2:6" x14ac:dyDescent="0.2">
      <c r="B15">
        <v>1007126.9563302754</v>
      </c>
      <c r="C15">
        <v>0.97399999999999998</v>
      </c>
    </row>
    <row r="16" spans="2:6" x14ac:dyDescent="0.2">
      <c r="B16">
        <v>1006361.0733694329</v>
      </c>
      <c r="C16">
        <v>0.97199999999999998</v>
      </c>
    </row>
    <row r="17" spans="2:3" x14ac:dyDescent="0.2">
      <c r="B17">
        <v>1004996.8219211142</v>
      </c>
      <c r="C17">
        <v>0.97</v>
      </c>
    </row>
    <row r="18" spans="2:3" x14ac:dyDescent="0.2">
      <c r="B18">
        <v>1001128.3591102608</v>
      </c>
      <c r="C18">
        <v>0.96799999999999997</v>
      </c>
    </row>
    <row r="19" spans="2:3" x14ac:dyDescent="0.2">
      <c r="B19">
        <v>1000965.4058444344</v>
      </c>
      <c r="C19">
        <v>0.96599999999999997</v>
      </c>
    </row>
    <row r="20" spans="2:3" x14ac:dyDescent="0.2">
      <c r="B20">
        <v>1000144.8664423929</v>
      </c>
      <c r="C20">
        <v>0.96399999999999997</v>
      </c>
    </row>
    <row r="21" spans="2:3" x14ac:dyDescent="0.2">
      <c r="B21">
        <v>1000068.3447154724</v>
      </c>
      <c r="C21">
        <v>0.96199999999999997</v>
      </c>
    </row>
    <row r="22" spans="2:3" x14ac:dyDescent="0.2">
      <c r="B22">
        <v>1000042.9637366352</v>
      </c>
      <c r="C22">
        <v>0.96</v>
      </c>
    </row>
    <row r="23" spans="2:3" x14ac:dyDescent="0.2">
      <c r="B23">
        <v>1000010.4413906243</v>
      </c>
      <c r="C23">
        <v>0.95799999999999996</v>
      </c>
    </row>
    <row r="24" spans="2:3" x14ac:dyDescent="0.2">
      <c r="B24">
        <v>1000000</v>
      </c>
      <c r="C24">
        <v>0.95599999999999996</v>
      </c>
    </row>
    <row r="25" spans="2:3" x14ac:dyDescent="0.2">
      <c r="B25">
        <v>988703.936397054</v>
      </c>
      <c r="C25">
        <v>0.90600000000000003</v>
      </c>
    </row>
    <row r="26" spans="2:3" x14ac:dyDescent="0.2">
      <c r="B26">
        <v>974153.11606266443</v>
      </c>
      <c r="C26">
        <v>0.90400000000000003</v>
      </c>
    </row>
    <row r="27" spans="2:3" x14ac:dyDescent="0.2">
      <c r="B27">
        <v>922783.24690739997</v>
      </c>
      <c r="C27">
        <v>0.90200000000000002</v>
      </c>
    </row>
    <row r="28" spans="2:3" x14ac:dyDescent="0.2">
      <c r="B28">
        <v>845287.93235152808</v>
      </c>
      <c r="C28">
        <v>0.9</v>
      </c>
    </row>
    <row r="29" spans="2:3" x14ac:dyDescent="0.2">
      <c r="B29">
        <v>835182.92061261053</v>
      </c>
      <c r="C29">
        <v>0.89800000000000002</v>
      </c>
    </row>
    <row r="30" spans="2:3" x14ac:dyDescent="0.2">
      <c r="B30">
        <v>808655.00215279695</v>
      </c>
      <c r="C30">
        <v>0.89600000000000002</v>
      </c>
    </row>
    <row r="31" spans="2:3" x14ac:dyDescent="0.2">
      <c r="B31">
        <v>797144.89665363473</v>
      </c>
      <c r="C31">
        <v>0.89400000000000002</v>
      </c>
    </row>
    <row r="32" spans="2:3" x14ac:dyDescent="0.2">
      <c r="B32">
        <v>790968.92382871581</v>
      </c>
      <c r="C32">
        <v>0.89200000000000002</v>
      </c>
    </row>
    <row r="33" spans="2:3" x14ac:dyDescent="0.2">
      <c r="B33">
        <v>789293.21560856304</v>
      </c>
      <c r="C33">
        <v>0.89</v>
      </c>
    </row>
    <row r="34" spans="2:3" x14ac:dyDescent="0.2">
      <c r="B34">
        <v>725462.99082128005</v>
      </c>
      <c r="C34">
        <v>0.88800000000000001</v>
      </c>
    </row>
    <row r="35" spans="2:3" x14ac:dyDescent="0.2">
      <c r="B35">
        <v>711495.52549007465</v>
      </c>
      <c r="C35">
        <v>0.88600000000000001</v>
      </c>
    </row>
    <row r="36" spans="2:3" x14ac:dyDescent="0.2">
      <c r="B36">
        <v>687947.65076245938</v>
      </c>
      <c r="C36">
        <v>0.88400000000000001</v>
      </c>
    </row>
    <row r="37" spans="2:3" x14ac:dyDescent="0.2">
      <c r="B37">
        <v>673278.82999947295</v>
      </c>
      <c r="C37">
        <v>0.88200000000000001</v>
      </c>
    </row>
    <row r="38" spans="2:3" x14ac:dyDescent="0.2">
      <c r="B38">
        <v>670494.36023415287</v>
      </c>
      <c r="C38">
        <v>0.88</v>
      </c>
    </row>
    <row r="39" spans="2:3" x14ac:dyDescent="0.2">
      <c r="B39">
        <v>616697.71428512805</v>
      </c>
      <c r="C39">
        <v>0.878</v>
      </c>
    </row>
    <row r="40" spans="2:3" x14ac:dyDescent="0.2">
      <c r="B40">
        <v>615894.70219961705</v>
      </c>
      <c r="C40">
        <v>0.876</v>
      </c>
    </row>
    <row r="41" spans="2:3" x14ac:dyDescent="0.2">
      <c r="B41">
        <v>615488.98728472774</v>
      </c>
      <c r="C41">
        <v>0.874</v>
      </c>
    </row>
    <row r="42" spans="2:3" x14ac:dyDescent="0.2">
      <c r="B42">
        <v>584773.22864675405</v>
      </c>
      <c r="C42">
        <v>0.872</v>
      </c>
    </row>
    <row r="43" spans="2:3" x14ac:dyDescent="0.2">
      <c r="B43">
        <v>573644.16411710682</v>
      </c>
      <c r="C43">
        <v>0.87</v>
      </c>
    </row>
    <row r="44" spans="2:3" x14ac:dyDescent="0.2">
      <c r="B44">
        <v>570532.41747131303</v>
      </c>
      <c r="C44">
        <v>0.86799999999999999</v>
      </c>
    </row>
    <row r="45" spans="2:3" x14ac:dyDescent="0.2">
      <c r="B45">
        <v>546270.27563700185</v>
      </c>
      <c r="C45">
        <v>0.86599999999999999</v>
      </c>
    </row>
    <row r="46" spans="2:3" x14ac:dyDescent="0.2">
      <c r="B46">
        <v>543039.51053842984</v>
      </c>
      <c r="C46">
        <v>0.86399999999999999</v>
      </c>
    </row>
    <row r="47" spans="2:3" x14ac:dyDescent="0.2">
      <c r="B47">
        <v>525966.34817988996</v>
      </c>
      <c r="C47">
        <v>0.86199999999999999</v>
      </c>
    </row>
    <row r="48" spans="2:3" x14ac:dyDescent="0.2">
      <c r="B48">
        <v>522345.06994418002</v>
      </c>
      <c r="C48">
        <v>0.86</v>
      </c>
    </row>
    <row r="49" spans="2:3" x14ac:dyDescent="0.2">
      <c r="B49">
        <v>512604.504115975</v>
      </c>
      <c r="C49">
        <v>0.85799999999999998</v>
      </c>
    </row>
    <row r="50" spans="2:3" x14ac:dyDescent="0.2">
      <c r="B50">
        <v>510017.79828447226</v>
      </c>
      <c r="C50">
        <v>0.85599999999999998</v>
      </c>
    </row>
    <row r="51" spans="2:3" x14ac:dyDescent="0.2">
      <c r="B51">
        <v>501238.57260445924</v>
      </c>
      <c r="C51">
        <v>0.85399999999999998</v>
      </c>
    </row>
    <row r="52" spans="2:3" x14ac:dyDescent="0.2">
      <c r="B52">
        <v>499753.10164847499</v>
      </c>
      <c r="C52">
        <v>0.85199999999999998</v>
      </c>
    </row>
    <row r="53" spans="2:3" x14ac:dyDescent="0.2">
      <c r="B53">
        <v>488648.3573342603</v>
      </c>
      <c r="C53">
        <v>0.85</v>
      </c>
    </row>
    <row r="54" spans="2:3" x14ac:dyDescent="0.2">
      <c r="B54">
        <v>480548.51588794467</v>
      </c>
      <c r="C54">
        <v>0.84799999999999998</v>
      </c>
    </row>
    <row r="55" spans="2:3" x14ac:dyDescent="0.2">
      <c r="B55">
        <v>469227.92349348584</v>
      </c>
      <c r="C55">
        <v>0.84599999999999997</v>
      </c>
    </row>
    <row r="56" spans="2:3" x14ac:dyDescent="0.2">
      <c r="B56">
        <v>468331.36367839109</v>
      </c>
      <c r="C56">
        <v>0.84399999999999997</v>
      </c>
    </row>
    <row r="57" spans="2:3" x14ac:dyDescent="0.2">
      <c r="B57">
        <v>439915.361802336</v>
      </c>
      <c r="C57">
        <v>0.84199999999999997</v>
      </c>
    </row>
    <row r="58" spans="2:3" x14ac:dyDescent="0.2">
      <c r="B58">
        <v>425962.28180957166</v>
      </c>
      <c r="C58">
        <v>0.84</v>
      </c>
    </row>
    <row r="59" spans="2:3" x14ac:dyDescent="0.2">
      <c r="B59">
        <v>413651.58820230648</v>
      </c>
      <c r="C59">
        <v>0.83799999999999997</v>
      </c>
    </row>
    <row r="60" spans="2:3" x14ac:dyDescent="0.2">
      <c r="B60">
        <v>401034.11621141399</v>
      </c>
      <c r="C60">
        <v>0.83599999999999997</v>
      </c>
    </row>
    <row r="61" spans="2:3" x14ac:dyDescent="0.2">
      <c r="B61">
        <v>391216.39796919702</v>
      </c>
      <c r="C61">
        <v>0.83399999999999996</v>
      </c>
    </row>
    <row r="62" spans="2:3" x14ac:dyDescent="0.2">
      <c r="B62">
        <v>382172.22502550803</v>
      </c>
      <c r="C62">
        <v>0.83199999999999996</v>
      </c>
    </row>
    <row r="63" spans="2:3" x14ac:dyDescent="0.2">
      <c r="B63">
        <v>378070.32297328056</v>
      </c>
      <c r="C63">
        <v>0.83</v>
      </c>
    </row>
    <row r="64" spans="2:3" x14ac:dyDescent="0.2">
      <c r="B64">
        <v>377899.25362171017</v>
      </c>
      <c r="C64">
        <v>0.82799999999999996</v>
      </c>
    </row>
    <row r="65" spans="2:3" x14ac:dyDescent="0.2">
      <c r="B65">
        <v>372423.77777224744</v>
      </c>
      <c r="C65">
        <v>0.82599999999999996</v>
      </c>
    </row>
    <row r="66" spans="2:3" x14ac:dyDescent="0.2">
      <c r="B66">
        <v>361068.49832395813</v>
      </c>
      <c r="C66">
        <v>0.82399999999999995</v>
      </c>
    </row>
    <row r="67" spans="2:3" x14ac:dyDescent="0.2">
      <c r="B67">
        <v>357998.61734083499</v>
      </c>
      <c r="C67">
        <v>0.82199999999999995</v>
      </c>
    </row>
    <row r="68" spans="2:3" x14ac:dyDescent="0.2">
      <c r="B68">
        <v>353080.08247983165</v>
      </c>
      <c r="C68">
        <v>0.82</v>
      </c>
    </row>
    <row r="69" spans="2:3" x14ac:dyDescent="0.2">
      <c r="B69">
        <v>345473.86451898498</v>
      </c>
      <c r="C69">
        <v>0.81799999999999995</v>
      </c>
    </row>
    <row r="70" spans="2:3" x14ac:dyDescent="0.2">
      <c r="B70">
        <v>335212.90942511248</v>
      </c>
      <c r="C70">
        <v>0.81599999999999995</v>
      </c>
    </row>
    <row r="71" spans="2:3" x14ac:dyDescent="0.2">
      <c r="B71">
        <v>332069.98360381799</v>
      </c>
      <c r="C71">
        <v>0.81399999999999995</v>
      </c>
    </row>
    <row r="72" spans="2:3" x14ac:dyDescent="0.2">
      <c r="B72">
        <v>328901.49593115499</v>
      </c>
      <c r="C72">
        <v>0.81200000000000006</v>
      </c>
    </row>
    <row r="73" spans="2:3" x14ac:dyDescent="0.2">
      <c r="B73">
        <v>323113.07317427098</v>
      </c>
      <c r="C73">
        <v>0.81</v>
      </c>
    </row>
    <row r="74" spans="2:3" x14ac:dyDescent="0.2">
      <c r="B74">
        <v>316593.20196569001</v>
      </c>
      <c r="C74">
        <v>0.80800000000000005</v>
      </c>
    </row>
    <row r="75" spans="2:3" x14ac:dyDescent="0.2">
      <c r="B75">
        <v>314974.546974728</v>
      </c>
      <c r="C75">
        <v>0.80600000000000005</v>
      </c>
    </row>
    <row r="76" spans="2:3" x14ac:dyDescent="0.2">
      <c r="B76">
        <v>309819.4944161321</v>
      </c>
      <c r="C76">
        <v>0.80400000000000005</v>
      </c>
    </row>
    <row r="77" spans="2:3" x14ac:dyDescent="0.2">
      <c r="B77">
        <v>293885.43763525598</v>
      </c>
      <c r="C77">
        <v>0.80200000000000005</v>
      </c>
    </row>
    <row r="78" spans="2:3" x14ac:dyDescent="0.2">
      <c r="B78">
        <v>282128.32526222407</v>
      </c>
      <c r="C78">
        <v>0.8</v>
      </c>
    </row>
    <row r="79" spans="2:3" x14ac:dyDescent="0.2">
      <c r="B79">
        <v>279131.85241377639</v>
      </c>
      <c r="C79">
        <v>0.79800000000000004</v>
      </c>
    </row>
    <row r="80" spans="2:3" x14ac:dyDescent="0.2">
      <c r="B80">
        <v>277815.56138111698</v>
      </c>
      <c r="C80">
        <v>0.79600000000000004</v>
      </c>
    </row>
    <row r="81" spans="2:3" x14ac:dyDescent="0.2">
      <c r="B81">
        <v>269655.99821576098</v>
      </c>
      <c r="C81">
        <v>0.79400000000000004</v>
      </c>
    </row>
    <row r="82" spans="2:3" x14ac:dyDescent="0.2">
      <c r="B82">
        <v>268162.79467363306</v>
      </c>
      <c r="C82">
        <v>0.79200000000000004</v>
      </c>
    </row>
    <row r="83" spans="2:3" x14ac:dyDescent="0.2">
      <c r="B83">
        <v>262296.93259583984</v>
      </c>
      <c r="C83">
        <v>0.79</v>
      </c>
    </row>
    <row r="84" spans="2:3" x14ac:dyDescent="0.2">
      <c r="B84">
        <v>262010.429257607</v>
      </c>
      <c r="C84">
        <v>0.78800000000000003</v>
      </c>
    </row>
    <row r="85" spans="2:3" x14ac:dyDescent="0.2">
      <c r="B85">
        <v>256011.67787545</v>
      </c>
      <c r="C85">
        <v>0.78600000000000003</v>
      </c>
    </row>
    <row r="86" spans="2:3" x14ac:dyDescent="0.2">
      <c r="B86">
        <v>235898.29356901001</v>
      </c>
      <c r="C86">
        <v>0.78400000000000003</v>
      </c>
    </row>
    <row r="87" spans="2:3" x14ac:dyDescent="0.2">
      <c r="B87">
        <v>235497.07346507401</v>
      </c>
      <c r="C87">
        <v>0.78200000000000003</v>
      </c>
    </row>
    <row r="88" spans="2:3" x14ac:dyDescent="0.2">
      <c r="B88">
        <v>233608.249269908</v>
      </c>
      <c r="C88">
        <v>0.78</v>
      </c>
    </row>
    <row r="89" spans="2:3" x14ac:dyDescent="0.2">
      <c r="B89">
        <v>231541.091371755</v>
      </c>
      <c r="C89">
        <v>0.77800000000000002</v>
      </c>
    </row>
    <row r="90" spans="2:3" x14ac:dyDescent="0.2">
      <c r="B90">
        <v>225719.79607948801</v>
      </c>
      <c r="C90">
        <v>0.77600000000000002</v>
      </c>
    </row>
    <row r="91" spans="2:3" x14ac:dyDescent="0.2">
      <c r="B91">
        <v>223227.52524643301</v>
      </c>
      <c r="C91">
        <v>0.77400000000000002</v>
      </c>
    </row>
    <row r="92" spans="2:3" x14ac:dyDescent="0.2">
      <c r="B92">
        <v>213115.7299449055</v>
      </c>
      <c r="C92">
        <v>0.77200000000000002</v>
      </c>
    </row>
    <row r="93" spans="2:3" x14ac:dyDescent="0.2">
      <c r="B93">
        <v>209311.399462795</v>
      </c>
      <c r="C93">
        <v>0.77</v>
      </c>
    </row>
    <row r="94" spans="2:3" x14ac:dyDescent="0.2">
      <c r="B94">
        <v>207704.32672703639</v>
      </c>
      <c r="C94">
        <v>0.76800000000000002</v>
      </c>
    </row>
    <row r="95" spans="2:3" x14ac:dyDescent="0.2">
      <c r="B95">
        <v>202692.98142444331</v>
      </c>
      <c r="C95">
        <v>0.76600000000000001</v>
      </c>
    </row>
    <row r="96" spans="2:3" x14ac:dyDescent="0.2">
      <c r="B96">
        <v>201726.23818386599</v>
      </c>
      <c r="C96">
        <v>0.76400000000000001</v>
      </c>
    </row>
    <row r="97" spans="2:3" x14ac:dyDescent="0.2">
      <c r="B97">
        <v>198592.98821090738</v>
      </c>
      <c r="C97">
        <v>0.76200000000000001</v>
      </c>
    </row>
    <row r="98" spans="2:3" x14ac:dyDescent="0.2">
      <c r="B98">
        <v>193721.22578398199</v>
      </c>
      <c r="C98">
        <v>0.76</v>
      </c>
    </row>
    <row r="99" spans="2:3" x14ac:dyDescent="0.2">
      <c r="B99">
        <v>193046.15070413859</v>
      </c>
      <c r="C99">
        <v>0.75800000000000001</v>
      </c>
    </row>
    <row r="100" spans="2:3" x14ac:dyDescent="0.2">
      <c r="B100">
        <v>191625.16146285299</v>
      </c>
      <c r="C100">
        <v>0.75600000000000001</v>
      </c>
    </row>
    <row r="101" spans="2:3" x14ac:dyDescent="0.2">
      <c r="B101">
        <v>189663.85405598959</v>
      </c>
      <c r="C101">
        <v>0.754</v>
      </c>
    </row>
    <row r="102" spans="2:3" x14ac:dyDescent="0.2">
      <c r="B102">
        <v>188904.119010875</v>
      </c>
      <c r="C102">
        <v>0.752</v>
      </c>
    </row>
    <row r="103" spans="2:3" x14ac:dyDescent="0.2">
      <c r="B103">
        <v>187384.838378174</v>
      </c>
      <c r="C103">
        <v>0.75</v>
      </c>
    </row>
    <row r="104" spans="2:3" x14ac:dyDescent="0.2">
      <c r="B104">
        <v>181428.83618842438</v>
      </c>
      <c r="C104">
        <v>0.748</v>
      </c>
    </row>
    <row r="105" spans="2:3" x14ac:dyDescent="0.2">
      <c r="B105">
        <v>181102.67687104217</v>
      </c>
      <c r="C105">
        <v>0.746</v>
      </c>
    </row>
    <row r="106" spans="2:3" x14ac:dyDescent="0.2">
      <c r="B106">
        <v>179424.65083902801</v>
      </c>
      <c r="C106">
        <v>0.74399999999999999</v>
      </c>
    </row>
    <row r="107" spans="2:3" x14ac:dyDescent="0.2">
      <c r="B107">
        <v>178260.17170286999</v>
      </c>
      <c r="C107">
        <v>0.74199999999999999</v>
      </c>
    </row>
    <row r="108" spans="2:3" x14ac:dyDescent="0.2">
      <c r="B108">
        <v>177087.98551403108</v>
      </c>
      <c r="C108">
        <v>0.74</v>
      </c>
    </row>
    <row r="109" spans="2:3" x14ac:dyDescent="0.2">
      <c r="B109">
        <v>170519.39878151301</v>
      </c>
      <c r="C109">
        <v>0.73799999999999999</v>
      </c>
    </row>
    <row r="110" spans="2:3" x14ac:dyDescent="0.2">
      <c r="B110">
        <v>169942.01586765499</v>
      </c>
      <c r="C110">
        <v>0.73599999999999999</v>
      </c>
    </row>
    <row r="111" spans="2:3" x14ac:dyDescent="0.2">
      <c r="B111">
        <v>167257.06954470399</v>
      </c>
      <c r="C111">
        <v>0.73399999999999999</v>
      </c>
    </row>
    <row r="112" spans="2:3" x14ac:dyDescent="0.2">
      <c r="B112">
        <v>167189.4031132251</v>
      </c>
      <c r="C112">
        <v>0.73199999999999998</v>
      </c>
    </row>
    <row r="113" spans="2:3" x14ac:dyDescent="0.2">
      <c r="B113">
        <v>161794.89700973881</v>
      </c>
      <c r="C113">
        <v>0.73</v>
      </c>
    </row>
    <row r="114" spans="2:3" x14ac:dyDescent="0.2">
      <c r="B114">
        <v>160322.00253257542</v>
      </c>
      <c r="C114">
        <v>0.72799999999999998</v>
      </c>
    </row>
    <row r="115" spans="2:3" x14ac:dyDescent="0.2">
      <c r="B115">
        <v>159396.155683852</v>
      </c>
      <c r="C115">
        <v>0.72599999999999998</v>
      </c>
    </row>
    <row r="116" spans="2:3" x14ac:dyDescent="0.2">
      <c r="B116">
        <v>152594.22641380652</v>
      </c>
      <c r="C116">
        <v>0.72399999999999998</v>
      </c>
    </row>
    <row r="117" spans="2:3" x14ac:dyDescent="0.2">
      <c r="B117">
        <v>147165.02854381746</v>
      </c>
      <c r="C117">
        <v>0.72199999999999998</v>
      </c>
    </row>
    <row r="118" spans="2:3" x14ac:dyDescent="0.2">
      <c r="B118">
        <v>146947.679412953</v>
      </c>
      <c r="C118">
        <v>0.72</v>
      </c>
    </row>
    <row r="119" spans="2:3" x14ac:dyDescent="0.2">
      <c r="B119">
        <v>144023.0544979026</v>
      </c>
      <c r="C119">
        <v>0.71799999999999997</v>
      </c>
    </row>
    <row r="120" spans="2:3" x14ac:dyDescent="0.2">
      <c r="B120">
        <v>143548.78686893801</v>
      </c>
      <c r="C120">
        <v>0.71599999999999997</v>
      </c>
    </row>
    <row r="121" spans="2:3" x14ac:dyDescent="0.2">
      <c r="B121">
        <v>140042.811662238</v>
      </c>
      <c r="C121">
        <v>0.71399999999999997</v>
      </c>
    </row>
    <row r="122" spans="2:3" x14ac:dyDescent="0.2">
      <c r="B122">
        <v>139140.03296486879</v>
      </c>
      <c r="C122">
        <v>0.71199999999999997</v>
      </c>
    </row>
    <row r="123" spans="2:3" x14ac:dyDescent="0.2">
      <c r="B123">
        <v>138012.30585419599</v>
      </c>
      <c r="C123">
        <v>0.71</v>
      </c>
    </row>
    <row r="124" spans="2:3" x14ac:dyDescent="0.2">
      <c r="B124">
        <v>130971.22096843651</v>
      </c>
      <c r="C124">
        <v>0.70799999999999996</v>
      </c>
    </row>
    <row r="125" spans="2:3" x14ac:dyDescent="0.2">
      <c r="B125">
        <v>127518.822083312</v>
      </c>
      <c r="C125">
        <v>0.70599999999999996</v>
      </c>
    </row>
    <row r="126" spans="2:3" x14ac:dyDescent="0.2">
      <c r="B126">
        <v>122351.254499879</v>
      </c>
      <c r="C126">
        <v>0.70399999999999996</v>
      </c>
    </row>
    <row r="127" spans="2:3" x14ac:dyDescent="0.2">
      <c r="B127">
        <v>120586.00393367361</v>
      </c>
      <c r="C127">
        <v>0.70199999999999996</v>
      </c>
    </row>
    <row r="128" spans="2:3" x14ac:dyDescent="0.2">
      <c r="B128">
        <v>119563.414027127</v>
      </c>
      <c r="C128">
        <v>0.7</v>
      </c>
    </row>
    <row r="129" spans="2:3" x14ac:dyDescent="0.2">
      <c r="B129">
        <v>118628.37936247099</v>
      </c>
      <c r="C129">
        <v>0.69799999999999995</v>
      </c>
    </row>
    <row r="130" spans="2:3" x14ac:dyDescent="0.2">
      <c r="B130">
        <v>112925.07359271101</v>
      </c>
      <c r="C130">
        <v>0.69599999999999995</v>
      </c>
    </row>
    <row r="131" spans="2:3" x14ac:dyDescent="0.2">
      <c r="B131">
        <v>110520.0673102771</v>
      </c>
      <c r="C131">
        <v>0.69399999999999995</v>
      </c>
    </row>
    <row r="132" spans="2:3" x14ac:dyDescent="0.2">
      <c r="B132">
        <v>109775.925096982</v>
      </c>
      <c r="C132">
        <v>0.69199999999999995</v>
      </c>
    </row>
    <row r="133" spans="2:3" x14ac:dyDescent="0.2">
      <c r="B133">
        <v>109719.59786247399</v>
      </c>
      <c r="C133">
        <v>0.69</v>
      </c>
    </row>
    <row r="134" spans="2:3" x14ac:dyDescent="0.2">
      <c r="B134">
        <v>108403.797501254</v>
      </c>
      <c r="C134">
        <v>0.68799999999999994</v>
      </c>
    </row>
    <row r="135" spans="2:3" x14ac:dyDescent="0.2">
      <c r="B135">
        <v>107125.71150994669</v>
      </c>
      <c r="C135">
        <v>0.68600000000000005</v>
      </c>
    </row>
    <row r="136" spans="2:3" x14ac:dyDescent="0.2">
      <c r="B136">
        <v>106327.6301005813</v>
      </c>
      <c r="C136">
        <v>0.68400000000000005</v>
      </c>
    </row>
    <row r="137" spans="2:3" x14ac:dyDescent="0.2">
      <c r="B137">
        <v>104823.79794920899</v>
      </c>
      <c r="C137">
        <v>0.68200000000000005</v>
      </c>
    </row>
    <row r="138" spans="2:3" x14ac:dyDescent="0.2">
      <c r="B138">
        <v>104350.56194289601</v>
      </c>
      <c r="C138">
        <v>0.68</v>
      </c>
    </row>
    <row r="139" spans="2:3" x14ac:dyDescent="0.2">
      <c r="B139">
        <v>103021.229816059</v>
      </c>
      <c r="C139">
        <v>0.67800000000000005</v>
      </c>
    </row>
    <row r="140" spans="2:3" x14ac:dyDescent="0.2">
      <c r="B140">
        <v>100189.113415101</v>
      </c>
      <c r="C140">
        <v>0.67600000000000005</v>
      </c>
    </row>
    <row r="141" spans="2:3" x14ac:dyDescent="0.2">
      <c r="B141">
        <v>98609.382342933095</v>
      </c>
      <c r="C141">
        <v>0.67400000000000004</v>
      </c>
    </row>
    <row r="142" spans="2:3" x14ac:dyDescent="0.2">
      <c r="B142">
        <v>95534.331363986101</v>
      </c>
      <c r="C142">
        <v>0.67200000000000004</v>
      </c>
    </row>
    <row r="143" spans="2:3" x14ac:dyDescent="0.2">
      <c r="B143">
        <v>93981.440617116503</v>
      </c>
      <c r="C143">
        <v>0.67</v>
      </c>
    </row>
    <row r="144" spans="2:3" x14ac:dyDescent="0.2">
      <c r="B144">
        <v>93141.656331663195</v>
      </c>
      <c r="C144">
        <v>0.66800000000000004</v>
      </c>
    </row>
    <row r="145" spans="2:3" x14ac:dyDescent="0.2">
      <c r="B145">
        <v>92824.591049640294</v>
      </c>
      <c r="C145">
        <v>0.66600000000000004</v>
      </c>
    </row>
    <row r="146" spans="2:3" x14ac:dyDescent="0.2">
      <c r="B146">
        <v>89957.792569983299</v>
      </c>
      <c r="C146">
        <v>0.66400000000000003</v>
      </c>
    </row>
    <row r="147" spans="2:3" x14ac:dyDescent="0.2">
      <c r="B147">
        <v>88860.700462814202</v>
      </c>
      <c r="C147">
        <v>0.66200000000000003</v>
      </c>
    </row>
    <row r="148" spans="2:3" x14ac:dyDescent="0.2">
      <c r="B148">
        <v>88255.815556129804</v>
      </c>
      <c r="C148">
        <v>0.66</v>
      </c>
    </row>
    <row r="149" spans="2:3" x14ac:dyDescent="0.2">
      <c r="B149">
        <v>86570.051537700405</v>
      </c>
      <c r="C149">
        <v>0.65800000000000003</v>
      </c>
    </row>
    <row r="150" spans="2:3" x14ac:dyDescent="0.2">
      <c r="B150">
        <v>86039.001618003793</v>
      </c>
      <c r="C150">
        <v>0.65600000000000003</v>
      </c>
    </row>
    <row r="151" spans="2:3" x14ac:dyDescent="0.2">
      <c r="B151">
        <v>81773.910392976992</v>
      </c>
      <c r="C151">
        <v>0.65400000000000003</v>
      </c>
    </row>
    <row r="152" spans="2:3" x14ac:dyDescent="0.2">
      <c r="B152">
        <v>80100.874597687594</v>
      </c>
      <c r="C152">
        <v>0.65200000000000002</v>
      </c>
    </row>
    <row r="153" spans="2:3" x14ac:dyDescent="0.2">
      <c r="B153">
        <v>78428.672774144099</v>
      </c>
      <c r="C153">
        <v>0.65</v>
      </c>
    </row>
    <row r="154" spans="2:3" x14ac:dyDescent="0.2">
      <c r="B154">
        <v>77641.302356685395</v>
      </c>
      <c r="C154">
        <v>0.64800000000000002</v>
      </c>
    </row>
    <row r="155" spans="2:3" x14ac:dyDescent="0.2">
      <c r="B155">
        <v>76791.230948701632</v>
      </c>
      <c r="C155">
        <v>0.64600000000000002</v>
      </c>
    </row>
    <row r="156" spans="2:3" x14ac:dyDescent="0.2">
      <c r="B156">
        <v>75721.126311970947</v>
      </c>
      <c r="C156">
        <v>0.64400000000000002</v>
      </c>
    </row>
    <row r="157" spans="2:3" x14ac:dyDescent="0.2">
      <c r="B157">
        <v>75681.555854622697</v>
      </c>
      <c r="C157">
        <v>0.64200000000000002</v>
      </c>
    </row>
    <row r="158" spans="2:3" x14ac:dyDescent="0.2">
      <c r="B158">
        <v>75009.461660180241</v>
      </c>
      <c r="C158">
        <v>0.64</v>
      </c>
    </row>
    <row r="159" spans="2:3" x14ac:dyDescent="0.2">
      <c r="B159">
        <v>72061.4073446455</v>
      </c>
      <c r="C159">
        <v>0.63800000000000001</v>
      </c>
    </row>
    <row r="160" spans="2:3" x14ac:dyDescent="0.2">
      <c r="B160">
        <v>69558.009856756893</v>
      </c>
      <c r="C160">
        <v>0.63600000000000001</v>
      </c>
    </row>
    <row r="161" spans="2:3" x14ac:dyDescent="0.2">
      <c r="B161">
        <v>67773.782070343106</v>
      </c>
      <c r="C161">
        <v>0.63400000000000001</v>
      </c>
    </row>
    <row r="162" spans="2:3" x14ac:dyDescent="0.2">
      <c r="B162">
        <v>67066.763962990299</v>
      </c>
      <c r="C162">
        <v>0.63200000000000001</v>
      </c>
    </row>
    <row r="163" spans="2:3" x14ac:dyDescent="0.2">
      <c r="B163">
        <v>65466.344699809699</v>
      </c>
      <c r="C163">
        <v>0.63</v>
      </c>
    </row>
    <row r="164" spans="2:3" x14ac:dyDescent="0.2">
      <c r="B164">
        <v>65329.446351703104</v>
      </c>
      <c r="C164">
        <v>0.628</v>
      </c>
    </row>
    <row r="165" spans="2:3" x14ac:dyDescent="0.2">
      <c r="B165">
        <v>65020.346654309389</v>
      </c>
      <c r="C165">
        <v>0.626</v>
      </c>
    </row>
    <row r="166" spans="2:3" x14ac:dyDescent="0.2">
      <c r="B166">
        <v>63343.3022114794</v>
      </c>
      <c r="C166">
        <v>0.624</v>
      </c>
    </row>
    <row r="167" spans="2:3" x14ac:dyDescent="0.2">
      <c r="B167">
        <v>62212.477323175197</v>
      </c>
      <c r="C167">
        <v>0.622</v>
      </c>
    </row>
    <row r="168" spans="2:3" x14ac:dyDescent="0.2">
      <c r="B168">
        <v>60971.270149857148</v>
      </c>
      <c r="C168">
        <v>0.62</v>
      </c>
    </row>
    <row r="169" spans="2:3" x14ac:dyDescent="0.2">
      <c r="B169">
        <v>58858.654269878301</v>
      </c>
      <c r="C169">
        <v>0.61799999999999999</v>
      </c>
    </row>
    <row r="170" spans="2:3" x14ac:dyDescent="0.2">
      <c r="B170">
        <v>56244.220360866333</v>
      </c>
      <c r="C170">
        <v>0.61599999999999999</v>
      </c>
    </row>
    <row r="171" spans="2:3" x14ac:dyDescent="0.2">
      <c r="B171">
        <v>55829.124672435602</v>
      </c>
      <c r="C171">
        <v>0.61399999999999999</v>
      </c>
    </row>
    <row r="172" spans="2:3" x14ac:dyDescent="0.2">
      <c r="B172">
        <v>54805.155599878155</v>
      </c>
      <c r="C172">
        <v>0.61199999999999999</v>
      </c>
    </row>
    <row r="173" spans="2:3" x14ac:dyDescent="0.2">
      <c r="B173">
        <v>54154.467449854201</v>
      </c>
      <c r="C173">
        <v>0.61</v>
      </c>
    </row>
    <row r="174" spans="2:3" x14ac:dyDescent="0.2">
      <c r="B174">
        <v>52580.634382201999</v>
      </c>
      <c r="C174">
        <v>0.60799999999999998</v>
      </c>
    </row>
    <row r="175" spans="2:3" x14ac:dyDescent="0.2">
      <c r="B175">
        <v>51924.481957119293</v>
      </c>
      <c r="C175">
        <v>0.60599999999999998</v>
      </c>
    </row>
    <row r="176" spans="2:3" x14ac:dyDescent="0.2">
      <c r="B176">
        <v>51872.458919044402</v>
      </c>
      <c r="C176">
        <v>0.60399999999999998</v>
      </c>
    </row>
    <row r="177" spans="2:3" x14ac:dyDescent="0.2">
      <c r="B177">
        <v>51618.567347274497</v>
      </c>
      <c r="C177">
        <v>0.60199999999999998</v>
      </c>
    </row>
    <row r="178" spans="2:3" x14ac:dyDescent="0.2">
      <c r="B178">
        <v>50460.523485469501</v>
      </c>
      <c r="C178">
        <v>0.6</v>
      </c>
    </row>
    <row r="179" spans="2:3" x14ac:dyDescent="0.2">
      <c r="B179">
        <v>49672.178680782803</v>
      </c>
      <c r="C179">
        <v>0.59799999999999998</v>
      </c>
    </row>
    <row r="180" spans="2:3" x14ac:dyDescent="0.2">
      <c r="B180">
        <v>48083.29061774788</v>
      </c>
      <c r="C180">
        <v>0.59599999999999997</v>
      </c>
    </row>
    <row r="181" spans="2:3" x14ac:dyDescent="0.2">
      <c r="B181">
        <v>47877.709289400998</v>
      </c>
      <c r="C181">
        <v>0.59399999999999997</v>
      </c>
    </row>
    <row r="182" spans="2:3" x14ac:dyDescent="0.2">
      <c r="B182">
        <v>47558.834543523102</v>
      </c>
      <c r="C182">
        <v>0.59199999999999997</v>
      </c>
    </row>
    <row r="183" spans="2:3" x14ac:dyDescent="0.2">
      <c r="B183">
        <v>46778.484934467699</v>
      </c>
      <c r="C183">
        <v>0.59</v>
      </c>
    </row>
    <row r="184" spans="2:3" x14ac:dyDescent="0.2">
      <c r="B184">
        <v>46623.820415199545</v>
      </c>
      <c r="C184">
        <v>0.58799999999999997</v>
      </c>
    </row>
    <row r="185" spans="2:3" x14ac:dyDescent="0.2">
      <c r="B185">
        <v>46143.362893481899</v>
      </c>
      <c r="C185">
        <v>0.58599999999999997</v>
      </c>
    </row>
    <row r="186" spans="2:3" x14ac:dyDescent="0.2">
      <c r="B186">
        <v>45790.524235672499</v>
      </c>
      <c r="C186">
        <v>0.58399999999999996</v>
      </c>
    </row>
    <row r="187" spans="2:3" x14ac:dyDescent="0.2">
      <c r="B187">
        <v>44904.388908539302</v>
      </c>
      <c r="C187">
        <v>0.58199999999999996</v>
      </c>
    </row>
    <row r="188" spans="2:3" x14ac:dyDescent="0.2">
      <c r="B188">
        <v>44903.189027943197</v>
      </c>
      <c r="C188">
        <v>0.57999999999999996</v>
      </c>
    </row>
    <row r="189" spans="2:3" x14ac:dyDescent="0.2">
      <c r="B189">
        <v>44864.700363527867</v>
      </c>
      <c r="C189">
        <v>0.57799999999999996</v>
      </c>
    </row>
    <row r="190" spans="2:3" x14ac:dyDescent="0.2">
      <c r="B190">
        <v>43724.808480536303</v>
      </c>
      <c r="C190">
        <v>0.57599999999999996</v>
      </c>
    </row>
    <row r="191" spans="2:3" x14ac:dyDescent="0.2">
      <c r="B191">
        <v>43526.534026014553</v>
      </c>
      <c r="C191">
        <v>0.57399999999999995</v>
      </c>
    </row>
    <row r="192" spans="2:3" x14ac:dyDescent="0.2">
      <c r="B192">
        <v>41756.015468591861</v>
      </c>
      <c r="C192">
        <v>0.57199999999999995</v>
      </c>
    </row>
    <row r="193" spans="2:3" x14ac:dyDescent="0.2">
      <c r="B193">
        <v>41655.891140498752</v>
      </c>
      <c r="C193">
        <v>0.56999999999999995</v>
      </c>
    </row>
    <row r="194" spans="2:3" x14ac:dyDescent="0.2">
      <c r="B194">
        <v>40810.048847561702</v>
      </c>
      <c r="C194">
        <v>0.56799999999999995</v>
      </c>
    </row>
    <row r="195" spans="2:3" x14ac:dyDescent="0.2">
      <c r="B195">
        <v>40119.832943069618</v>
      </c>
      <c r="C195">
        <v>0.56599999999999995</v>
      </c>
    </row>
    <row r="196" spans="2:3" x14ac:dyDescent="0.2">
      <c r="B196">
        <v>37574.983276982362</v>
      </c>
      <c r="C196">
        <v>0.56399999999999995</v>
      </c>
    </row>
    <row r="197" spans="2:3" x14ac:dyDescent="0.2">
      <c r="B197">
        <v>37230.026851498398</v>
      </c>
      <c r="C197">
        <v>0.56200000000000006</v>
      </c>
    </row>
    <row r="198" spans="2:3" x14ac:dyDescent="0.2">
      <c r="B198">
        <v>37118.073300252101</v>
      </c>
      <c r="C198">
        <v>0.56000000000000005</v>
      </c>
    </row>
    <row r="199" spans="2:3" x14ac:dyDescent="0.2">
      <c r="B199">
        <v>36468.208194553001</v>
      </c>
      <c r="C199">
        <v>0.55800000000000005</v>
      </c>
    </row>
    <row r="200" spans="2:3" x14ac:dyDescent="0.2">
      <c r="B200">
        <v>35632.392962980739</v>
      </c>
      <c r="C200">
        <v>0.55600000000000005</v>
      </c>
    </row>
    <row r="201" spans="2:3" x14ac:dyDescent="0.2">
      <c r="B201">
        <v>34525.5118478328</v>
      </c>
      <c r="C201">
        <v>0.55400000000000005</v>
      </c>
    </row>
    <row r="202" spans="2:3" x14ac:dyDescent="0.2">
      <c r="B202">
        <v>33771.593399319303</v>
      </c>
      <c r="C202">
        <v>0.55200000000000005</v>
      </c>
    </row>
    <row r="203" spans="2:3" x14ac:dyDescent="0.2">
      <c r="B203">
        <v>32468.0546930657</v>
      </c>
      <c r="C203">
        <v>0.55000000000000004</v>
      </c>
    </row>
    <row r="204" spans="2:3" x14ac:dyDescent="0.2">
      <c r="B204">
        <v>32067.990121008399</v>
      </c>
      <c r="C204">
        <v>0.54800000000000004</v>
      </c>
    </row>
    <row r="205" spans="2:3" x14ac:dyDescent="0.2">
      <c r="B205">
        <v>31331.4841352064</v>
      </c>
      <c r="C205">
        <v>0.54600000000000004</v>
      </c>
    </row>
    <row r="206" spans="2:3" x14ac:dyDescent="0.2">
      <c r="B206">
        <v>31313.029813824298</v>
      </c>
      <c r="C206">
        <v>0.54400000000000004</v>
      </c>
    </row>
    <row r="207" spans="2:3" x14ac:dyDescent="0.2">
      <c r="B207">
        <v>29814.781620276601</v>
      </c>
      <c r="C207">
        <v>0.54200000000000004</v>
      </c>
    </row>
    <row r="208" spans="2:3" x14ac:dyDescent="0.2">
      <c r="B208">
        <v>29672.702139634199</v>
      </c>
      <c r="C208">
        <v>0.54</v>
      </c>
    </row>
    <row r="209" spans="2:3" x14ac:dyDescent="0.2">
      <c r="B209">
        <v>29025.047505642167</v>
      </c>
      <c r="C209">
        <v>0.53800000000000003</v>
      </c>
    </row>
    <row r="210" spans="2:3" x14ac:dyDescent="0.2">
      <c r="B210">
        <v>28640.858736512699</v>
      </c>
      <c r="C210">
        <v>0.53600000000000003</v>
      </c>
    </row>
    <row r="211" spans="2:3" x14ac:dyDescent="0.2">
      <c r="B211">
        <v>28615.8379449844</v>
      </c>
      <c r="C211">
        <v>0.53400000000000003</v>
      </c>
    </row>
    <row r="212" spans="2:3" x14ac:dyDescent="0.2">
      <c r="B212">
        <v>27350.778101997901</v>
      </c>
      <c r="C212">
        <v>0.53200000000000003</v>
      </c>
    </row>
    <row r="213" spans="2:3" x14ac:dyDescent="0.2">
      <c r="B213">
        <v>27240.537407847278</v>
      </c>
      <c r="C213">
        <v>0.53</v>
      </c>
    </row>
    <row r="214" spans="2:3" x14ac:dyDescent="0.2">
      <c r="B214">
        <v>26146.534790569451</v>
      </c>
      <c r="C214">
        <v>0.52800000000000002</v>
      </c>
    </row>
    <row r="215" spans="2:3" x14ac:dyDescent="0.2">
      <c r="B215">
        <v>25341.549048067802</v>
      </c>
      <c r="C215">
        <v>0.52600000000000002</v>
      </c>
    </row>
    <row r="216" spans="2:3" x14ac:dyDescent="0.2">
      <c r="B216">
        <v>25228.133671284289</v>
      </c>
      <c r="C216">
        <v>0.52400000000000002</v>
      </c>
    </row>
    <row r="217" spans="2:3" x14ac:dyDescent="0.2">
      <c r="B217">
        <v>23796.9590405171</v>
      </c>
      <c r="C217">
        <v>0.52200000000000002</v>
      </c>
    </row>
    <row r="218" spans="2:3" x14ac:dyDescent="0.2">
      <c r="B218">
        <v>23420.151959368799</v>
      </c>
      <c r="C218">
        <v>0.52</v>
      </c>
    </row>
    <row r="219" spans="2:3" x14ac:dyDescent="0.2">
      <c r="B219">
        <v>23336.590695975101</v>
      </c>
      <c r="C219">
        <v>0.51800000000000002</v>
      </c>
    </row>
    <row r="220" spans="2:3" x14ac:dyDescent="0.2">
      <c r="B220">
        <v>22332.057608217699</v>
      </c>
      <c r="C220">
        <v>0.51600000000000001</v>
      </c>
    </row>
    <row r="221" spans="2:3" x14ac:dyDescent="0.2">
      <c r="B221">
        <v>22205.0492055387</v>
      </c>
      <c r="C221">
        <v>0.51400000000000001</v>
      </c>
    </row>
    <row r="222" spans="2:3" x14ac:dyDescent="0.2">
      <c r="B222">
        <v>21878.7119352064</v>
      </c>
      <c r="C222">
        <v>0.51200000000000001</v>
      </c>
    </row>
    <row r="223" spans="2:3" x14ac:dyDescent="0.2">
      <c r="B223">
        <v>21756.324588445401</v>
      </c>
      <c r="C223">
        <v>0.51</v>
      </c>
    </row>
    <row r="224" spans="2:3" x14ac:dyDescent="0.2">
      <c r="B224">
        <v>21410.640803837858</v>
      </c>
      <c r="C224">
        <v>0.50800000000000001</v>
      </c>
    </row>
    <row r="225" spans="2:3" x14ac:dyDescent="0.2">
      <c r="B225">
        <v>21369.222911803899</v>
      </c>
      <c r="C225">
        <v>0.50600000000000001</v>
      </c>
    </row>
    <row r="226" spans="2:3" x14ac:dyDescent="0.2">
      <c r="B226">
        <v>21308.763445062508</v>
      </c>
      <c r="C226">
        <v>0.504</v>
      </c>
    </row>
    <row r="227" spans="2:3" x14ac:dyDescent="0.2">
      <c r="B227">
        <v>21203.470839892478</v>
      </c>
      <c r="C227">
        <v>0.502</v>
      </c>
    </row>
    <row r="228" spans="2:3" x14ac:dyDescent="0.2">
      <c r="B228">
        <v>20500.638225916202</v>
      </c>
      <c r="C228">
        <v>0.5</v>
      </c>
    </row>
    <row r="229" spans="2:3" x14ac:dyDescent="0.2">
      <c r="B229">
        <v>20342.935729940698</v>
      </c>
      <c r="C229">
        <v>0.498</v>
      </c>
    </row>
    <row r="230" spans="2:3" x14ac:dyDescent="0.2">
      <c r="B230">
        <v>20291.5353605686</v>
      </c>
      <c r="C230">
        <v>0.496</v>
      </c>
    </row>
    <row r="231" spans="2:3" x14ac:dyDescent="0.2">
      <c r="B231">
        <v>20227.8335961132</v>
      </c>
      <c r="C231">
        <v>0.49399999999999999</v>
      </c>
    </row>
    <row r="232" spans="2:3" x14ac:dyDescent="0.2">
      <c r="B232">
        <v>19739.724044591399</v>
      </c>
      <c r="C232">
        <v>0.49199999999999999</v>
      </c>
    </row>
    <row r="233" spans="2:3" x14ac:dyDescent="0.2">
      <c r="B233">
        <v>19602.247373345112</v>
      </c>
      <c r="C233">
        <v>0.49</v>
      </c>
    </row>
    <row r="234" spans="2:3" x14ac:dyDescent="0.2">
      <c r="B234">
        <v>19524.28409353067</v>
      </c>
      <c r="C234">
        <v>0.48799999999999999</v>
      </c>
    </row>
    <row r="235" spans="2:3" x14ac:dyDescent="0.2">
      <c r="B235">
        <v>19274.486334868001</v>
      </c>
      <c r="C235">
        <v>0.48599999999999999</v>
      </c>
    </row>
    <row r="236" spans="2:3" x14ac:dyDescent="0.2">
      <c r="B236">
        <v>18967.670304977</v>
      </c>
      <c r="C236">
        <v>0.48399999999999999</v>
      </c>
    </row>
    <row r="237" spans="2:3" x14ac:dyDescent="0.2">
      <c r="B237">
        <v>18718.3757241561</v>
      </c>
      <c r="C237">
        <v>0.48199999999999998</v>
      </c>
    </row>
    <row r="238" spans="2:3" x14ac:dyDescent="0.2">
      <c r="B238">
        <v>18617.0324060686</v>
      </c>
      <c r="C238">
        <v>0.48</v>
      </c>
    </row>
    <row r="239" spans="2:3" x14ac:dyDescent="0.2">
      <c r="B239">
        <v>18246.504722869329</v>
      </c>
      <c r="C239">
        <v>0.47799999999999998</v>
      </c>
    </row>
    <row r="240" spans="2:3" x14ac:dyDescent="0.2">
      <c r="B240">
        <v>16540.004301845202</v>
      </c>
      <c r="C240">
        <v>0.47599999999999998</v>
      </c>
    </row>
    <row r="241" spans="2:3" x14ac:dyDescent="0.2">
      <c r="B241">
        <v>16451.609678267341</v>
      </c>
      <c r="C241">
        <v>0.47399999999999998</v>
      </c>
    </row>
    <row r="242" spans="2:3" x14ac:dyDescent="0.2">
      <c r="B242">
        <v>16442.8539205259</v>
      </c>
      <c r="C242">
        <v>0.47199999999999998</v>
      </c>
    </row>
    <row r="243" spans="2:3" x14ac:dyDescent="0.2">
      <c r="B243">
        <v>16305.323324807581</v>
      </c>
      <c r="C243">
        <v>0.47</v>
      </c>
    </row>
    <row r="244" spans="2:3" x14ac:dyDescent="0.2">
      <c r="B244">
        <v>16036.898414617801</v>
      </c>
      <c r="C244">
        <v>0.46800000000000003</v>
      </c>
    </row>
    <row r="245" spans="2:3" x14ac:dyDescent="0.2">
      <c r="B245">
        <v>15712.146673878091</v>
      </c>
      <c r="C245">
        <v>0.46600000000000003</v>
      </c>
    </row>
    <row r="246" spans="2:3" x14ac:dyDescent="0.2">
      <c r="B246">
        <v>15589.219111505199</v>
      </c>
      <c r="C246">
        <v>0.46400000000000002</v>
      </c>
    </row>
    <row r="247" spans="2:3" x14ac:dyDescent="0.2">
      <c r="B247">
        <v>15491.020005598901</v>
      </c>
      <c r="C247">
        <v>0.46200000000000002</v>
      </c>
    </row>
    <row r="248" spans="2:3" x14ac:dyDescent="0.2">
      <c r="B248">
        <v>15349.198338283</v>
      </c>
      <c r="C248">
        <v>0.46</v>
      </c>
    </row>
    <row r="249" spans="2:3" x14ac:dyDescent="0.2">
      <c r="B249">
        <v>15242.9749528147</v>
      </c>
      <c r="C249">
        <v>0.45800000000000002</v>
      </c>
    </row>
    <row r="250" spans="2:3" x14ac:dyDescent="0.2">
      <c r="B250">
        <v>14829.522917616399</v>
      </c>
      <c r="C250">
        <v>0.45600000000000002</v>
      </c>
    </row>
    <row r="251" spans="2:3" x14ac:dyDescent="0.2">
      <c r="B251">
        <v>13588.8843274549</v>
      </c>
      <c r="C251">
        <v>0.45400000000000001</v>
      </c>
    </row>
    <row r="252" spans="2:3" x14ac:dyDescent="0.2">
      <c r="B252">
        <v>13483.316688856128</v>
      </c>
      <c r="C252">
        <v>0.45200000000000001</v>
      </c>
    </row>
    <row r="253" spans="2:3" x14ac:dyDescent="0.2">
      <c r="B253">
        <v>13463.397522704699</v>
      </c>
      <c r="C253">
        <v>0.45</v>
      </c>
    </row>
    <row r="254" spans="2:3" x14ac:dyDescent="0.2">
      <c r="B254">
        <v>12637.1161855966</v>
      </c>
      <c r="C254">
        <v>0.44800000000000001</v>
      </c>
    </row>
    <row r="255" spans="2:3" x14ac:dyDescent="0.2">
      <c r="B255">
        <v>12343.424183848099</v>
      </c>
      <c r="C255">
        <v>0.44600000000000001</v>
      </c>
    </row>
    <row r="256" spans="2:3" x14ac:dyDescent="0.2">
      <c r="B256">
        <v>11220.14145499643</v>
      </c>
      <c r="C256">
        <v>0.44400000000000001</v>
      </c>
    </row>
    <row r="257" spans="2:3" x14ac:dyDescent="0.2">
      <c r="B257">
        <v>10829.581776745101</v>
      </c>
      <c r="C257">
        <v>0.442</v>
      </c>
    </row>
    <row r="258" spans="2:3" x14ac:dyDescent="0.2">
      <c r="B258">
        <v>10565.4937422194</v>
      </c>
      <c r="C258">
        <v>0.44</v>
      </c>
    </row>
    <row r="259" spans="2:3" x14ac:dyDescent="0.2">
      <c r="B259">
        <v>10447.258010553071</v>
      </c>
      <c r="C259">
        <v>0.438</v>
      </c>
    </row>
    <row r="260" spans="2:3" x14ac:dyDescent="0.2">
      <c r="B260">
        <v>10446.634931020501</v>
      </c>
      <c r="C260">
        <v>0.436</v>
      </c>
    </row>
    <row r="261" spans="2:3" x14ac:dyDescent="0.2">
      <c r="B261">
        <v>10314.152789997701</v>
      </c>
      <c r="C261">
        <v>0.434</v>
      </c>
    </row>
    <row r="262" spans="2:3" x14ac:dyDescent="0.2">
      <c r="B262">
        <v>10217.615438447505</v>
      </c>
      <c r="C262">
        <v>0.432</v>
      </c>
    </row>
    <row r="263" spans="2:3" x14ac:dyDescent="0.2">
      <c r="B263">
        <v>9927.3129791768097</v>
      </c>
      <c r="C263">
        <v>0.43</v>
      </c>
    </row>
    <row r="264" spans="2:3" x14ac:dyDescent="0.2">
      <c r="B264">
        <v>9682.8627547399192</v>
      </c>
      <c r="C264">
        <v>0.42799999999999999</v>
      </c>
    </row>
    <row r="265" spans="2:3" x14ac:dyDescent="0.2">
      <c r="B265">
        <v>9437.3863952068896</v>
      </c>
      <c r="C265">
        <v>0.42599999999999999</v>
      </c>
    </row>
    <row r="266" spans="2:3" x14ac:dyDescent="0.2">
      <c r="B266">
        <v>9343.7572848832406</v>
      </c>
      <c r="C266">
        <v>0.42399999999999999</v>
      </c>
    </row>
    <row r="267" spans="2:3" x14ac:dyDescent="0.2">
      <c r="B267">
        <v>9123.5090437650797</v>
      </c>
      <c r="C267">
        <v>0.42199999999999999</v>
      </c>
    </row>
    <row r="268" spans="2:3" x14ac:dyDescent="0.2">
      <c r="B268">
        <v>9086.3321087272707</v>
      </c>
      <c r="C268">
        <v>0.42</v>
      </c>
    </row>
    <row r="269" spans="2:3" x14ac:dyDescent="0.2">
      <c r="B269">
        <v>8412.7884125947603</v>
      </c>
      <c r="C269">
        <v>0.41799999999999998</v>
      </c>
    </row>
    <row r="270" spans="2:3" x14ac:dyDescent="0.2">
      <c r="B270">
        <v>8256.2690044424198</v>
      </c>
      <c r="C270">
        <v>0.41599999999999998</v>
      </c>
    </row>
    <row r="271" spans="2:3" x14ac:dyDescent="0.2">
      <c r="B271">
        <v>8212.7937810629592</v>
      </c>
      <c r="C271">
        <v>0.41399999999999998</v>
      </c>
    </row>
    <row r="272" spans="2:3" x14ac:dyDescent="0.2">
      <c r="B272">
        <v>8027.9611689782896</v>
      </c>
      <c r="C272">
        <v>0.41199999999999998</v>
      </c>
    </row>
    <row r="273" spans="2:3" x14ac:dyDescent="0.2">
      <c r="B273">
        <v>7963.5408470751354</v>
      </c>
      <c r="C273">
        <v>0.41</v>
      </c>
    </row>
    <row r="274" spans="2:3" x14ac:dyDescent="0.2">
      <c r="B274">
        <v>7882.8337197694</v>
      </c>
      <c r="C274">
        <v>0.40799999999999997</v>
      </c>
    </row>
    <row r="275" spans="2:3" x14ac:dyDescent="0.2">
      <c r="B275">
        <v>7503.3342387126741</v>
      </c>
      <c r="C275">
        <v>0.40600000000000003</v>
      </c>
    </row>
    <row r="276" spans="2:3" x14ac:dyDescent="0.2">
      <c r="B276">
        <v>7342.1571404338601</v>
      </c>
      <c r="C276">
        <v>0.40400000000000003</v>
      </c>
    </row>
    <row r="277" spans="2:3" x14ac:dyDescent="0.2">
      <c r="B277">
        <v>7294.9840506933597</v>
      </c>
      <c r="C277">
        <v>0.40200000000000002</v>
      </c>
    </row>
    <row r="278" spans="2:3" x14ac:dyDescent="0.2">
      <c r="B278">
        <v>7152.6958127417893</v>
      </c>
      <c r="C278">
        <v>0.4</v>
      </c>
    </row>
    <row r="279" spans="2:3" x14ac:dyDescent="0.2">
      <c r="B279">
        <v>6260.8527275712104</v>
      </c>
      <c r="C279">
        <v>0.39800000000000002</v>
      </c>
    </row>
    <row r="280" spans="2:3" x14ac:dyDescent="0.2">
      <c r="B280">
        <v>5895.6705595083004</v>
      </c>
      <c r="C280">
        <v>0.39600000000000002</v>
      </c>
    </row>
    <row r="281" spans="2:3" x14ac:dyDescent="0.2">
      <c r="B281">
        <v>5832.9566320682698</v>
      </c>
      <c r="C281">
        <v>0.39400000000000002</v>
      </c>
    </row>
    <row r="282" spans="2:3" x14ac:dyDescent="0.2">
      <c r="B282">
        <v>5524.1517398333299</v>
      </c>
      <c r="C282">
        <v>0.39200000000000002</v>
      </c>
    </row>
    <row r="283" spans="2:3" x14ac:dyDescent="0.2">
      <c r="B283">
        <v>5489.6785906154</v>
      </c>
      <c r="C283">
        <v>0.39</v>
      </c>
    </row>
    <row r="284" spans="2:3" x14ac:dyDescent="0.2">
      <c r="B284">
        <v>5137.0628739359699</v>
      </c>
      <c r="C284">
        <v>0.38800000000000001</v>
      </c>
    </row>
    <row r="285" spans="2:3" x14ac:dyDescent="0.2">
      <c r="B285">
        <v>5082.31073961928</v>
      </c>
      <c r="C285">
        <v>0.38600000000000001</v>
      </c>
    </row>
    <row r="286" spans="2:3" x14ac:dyDescent="0.2">
      <c r="B286">
        <v>4879.6421323860795</v>
      </c>
      <c r="C286">
        <v>0.38400000000000001</v>
      </c>
    </row>
    <row r="287" spans="2:3" x14ac:dyDescent="0.2">
      <c r="B287">
        <v>4700.4702286050697</v>
      </c>
      <c r="C287">
        <v>0.38200000000000001</v>
      </c>
    </row>
    <row r="288" spans="2:3" x14ac:dyDescent="0.2">
      <c r="B288">
        <v>4617.4073198792403</v>
      </c>
      <c r="C288">
        <v>0.38</v>
      </c>
    </row>
    <row r="289" spans="2:3" x14ac:dyDescent="0.2">
      <c r="B289">
        <v>4613.0662606143196</v>
      </c>
      <c r="C289">
        <v>0.378</v>
      </c>
    </row>
    <row r="290" spans="2:3" x14ac:dyDescent="0.2">
      <c r="B290">
        <v>4581.8291168594697</v>
      </c>
      <c r="C290">
        <v>0.376</v>
      </c>
    </row>
    <row r="291" spans="2:3" x14ac:dyDescent="0.2">
      <c r="B291">
        <v>4533.3863218141896</v>
      </c>
      <c r="C291">
        <v>0.374</v>
      </c>
    </row>
    <row r="292" spans="2:3" x14ac:dyDescent="0.2">
      <c r="B292">
        <v>4354.8414829378744</v>
      </c>
      <c r="C292">
        <v>0.372</v>
      </c>
    </row>
    <row r="293" spans="2:3" x14ac:dyDescent="0.2">
      <c r="B293">
        <v>4124.2079283261301</v>
      </c>
      <c r="C293">
        <v>0.37</v>
      </c>
    </row>
    <row r="294" spans="2:3" x14ac:dyDescent="0.2">
      <c r="B294">
        <v>3931.6573890183499</v>
      </c>
      <c r="C294">
        <v>0.36799999999999999</v>
      </c>
    </row>
    <row r="295" spans="2:3" x14ac:dyDescent="0.2">
      <c r="B295">
        <v>3838.3389088910499</v>
      </c>
      <c r="C295">
        <v>0.36599999999999999</v>
      </c>
    </row>
    <row r="296" spans="2:3" x14ac:dyDescent="0.2">
      <c r="B296">
        <v>3757.6794731117602</v>
      </c>
      <c r="C296">
        <v>0.36399999999999999</v>
      </c>
    </row>
    <row r="297" spans="2:3" x14ac:dyDescent="0.2">
      <c r="B297">
        <v>3750.6504849406501</v>
      </c>
      <c r="C297">
        <v>0.36199999999999999</v>
      </c>
    </row>
    <row r="298" spans="2:3" x14ac:dyDescent="0.2">
      <c r="B298">
        <v>3713.1982054350801</v>
      </c>
      <c r="C298">
        <v>0.36</v>
      </c>
    </row>
    <row r="299" spans="2:3" x14ac:dyDescent="0.2">
      <c r="B299">
        <v>3564.1513417718702</v>
      </c>
      <c r="C299">
        <v>0.35799999999999998</v>
      </c>
    </row>
    <row r="300" spans="2:3" x14ac:dyDescent="0.2">
      <c r="B300">
        <v>3529.6500403867699</v>
      </c>
      <c r="C300">
        <v>0.35599999999999998</v>
      </c>
    </row>
    <row r="301" spans="2:3" x14ac:dyDescent="0.2">
      <c r="B301">
        <v>3511.3863014465201</v>
      </c>
      <c r="C301">
        <v>0.35399999999999998</v>
      </c>
    </row>
    <row r="302" spans="2:3" x14ac:dyDescent="0.2">
      <c r="B302">
        <v>3493.5773045535102</v>
      </c>
      <c r="C302">
        <v>0.35199999999999998</v>
      </c>
    </row>
    <row r="303" spans="2:3" x14ac:dyDescent="0.2">
      <c r="B303">
        <v>3279.3058050387599</v>
      </c>
      <c r="C303">
        <v>0.35</v>
      </c>
    </row>
    <row r="304" spans="2:3" x14ac:dyDescent="0.2">
      <c r="B304">
        <v>3186.53439898241</v>
      </c>
      <c r="C304">
        <v>0.34799999999999998</v>
      </c>
    </row>
    <row r="305" spans="2:3" x14ac:dyDescent="0.2">
      <c r="B305">
        <v>3174.7183407310299</v>
      </c>
      <c r="C305">
        <v>0.34599999999999997</v>
      </c>
    </row>
    <row r="306" spans="2:3" x14ac:dyDescent="0.2">
      <c r="B306">
        <v>2933.2741454165398</v>
      </c>
      <c r="C306">
        <v>0.34399999999999997</v>
      </c>
    </row>
    <row r="307" spans="2:3" x14ac:dyDescent="0.2">
      <c r="B307">
        <v>2903.1543310633301</v>
      </c>
      <c r="C307">
        <v>0.34200000000000003</v>
      </c>
    </row>
    <row r="308" spans="2:3" x14ac:dyDescent="0.2">
      <c r="B308">
        <v>2790.2618532080701</v>
      </c>
      <c r="C308">
        <v>0.34</v>
      </c>
    </row>
    <row r="309" spans="2:3" x14ac:dyDescent="0.2">
      <c r="B309">
        <v>2715.0968350824919</v>
      </c>
      <c r="C309">
        <v>0.33800000000000002</v>
      </c>
    </row>
    <row r="310" spans="2:3" x14ac:dyDescent="0.2">
      <c r="B310">
        <v>2702.8998128825119</v>
      </c>
      <c r="C310">
        <v>0.33600000000000002</v>
      </c>
    </row>
    <row r="311" spans="2:3" x14ac:dyDescent="0.2">
      <c r="B311">
        <v>2534.3161201473499</v>
      </c>
      <c r="C311">
        <v>0.33400000000000002</v>
      </c>
    </row>
    <row r="312" spans="2:3" x14ac:dyDescent="0.2">
      <c r="B312">
        <v>2517.2008957379198</v>
      </c>
      <c r="C312">
        <v>0.33200000000000002</v>
      </c>
    </row>
    <row r="313" spans="2:3" x14ac:dyDescent="0.2">
      <c r="B313">
        <v>2308.5637730650601</v>
      </c>
      <c r="C313">
        <v>0.33</v>
      </c>
    </row>
    <row r="314" spans="2:3" x14ac:dyDescent="0.2">
      <c r="B314">
        <v>2244.5810660719699</v>
      </c>
      <c r="C314">
        <v>0.32800000000000001</v>
      </c>
    </row>
    <row r="315" spans="2:3" x14ac:dyDescent="0.2">
      <c r="B315">
        <v>2236.1366618019301</v>
      </c>
      <c r="C315">
        <v>0.32600000000000001</v>
      </c>
    </row>
    <row r="316" spans="2:3" x14ac:dyDescent="0.2">
      <c r="B316">
        <v>2233.60298054334</v>
      </c>
      <c r="C316">
        <v>0.32400000000000001</v>
      </c>
    </row>
    <row r="317" spans="2:3" x14ac:dyDescent="0.2">
      <c r="B317">
        <v>2222.0421929358399</v>
      </c>
      <c r="C317">
        <v>0.32200000000000001</v>
      </c>
    </row>
    <row r="318" spans="2:3" x14ac:dyDescent="0.2">
      <c r="B318">
        <v>2193.6346841183909</v>
      </c>
      <c r="C318">
        <v>0.32</v>
      </c>
    </row>
    <row r="319" spans="2:3" x14ac:dyDescent="0.2">
      <c r="B319">
        <v>2099.4960798941202</v>
      </c>
      <c r="C319">
        <v>0.318</v>
      </c>
    </row>
    <row r="320" spans="2:3" x14ac:dyDescent="0.2">
      <c r="B320">
        <v>2083.2999475365577</v>
      </c>
      <c r="C320">
        <v>0.316</v>
      </c>
    </row>
    <row r="321" spans="2:3" x14ac:dyDescent="0.2">
      <c r="B321">
        <v>2050.9499674276099</v>
      </c>
      <c r="C321">
        <v>0.314</v>
      </c>
    </row>
    <row r="322" spans="2:3" x14ac:dyDescent="0.2">
      <c r="B322">
        <v>1906.8553802752899</v>
      </c>
      <c r="C322">
        <v>0.312</v>
      </c>
    </row>
    <row r="323" spans="2:3" x14ac:dyDescent="0.2">
      <c r="B323">
        <v>1821.7728839486199</v>
      </c>
      <c r="C323">
        <v>0.31</v>
      </c>
    </row>
    <row r="324" spans="2:3" x14ac:dyDescent="0.2">
      <c r="B324">
        <v>1784.1496272916199</v>
      </c>
      <c r="C324">
        <v>0.308</v>
      </c>
    </row>
    <row r="325" spans="2:3" x14ac:dyDescent="0.2">
      <c r="B325">
        <v>1758.97741738164</v>
      </c>
      <c r="C325">
        <v>0.30599999999999999</v>
      </c>
    </row>
    <row r="326" spans="2:3" x14ac:dyDescent="0.2">
      <c r="B326">
        <v>1748.03873292192</v>
      </c>
      <c r="C326">
        <v>0.30399999999999999</v>
      </c>
    </row>
    <row r="327" spans="2:3" x14ac:dyDescent="0.2">
      <c r="B327">
        <v>1724.7141316504001</v>
      </c>
      <c r="C327">
        <v>0.30199999999999999</v>
      </c>
    </row>
    <row r="328" spans="2:3" x14ac:dyDescent="0.2">
      <c r="B328">
        <v>1710.3379652493099</v>
      </c>
      <c r="C328">
        <v>0.3</v>
      </c>
    </row>
    <row r="329" spans="2:3" x14ac:dyDescent="0.2">
      <c r="B329">
        <v>1702.41711677432</v>
      </c>
      <c r="C329">
        <v>0.29799999999999999</v>
      </c>
    </row>
    <row r="330" spans="2:3" x14ac:dyDescent="0.2">
      <c r="B330">
        <v>1674.0695959948</v>
      </c>
      <c r="C330">
        <v>0.29599999999999999</v>
      </c>
    </row>
    <row r="331" spans="2:3" x14ac:dyDescent="0.2">
      <c r="B331">
        <v>1656.0118884229189</v>
      </c>
      <c r="C331">
        <v>0.29399999999999998</v>
      </c>
    </row>
    <row r="332" spans="2:3" x14ac:dyDescent="0.2">
      <c r="B332">
        <v>1287.4033789651401</v>
      </c>
      <c r="C332">
        <v>0.29199999999999998</v>
      </c>
    </row>
    <row r="333" spans="2:3" x14ac:dyDescent="0.2">
      <c r="B333">
        <v>1263.7964931439101</v>
      </c>
      <c r="C333">
        <v>0.28999999999999998</v>
      </c>
    </row>
    <row r="334" spans="2:3" x14ac:dyDescent="0.2">
      <c r="B334">
        <v>1254.8422431839999</v>
      </c>
      <c r="C334">
        <v>0.28799999999999998</v>
      </c>
    </row>
    <row r="335" spans="2:3" x14ac:dyDescent="0.2">
      <c r="B335">
        <v>1248.7797688355631</v>
      </c>
      <c r="C335">
        <v>0.28599999999999998</v>
      </c>
    </row>
    <row r="336" spans="2:3" x14ac:dyDescent="0.2">
      <c r="B336">
        <v>1192.49913152672</v>
      </c>
      <c r="C336">
        <v>0.28399999999999997</v>
      </c>
    </row>
    <row r="337" spans="2:3" x14ac:dyDescent="0.2">
      <c r="B337">
        <v>1178.76189080277</v>
      </c>
      <c r="C337">
        <v>0.28199999999999997</v>
      </c>
    </row>
    <row r="338" spans="2:3" x14ac:dyDescent="0.2">
      <c r="B338">
        <v>1153.16017223626</v>
      </c>
      <c r="C338">
        <v>0.28000000000000003</v>
      </c>
    </row>
    <row r="339" spans="2:3" x14ac:dyDescent="0.2">
      <c r="B339">
        <v>1054.4477753433998</v>
      </c>
      <c r="C339">
        <v>0.27800000000000002</v>
      </c>
    </row>
    <row r="340" spans="2:3" x14ac:dyDescent="0.2">
      <c r="B340">
        <v>1024.8287554102601</v>
      </c>
      <c r="C340">
        <v>0.27600000000000002</v>
      </c>
    </row>
    <row r="341" spans="2:3" x14ac:dyDescent="0.2">
      <c r="B341">
        <v>979.56515668742702</v>
      </c>
      <c r="C341">
        <v>0.27400000000000002</v>
      </c>
    </row>
    <row r="342" spans="2:3" x14ac:dyDescent="0.2">
      <c r="B342">
        <v>967.75612362615402</v>
      </c>
      <c r="C342">
        <v>0.27200000000000002</v>
      </c>
    </row>
    <row r="343" spans="2:3" x14ac:dyDescent="0.2">
      <c r="B343">
        <v>936.79095964284602</v>
      </c>
      <c r="C343">
        <v>0.27</v>
      </c>
    </row>
    <row r="344" spans="2:3" x14ac:dyDescent="0.2">
      <c r="B344">
        <v>832.51267890122199</v>
      </c>
      <c r="C344">
        <v>0.26800000000000002</v>
      </c>
    </row>
    <row r="345" spans="2:3" x14ac:dyDescent="0.2">
      <c r="B345">
        <v>814.63783937873097</v>
      </c>
      <c r="C345">
        <v>0.26600000000000001</v>
      </c>
    </row>
    <row r="346" spans="2:3" x14ac:dyDescent="0.2">
      <c r="B346">
        <v>727.28663072414599</v>
      </c>
      <c r="C346">
        <v>0.26400000000000001</v>
      </c>
    </row>
    <row r="347" spans="2:3" x14ac:dyDescent="0.2">
      <c r="B347">
        <v>637.50487719315595</v>
      </c>
      <c r="C347">
        <v>0.26200000000000001</v>
      </c>
    </row>
    <row r="348" spans="2:3" x14ac:dyDescent="0.2">
      <c r="B348">
        <v>604.33756410874798</v>
      </c>
      <c r="C348">
        <v>0.26</v>
      </c>
    </row>
    <row r="349" spans="2:3" x14ac:dyDescent="0.2">
      <c r="B349">
        <v>551.72043924170202</v>
      </c>
      <c r="C349">
        <v>0.25800000000000001</v>
      </c>
    </row>
    <row r="350" spans="2:3" x14ac:dyDescent="0.2">
      <c r="B350">
        <v>501.67443003285399</v>
      </c>
      <c r="C350">
        <v>0.25600000000000001</v>
      </c>
    </row>
    <row r="351" spans="2:3" x14ac:dyDescent="0.2">
      <c r="B351">
        <v>468.80972002023799</v>
      </c>
      <c r="C351">
        <v>0.254</v>
      </c>
    </row>
    <row r="352" spans="2:3" x14ac:dyDescent="0.2">
      <c r="B352">
        <v>392.788234900715</v>
      </c>
      <c r="C352">
        <v>0.252</v>
      </c>
    </row>
    <row r="353" spans="2:3" x14ac:dyDescent="0.2">
      <c r="B353">
        <v>382.48859770090701</v>
      </c>
      <c r="C353">
        <v>0.25</v>
      </c>
    </row>
    <row r="354" spans="2:3" x14ac:dyDescent="0.2">
      <c r="B354">
        <v>374.564052066518</v>
      </c>
      <c r="C354">
        <v>0.248</v>
      </c>
    </row>
    <row r="355" spans="2:3" x14ac:dyDescent="0.2">
      <c r="B355">
        <v>342.15509677356499</v>
      </c>
      <c r="C355">
        <v>0.246</v>
      </c>
    </row>
    <row r="356" spans="2:3" x14ac:dyDescent="0.2">
      <c r="B356">
        <v>294.264806772425</v>
      </c>
      <c r="C356">
        <v>0.24399999999999999</v>
      </c>
    </row>
    <row r="357" spans="2:3" x14ac:dyDescent="0.2">
      <c r="B357">
        <v>272.79657232145502</v>
      </c>
      <c r="C357">
        <v>0.24199999999999999</v>
      </c>
    </row>
    <row r="358" spans="2:3" x14ac:dyDescent="0.2">
      <c r="B358">
        <v>271.61093237814799</v>
      </c>
      <c r="C358">
        <v>0.24</v>
      </c>
    </row>
    <row r="359" spans="2:3" x14ac:dyDescent="0.2">
      <c r="B359">
        <v>224.09462741298299</v>
      </c>
      <c r="C359">
        <v>0.23799999999999999</v>
      </c>
    </row>
    <row r="360" spans="2:3" x14ac:dyDescent="0.2">
      <c r="B360">
        <v>216.73443107490201</v>
      </c>
      <c r="C360">
        <v>0.23599999999999999</v>
      </c>
    </row>
    <row r="361" spans="2:3" x14ac:dyDescent="0.2">
      <c r="B361">
        <v>212.01782876567799</v>
      </c>
      <c r="C361">
        <v>0.23400000000000001</v>
      </c>
    </row>
    <row r="362" spans="2:3" x14ac:dyDescent="0.2">
      <c r="B362">
        <v>197.43973882539001</v>
      </c>
      <c r="C362">
        <v>0.23200000000000001</v>
      </c>
    </row>
    <row r="363" spans="2:3" x14ac:dyDescent="0.2">
      <c r="B363">
        <v>185.597871480051</v>
      </c>
      <c r="C363">
        <v>0.23</v>
      </c>
    </row>
    <row r="364" spans="2:3" x14ac:dyDescent="0.2">
      <c r="B364">
        <v>173.79590137704099</v>
      </c>
      <c r="C364">
        <v>0.22800000000000001</v>
      </c>
    </row>
    <row r="365" spans="2:3" x14ac:dyDescent="0.2">
      <c r="B365">
        <v>160.20076003075201</v>
      </c>
      <c r="C365">
        <v>0.22600000000000001</v>
      </c>
    </row>
    <row r="366" spans="2:3" x14ac:dyDescent="0.2">
      <c r="B366">
        <v>158.44899391067901</v>
      </c>
      <c r="C366">
        <v>0.224</v>
      </c>
    </row>
    <row r="367" spans="2:3" x14ac:dyDescent="0.2">
      <c r="B367">
        <v>158.00225444967299</v>
      </c>
      <c r="C367">
        <v>0.222</v>
      </c>
    </row>
    <row r="368" spans="2:3" x14ac:dyDescent="0.2">
      <c r="B368">
        <v>155.766854939832</v>
      </c>
      <c r="C368">
        <v>0.22</v>
      </c>
    </row>
    <row r="369" spans="2:3" x14ac:dyDescent="0.2">
      <c r="B369">
        <v>153.80547170121201</v>
      </c>
      <c r="C369">
        <v>0.218</v>
      </c>
    </row>
    <row r="370" spans="2:3" x14ac:dyDescent="0.2">
      <c r="B370">
        <v>148.05364987654499</v>
      </c>
      <c r="C370">
        <v>0.216</v>
      </c>
    </row>
    <row r="371" spans="2:3" x14ac:dyDescent="0.2">
      <c r="B371">
        <v>124.988872555594</v>
      </c>
      <c r="C371">
        <v>0.214</v>
      </c>
    </row>
    <row r="372" spans="2:3" x14ac:dyDescent="0.2">
      <c r="B372">
        <v>123.16205735894</v>
      </c>
      <c r="C372">
        <v>0.21199999999999999</v>
      </c>
    </row>
    <row r="373" spans="2:3" x14ac:dyDescent="0.2">
      <c r="B373">
        <v>113.342908634775</v>
      </c>
      <c r="C373">
        <v>0.21</v>
      </c>
    </row>
    <row r="374" spans="2:3" x14ac:dyDescent="0.2">
      <c r="B374">
        <v>104.24631348180399</v>
      </c>
      <c r="C374">
        <v>0.20799999999999999</v>
      </c>
    </row>
    <row r="375" spans="2:3" x14ac:dyDescent="0.2">
      <c r="B375">
        <v>84.207588193105195</v>
      </c>
      <c r="C375">
        <v>0.20599999999999999</v>
      </c>
    </row>
    <row r="376" spans="2:3" x14ac:dyDescent="0.2">
      <c r="B376">
        <v>83.039573003370606</v>
      </c>
      <c r="C376">
        <v>0.20399999999999999</v>
      </c>
    </row>
    <row r="377" spans="2:3" x14ac:dyDescent="0.2">
      <c r="B377">
        <v>41.2739042863872</v>
      </c>
      <c r="C377">
        <v>0.20200000000000001</v>
      </c>
    </row>
    <row r="378" spans="2:3" x14ac:dyDescent="0.2">
      <c r="B378">
        <v>13.8456557766029</v>
      </c>
      <c r="C378">
        <v>0.2</v>
      </c>
    </row>
    <row r="379" spans="2:3" x14ac:dyDescent="0.2">
      <c r="B379">
        <v>11.8965280067601</v>
      </c>
      <c r="C379">
        <v>0.19800000000000001</v>
      </c>
    </row>
    <row r="380" spans="2:3" x14ac:dyDescent="0.2">
      <c r="B380">
        <v>0</v>
      </c>
      <c r="C380">
        <v>0.19600000000000001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139767-5219-0B4A-B3B7-68E81FF3B9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Dashboard</vt:lpstr>
      <vt:lpstr>Settings</vt:lpstr>
      <vt:lpstr>PolicyLosses</vt:lpstr>
      <vt:lpstr>claimSimResults</vt:lpstr>
      <vt:lpstr>SeverityCDF</vt:lpstr>
      <vt:lpstr>PolicyLossCDF</vt:lpstr>
      <vt:lpstr>ClaimsByPolicy</vt:lpstr>
      <vt:lpstr>frequency_distribution</vt:lpstr>
      <vt:lpstr>frequency_lambda</vt:lpstr>
      <vt:lpstr>frequency_prob</vt:lpstr>
      <vt:lpstr>frequency_trials</vt:lpstr>
      <vt:lpstr>max_claim_amount</vt:lpstr>
      <vt:lpstr>num_policies</vt:lpstr>
      <vt:lpstr>Rscript_path</vt:lpstr>
      <vt:lpstr>severity_alpha</vt:lpstr>
      <vt:lpstr>severity_distribution</vt:lpstr>
      <vt:lpstr>severity_mu</vt:lpstr>
      <vt:lpstr>severity_sigma</vt:lpstr>
      <vt:lpstr>severity_theta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Tom Berg</cp:lastModifiedBy>
  <dcterms:created xsi:type="dcterms:W3CDTF">2025-02-08T20:16:04Z</dcterms:created>
  <dcterms:modified xsi:type="dcterms:W3CDTF">2025-02-16T04:18:04Z</dcterms:modified>
</cp:coreProperties>
</file>