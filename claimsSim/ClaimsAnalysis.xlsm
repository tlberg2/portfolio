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2001_{C5781790-3F5F-444C-A241-A68E6A074F6A}" xr6:coauthVersionLast="47" xr6:coauthVersionMax="47" xr10:uidLastSave="{00000000-0000-0000-0000-000000000000}"/>
  <bookViews>
    <workbookView xWindow="29000" yWindow="500" windowWidth="35000" windowHeight="35500" xr2:uid="{4BF5421F-6D43-8944-9C24-E443344B4663}"/>
  </bookViews>
  <sheets>
    <sheet name="Dashboard" sheetId="1" r:id="rId1"/>
    <sheet name="Settings" sheetId="7" r:id="rId2"/>
    <sheet name="PolicyLosses" sheetId="13" state="hidden" r:id="rId3"/>
    <sheet name="claimSimResults" sheetId="6" state="hidden" r:id="rId4"/>
    <sheet name="SeverityCDF" sheetId="15" state="hidden" r:id="rId5"/>
    <sheet name="PolicyLossCDF" sheetId="16" state="hidden" r:id="rId6"/>
  </sheets>
  <functionGroups builtInGroupCount="19"/>
  <definedNames>
    <definedName name="_xlchart.v1.0" hidden="1">'claimSimResults'!$F$1</definedName>
    <definedName name="_xlchart.v1.1" hidden="1">'claimSimResults'!$F$2:$F$552</definedName>
    <definedName name="_xlchart.v1.2" hidden="1">'claimSimResults'!$F$1</definedName>
    <definedName name="_xlchart.v1.3" hidden="1">'claimSimResults'!$F$2:$F$552</definedName>
    <definedName name="_xlchart.v1.4" hidden="1">'claimSimResults'!$F$1</definedName>
    <definedName name="_xlchart.v1.5" hidden="1">'claimSimResults'!$F$2:$F$552</definedName>
    <definedName name="_xlchart.v1.6" hidden="1">'claimSimResults'!$F$1</definedName>
    <definedName name="_xlchart.v1.7" hidden="1">'claimSimResults'!$F$2:$F$552</definedName>
    <definedName name="_xlchart.v1.8" hidden="1">PolicyLosses!$C$1</definedName>
    <definedName name="_xlchart.v1.9" hidden="1">PolicyLosses!$C$2:$C$501</definedName>
    <definedName name="_xleta.SUM" hidden="1" xlm="1">#NAME?</definedName>
    <definedName name="_xleta.VAR" hidden="1" xlm="1">#NAME?</definedName>
    <definedName name="_xleta.VAR.S" hidden="1" xlm="1">#NAME?</definedName>
    <definedName name="ClaimsByPolicy">'claimSimResults'!$J$7:$L$462</definedName>
    <definedName name="claimSimResults_" localSheetId="3" hidden="1">'claimSimResults'!$A$1:$F$552</definedName>
    <definedName name="ExternalData_3" localSheetId="2" hidden="1">PolicyLosses!$A$1:$C$501</definedName>
    <definedName name="frequency_distribution">Dashboard!$D$6</definedName>
    <definedName name="frequency_lambda">Dashboard!$D$7</definedName>
    <definedName name="frequency_prob">Dashboard!$D$8</definedName>
    <definedName name="frequency_trials">Dashboard!$D$9</definedName>
    <definedName name="max_claim_amount">Settings!$B$7</definedName>
    <definedName name="num_policies">Settings!$B$6</definedName>
    <definedName name="Rscript_path">Settings!$B$5</definedName>
    <definedName name="SevCDFValueRange">OFFSET(SeverityCDF!$C$4, 0, 0, COUNTA(SeverityCDF!$C:$C) - 1, 1)</definedName>
    <definedName name="SevClaimAmountRange">OFFSET(SeverityCDF!$B$4, 0, 0, COUNTA(SeverityCDF!$B:$B) - 1, 1)</definedName>
    <definedName name="severity_alpha">Dashboard!$G$7</definedName>
    <definedName name="severity_distribution">Dashboard!$G$6</definedName>
    <definedName name="severity_mu">Dashboard!$G$9</definedName>
    <definedName name="severity_sigma">Dashboard!$G$10</definedName>
    <definedName name="severity_theta">Dashboard!$G$8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132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1" l="1"/>
  <c r="D33" i="1"/>
  <c r="D29" i="1"/>
  <c r="P8" i="1"/>
  <c r="P12" i="1"/>
  <c r="P33" i="1"/>
  <c r="P32" i="1"/>
  <c r="P29" i="1"/>
  <c r="D30" i="1"/>
  <c r="B2" i="16" a="1"/>
  <c r="B2" i="16" s="1"/>
  <c r="C2" i="16" s="1" a="1"/>
  <c r="C2" i="16" s="1"/>
  <c r="R29" i="1" a="1"/>
  <c r="R29" i="1" s="1"/>
  <c r="W30" i="1"/>
  <c r="W31" i="1"/>
  <c r="W32" i="1"/>
  <c r="W33" i="1"/>
  <c r="W29" i="1"/>
  <c r="P31" i="1"/>
  <c r="P30" i="1"/>
  <c r="P28" i="1"/>
  <c r="P9" i="1"/>
  <c r="P7" i="1"/>
  <c r="D31" i="1"/>
  <c r="F29" i="1" a="1"/>
  <c r="F29" i="1" s="1"/>
  <c r="B4" i="15" a="1"/>
  <c r="B4" i="15" s="1"/>
  <c r="P11" i="1"/>
  <c r="P10" i="1"/>
  <c r="D32" i="1"/>
  <c r="P17" i="1"/>
  <c r="P18" i="1"/>
  <c r="P19" i="1"/>
  <c r="P20" i="1"/>
  <c r="P16" i="1"/>
  <c r="K33" i="1"/>
  <c r="K32" i="1"/>
  <c r="K31" i="1"/>
  <c r="K30" i="1"/>
  <c r="K29" i="1"/>
  <c r="D28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PolicyLevelAggregate" description="Connection to the 'PolicyLevelAggregate' query in the workbook." type="5" refreshedVersion="8" saveData="1">
    <dbPr connection="Provider=Microsoft.Mashup.OleDb.1;Data Source=$Workbook$;Location=PolicyLevelAggregate;Extended Properties=&quot;&quot;" command="SELECT * FROM [PolicyLevelAggregat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<sst xmlns="http://schemas.openxmlformats.org/spreadsheetml/2006/main" count="1186" uniqueCount="615">
  <si>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</si>
  <si>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</si>
  <si>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</si>
  <si>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</si>
  <si>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</si>
  <si>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</si>
  <si>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</si>
  <si>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</si>
  <si>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</si>
  <si>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</si>
  <si>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</si>
  <si>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</si>
  <si>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</si>
  <si>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</si>
  <si>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</si>
  <si>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</si>
  <si>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</si>
  <si>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</si>
  <si>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</si>
  <si>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</si>
  <si>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</si>
  <si>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</si>
  <si>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</si>
  <si>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</si>
  <si>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</si>
  <si>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</si>
  <si>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</si>
  <si>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</si>
  <si>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</si>
  <si>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Grand Total</t>
  </si>
  <si>
    <t>ClaimCount</t>
  </si>
  <si>
    <t>NumberOfPolicies</t>
  </si>
  <si>
    <t>Claim Amount</t>
  </si>
  <si>
    <t>Empirical CDF of the claim amounts - sorted for a sanity check</t>
  </si>
  <si>
    <t>0.0545244544044502</t>
  </si>
  <si>
    <t>0.102933769186563</t>
  </si>
  <si>
    <t>0.301307812557326</t>
  </si>
  <si>
    <t>0.34006313979796</t>
  </si>
  <si>
    <t>0.11369465997944</t>
  </si>
  <si>
    <t>0.066973612237167</t>
  </si>
  <si>
    <t>0.252121659121382</t>
  </si>
  <si>
    <t>0.752419087299</t>
  </si>
  <si>
    <t>0.352330646140627</t>
  </si>
  <si>
    <t>0.181826570077418</t>
  </si>
  <si>
    <t>0.107061646291556</t>
  </si>
  <si>
    <t>0.11930858636894</t>
  </si>
  <si>
    <t>0.598393055694349</t>
  </si>
  <si>
    <t>0.302916501793584</t>
  </si>
  <si>
    <t>0.0278635243628316</t>
  </si>
  <si>
    <t>0.10182762369765</t>
  </si>
  <si>
    <t>0.0155675880168986</t>
  </si>
  <si>
    <t>0.141616604890753</t>
  </si>
  <si>
    <t>0.144242060475907</t>
  </si>
  <si>
    <t>0.124114437985264</t>
  </si>
  <si>
    <t>0.181900420670437</t>
  </si>
  <si>
    <t>0.221981842106652</t>
  </si>
  <si>
    <t>0.119558991976987</t>
  </si>
  <si>
    <t>0.0344275978259638</t>
  </si>
  <si>
    <t>0.064692541525284</t>
  </si>
  <si>
    <t>0.382611646327536</t>
  </si>
  <si>
    <t>0.187129400944608</t>
  </si>
  <si>
    <t>0.228486486164142</t>
  </si>
  <si>
    <t>0.414709949077772</t>
  </si>
  <si>
    <t>0.116045158237533</t>
  </si>
  <si>
    <t>0.119454650580445</t>
  </si>
  <si>
    <t>0.137281998136922</t>
  </si>
  <si>
    <t>0.0561911259146291</t>
  </si>
  <si>
    <t>0.149755201124807</t>
  </si>
  <si>
    <t>0.187350243769186</t>
  </si>
  <si>
    <t>0.0892407947738763</t>
  </si>
  <si>
    <t>0.127075801294542</t>
  </si>
  <si>
    <t>0.103077668922247</t>
  </si>
  <si>
    <t>0.285799763197803</t>
  </si>
  <si>
    <t>0.171106252925999</t>
  </si>
  <si>
    <t>0.0929470549891247</t>
  </si>
  <si>
    <t>0.135176144193925</t>
  </si>
  <si>
    <t>0.30325138366186</t>
  </si>
  <si>
    <t>0.0727487346457957</t>
  </si>
  <si>
    <t>0.0630312824290158</t>
  </si>
  <si>
    <t>0.0747361586241865</t>
  </si>
  <si>
    <t>0.204308891604992</t>
  </si>
  <si>
    <t>0.024007438671223</t>
  </si>
  <si>
    <t>0.124463815670689</t>
  </si>
  <si>
    <t>0.367193824970898</t>
  </si>
  <si>
    <t>0.0250217993046395</t>
  </si>
  <si>
    <t>0.0595998947443303</t>
  </si>
  <si>
    <t>0.0408798876553964</t>
  </si>
  <si>
    <t>0.284584144802405</t>
  </si>
  <si>
    <t>0.0918698609392173</t>
  </si>
  <si>
    <t>0.29105959765226</t>
  </si>
  <si>
    <t>0.185815009505245</t>
  </si>
  <si>
    <t>0.229649137205316</t>
  </si>
  <si>
    <t>0.108903521642087</t>
  </si>
  <si>
    <t>0.418016223096777</t>
  </si>
  <si>
    <t>0.229216258344907</t>
  </si>
  <si>
    <t>0.113909692427163</t>
  </si>
  <si>
    <t>0.303595296925044</t>
  </si>
  <si>
    <t>0.750099669302895</t>
  </si>
  <si>
    <t>0.216386645153851</t>
  </si>
  <si>
    <t>0.0958556813308721</t>
  </si>
  <si>
    <t>0.143800041408481</t>
  </si>
  <si>
    <t>0.0850633964685614</t>
  </si>
  <si>
    <t>0.182705539247859</t>
  </si>
  <si>
    <t>0.377563972589002</t>
  </si>
  <si>
    <t>0.161226222047574</t>
  </si>
  <si>
    <t>0.271446400650782</t>
  </si>
  <si>
    <t>0.183575147104699</t>
  </si>
  <si>
    <t>0.170992816295909</t>
  </si>
  <si>
    <t>0.0580101994413566</t>
  </si>
  <si>
    <t>0.251261118008413</t>
  </si>
  <si>
    <t>0.277578149022313</t>
  </si>
  <si>
    <t>0.374798338061224</t>
  </si>
  <si>
    <t>0.176559473158921</t>
  </si>
  <si>
    <t>0.069481903378533</t>
  </si>
  <si>
    <t>0.092333884137743</t>
  </si>
  <si>
    <t>0.125939230300291</t>
  </si>
  <si>
    <t>0.046817543681079</t>
  </si>
  <si>
    <t>0.0496087577858799</t>
  </si>
  <si>
    <t>0.222736583560824</t>
  </si>
  <si>
    <t>0.109688290168286</t>
  </si>
  <si>
    <t>0.154325706305157</t>
  </si>
  <si>
    <t>0.0307813086432716</t>
  </si>
  <si>
    <t>0.0907777834239652</t>
  </si>
  <si>
    <t>0.0484091916406574</t>
  </si>
  <si>
    <t>0.241896123942574</t>
  </si>
  <si>
    <t>0.0319658333912079</t>
  </si>
  <si>
    <t>0.154905421000948</t>
  </si>
  <si>
    <t>0.128660162823833</t>
  </si>
  <si>
    <t>0.25947922774422</t>
  </si>
  <si>
    <t>0.0410718487928001</t>
  </si>
  <si>
    <t>0.174855215018698</t>
  </si>
  <si>
    <t>0.324434321883209</t>
  </si>
  <si>
    <t>0.234543732719859</t>
  </si>
  <si>
    <t>0.0834548950066078</t>
  </si>
  <si>
    <t>0.161778195054347</t>
  </si>
  <si>
    <t>0.0461792690646268</t>
  </si>
  <si>
    <t>0.0712326453299308</t>
  </si>
  <si>
    <t>0.160442963152903</t>
  </si>
  <si>
    <t>0.247394469795669</t>
  </si>
  <si>
    <t>0.204622386167699</t>
  </si>
  <si>
    <t>0.245571722068595</t>
  </si>
  <si>
    <t>0.0230006743170815</t>
  </si>
  <si>
    <t>0.336650483172625</t>
  </si>
  <si>
    <t>0.229975647532567</t>
  </si>
  <si>
    <t>0.355361352838172</t>
  </si>
  <si>
    <t>Min</t>
  </si>
  <si>
    <t>Max</t>
  </si>
  <si>
    <t>Total Claims</t>
  </si>
  <si>
    <t>Largest Claims</t>
  </si>
  <si>
    <t>TotalClaimAmount</t>
  </si>
  <si>
    <t xml:space="preserve"> </t>
  </si>
  <si>
    <t>Most Expensive Policies</t>
  </si>
  <si>
    <t>Poisson</t>
  </si>
  <si>
    <t>0.0977501535040124</t>
  </si>
  <si>
    <t>0.0512858907707528</t>
  </si>
  <si>
    <t>0.0590374601267526</t>
  </si>
  <si>
    <t>0.225234903155361</t>
  </si>
  <si>
    <t>0.22271448863305</t>
  </si>
  <si>
    <t>0.212860709867898</t>
  </si>
  <si>
    <t>0.105613916174231</t>
  </si>
  <si>
    <t>0.2944256819655</t>
  </si>
  <si>
    <t>0.343089701793697</t>
  </si>
  <si>
    <t>0.0898622496742546</t>
  </si>
  <si>
    <t>0.243744793938763</t>
  </si>
  <si>
    <t>0.0786280086353042</t>
  </si>
  <si>
    <t>0.0738364721580574</t>
  </si>
  <si>
    <t>0.354481751212833</t>
  </si>
  <si>
    <t>0.195080933955695</t>
  </si>
  <si>
    <t>0.0477594913823927</t>
  </si>
  <si>
    <t>0.290386285253159</t>
  </si>
  <si>
    <t>0.111016153532811</t>
  </si>
  <si>
    <t>0.138650132568377</t>
  </si>
  <si>
    <t>0.157362137900366</t>
  </si>
  <si>
    <t>0.155334648682992</t>
  </si>
  <si>
    <t>0.242344514620023</t>
  </si>
  <si>
    <t>0.108262232934673</t>
  </si>
  <si>
    <t>0.148721135955337</t>
  </si>
  <si>
    <t>0.124574150738744</t>
  </si>
  <si>
    <t>0.204481873668542</t>
  </si>
  <si>
    <t>0.308814009304628</t>
  </si>
  <si>
    <t>0.29696290717306</t>
  </si>
  <si>
    <t>0.216859277142668</t>
  </si>
  <si>
    <t>0.174000338547127</t>
  </si>
  <si>
    <t>0.246659811888079</t>
  </si>
  <si>
    <t>0.222897493560918</t>
  </si>
  <si>
    <t>0.175281858283396</t>
  </si>
  <si>
    <t>0.0613557261611853</t>
  </si>
  <si>
    <t>0.282160599218278</t>
  </si>
  <si>
    <t>0.0244620783592886</t>
  </si>
  <si>
    <t>0.0563230345910406</t>
  </si>
  <si>
    <t>0.139372549860033</t>
  </si>
  <si>
    <t>0.0702252783232729</t>
  </si>
  <si>
    <t>0.168214265162618</t>
  </si>
  <si>
    <t>0.154446156724484</t>
  </si>
  <si>
    <t>0.20290853017078</t>
  </si>
  <si>
    <t>0.235432110203392</t>
  </si>
  <si>
    <t>0.24947464953417</t>
  </si>
  <si>
    <t>0.139896344062125</t>
  </si>
  <si>
    <t>0.264636383846612</t>
  </si>
  <si>
    <t>0.0479589598114938</t>
  </si>
  <si>
    <t>0.126373308785173</t>
  </si>
  <si>
    <t>0.577756568152713</t>
  </si>
  <si>
    <t>0.054269862534131</t>
  </si>
  <si>
    <t>0.0873682137872651</t>
  </si>
  <si>
    <t>0.0192438586696789</t>
  </si>
  <si>
    <t>0.114631734814273</t>
  </si>
  <si>
    <t>0.600726726322401</t>
  </si>
  <si>
    <t>0.0873487767241633</t>
  </si>
  <si>
    <t>0.184887640220694</t>
  </si>
  <si>
    <t>0.0964902870933051</t>
  </si>
  <si>
    <t>0.244659089535931</t>
  </si>
  <si>
    <t>0.105166657501407</t>
  </si>
  <si>
    <t>0.219708186385217</t>
  </si>
  <si>
    <t>0.0915085157722859</t>
  </si>
  <si>
    <t>0.0263980394218712</t>
  </si>
  <si>
    <t>0.273017601570766</t>
  </si>
  <si>
    <t>0.0339330406187547</t>
  </si>
  <si>
    <t>0.152686257749982</t>
  </si>
  <si>
    <t>0.359953222596198</t>
  </si>
  <si>
    <t>0.0483779273649969</t>
  </si>
  <si>
    <t>0.139248088111926</t>
  </si>
  <si>
    <t>0.3799130190076</t>
  </si>
  <si>
    <t>0.141568221614669</t>
  </si>
  <si>
    <t>0.243825636165826</t>
  </si>
  <si>
    <t>0.131009625479288</t>
  </si>
  <si>
    <t>0.0677421582973146</t>
  </si>
  <si>
    <t>0.362229359492954</t>
  </si>
  <si>
    <t>0.112834385956631</t>
  </si>
  <si>
    <t>0.190743691388361</t>
  </si>
  <si>
    <t>0.278182650275495</t>
  </si>
  <si>
    <t>0.189144536006373</t>
  </si>
  <si>
    <t>0.267260010558961</t>
  </si>
  <si>
    <t>0.170014975073703</t>
  </si>
  <si>
    <t>0.323051215236118</t>
  </si>
  <si>
    <t>0.0464158137419942</t>
  </si>
  <si>
    <t>0.0980952881130201</t>
  </si>
  <si>
    <t>0.11921265131619</t>
  </si>
  <si>
    <t>0.0148488017568041</t>
  </si>
  <si>
    <t>0.257419721613644</t>
  </si>
  <si>
    <t>0.105091304511717</t>
  </si>
  <si>
    <t>0.170568010496793</t>
  </si>
  <si>
    <t>0.0635259911875661</t>
  </si>
  <si>
    <t>0.477566784151075</t>
  </si>
  <si>
    <t>0.118686942494478</t>
  </si>
  <si>
    <t>0.21453664310106</t>
  </si>
  <si>
    <t>0.182738203085682</t>
  </si>
  <si>
    <t>0.318038233054782</t>
  </si>
  <si>
    <t>0.128814710059162</t>
  </si>
  <si>
    <t>0.465730120433443</t>
  </si>
  <si>
    <t>0.353288247060779</t>
  </si>
  <si>
    <t>0.0321931570609509</t>
  </si>
  <si>
    <t>0.0475710441833506</t>
  </si>
  <si>
    <t>0.0882883945894533</t>
  </si>
  <si>
    <t>0.0304761342477876</t>
  </si>
  <si>
    <t>0.0791226670524089</t>
  </si>
  <si>
    <t>0.121249735714367</t>
  </si>
  <si>
    <t>0.347360085742599</t>
  </si>
  <si>
    <t>0.408216805182645</t>
  </si>
  <si>
    <t>0.210701515123602</t>
  </si>
  <si>
    <t>0.228984760207579</t>
  </si>
  <si>
    <t>0.0866900281152519</t>
  </si>
  <si>
    <t>0.160982209684571</t>
  </si>
  <si>
    <t>0.106258326960359</t>
  </si>
  <si>
    <t>0.106903450854341</t>
  </si>
  <si>
    <t>0.13991028856902</t>
  </si>
  <si>
    <t>0.275725372422179</t>
  </si>
  <si>
    <t>0.0606964542878131</t>
  </si>
  <si>
    <t>0.0901808978831571</t>
  </si>
  <si>
    <t>0.286971677511443</t>
  </si>
  <si>
    <t>0.327556467007273</t>
  </si>
  <si>
    <t>0.189935144586296</t>
  </si>
  <si>
    <t>0.186504317123426</t>
  </si>
  <si>
    <t>0.0953340807677335</t>
  </si>
  <si>
    <t>0.10737576768164</t>
  </si>
  <si>
    <t>Policy-Level Loss Distribution</t>
  </si>
  <si>
    <t>Total Loss</t>
  </si>
  <si>
    <t>Empirical CDF of policy losses - sorted for a sanity check</t>
  </si>
  <si>
    <t>Loss</t>
  </si>
  <si>
    <t>CDF(Loss)</t>
  </si>
  <si>
    <t>CDF(Amount)</t>
  </si>
  <si>
    <t>0.458855245396317</t>
  </si>
  <si>
    <t>0.188202431286753</t>
  </si>
  <si>
    <t>0.29368745625744</t>
  </si>
  <si>
    <t>0.0796469409428623</t>
  </si>
  <si>
    <t>0.0969742537953659</t>
  </si>
  <si>
    <t>0.181619036821064</t>
  </si>
  <si>
    <t>0.059275932896999</t>
  </si>
  <si>
    <t>0.214715718654642</t>
  </si>
  <si>
    <t>0.146966674925301</t>
  </si>
  <si>
    <t>0.272779441504222</t>
  </si>
  <si>
    <t>0.103562781039526</t>
  </si>
  <si>
    <t>0.022083347864088</t>
  </si>
  <si>
    <t>0.100859476501755</t>
  </si>
  <si>
    <t>0.130241126276827</t>
  </si>
  <si>
    <t>0.238353186852029</t>
  </si>
  <si>
    <t>0.0799086812228802</t>
  </si>
  <si>
    <t>0.0943035327447352</t>
  </si>
  <si>
    <t>0.204770169457386</t>
  </si>
  <si>
    <t>0.116614645265163</t>
  </si>
  <si>
    <t>0.130871292703358</t>
  </si>
  <si>
    <t>0.107353305945828</t>
  </si>
  <si>
    <t>0.144517079085771</t>
  </si>
  <si>
    <t>0.433482871105248</t>
  </si>
  <si>
    <t>0.110083496429119</t>
  </si>
  <si>
    <t>0.480073123472458</t>
  </si>
  <si>
    <t>0.140959420554353</t>
  </si>
  <si>
    <t>0.165649611708698</t>
  </si>
  <si>
    <t>0.0200778250004804</t>
  </si>
  <si>
    <t>0.114855592176536</t>
  </si>
  <si>
    <t>0.104586815388059</t>
  </si>
  <si>
    <t>0.17891733225805</t>
  </si>
  <si>
    <t>0.0729408846301811</t>
  </si>
  <si>
    <t>0.483192053442368</t>
  </si>
  <si>
    <t>0.0808083223706478</t>
  </si>
  <si>
    <t>0.0804239128397639</t>
  </si>
  <si>
    <t>0.192467544625832</t>
  </si>
  <si>
    <t>0.554063272674979</t>
  </si>
  <si>
    <t>0.45130579394148</t>
  </si>
  <si>
    <t>0.107734012377205</t>
  </si>
  <si>
    <t>0.163617067004493</t>
  </si>
  <si>
    <t>0.0848965087643713</t>
  </si>
  <si>
    <t>0.123064284019373</t>
  </si>
  <si>
    <t>0.310195386501077</t>
  </si>
  <si>
    <t>0.0145816561117635</t>
  </si>
  <si>
    <t>0.11371551685023</t>
  </si>
  <si>
    <t>0.252239598502029</t>
  </si>
  <si>
    <t>0.0579612329262668</t>
  </si>
  <si>
    <t>0.114610654308564</t>
  </si>
  <si>
    <t>0.342586021005932</t>
  </si>
  <si>
    <t>0.135514669324283</t>
  </si>
  <si>
    <t>0.124493560405193</t>
  </si>
  <si>
    <t>0.149530388086512</t>
  </si>
  <si>
    <t>0.13913234259288</t>
  </si>
  <si>
    <t>0.0628047683559443</t>
  </si>
  <si>
    <t>0.220986995932954</t>
  </si>
  <si>
    <t>0.0863115233205718</t>
  </si>
  <si>
    <t>0.118829796778779</t>
  </si>
  <si>
    <t>0.0458369451488315</t>
  </si>
  <si>
    <t>0.0255963588888772</t>
  </si>
  <si>
    <t>0.00217102370678619</t>
  </si>
  <si>
    <t>0.155718064571479</t>
  </si>
  <si>
    <t>0.170716882619442</t>
  </si>
  <si>
    <t>0.281345821695966</t>
  </si>
  <si>
    <t>0.357969064927166</t>
  </si>
  <si>
    <t>0.385883808339143</t>
  </si>
  <si>
    <t>0.177621414716852</t>
  </si>
  <si>
    <t>0.00310478366502322</t>
  </si>
  <si>
    <t>0.162844547253829</t>
  </si>
  <si>
    <t>0.196675150730522</t>
  </si>
  <si>
    <t>0.0118033216867853</t>
  </si>
  <si>
    <t>0.0125495297394771</t>
  </si>
  <si>
    <t>0.181056241592299</t>
  </si>
  <si>
    <t>0.15653910249819</t>
  </si>
  <si>
    <t>0.130390703582056</t>
  </si>
  <si>
    <t>0.164089389554202</t>
  </si>
  <si>
    <t>0.153590261292027</t>
  </si>
  <si>
    <t>0.0770234706117017</t>
  </si>
  <si>
    <t>0.382307365375789</t>
  </si>
  <si>
    <t>0.074050355837289</t>
  </si>
  <si>
    <t>0.279181372033032</t>
  </si>
  <si>
    <t>0.0582129938308482</t>
  </si>
  <si>
    <t>0.0897006307850306</t>
  </si>
  <si>
    <t>0.246889281464542</t>
  </si>
  <si>
    <t>0.287553935391309</t>
  </si>
  <si>
    <t>0.133801303447787</t>
  </si>
  <si>
    <t>0.146249781295572</t>
  </si>
  <si>
    <t>0.29025310115463</t>
  </si>
  <si>
    <t>0.0677599420440754</t>
  </si>
  <si>
    <t>0.247161751632104</t>
  </si>
  <si>
    <t>0.104879167374598</t>
  </si>
  <si>
    <t>0.035898045232595</t>
  </si>
  <si>
    <t>0.130193757697552</t>
  </si>
  <si>
    <t>0.168858886715522</t>
  </si>
  <si>
    <t>0.308922520471663</t>
  </si>
  <si>
    <t>0.165017364881582</t>
  </si>
  <si>
    <t>0.0258357508925071</t>
  </si>
  <si>
    <t>0.0223038240941741</t>
  </si>
  <si>
    <t>0.373391991767554</t>
  </si>
  <si>
    <t>0.325154425313566</t>
  </si>
  <si>
    <t>0.170323558722065</t>
  </si>
  <si>
    <t>0.273387109594787</t>
  </si>
  <si>
    <t>0.184273068389555</t>
  </si>
  <si>
    <t>0.166700975651247</t>
  </si>
  <si>
    <t>0.0473968166840039</t>
  </si>
  <si>
    <t>0.142526118194156</t>
  </si>
  <si>
    <t>0.227960456819757</t>
  </si>
  <si>
    <t>0.127377186412286</t>
  </si>
  <si>
    <t>0.0429864476502205</t>
  </si>
  <si>
    <t>0.0438634564580156</t>
  </si>
  <si>
    <t>0.134369055893649</t>
  </si>
  <si>
    <t>0.157985178662431</t>
  </si>
  <si>
    <t>0.0520972742849249</t>
  </si>
  <si>
    <t>0.050798795826713</t>
  </si>
  <si>
    <t>0.0765876495183913</t>
  </si>
  <si>
    <t>0.0868649925277425</t>
  </si>
  <si>
    <t>0.227782384042795</t>
  </si>
  <si>
    <t>0.270135489052185</t>
  </si>
  <si>
    <t>0.0634840699882555</t>
  </si>
  <si>
    <t>0.104162111072632</t>
  </si>
  <si>
    <t>0.202511214244798</t>
  </si>
  <si>
    <t>0.154792847051134</t>
  </si>
  <si>
    <t>0.190734367504455</t>
  </si>
  <si>
    <t>0.178385244528363</t>
  </si>
  <si>
    <t>0.101795842580063</t>
  </si>
  <si>
    <t>0.0430983387487262</t>
  </si>
  <si>
    <t>0.150547017521179</t>
  </si>
  <si>
    <t>0.112943786595968</t>
  </si>
  <si>
    <t>0.139741087606466</t>
  </si>
  <si>
    <t>0.0666833146100483</t>
  </si>
  <si>
    <t>0.124119152702706</t>
  </si>
  <si>
    <t>0.255447673545909</t>
  </si>
  <si>
    <t>0.136186097737371</t>
  </si>
  <si>
    <t>0.203386088622377</t>
  </si>
  <si>
    <t>0.308857852604465</t>
  </si>
  <si>
    <t>0.374744075732911</t>
  </si>
  <si>
    <t>Lognormal</t>
  </si>
  <si>
    <t>0.254488921556881</t>
  </si>
  <si>
    <t>0.100560576498585</t>
  </si>
  <si>
    <t>0.304063972203034</t>
  </si>
  <si>
    <t>0.156520700593074</t>
  </si>
  <si>
    <t>0.252916022689967</t>
  </si>
  <si>
    <t>0.151695884826941</t>
  </si>
  <si>
    <t>0.162082260178957</t>
  </si>
  <si>
    <t>0.297477488642727</t>
  </si>
  <si>
    <t>0.0299793012033098</t>
  </si>
  <si>
    <t>0.308813883025819</t>
  </si>
  <si>
    <t>0.0126150238548116</t>
  </si>
  <si>
    <t>0.103657842923925</t>
  </si>
  <si>
    <t>0.276492209549021</t>
  </si>
  <si>
    <t>0.272714105731045</t>
  </si>
  <si>
    <t>0.0322296036480621</t>
  </si>
  <si>
    <t>0.245541328066473</t>
  </si>
  <si>
    <t>0.105802429984982</t>
  </si>
  <si>
    <t>0.129675768227657</t>
  </si>
  <si>
    <t>0.206012633015145</t>
  </si>
  <si>
    <t>0.0799469596133073</t>
  </si>
  <si>
    <t>0.14267187958112</t>
  </si>
  <si>
    <t>0.0494782205111798</t>
  </si>
  <si>
    <t>0.0929394346965447</t>
  </si>
  <si>
    <t>0.208114299248389</t>
  </si>
  <si>
    <t>0.292158002789994</t>
  </si>
  <si>
    <t>0.242596905095704</t>
  </si>
  <si>
    <t>0.0449257771380704</t>
  </si>
  <si>
    <t>0.285509779729835</t>
  </si>
  <si>
    <t>0.355211256218368</t>
  </si>
  <si>
    <t>0.246783711448972</t>
  </si>
  <si>
    <t>0.0793328050588955</t>
  </si>
  <si>
    <t>0.422316826668488</t>
  </si>
  <si>
    <t>0.302020883837891</t>
  </si>
  <si>
    <t>0.23133151779079</t>
  </si>
  <si>
    <t>0.274647419935814</t>
  </si>
  <si>
    <t>0.0830688288741445</t>
  </si>
  <si>
    <t>0.125975627899739</t>
  </si>
  <si>
    <t>0.0763656045448631</t>
  </si>
  <si>
    <t>0.150121320569233</t>
  </si>
  <si>
    <t>0.107370364016353</t>
  </si>
  <si>
    <t>0.185869430362399</t>
  </si>
  <si>
    <t>0.212094821251237</t>
  </si>
  <si>
    <t>0.0858149095433334</t>
  </si>
  <si>
    <t>0.0414452670459871</t>
  </si>
  <si>
    <t>0.107636992230337</t>
  </si>
  <si>
    <t>0.0771449303768357</t>
  </si>
  <si>
    <t>0.0631783848188364</t>
  </si>
  <si>
    <t>0.261069650230808</t>
  </si>
  <si>
    <t>0.208410650635589</t>
  </si>
  <si>
    <t>0.017518795833281</t>
  </si>
  <si>
    <t>0.0362700985442256</t>
  </si>
  <si>
    <t>0.388019936906847</t>
  </si>
  <si>
    <t>0.16574923834984</t>
  </si>
  <si>
    <t>0.197535803902539</t>
  </si>
  <si>
    <t>0.0380302652170331</t>
  </si>
  <si>
    <t>0.208198706472737</t>
  </si>
  <si>
    <t>0.019801746668601</t>
  </si>
  <si>
    <t>0.134587727917454</t>
  </si>
  <si>
    <t>0.0785752519186916</t>
  </si>
  <si>
    <t>0.0341922312523377</t>
  </si>
  <si>
    <t>0.156419370817976</t>
  </si>
  <si>
    <t>0.148559395190407</t>
  </si>
  <si>
    <t>0.152231095363354</t>
  </si>
  <si>
    <t>0.0832378025223207</t>
  </si>
  <si>
    <t>0.0986381690894988</t>
  </si>
  <si>
    <t>0.119615875182746</t>
  </si>
  <si>
    <t>0.124475269550402</t>
  </si>
  <si>
    <t>0.084315692771114</t>
  </si>
  <si>
    <t>0.0118206393706828</t>
  </si>
  <si>
    <t>0.285930289848998</t>
  </si>
  <si>
    <t>0.227102284459905</t>
  </si>
  <si>
    <t>0.268906676014594</t>
  </si>
  <si>
    <t>0.252751126686597</t>
  </si>
  <si>
    <t>0.181266567206894</t>
  </si>
  <si>
    <t>0.503483127043612</t>
  </si>
  <si>
    <t>0.199256524264653</t>
  </si>
  <si>
    <t>0.123288358999835</t>
  </si>
  <si>
    <t>0.118150298756105</t>
  </si>
  <si>
    <t>0.180509783704743</t>
  </si>
  <si>
    <t>0.198979170481618</t>
  </si>
  <si>
    <t>0.112466520944948</t>
  </si>
  <si>
    <t>0.163310032623493</t>
  </si>
  <si>
    <t>0.152880271339092</t>
  </si>
  <si>
    <t>0.231534153768247</t>
  </si>
  <si>
    <t>0.238479866953639</t>
  </si>
  <si>
    <t>0.108185874108645</t>
  </si>
  <si>
    <t>0.279015878062868</t>
  </si>
  <si>
    <t>0.0779658039624922</t>
  </si>
  <si>
    <t>0.142694443254588</t>
  </si>
  <si>
    <t>0.166388357459843</t>
  </si>
  <si>
    <t>0.0645189359170164</t>
  </si>
  <si>
    <t>0.384597103088484</t>
  </si>
  <si>
    <t>0.234090705129675</t>
  </si>
  <si>
    <t>0.0418905515859919</t>
  </si>
  <si>
    <t>0.173119723372142</t>
  </si>
  <si>
    <t>0.0240356383745245</t>
  </si>
  <si>
    <t>0.132607503092968</t>
  </si>
  <si>
    <t>0.0761549909705171</t>
  </si>
  <si>
    <t>0.0620503909690159</t>
  </si>
  <si>
    <t>0.0644112055307508</t>
  </si>
  <si>
    <t>0.168784142963718</t>
  </si>
  <si>
    <t>0.0564473160634624</t>
  </si>
  <si>
    <t>0.199776386690636</t>
  </si>
  <si>
    <t>0.179921512107793</t>
  </si>
  <si>
    <t>0.295757642509808</t>
  </si>
  <si>
    <t>0.20923498446316</t>
  </si>
  <si>
    <t>0.276192254850449</t>
  </si>
  <si>
    <t>0.0671566472948286</t>
  </si>
  <si>
    <t>0.0130454356358988</t>
  </si>
  <si>
    <t>0.396825100013831</t>
  </si>
  <si>
    <t>0.0520211152421388</t>
  </si>
  <si>
    <t>0.0546457762728901</t>
  </si>
  <si>
    <t>0.0704525777610153</t>
  </si>
  <si>
    <t>0.184074469651227</t>
  </si>
  <si>
    <t>0.335966170596259</t>
  </si>
  <si>
    <t>0.236403196783821</t>
  </si>
  <si>
    <t>0.0815716338077555</t>
  </si>
  <si>
    <t>0.0914316971866756</t>
  </si>
  <si>
    <t>0.0176426306648769</t>
  </si>
  <si>
    <t>0.284755330278016</t>
  </si>
  <si>
    <t>0.00354031277641409</t>
  </si>
  <si>
    <t>0.0737960598770978</t>
  </si>
  <si>
    <t>0.0642600641061098</t>
  </si>
  <si>
    <t>0.317846539795171</t>
  </si>
  <si>
    <t>0.0686026497797691</t>
  </si>
  <si>
    <t>0.172192075852122</t>
  </si>
  <si>
    <t>0.050567975809888</t>
  </si>
  <si>
    <t>0.199095385913494</t>
  </si>
  <si>
    <t>0.0245327615187248</t>
  </si>
  <si>
    <t>0.453510090546435</t>
  </si>
  <si>
    <t>0.135241674437086</t>
  </si>
  <si>
    <t>0.0690598988451138</t>
  </si>
  <si>
    <t>0.297494663213015</t>
  </si>
  <si>
    <t>0.128334461154629</t>
  </si>
  <si>
    <t>0.0424978781093476</t>
  </si>
  <si>
    <t>0.317454817998552</t>
  </si>
  <si>
    <t>0.0650635205954639</t>
  </si>
  <si>
    <t>0.185302296636253</t>
  </si>
  <si>
    <t>0.238695313886947</t>
  </si>
  <si>
    <t>0.243805973667243</t>
  </si>
  <si>
    <t>0.296311931276514</t>
  </si>
  <si>
    <t>0.184324173292774</t>
  </si>
  <si>
    <t>0.103982587379684</t>
  </si>
  <si>
    <t>0.134846320345773</t>
  </si>
  <si>
    <t>0.231386245767801</t>
  </si>
  <si>
    <t>0.0531834974181204</t>
  </si>
  <si>
    <t>0.213027965488893</t>
  </si>
  <si>
    <t>0.0267382517231196</t>
  </si>
  <si>
    <t>0.145547786017212</t>
  </si>
  <si>
    <t>0.0343661861886344</t>
  </si>
  <si>
    <t>0.430392924130365</t>
  </si>
  <si>
    <t>0.0530256862544087</t>
  </si>
  <si>
    <t>0.451173096274361</t>
  </si>
  <si>
    <t>0.324191459838558</t>
  </si>
  <si>
    <t>0.19132647418577</t>
  </si>
  <si>
    <t>0.10989516733746</t>
  </si>
  <si>
    <t>0.0723482514236592</t>
  </si>
  <si>
    <t>0.168065954216713</t>
  </si>
  <si>
    <t>0.106241188118552</t>
  </si>
  <si>
    <t>0.155048860911309</t>
  </si>
  <si>
    <t>0.253955506315561</t>
  </si>
  <si>
    <t>0.0586154682651992</t>
  </si>
  <si>
    <t>0.24710003846727</t>
  </si>
  <si>
    <t>0.125444420732781</t>
  </si>
  <si>
    <t>0.175554011299896</t>
  </si>
  <si>
    <t>0.234496570261124</t>
  </si>
  <si>
    <t>0.187285370510716</t>
  </si>
  <si>
    <t>0.22968999004761</t>
  </si>
  <si>
    <t>0.0286312743537652</t>
  </si>
  <si>
    <t>0.188807376429266</t>
  </si>
  <si>
    <t>0.127939634244868</t>
  </si>
  <si>
    <t>0.0745955300421643</t>
  </si>
  <si>
    <t>0.0240269196240707</t>
  </si>
  <si>
    <t>0.494374473216036</t>
  </si>
  <si>
    <t>0.509250633519279</t>
  </si>
  <si>
    <t>0.118805579372549</t>
  </si>
  <si>
    <t>0.174560566738785</t>
  </si>
  <si>
    <t>0.215118457208</t>
  </si>
  <si>
    <t>0.264421248873754</t>
  </si>
  <si>
    <t>0.188603611788824</t>
  </si>
  <si>
    <t>0.274282501867891</t>
  </si>
  <si>
    <t>0.202604521060428</t>
  </si>
  <si>
    <t>0.100687306014882</t>
  </si>
  <si>
    <t>0.284061051389226</t>
  </si>
  <si>
    <t>Claim Frequency</t>
  </si>
  <si>
    <t>Note: this is the distribution of the number of claims per policy</t>
  </si>
  <si>
    <t>Claim Severity</t>
  </si>
  <si>
    <t>Note: this is the distribution of claim amounts</t>
  </si>
  <si>
    <t>Note: this is the distribution of total claims for each policy</t>
  </si>
  <si>
    <t>Total Losses</t>
  </si>
  <si>
    <t>Policies With Claims</t>
  </si>
  <si>
    <t>Median</t>
  </si>
  <si>
    <t>Total Claims (Frequency)</t>
  </si>
  <si>
    <t>Total Losses (Severity)</t>
  </si>
  <si>
    <t>Amount</t>
  </si>
  <si>
    <t>Date</t>
  </si>
  <si>
    <t>Policy</t>
  </si>
  <si>
    <t>Claims</t>
  </si>
  <si>
    <t>Percentile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</si>
</sst>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14" x14ac:knownFonts="1"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  <scheme val="minor"/>
    </font>
    <font>
      <sz val="18"/>
      <color theme="3"/>
      <name val="Aptos Display"/>
      <family val="2"/>
      <scheme val="maj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20"/>
      <color theme="3"/>
      <name val="Aptos Narrow"/>
      <scheme val="minor"/>
    </font>
    <font>
      <sz val="12"/>
      <color rgb="FF3F3F76"/>
      <name val="Aptos Narrow"/>
      <scheme val="minor"/>
    </font>
    <font>
      <b/>
      <sz val="14"/>
      <color theme="1"/>
      <name val="Aptos Narrow"/>
      <scheme val="minor"/>
    </font>
    <font>
      <b/>
      <sz val="20"/>
      <color theme="3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11" fontId="0" fillId="0" borderId="0" xfId="0" applyNumberFormat="1"/>
    <xf numFmtId="0" fontId="2" fillId="0" borderId="0" xfId="0" applyFont="1"/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0" fillId="0" borderId="0" xfId="3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/>
    <xf numFmtId="0" fontId="6" fillId="0" borderId="0" xfId="0" applyFont="1"/>
    <xf numFmtId="14" fontId="9" fillId="0" borderId="0" xfId="0" applyNumberFormat="1" applyFont="1"/>
    <xf numFmtId="0" fontId="13" fillId="0" borderId="0" xfId="3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164" fontId="9" fillId="0" borderId="2" xfId="0" applyNumberFormat="1" applyFont="1" applyBorder="1"/>
    <xf numFmtId="0" fontId="9" fillId="5" borderId="2" xfId="0" applyFont="1" applyFill="1" applyBorder="1" applyAlignment="1">
      <alignment horizontal="center"/>
    </xf>
    <xf numFmtId="164" fontId="9" fillId="5" borderId="2" xfId="0" applyNumberFormat="1" applyFont="1" applyFill="1" applyBorder="1"/>
    <xf numFmtId="0" fontId="9" fillId="0" borderId="2" xfId="0" applyFont="1" applyBorder="1"/>
    <xf numFmtId="44" fontId="9" fillId="0" borderId="2" xfId="2" applyFont="1" applyBorder="1"/>
    <xf numFmtId="0" fontId="9" fillId="5" borderId="2" xfId="0" applyFont="1" applyFill="1" applyBorder="1"/>
    <xf numFmtId="0" fontId="9" fillId="0" borderId="2" xfId="0" applyFont="1" applyFill="1" applyBorder="1"/>
    <xf numFmtId="44" fontId="9" fillId="5" borderId="2" xfId="2" applyFont="1" applyFill="1" applyBorder="1"/>
    <xf numFmtId="14" fontId="9" fillId="0" borderId="2" xfId="0" applyNumberFormat="1" applyFont="1" applyBorder="1"/>
    <xf numFmtId="14" fontId="9" fillId="5" borderId="2" xfId="0" applyNumberFormat="1" applyFont="1" applyFill="1" applyBorder="1"/>
    <xf numFmtId="0" fontId="9" fillId="4" borderId="2" xfId="0" applyFont="1" applyFill="1" applyBorder="1" applyAlignment="1">
      <alignment horizontal="left"/>
    </xf>
    <xf numFmtId="0" fontId="11" fillId="6" borderId="2" xfId="1" applyFont="1" applyFill="1" applyBorder="1" applyAlignment="1">
      <alignment horizontal="center"/>
    </xf>
    <xf numFmtId="0" fontId="11" fillId="6" borderId="2" xfId="1" applyFont="1" applyFill="1" applyBorder="1" applyAlignment="1">
      <alignment horizontal="right"/>
    </xf>
    <xf numFmtId="164" fontId="9" fillId="5" borderId="2" xfId="2" applyNumberFormat="1" applyFont="1" applyFill="1" applyBorder="1"/>
    <xf numFmtId="44" fontId="9" fillId="0" borderId="2" xfId="2" applyFont="1" applyFill="1" applyBorder="1"/>
    <xf numFmtId="0" fontId="12" fillId="0" borderId="0" xfId="0" applyFont="1" applyFill="1" applyAlignment="1">
      <alignment horizontal="left"/>
    </xf>
    <xf numFmtId="0" fontId="9" fillId="0" borderId="0" xfId="0" applyFont="1" applyBorder="1"/>
  </cellXfs>
  <cellStyles count="4">
    <cellStyle name="Currency" xfId="2" builtinId="4"/>
    <cellStyle name="Input" xfId="1" builtinId="20"/>
    <cellStyle name="Normal" xfId="0" builtinId="0"/>
    <cellStyle name="Title" xfId="3" builtinId="15"/>
  </cellStyles>
  <dxfs count="17"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0" formatCode="General"/>
    </dxf>
    <dxf>
      <numFmt numFmtId="19" formatCode="m/d/yy"/>
    </dxf>
    <dxf>
      <numFmt numFmtId="0" formatCode="General"/>
    </dxf>
  </dxfs>
  <tableStyles count="0" defaultTableStyle="TableStyleMedium2" defaultPivotStyle="PivotStyleLight16"/>
  <colors>
    <mruColors>
      <color rgb="FFFFFFFF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Empirical CDF of 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552"/>
                <c:pt idx="0">
                  <c:v>0.75241908729899998</c:v>
                </c:pt>
                <c:pt idx="1">
                  <c:v>0.75009966930289496</c:v>
                </c:pt>
                <c:pt idx="2">
                  <c:v>0.60072672632240098</c:v>
                </c:pt>
                <c:pt idx="3">
                  <c:v>0.59839305569434897</c:v>
                </c:pt>
                <c:pt idx="4">
                  <c:v>0.57775656815271303</c:v>
                </c:pt>
                <c:pt idx="5">
                  <c:v>0.55406327267497901</c:v>
                </c:pt>
                <c:pt idx="6">
                  <c:v>0.50925063351927902</c:v>
                </c:pt>
                <c:pt idx="7">
                  <c:v>0.50348312704361198</c:v>
                </c:pt>
                <c:pt idx="8">
                  <c:v>0.494374473216036</c:v>
                </c:pt>
                <c:pt idx="9">
                  <c:v>0.48319205344236799</c:v>
                </c:pt>
                <c:pt idx="10">
                  <c:v>0.48007312347245801</c:v>
                </c:pt>
                <c:pt idx="11">
                  <c:v>0.47756678415107501</c:v>
                </c:pt>
                <c:pt idx="12">
                  <c:v>0.46573012043344297</c:v>
                </c:pt>
                <c:pt idx="13">
                  <c:v>0.458855245396317</c:v>
                </c:pt>
                <c:pt idx="14">
                  <c:v>0.45351009054643499</c:v>
                </c:pt>
                <c:pt idx="15">
                  <c:v>0.45130579394148002</c:v>
                </c:pt>
                <c:pt idx="16">
                  <c:v>0.45117309627436097</c:v>
                </c:pt>
                <c:pt idx="17">
                  <c:v>0.43348287110524802</c:v>
                </c:pt>
                <c:pt idx="18">
                  <c:v>0.43039292413036501</c:v>
                </c:pt>
                <c:pt idx="19">
                  <c:v>0.42231682666848802</c:v>
                </c:pt>
                <c:pt idx="20">
                  <c:v>0.418016223096777</c:v>
                </c:pt>
                <c:pt idx="21">
                  <c:v>0.41470994907777198</c:v>
                </c:pt>
                <c:pt idx="22">
                  <c:v>0.40821680518264503</c:v>
                </c:pt>
                <c:pt idx="23">
                  <c:v>0.39682510001383098</c:v>
                </c:pt>
                <c:pt idx="24">
                  <c:v>0.388019936906847</c:v>
                </c:pt>
                <c:pt idx="25">
                  <c:v>0.38588380833914299</c:v>
                </c:pt>
                <c:pt idx="26">
                  <c:v>0.38459710308848399</c:v>
                </c:pt>
                <c:pt idx="27">
                  <c:v>0.38261164632753603</c:v>
                </c:pt>
                <c:pt idx="28">
                  <c:v>0.38230736537578902</c:v>
                </c:pt>
                <c:pt idx="29">
                  <c:v>0.37991301900759999</c:v>
                </c:pt>
                <c:pt idx="30">
                  <c:v>0.37756397258900198</c:v>
                </c:pt>
                <c:pt idx="31">
                  <c:v>0.37479833806122398</c:v>
                </c:pt>
                <c:pt idx="32">
                  <c:v>0.37474407573291102</c:v>
                </c:pt>
                <c:pt idx="33">
                  <c:v>0.373391991767554</c:v>
                </c:pt>
                <c:pt idx="34">
                  <c:v>0.36719382497089798</c:v>
                </c:pt>
                <c:pt idx="35">
                  <c:v>0.36222935949295398</c:v>
                </c:pt>
                <c:pt idx="36">
                  <c:v>0.359953222596198</c:v>
                </c:pt>
                <c:pt idx="37">
                  <c:v>0.35796906492716601</c:v>
                </c:pt>
                <c:pt idx="38">
                  <c:v>0.355361352838172</c:v>
                </c:pt>
                <c:pt idx="39">
                  <c:v>0.35521125621836802</c:v>
                </c:pt>
                <c:pt idx="40">
                  <c:v>0.35448175121283299</c:v>
                </c:pt>
                <c:pt idx="41">
                  <c:v>0.35328824706077899</c:v>
                </c:pt>
                <c:pt idx="42">
                  <c:v>0.35233064614062698</c:v>
                </c:pt>
                <c:pt idx="43">
                  <c:v>0.34736008574259902</c:v>
                </c:pt>
                <c:pt idx="44">
                  <c:v>0.34308970179369702</c:v>
                </c:pt>
                <c:pt idx="45">
                  <c:v>0.342586021005932</c:v>
                </c:pt>
                <c:pt idx="46">
                  <c:v>0.34006313979795999</c:v>
                </c:pt>
                <c:pt idx="47">
                  <c:v>0.33665048317262503</c:v>
                </c:pt>
                <c:pt idx="48">
                  <c:v>0.335966170596259</c:v>
                </c:pt>
                <c:pt idx="49">
                  <c:v>0.32755646700727298</c:v>
                </c:pt>
                <c:pt idx="50">
                  <c:v>0.32515442531356598</c:v>
                </c:pt>
                <c:pt idx="51">
                  <c:v>0.32443432188320898</c:v>
                </c:pt>
                <c:pt idx="52">
                  <c:v>0.32419145983855802</c:v>
                </c:pt>
                <c:pt idx="53">
                  <c:v>0.32305121523611802</c:v>
                </c:pt>
                <c:pt idx="54">
                  <c:v>0.31803823305478202</c:v>
                </c:pt>
                <c:pt idx="55">
                  <c:v>0.31784653979517102</c:v>
                </c:pt>
                <c:pt idx="56">
                  <c:v>0.31745481799855202</c:v>
                </c:pt>
                <c:pt idx="57">
                  <c:v>0.31019538650107698</c:v>
                </c:pt>
                <c:pt idx="58">
                  <c:v>0.30892252047166302</c:v>
                </c:pt>
                <c:pt idx="59">
                  <c:v>0.30885785260446502</c:v>
                </c:pt>
                <c:pt idx="60">
                  <c:v>0.30881400930462799</c:v>
                </c:pt>
                <c:pt idx="61">
                  <c:v>0.30881388302581902</c:v>
                </c:pt>
                <c:pt idx="62">
                  <c:v>0.30406397220303399</c:v>
                </c:pt>
                <c:pt idx="63">
                  <c:v>0.303595296925044</c:v>
                </c:pt>
                <c:pt idx="64">
                  <c:v>0.30325138366186</c:v>
                </c:pt>
                <c:pt idx="65">
                  <c:v>0.30291650179358398</c:v>
                </c:pt>
                <c:pt idx="66">
                  <c:v>0.302020883837891</c:v>
                </c:pt>
                <c:pt idx="67">
                  <c:v>0.30130781255732603</c:v>
                </c:pt>
                <c:pt idx="68">
                  <c:v>0.29749466321301499</c:v>
                </c:pt>
                <c:pt idx="69">
                  <c:v>0.29747748864272699</c:v>
                </c:pt>
                <c:pt idx="70">
                  <c:v>0.29696290717306001</c:v>
                </c:pt>
                <c:pt idx="71">
                  <c:v>0.29631193127651401</c:v>
                </c:pt>
                <c:pt idx="72">
                  <c:v>0.29575764250980802</c:v>
                </c:pt>
                <c:pt idx="73">
                  <c:v>0.29442568196550001</c:v>
                </c:pt>
                <c:pt idx="74">
                  <c:v>0.29368745625744003</c:v>
                </c:pt>
                <c:pt idx="75">
                  <c:v>0.29215800278999399</c:v>
                </c:pt>
                <c:pt idx="76">
                  <c:v>0.29105959765226003</c:v>
                </c:pt>
                <c:pt idx="77">
                  <c:v>0.29038628525315902</c:v>
                </c:pt>
                <c:pt idx="78">
                  <c:v>0.29025310115462999</c:v>
                </c:pt>
                <c:pt idx="79">
                  <c:v>0.28755393539130902</c:v>
                </c:pt>
                <c:pt idx="80">
                  <c:v>0.28697167751144298</c:v>
                </c:pt>
                <c:pt idx="81">
                  <c:v>0.28593028984899799</c:v>
                </c:pt>
                <c:pt idx="82">
                  <c:v>0.28579976319780298</c:v>
                </c:pt>
                <c:pt idx="83">
                  <c:v>0.28550977972983499</c:v>
                </c:pt>
                <c:pt idx="84">
                  <c:v>0.28475533027801597</c:v>
                </c:pt>
                <c:pt idx="85">
                  <c:v>0.28458414480240501</c:v>
                </c:pt>
                <c:pt idx="86">
                  <c:v>0.28406105138922599</c:v>
                </c:pt>
                <c:pt idx="87">
                  <c:v>0.28216059921827802</c:v>
                </c:pt>
                <c:pt idx="88">
                  <c:v>0.281345821695966</c:v>
                </c:pt>
                <c:pt idx="89">
                  <c:v>0.279181372033032</c:v>
                </c:pt>
                <c:pt idx="90">
                  <c:v>0.27901587806286798</c:v>
                </c:pt>
                <c:pt idx="91">
                  <c:v>0.27818265027549499</c:v>
                </c:pt>
                <c:pt idx="92">
                  <c:v>0.27757814902231298</c:v>
                </c:pt>
                <c:pt idx="93">
                  <c:v>0.27649220954902098</c:v>
                </c:pt>
                <c:pt idx="94">
                  <c:v>0.27619225485044901</c:v>
                </c:pt>
                <c:pt idx="95">
                  <c:v>0.27572537242217898</c:v>
                </c:pt>
                <c:pt idx="96">
                  <c:v>0.27464741993581399</c:v>
                </c:pt>
                <c:pt idx="97">
                  <c:v>0.27428250186789099</c:v>
                </c:pt>
                <c:pt idx="98">
                  <c:v>0.27338710959478701</c:v>
                </c:pt>
                <c:pt idx="99">
                  <c:v>0.27301760157076599</c:v>
                </c:pt>
                <c:pt idx="100">
                  <c:v>0.27277944150422201</c:v>
                </c:pt>
                <c:pt idx="101">
                  <c:v>0.27271410573104499</c:v>
                </c:pt>
                <c:pt idx="102">
                  <c:v>0.27144640065078202</c:v>
                </c:pt>
                <c:pt idx="103">
                  <c:v>0.27013548905218498</c:v>
                </c:pt>
                <c:pt idx="104">
                  <c:v>0.268906676014594</c:v>
                </c:pt>
                <c:pt idx="105">
                  <c:v>0.26726001055896098</c:v>
                </c:pt>
                <c:pt idx="106">
                  <c:v>0.26463638384661198</c:v>
                </c:pt>
                <c:pt idx="107">
                  <c:v>0.26442124887375401</c:v>
                </c:pt>
                <c:pt idx="108">
                  <c:v>0.26106965023080803</c:v>
                </c:pt>
                <c:pt idx="109">
                  <c:v>0.25947922774422</c:v>
                </c:pt>
                <c:pt idx="110">
                  <c:v>0.25741972161364401</c:v>
                </c:pt>
                <c:pt idx="111">
                  <c:v>0.25544767354590903</c:v>
                </c:pt>
                <c:pt idx="112">
                  <c:v>0.25448892155688102</c:v>
                </c:pt>
                <c:pt idx="113">
                  <c:v>0.25395550631556102</c:v>
                </c:pt>
                <c:pt idx="114">
                  <c:v>0.25291602268996699</c:v>
                </c:pt>
                <c:pt idx="115">
                  <c:v>0.25275112668659699</c:v>
                </c:pt>
                <c:pt idx="116">
                  <c:v>0.25223959850202898</c:v>
                </c:pt>
                <c:pt idx="117">
                  <c:v>0.25212165912138201</c:v>
                </c:pt>
                <c:pt idx="118">
                  <c:v>0.251261118008413</c:v>
                </c:pt>
                <c:pt idx="119">
                  <c:v>0.24947464953417001</c:v>
                </c:pt>
                <c:pt idx="120">
                  <c:v>0.24739446979566901</c:v>
                </c:pt>
                <c:pt idx="121">
                  <c:v>0.24716175163210399</c:v>
                </c:pt>
                <c:pt idx="122">
                  <c:v>0.24710003846726999</c:v>
                </c:pt>
                <c:pt idx="123">
                  <c:v>0.246889281464542</c:v>
                </c:pt>
                <c:pt idx="124">
                  <c:v>0.24678371144897199</c:v>
                </c:pt>
                <c:pt idx="125">
                  <c:v>0.24665981188807901</c:v>
                </c:pt>
                <c:pt idx="126">
                  <c:v>0.24557172206859501</c:v>
                </c:pt>
                <c:pt idx="127">
                  <c:v>0.245541328066473</c:v>
                </c:pt>
                <c:pt idx="128">
                  <c:v>0.24465908953593099</c:v>
                </c:pt>
                <c:pt idx="129">
                  <c:v>0.243825636165826</c:v>
                </c:pt>
                <c:pt idx="130">
                  <c:v>0.24380597366724299</c:v>
                </c:pt>
                <c:pt idx="131">
                  <c:v>0.243744793938763</c:v>
                </c:pt>
                <c:pt idx="132">
                  <c:v>0.242596905095704</c:v>
                </c:pt>
                <c:pt idx="133">
                  <c:v>0.24234451462002299</c:v>
                </c:pt>
                <c:pt idx="134">
                  <c:v>0.24189612394257401</c:v>
                </c:pt>
                <c:pt idx="135">
                  <c:v>0.23869531388694701</c:v>
                </c:pt>
                <c:pt idx="136">
                  <c:v>0.23847986695363901</c:v>
                </c:pt>
                <c:pt idx="137">
                  <c:v>0.238353186852029</c:v>
                </c:pt>
                <c:pt idx="138">
                  <c:v>0.23640319678382099</c:v>
                </c:pt>
                <c:pt idx="139">
                  <c:v>0.235432110203392</c:v>
                </c:pt>
                <c:pt idx="140">
                  <c:v>0.23454373271985901</c:v>
                </c:pt>
                <c:pt idx="141">
                  <c:v>0.234496570261124</c:v>
                </c:pt>
                <c:pt idx="142">
                  <c:v>0.234090705129675</c:v>
                </c:pt>
                <c:pt idx="143">
                  <c:v>0.23153415376824699</c:v>
                </c:pt>
                <c:pt idx="144">
                  <c:v>0.23138624576780101</c:v>
                </c:pt>
                <c:pt idx="145">
                  <c:v>0.23133151779079</c:v>
                </c:pt>
                <c:pt idx="146">
                  <c:v>0.229975647532567</c:v>
                </c:pt>
                <c:pt idx="147">
                  <c:v>0.22968999004761001</c:v>
                </c:pt>
                <c:pt idx="148">
                  <c:v>0.22964913720531599</c:v>
                </c:pt>
                <c:pt idx="149">
                  <c:v>0.229216258344907</c:v>
                </c:pt>
                <c:pt idx="150">
                  <c:v>0.22898476020757899</c:v>
                </c:pt>
                <c:pt idx="151">
                  <c:v>0.22848648616414199</c:v>
                </c:pt>
                <c:pt idx="152">
                  <c:v>0.22796045681975699</c:v>
                </c:pt>
                <c:pt idx="153">
                  <c:v>0.22778238404279499</c:v>
                </c:pt>
                <c:pt idx="154">
                  <c:v>0.22710228445990499</c:v>
                </c:pt>
                <c:pt idx="155">
                  <c:v>0.22523490315536099</c:v>
                </c:pt>
                <c:pt idx="156">
                  <c:v>0.22289749356091801</c:v>
                </c:pt>
                <c:pt idx="157">
                  <c:v>0.22273658356082399</c:v>
                </c:pt>
                <c:pt idx="158">
                  <c:v>0.22271448863304999</c:v>
                </c:pt>
                <c:pt idx="159">
                  <c:v>0.22198184210665201</c:v>
                </c:pt>
                <c:pt idx="160">
                  <c:v>0.22098699593295401</c:v>
                </c:pt>
                <c:pt idx="161">
                  <c:v>0.219708186385217</c:v>
                </c:pt>
                <c:pt idx="162">
                  <c:v>0.21685927714266801</c:v>
                </c:pt>
                <c:pt idx="163">
                  <c:v>0.216386645153851</c:v>
                </c:pt>
                <c:pt idx="164">
                  <c:v>0.21511845720799999</c:v>
                </c:pt>
                <c:pt idx="165">
                  <c:v>0.21471571865464201</c:v>
                </c:pt>
                <c:pt idx="166">
                  <c:v>0.21453664310105999</c:v>
                </c:pt>
                <c:pt idx="167">
                  <c:v>0.213027965488893</c:v>
                </c:pt>
                <c:pt idx="168">
                  <c:v>0.21286070986789801</c:v>
                </c:pt>
                <c:pt idx="169">
                  <c:v>0.21209482125123699</c:v>
                </c:pt>
                <c:pt idx="170">
                  <c:v>0.210701515123602</c:v>
                </c:pt>
                <c:pt idx="171">
                  <c:v>0.20923498446316</c:v>
                </c:pt>
                <c:pt idx="172">
                  <c:v>0.208410650635589</c:v>
                </c:pt>
                <c:pt idx="173">
                  <c:v>0.208198706472737</c:v>
                </c:pt>
                <c:pt idx="174">
                  <c:v>0.20811429924838901</c:v>
                </c:pt>
                <c:pt idx="175">
                  <c:v>0.206012633015145</c:v>
                </c:pt>
                <c:pt idx="176">
                  <c:v>0.20477016945738599</c:v>
                </c:pt>
                <c:pt idx="177">
                  <c:v>0.20462238616769901</c:v>
                </c:pt>
                <c:pt idx="178">
                  <c:v>0.20448187366854201</c:v>
                </c:pt>
                <c:pt idx="179">
                  <c:v>0.20430889160499199</c:v>
                </c:pt>
                <c:pt idx="180">
                  <c:v>0.203386088622377</c:v>
                </c:pt>
                <c:pt idx="181">
                  <c:v>0.20290853017078</c:v>
                </c:pt>
                <c:pt idx="182">
                  <c:v>0.20260452106042801</c:v>
                </c:pt>
                <c:pt idx="183">
                  <c:v>0.20251121424479801</c:v>
                </c:pt>
                <c:pt idx="184">
                  <c:v>0.19977638669063599</c:v>
                </c:pt>
                <c:pt idx="185">
                  <c:v>0.19925652426465301</c:v>
                </c:pt>
                <c:pt idx="186">
                  <c:v>0.19909538591349399</c:v>
                </c:pt>
                <c:pt idx="187">
                  <c:v>0.19897917048161801</c:v>
                </c:pt>
                <c:pt idx="188">
                  <c:v>0.197535803902539</c:v>
                </c:pt>
                <c:pt idx="189">
                  <c:v>0.196675150730522</c:v>
                </c:pt>
                <c:pt idx="190">
                  <c:v>0.19508093395569501</c:v>
                </c:pt>
                <c:pt idx="191">
                  <c:v>0.19246754462583199</c:v>
                </c:pt>
                <c:pt idx="192">
                  <c:v>0.19132647418577001</c:v>
                </c:pt>
                <c:pt idx="193">
                  <c:v>0.190743691388361</c:v>
                </c:pt>
                <c:pt idx="194">
                  <c:v>0.19073436750445499</c:v>
                </c:pt>
                <c:pt idx="195">
                  <c:v>0.18993514458629601</c:v>
                </c:pt>
                <c:pt idx="196">
                  <c:v>0.18914453600637299</c:v>
                </c:pt>
                <c:pt idx="197">
                  <c:v>0.18880737642926601</c:v>
                </c:pt>
                <c:pt idx="198">
                  <c:v>0.18860361178882401</c:v>
                </c:pt>
                <c:pt idx="199">
                  <c:v>0.18820243128675301</c:v>
                </c:pt>
                <c:pt idx="200">
                  <c:v>0.18735024376918599</c:v>
                </c:pt>
                <c:pt idx="201">
                  <c:v>0.187285370510716</c:v>
                </c:pt>
                <c:pt idx="202">
                  <c:v>0.187129400944608</c:v>
                </c:pt>
                <c:pt idx="203">
                  <c:v>0.18650431712342599</c:v>
                </c:pt>
                <c:pt idx="204">
                  <c:v>0.185869430362399</c:v>
                </c:pt>
                <c:pt idx="205">
                  <c:v>0.18581500950524499</c:v>
                </c:pt>
                <c:pt idx="206">
                  <c:v>0.185302296636253</c:v>
                </c:pt>
                <c:pt idx="207">
                  <c:v>0.18488764022069401</c:v>
                </c:pt>
                <c:pt idx="208">
                  <c:v>0.18432417329277401</c:v>
                </c:pt>
                <c:pt idx="209">
                  <c:v>0.18427306838955501</c:v>
                </c:pt>
                <c:pt idx="210">
                  <c:v>0.18407446965122701</c:v>
                </c:pt>
                <c:pt idx="211">
                  <c:v>0.18357514710469899</c:v>
                </c:pt>
                <c:pt idx="212">
                  <c:v>0.182738203085682</c:v>
                </c:pt>
                <c:pt idx="213">
                  <c:v>0.18270553924785901</c:v>
                </c:pt>
                <c:pt idx="214">
                  <c:v>0.18190042067043699</c:v>
                </c:pt>
                <c:pt idx="215">
                  <c:v>0.18182657007741801</c:v>
                </c:pt>
                <c:pt idx="216">
                  <c:v>0.18161903682106401</c:v>
                </c:pt>
                <c:pt idx="217">
                  <c:v>0.18126656720689399</c:v>
                </c:pt>
                <c:pt idx="218">
                  <c:v>0.18105624159229899</c:v>
                </c:pt>
                <c:pt idx="219">
                  <c:v>0.18050978370474299</c:v>
                </c:pt>
                <c:pt idx="220">
                  <c:v>0.179921512107793</c:v>
                </c:pt>
                <c:pt idx="221">
                  <c:v>0.17891733225805001</c:v>
                </c:pt>
                <c:pt idx="222">
                  <c:v>0.17838524452836299</c:v>
                </c:pt>
                <c:pt idx="223">
                  <c:v>0.177621414716852</c:v>
                </c:pt>
                <c:pt idx="224">
                  <c:v>0.17655947315892101</c:v>
                </c:pt>
                <c:pt idx="225">
                  <c:v>0.17555401129989601</c:v>
                </c:pt>
                <c:pt idx="226">
                  <c:v>0.17528185828339601</c:v>
                </c:pt>
                <c:pt idx="227">
                  <c:v>0.174855215018698</c:v>
                </c:pt>
                <c:pt idx="228">
                  <c:v>0.17456056673878501</c:v>
                </c:pt>
                <c:pt idx="229">
                  <c:v>0.17400033854712699</c:v>
                </c:pt>
                <c:pt idx="230">
                  <c:v>0.17311972337214199</c:v>
                </c:pt>
                <c:pt idx="231">
                  <c:v>0.17219207585212201</c:v>
                </c:pt>
                <c:pt idx="232">
                  <c:v>0.17110625292599899</c:v>
                </c:pt>
                <c:pt idx="233">
                  <c:v>0.17099281629590901</c:v>
                </c:pt>
                <c:pt idx="234">
                  <c:v>0.17071688261944201</c:v>
                </c:pt>
                <c:pt idx="235">
                  <c:v>0.17056801049679299</c:v>
                </c:pt>
                <c:pt idx="236">
                  <c:v>0.170323558722065</c:v>
                </c:pt>
                <c:pt idx="237">
                  <c:v>0.170014975073703</c:v>
                </c:pt>
                <c:pt idx="238">
                  <c:v>0.16885888671552199</c:v>
                </c:pt>
                <c:pt idx="239">
                  <c:v>0.16878414296371799</c:v>
                </c:pt>
                <c:pt idx="240">
                  <c:v>0.168214265162618</c:v>
                </c:pt>
                <c:pt idx="241">
                  <c:v>0.168065954216713</c:v>
                </c:pt>
                <c:pt idx="242">
                  <c:v>0.166700975651247</c:v>
                </c:pt>
                <c:pt idx="243">
                  <c:v>0.16638835745984301</c:v>
                </c:pt>
                <c:pt idx="244">
                  <c:v>0.16574923834984001</c:v>
                </c:pt>
                <c:pt idx="245">
                  <c:v>0.16564961170869799</c:v>
                </c:pt>
                <c:pt idx="246">
                  <c:v>0.165017364881582</c:v>
                </c:pt>
                <c:pt idx="247">
                  <c:v>0.16408938955420199</c:v>
                </c:pt>
                <c:pt idx="248">
                  <c:v>0.16361706700449299</c:v>
                </c:pt>
                <c:pt idx="249">
                  <c:v>0.163310032623493</c:v>
                </c:pt>
                <c:pt idx="250">
                  <c:v>0.16284454725382899</c:v>
                </c:pt>
                <c:pt idx="251">
                  <c:v>0.16208226017895699</c:v>
                </c:pt>
                <c:pt idx="252">
                  <c:v>0.16177819505434701</c:v>
                </c:pt>
                <c:pt idx="253">
                  <c:v>0.161226222047574</c:v>
                </c:pt>
                <c:pt idx="254">
                  <c:v>0.160982209684571</c:v>
                </c:pt>
                <c:pt idx="255">
                  <c:v>0.16044296315290299</c:v>
                </c:pt>
                <c:pt idx="256">
                  <c:v>0.157985178662431</c:v>
                </c:pt>
                <c:pt idx="257">
                  <c:v>0.15736213790036599</c:v>
                </c:pt>
                <c:pt idx="258">
                  <c:v>0.15653910249819</c:v>
                </c:pt>
                <c:pt idx="259">
                  <c:v>0.15652070059307399</c:v>
                </c:pt>
                <c:pt idx="260">
                  <c:v>0.15641937081797599</c:v>
                </c:pt>
                <c:pt idx="261">
                  <c:v>0.15571806457147899</c:v>
                </c:pt>
                <c:pt idx="262">
                  <c:v>0.15533464868299199</c:v>
                </c:pt>
                <c:pt idx="263">
                  <c:v>0.15504886091130901</c:v>
                </c:pt>
                <c:pt idx="264">
                  <c:v>0.15490542100094801</c:v>
                </c:pt>
                <c:pt idx="265">
                  <c:v>0.154792847051134</c:v>
                </c:pt>
                <c:pt idx="266">
                  <c:v>0.154446156724484</c:v>
                </c:pt>
                <c:pt idx="267">
                  <c:v>0.15432570630515699</c:v>
                </c:pt>
                <c:pt idx="268">
                  <c:v>0.15359026129202699</c:v>
                </c:pt>
                <c:pt idx="269">
                  <c:v>0.15288027133909199</c:v>
                </c:pt>
                <c:pt idx="270">
                  <c:v>0.15268625774998201</c:v>
                </c:pt>
                <c:pt idx="271">
                  <c:v>0.152231095363354</c:v>
                </c:pt>
                <c:pt idx="272">
                  <c:v>0.15169588482694099</c:v>
                </c:pt>
                <c:pt idx="273">
                  <c:v>0.15054701752117899</c:v>
                </c:pt>
                <c:pt idx="274">
                  <c:v>0.150121320569233</c:v>
                </c:pt>
                <c:pt idx="275">
                  <c:v>0.149755201124807</c:v>
                </c:pt>
                <c:pt idx="276">
                  <c:v>0.14953038808651201</c:v>
                </c:pt>
                <c:pt idx="277">
                  <c:v>0.14872113595533701</c:v>
                </c:pt>
                <c:pt idx="278">
                  <c:v>0.14855939519040701</c:v>
                </c:pt>
                <c:pt idx="279">
                  <c:v>0.14696667492530099</c:v>
                </c:pt>
                <c:pt idx="280">
                  <c:v>0.14624978129557201</c:v>
                </c:pt>
                <c:pt idx="281">
                  <c:v>0.14554778601721199</c:v>
                </c:pt>
                <c:pt idx="282">
                  <c:v>0.14451707908577099</c:v>
                </c:pt>
                <c:pt idx="283">
                  <c:v>0.14424206047590701</c:v>
                </c:pt>
                <c:pt idx="284">
                  <c:v>0.14380004140848099</c:v>
                </c:pt>
                <c:pt idx="285">
                  <c:v>0.14269444325458799</c:v>
                </c:pt>
                <c:pt idx="286">
                  <c:v>0.14267187958111999</c:v>
                </c:pt>
                <c:pt idx="287">
                  <c:v>0.142526118194156</c:v>
                </c:pt>
                <c:pt idx="288">
                  <c:v>0.14161660489075301</c:v>
                </c:pt>
                <c:pt idx="289">
                  <c:v>0.141568221614669</c:v>
                </c:pt>
                <c:pt idx="290">
                  <c:v>0.14095942055435301</c:v>
                </c:pt>
                <c:pt idx="291">
                  <c:v>0.13991028856901999</c:v>
                </c:pt>
                <c:pt idx="292">
                  <c:v>0.13989634406212501</c:v>
                </c:pt>
                <c:pt idx="293">
                  <c:v>0.139741087606466</c:v>
                </c:pt>
                <c:pt idx="294">
                  <c:v>0.139372549860033</c:v>
                </c:pt>
                <c:pt idx="295">
                  <c:v>0.13924808811192599</c:v>
                </c:pt>
                <c:pt idx="296">
                  <c:v>0.13913234259287999</c:v>
                </c:pt>
                <c:pt idx="297">
                  <c:v>0.13865013256837699</c:v>
                </c:pt>
                <c:pt idx="298">
                  <c:v>0.13728199813692199</c:v>
                </c:pt>
                <c:pt idx="299">
                  <c:v>0.136186097737371</c:v>
                </c:pt>
                <c:pt idx="300">
                  <c:v>0.13551466932428299</c:v>
                </c:pt>
                <c:pt idx="301">
                  <c:v>0.13524167443708601</c:v>
                </c:pt>
                <c:pt idx="302">
                  <c:v>0.13517614419392501</c:v>
                </c:pt>
                <c:pt idx="303">
                  <c:v>0.13484632034577301</c:v>
                </c:pt>
                <c:pt idx="304">
                  <c:v>0.13458772791745399</c:v>
                </c:pt>
                <c:pt idx="305">
                  <c:v>0.134369055893649</c:v>
                </c:pt>
                <c:pt idx="306">
                  <c:v>0.13380130344778701</c:v>
                </c:pt>
                <c:pt idx="307">
                  <c:v>0.13260750309296801</c:v>
                </c:pt>
                <c:pt idx="308">
                  <c:v>0.13100962547928799</c:v>
                </c:pt>
                <c:pt idx="309">
                  <c:v>0.13087129270335801</c:v>
                </c:pt>
                <c:pt idx="310">
                  <c:v>0.13039070358205601</c:v>
                </c:pt>
                <c:pt idx="311">
                  <c:v>0.13024112627682699</c:v>
                </c:pt>
                <c:pt idx="312">
                  <c:v>0.13019375769755201</c:v>
                </c:pt>
                <c:pt idx="313">
                  <c:v>0.129675768227657</c:v>
                </c:pt>
                <c:pt idx="314">
                  <c:v>0.12881471005916201</c:v>
                </c:pt>
                <c:pt idx="315">
                  <c:v>0.128660162823833</c:v>
                </c:pt>
                <c:pt idx="316">
                  <c:v>0.12833446115462899</c:v>
                </c:pt>
                <c:pt idx="317">
                  <c:v>0.12793963424486801</c:v>
                </c:pt>
                <c:pt idx="318">
                  <c:v>0.12737718641228599</c:v>
                </c:pt>
                <c:pt idx="319">
                  <c:v>0.12707580129454199</c:v>
                </c:pt>
                <c:pt idx="320">
                  <c:v>0.126373308785173</c:v>
                </c:pt>
                <c:pt idx="321">
                  <c:v>0.12597562789973901</c:v>
                </c:pt>
                <c:pt idx="322">
                  <c:v>0.125939230300291</c:v>
                </c:pt>
                <c:pt idx="323">
                  <c:v>0.125444420732781</c:v>
                </c:pt>
                <c:pt idx="324">
                  <c:v>0.12457415073874401</c:v>
                </c:pt>
                <c:pt idx="325">
                  <c:v>0.12449356040519299</c:v>
                </c:pt>
                <c:pt idx="326">
                  <c:v>0.124475269550402</c:v>
                </c:pt>
                <c:pt idx="327">
                  <c:v>0.124463815670689</c:v>
                </c:pt>
                <c:pt idx="328">
                  <c:v>0.124119152702706</c:v>
                </c:pt>
                <c:pt idx="329">
                  <c:v>0.124114437985264</c:v>
                </c:pt>
                <c:pt idx="330">
                  <c:v>0.12328835899983499</c:v>
                </c:pt>
                <c:pt idx="331">
                  <c:v>0.123064284019373</c:v>
                </c:pt>
                <c:pt idx="332">
                  <c:v>0.12124973571436699</c:v>
                </c:pt>
                <c:pt idx="333">
                  <c:v>0.119615875182746</c:v>
                </c:pt>
                <c:pt idx="334">
                  <c:v>0.11955899197698699</c:v>
                </c:pt>
                <c:pt idx="335">
                  <c:v>0.11945465058044499</c:v>
                </c:pt>
                <c:pt idx="336">
                  <c:v>0.11930858636894</c:v>
                </c:pt>
                <c:pt idx="337">
                  <c:v>0.11921265131618999</c:v>
                </c:pt>
                <c:pt idx="338">
                  <c:v>0.118829796778779</c:v>
                </c:pt>
                <c:pt idx="339">
                  <c:v>0.118805579372549</c:v>
                </c:pt>
                <c:pt idx="340">
                  <c:v>0.118686942494478</c:v>
                </c:pt>
                <c:pt idx="341">
                  <c:v>0.118150298756105</c:v>
                </c:pt>
                <c:pt idx="342">
                  <c:v>0.11661464526516301</c:v>
                </c:pt>
                <c:pt idx="343">
                  <c:v>0.116045158237533</c:v>
                </c:pt>
                <c:pt idx="344">
                  <c:v>0.114855592176536</c:v>
                </c:pt>
                <c:pt idx="345">
                  <c:v>0.114631734814273</c:v>
                </c:pt>
                <c:pt idx="346">
                  <c:v>0.114610654308564</c:v>
                </c:pt>
                <c:pt idx="347">
                  <c:v>0.11390969242716301</c:v>
                </c:pt>
                <c:pt idx="348">
                  <c:v>0.11371551685023</c:v>
                </c:pt>
                <c:pt idx="349">
                  <c:v>0.11369465997944</c:v>
                </c:pt>
                <c:pt idx="350">
                  <c:v>0.112943786595968</c:v>
                </c:pt>
                <c:pt idx="351">
                  <c:v>0.11283438595663101</c:v>
                </c:pt>
                <c:pt idx="352">
                  <c:v>0.112466520944948</c:v>
                </c:pt>
                <c:pt idx="353">
                  <c:v>0.111016153532811</c:v>
                </c:pt>
                <c:pt idx="354">
                  <c:v>0.11008349642911899</c:v>
                </c:pt>
                <c:pt idx="355">
                  <c:v>0.10989516733746001</c:v>
                </c:pt>
                <c:pt idx="356">
                  <c:v>0.109688290168286</c:v>
                </c:pt>
                <c:pt idx="357">
                  <c:v>0.108903521642087</c:v>
                </c:pt>
                <c:pt idx="358">
                  <c:v>0.10826223293467301</c:v>
                </c:pt>
                <c:pt idx="359">
                  <c:v>0.108185874108645</c:v>
                </c:pt>
                <c:pt idx="360">
                  <c:v>0.10773401237720499</c:v>
                </c:pt>
                <c:pt idx="361">
                  <c:v>0.107636992230337</c:v>
                </c:pt>
                <c:pt idx="362">
                  <c:v>0.10737576768164001</c:v>
                </c:pt>
                <c:pt idx="363">
                  <c:v>0.107370364016353</c:v>
                </c:pt>
                <c:pt idx="364">
                  <c:v>0.107353305945828</c:v>
                </c:pt>
                <c:pt idx="365">
                  <c:v>0.107061646291556</c:v>
                </c:pt>
                <c:pt idx="366">
                  <c:v>0.106903450854341</c:v>
                </c:pt>
                <c:pt idx="367">
                  <c:v>0.106258326960359</c:v>
                </c:pt>
                <c:pt idx="368">
                  <c:v>0.106241188118552</c:v>
                </c:pt>
                <c:pt idx="369">
                  <c:v>0.105802429984982</c:v>
                </c:pt>
                <c:pt idx="370">
                  <c:v>0.10561391617423101</c:v>
                </c:pt>
                <c:pt idx="371">
                  <c:v>0.105166657501407</c:v>
                </c:pt>
                <c:pt idx="372">
                  <c:v>0.105091304511717</c:v>
                </c:pt>
                <c:pt idx="373">
                  <c:v>0.104879167374598</c:v>
                </c:pt>
                <c:pt idx="374">
                  <c:v>0.104586815388059</c:v>
                </c:pt>
                <c:pt idx="375">
                  <c:v>0.104162111072632</c:v>
                </c:pt>
                <c:pt idx="376">
                  <c:v>0.10398258737968399</c:v>
                </c:pt>
                <c:pt idx="377">
                  <c:v>0.10365784292392501</c:v>
                </c:pt>
                <c:pt idx="378">
                  <c:v>0.103562781039526</c:v>
                </c:pt>
                <c:pt idx="379">
                  <c:v>0.103077668922247</c:v>
                </c:pt>
                <c:pt idx="380">
                  <c:v>0.102933769186563</c:v>
                </c:pt>
                <c:pt idx="381">
                  <c:v>0.10182762369765</c:v>
                </c:pt>
                <c:pt idx="382">
                  <c:v>0.101795842580063</c:v>
                </c:pt>
                <c:pt idx="383">
                  <c:v>0.100859476501755</c:v>
                </c:pt>
                <c:pt idx="384">
                  <c:v>0.100687306014882</c:v>
                </c:pt>
                <c:pt idx="385">
                  <c:v>0.10056057649858501</c:v>
                </c:pt>
                <c:pt idx="386">
                  <c:v>9.8638169089498795E-2</c:v>
                </c:pt>
                <c:pt idx="387">
                  <c:v>9.8095288113020096E-2</c:v>
                </c:pt>
                <c:pt idx="388">
                  <c:v>9.7750153504012394E-2</c:v>
                </c:pt>
                <c:pt idx="389">
                  <c:v>9.6974253795365895E-2</c:v>
                </c:pt>
                <c:pt idx="390">
                  <c:v>9.6490287093305094E-2</c:v>
                </c:pt>
                <c:pt idx="391">
                  <c:v>9.5855681330872106E-2</c:v>
                </c:pt>
                <c:pt idx="392">
                  <c:v>9.5334080767733503E-2</c:v>
                </c:pt>
                <c:pt idx="393">
                  <c:v>9.43035327447352E-2</c:v>
                </c:pt>
                <c:pt idx="394">
                  <c:v>9.29470549891247E-2</c:v>
                </c:pt>
                <c:pt idx="395">
                  <c:v>9.2939434696544698E-2</c:v>
                </c:pt>
                <c:pt idx="396">
                  <c:v>9.2333884137743003E-2</c:v>
                </c:pt>
                <c:pt idx="397">
                  <c:v>9.1869860939217299E-2</c:v>
                </c:pt>
                <c:pt idx="398">
                  <c:v>9.1508515772285901E-2</c:v>
                </c:pt>
                <c:pt idx="399">
                  <c:v>9.1431697186675598E-2</c:v>
                </c:pt>
                <c:pt idx="400">
                  <c:v>9.0777783423965197E-2</c:v>
                </c:pt>
                <c:pt idx="401">
                  <c:v>9.0180897883157099E-2</c:v>
                </c:pt>
                <c:pt idx="402">
                  <c:v>8.9862249674254602E-2</c:v>
                </c:pt>
                <c:pt idx="403">
                  <c:v>8.97006307850306E-2</c:v>
                </c:pt>
                <c:pt idx="404">
                  <c:v>8.9240794773876295E-2</c:v>
                </c:pt>
                <c:pt idx="405">
                  <c:v>8.8288394589453298E-2</c:v>
                </c:pt>
                <c:pt idx="406">
                  <c:v>8.73682137872651E-2</c:v>
                </c:pt>
                <c:pt idx="407">
                  <c:v>8.7348776724163302E-2</c:v>
                </c:pt>
                <c:pt idx="408">
                  <c:v>8.6864992527742504E-2</c:v>
                </c:pt>
                <c:pt idx="409">
                  <c:v>8.6690028115251894E-2</c:v>
                </c:pt>
                <c:pt idx="410">
                  <c:v>8.6311523320571806E-2</c:v>
                </c:pt>
                <c:pt idx="411">
                  <c:v>8.5814909543333401E-2</c:v>
                </c:pt>
                <c:pt idx="412">
                  <c:v>8.5063396468561397E-2</c:v>
                </c:pt>
                <c:pt idx="413">
                  <c:v>8.4896508764371298E-2</c:v>
                </c:pt>
                <c:pt idx="414">
                  <c:v>8.4315692771114004E-2</c:v>
                </c:pt>
                <c:pt idx="415">
                  <c:v>8.3454895006607799E-2</c:v>
                </c:pt>
                <c:pt idx="416">
                  <c:v>8.32378025223207E-2</c:v>
                </c:pt>
                <c:pt idx="417">
                  <c:v>8.3068828874144504E-2</c:v>
                </c:pt>
                <c:pt idx="418">
                  <c:v>8.1571633807755506E-2</c:v>
                </c:pt>
                <c:pt idx="419">
                  <c:v>8.0808322370647806E-2</c:v>
                </c:pt>
                <c:pt idx="420">
                  <c:v>8.0423912839763897E-2</c:v>
                </c:pt>
                <c:pt idx="421">
                  <c:v>7.9946959613307306E-2</c:v>
                </c:pt>
                <c:pt idx="422">
                  <c:v>7.9908681222880196E-2</c:v>
                </c:pt>
                <c:pt idx="423">
                  <c:v>7.9646940942862302E-2</c:v>
                </c:pt>
                <c:pt idx="424">
                  <c:v>7.9332805058895506E-2</c:v>
                </c:pt>
                <c:pt idx="425">
                  <c:v>7.9122667052408904E-2</c:v>
                </c:pt>
                <c:pt idx="426">
                  <c:v>7.8628008635304197E-2</c:v>
                </c:pt>
                <c:pt idx="427">
                  <c:v>7.8575251918691594E-2</c:v>
                </c:pt>
                <c:pt idx="428">
                  <c:v>7.7965803962492197E-2</c:v>
                </c:pt>
                <c:pt idx="429">
                  <c:v>7.7144930376835702E-2</c:v>
                </c:pt>
                <c:pt idx="430">
                  <c:v>7.70234706117017E-2</c:v>
                </c:pt>
                <c:pt idx="431">
                  <c:v>7.6587649518391296E-2</c:v>
                </c:pt>
                <c:pt idx="432">
                  <c:v>7.6365604544863103E-2</c:v>
                </c:pt>
                <c:pt idx="433">
                  <c:v>7.6154990970517103E-2</c:v>
                </c:pt>
                <c:pt idx="434">
                  <c:v>7.4736158624186505E-2</c:v>
                </c:pt>
                <c:pt idx="435">
                  <c:v>7.4595530042164307E-2</c:v>
                </c:pt>
                <c:pt idx="436">
                  <c:v>7.4050355837289E-2</c:v>
                </c:pt>
                <c:pt idx="437">
                  <c:v>7.3836472158057401E-2</c:v>
                </c:pt>
                <c:pt idx="438">
                  <c:v>7.3796059877097794E-2</c:v>
                </c:pt>
                <c:pt idx="439">
                  <c:v>7.2940884630181099E-2</c:v>
                </c:pt>
                <c:pt idx="440">
                  <c:v>7.2748734645795704E-2</c:v>
                </c:pt>
                <c:pt idx="441">
                  <c:v>7.2348251423659193E-2</c:v>
                </c:pt>
                <c:pt idx="442">
                  <c:v>7.1232645329930802E-2</c:v>
                </c:pt>
                <c:pt idx="443">
                  <c:v>7.0452577761015295E-2</c:v>
                </c:pt>
                <c:pt idx="444">
                  <c:v>7.0225278323272897E-2</c:v>
                </c:pt>
                <c:pt idx="445">
                  <c:v>6.9481903378532994E-2</c:v>
                </c:pt>
                <c:pt idx="446">
                  <c:v>6.9059898845113807E-2</c:v>
                </c:pt>
                <c:pt idx="447">
                  <c:v>6.8602649779769098E-2</c:v>
                </c:pt>
                <c:pt idx="448">
                  <c:v>6.77599420440754E-2</c:v>
                </c:pt>
                <c:pt idx="449">
                  <c:v>6.77421582973146E-2</c:v>
                </c:pt>
                <c:pt idx="450">
                  <c:v>6.7156647294828606E-2</c:v>
                </c:pt>
                <c:pt idx="451">
                  <c:v>6.6973612237166996E-2</c:v>
                </c:pt>
                <c:pt idx="452">
                  <c:v>6.6683314610048297E-2</c:v>
                </c:pt>
                <c:pt idx="453">
                  <c:v>6.50635205954639E-2</c:v>
                </c:pt>
                <c:pt idx="454">
                  <c:v>6.4692541525284003E-2</c:v>
                </c:pt>
                <c:pt idx="455">
                  <c:v>6.4518935917016407E-2</c:v>
                </c:pt>
                <c:pt idx="456">
                  <c:v>6.4411205530750804E-2</c:v>
                </c:pt>
                <c:pt idx="457">
                  <c:v>6.4260064106109793E-2</c:v>
                </c:pt>
                <c:pt idx="458">
                  <c:v>6.3525991187566105E-2</c:v>
                </c:pt>
                <c:pt idx="459">
                  <c:v>6.3484069988255495E-2</c:v>
                </c:pt>
                <c:pt idx="460">
                  <c:v>6.3178384818836406E-2</c:v>
                </c:pt>
                <c:pt idx="461">
                  <c:v>6.3031282429015803E-2</c:v>
                </c:pt>
                <c:pt idx="462">
                  <c:v>6.2804768355944299E-2</c:v>
                </c:pt>
                <c:pt idx="463">
                  <c:v>6.2050390969015899E-2</c:v>
                </c:pt>
                <c:pt idx="464">
                  <c:v>6.1355726161185301E-2</c:v>
                </c:pt>
                <c:pt idx="465">
                  <c:v>6.0696454287813097E-2</c:v>
                </c:pt>
                <c:pt idx="466">
                  <c:v>5.9599894744330299E-2</c:v>
                </c:pt>
                <c:pt idx="467">
                  <c:v>5.9275932896998999E-2</c:v>
                </c:pt>
                <c:pt idx="468">
                  <c:v>5.9037460126752601E-2</c:v>
                </c:pt>
                <c:pt idx="469">
                  <c:v>5.86154682651992E-2</c:v>
                </c:pt>
                <c:pt idx="470">
                  <c:v>5.82129938308482E-2</c:v>
                </c:pt>
                <c:pt idx="471">
                  <c:v>5.8010199441356602E-2</c:v>
                </c:pt>
                <c:pt idx="472">
                  <c:v>5.7961232926266801E-2</c:v>
                </c:pt>
                <c:pt idx="473">
                  <c:v>5.6447316063462399E-2</c:v>
                </c:pt>
                <c:pt idx="474">
                  <c:v>5.6323034591040599E-2</c:v>
                </c:pt>
                <c:pt idx="475">
                  <c:v>5.6191125914629103E-2</c:v>
                </c:pt>
                <c:pt idx="476">
                  <c:v>5.4645776272890099E-2</c:v>
                </c:pt>
                <c:pt idx="477">
                  <c:v>5.4524454404450202E-2</c:v>
                </c:pt>
                <c:pt idx="478">
                  <c:v>5.4269862534130998E-2</c:v>
                </c:pt>
                <c:pt idx="479">
                  <c:v>5.3183497418120403E-2</c:v>
                </c:pt>
                <c:pt idx="480">
                  <c:v>5.3025686254408698E-2</c:v>
                </c:pt>
                <c:pt idx="481">
                  <c:v>5.2097274284924902E-2</c:v>
                </c:pt>
                <c:pt idx="482">
                  <c:v>5.2021115242138802E-2</c:v>
                </c:pt>
                <c:pt idx="483">
                  <c:v>5.1285890770752803E-2</c:v>
                </c:pt>
                <c:pt idx="484">
                  <c:v>5.0798795826712997E-2</c:v>
                </c:pt>
                <c:pt idx="485">
                  <c:v>5.0567975809887998E-2</c:v>
                </c:pt>
                <c:pt idx="486">
                  <c:v>4.9608757785879899E-2</c:v>
                </c:pt>
                <c:pt idx="487">
                  <c:v>4.9478220511179803E-2</c:v>
                </c:pt>
                <c:pt idx="488">
                  <c:v>4.8409191640657399E-2</c:v>
                </c:pt>
                <c:pt idx="489">
                  <c:v>4.8377927364996902E-2</c:v>
                </c:pt>
                <c:pt idx="490">
                  <c:v>4.7958959811493798E-2</c:v>
                </c:pt>
                <c:pt idx="491">
                  <c:v>4.7759491382392702E-2</c:v>
                </c:pt>
                <c:pt idx="492">
                  <c:v>4.7571044183350598E-2</c:v>
                </c:pt>
                <c:pt idx="493">
                  <c:v>4.7396816684003903E-2</c:v>
                </c:pt>
                <c:pt idx="494">
                  <c:v>4.6817543681079002E-2</c:v>
                </c:pt>
                <c:pt idx="495">
                  <c:v>4.6415813741994202E-2</c:v>
                </c:pt>
                <c:pt idx="496">
                  <c:v>4.6179269064626799E-2</c:v>
                </c:pt>
                <c:pt idx="497">
                  <c:v>4.58369451488315E-2</c:v>
                </c:pt>
                <c:pt idx="498">
                  <c:v>4.4925777138070402E-2</c:v>
                </c:pt>
                <c:pt idx="499">
                  <c:v>4.38634564580156E-2</c:v>
                </c:pt>
                <c:pt idx="500">
                  <c:v>4.3098338748726199E-2</c:v>
                </c:pt>
                <c:pt idx="501">
                  <c:v>4.29864476502205E-2</c:v>
                </c:pt>
                <c:pt idx="502">
                  <c:v>4.2497878109347603E-2</c:v>
                </c:pt>
                <c:pt idx="503">
                  <c:v>4.1890551585991899E-2</c:v>
                </c:pt>
                <c:pt idx="504">
                  <c:v>4.1445267045987097E-2</c:v>
                </c:pt>
                <c:pt idx="505">
                  <c:v>4.1071848792800097E-2</c:v>
                </c:pt>
                <c:pt idx="506">
                  <c:v>4.0879887655396401E-2</c:v>
                </c:pt>
                <c:pt idx="507">
                  <c:v>3.80302652170331E-2</c:v>
                </c:pt>
                <c:pt idx="508">
                  <c:v>3.6270098544225603E-2</c:v>
                </c:pt>
                <c:pt idx="509">
                  <c:v>3.5898045232595002E-2</c:v>
                </c:pt>
                <c:pt idx="510">
                  <c:v>3.4427597825963802E-2</c:v>
                </c:pt>
                <c:pt idx="511">
                  <c:v>3.43661861886344E-2</c:v>
                </c:pt>
                <c:pt idx="512">
                  <c:v>3.4192231252337703E-2</c:v>
                </c:pt>
                <c:pt idx="513">
                  <c:v>3.3933040618754698E-2</c:v>
                </c:pt>
                <c:pt idx="514">
                  <c:v>3.22296036480621E-2</c:v>
                </c:pt>
                <c:pt idx="515">
                  <c:v>3.2193157060950897E-2</c:v>
                </c:pt>
                <c:pt idx="516">
                  <c:v>3.1965833391207898E-2</c:v>
                </c:pt>
                <c:pt idx="517">
                  <c:v>3.0781308643271599E-2</c:v>
                </c:pt>
                <c:pt idx="518">
                  <c:v>3.0476134247787601E-2</c:v>
                </c:pt>
                <c:pt idx="519">
                  <c:v>2.9979301203309799E-2</c:v>
                </c:pt>
                <c:pt idx="520">
                  <c:v>2.8631274353765199E-2</c:v>
                </c:pt>
                <c:pt idx="521">
                  <c:v>2.7863524362831599E-2</c:v>
                </c:pt>
                <c:pt idx="522">
                  <c:v>2.67382517231196E-2</c:v>
                </c:pt>
                <c:pt idx="523">
                  <c:v>2.6398039421871199E-2</c:v>
                </c:pt>
                <c:pt idx="524">
                  <c:v>2.5835750892507101E-2</c:v>
                </c:pt>
                <c:pt idx="525">
                  <c:v>2.5596358888877201E-2</c:v>
                </c:pt>
                <c:pt idx="526">
                  <c:v>2.5021799304639498E-2</c:v>
                </c:pt>
                <c:pt idx="527">
                  <c:v>2.4532761518724799E-2</c:v>
                </c:pt>
                <c:pt idx="528">
                  <c:v>2.4462078359288601E-2</c:v>
                </c:pt>
                <c:pt idx="529">
                  <c:v>2.40356383745245E-2</c:v>
                </c:pt>
                <c:pt idx="530">
                  <c:v>2.4026919624070699E-2</c:v>
                </c:pt>
                <c:pt idx="531">
                  <c:v>2.4007438671223E-2</c:v>
                </c:pt>
                <c:pt idx="532">
                  <c:v>2.3000674317081499E-2</c:v>
                </c:pt>
                <c:pt idx="533">
                  <c:v>2.2303824094174099E-2</c:v>
                </c:pt>
                <c:pt idx="534">
                  <c:v>2.2083347864087999E-2</c:v>
                </c:pt>
                <c:pt idx="535">
                  <c:v>2.0077825000480401E-2</c:v>
                </c:pt>
                <c:pt idx="536">
                  <c:v>1.9801746668600999E-2</c:v>
                </c:pt>
                <c:pt idx="537">
                  <c:v>1.9243858669678902E-2</c:v>
                </c:pt>
                <c:pt idx="538">
                  <c:v>1.7642630664876899E-2</c:v>
                </c:pt>
                <c:pt idx="539">
                  <c:v>1.7518795833281E-2</c:v>
                </c:pt>
                <c:pt idx="540">
                  <c:v>1.5567588016898601E-2</c:v>
                </c:pt>
                <c:pt idx="541">
                  <c:v>1.48488017568041E-2</c:v>
                </c:pt>
                <c:pt idx="542">
                  <c:v>1.45816561117635E-2</c:v>
                </c:pt>
                <c:pt idx="543">
                  <c:v>1.30454356358988E-2</c:v>
                </c:pt>
                <c:pt idx="544">
                  <c:v>1.2615023854811599E-2</c:v>
                </c:pt>
                <c:pt idx="545">
                  <c:v>1.25495297394771E-2</c:v>
                </c:pt>
                <c:pt idx="546">
                  <c:v>1.18206393706828E-2</c:v>
                </c:pt>
                <c:pt idx="547">
                  <c:v>1.1803321686785301E-2</c:v>
                </c:pt>
                <c:pt idx="548">
                  <c:v>3.54031277641409E-3</c:v>
                </c:pt>
                <c:pt idx="549">
                  <c:v>3.1047836650232199E-3</c:v>
                </c:pt>
                <c:pt idx="550">
                  <c:v>2.1710237067861901E-3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551"/>
                <c:pt idx="0">
                  <c:v>1</c:v>
                </c:pt>
                <c:pt idx="1">
                  <c:v>0.99818511796733211</c:v>
                </c:pt>
                <c:pt idx="2">
                  <c:v>0.99637023593466423</c:v>
                </c:pt>
                <c:pt idx="3">
                  <c:v>0.99455535390199634</c:v>
                </c:pt>
                <c:pt idx="4">
                  <c:v>0.99274047186932846</c:v>
                </c:pt>
                <c:pt idx="5">
                  <c:v>0.99092558983666057</c:v>
                </c:pt>
                <c:pt idx="6">
                  <c:v>0.98911070780399279</c:v>
                </c:pt>
                <c:pt idx="7">
                  <c:v>0.98729582577132491</c:v>
                </c:pt>
                <c:pt idx="8">
                  <c:v>0.98548094373865702</c:v>
                </c:pt>
                <c:pt idx="9">
                  <c:v>0.98366606170598914</c:v>
                </c:pt>
                <c:pt idx="10">
                  <c:v>0.98185117967332125</c:v>
                </c:pt>
                <c:pt idx="11">
                  <c:v>0.98003629764065336</c:v>
                </c:pt>
                <c:pt idx="12">
                  <c:v>0.97822141560798548</c:v>
                </c:pt>
                <c:pt idx="13">
                  <c:v>0.97640653357531759</c:v>
                </c:pt>
                <c:pt idx="14">
                  <c:v>0.97459165154264971</c:v>
                </c:pt>
                <c:pt idx="15">
                  <c:v>0.97277676950998182</c:v>
                </c:pt>
                <c:pt idx="16">
                  <c:v>0.97096188747731393</c:v>
                </c:pt>
                <c:pt idx="17">
                  <c:v>0.96914700544464605</c:v>
                </c:pt>
                <c:pt idx="18">
                  <c:v>0.96733212341197827</c:v>
                </c:pt>
                <c:pt idx="19">
                  <c:v>0.96551724137931039</c:v>
                </c:pt>
                <c:pt idx="20">
                  <c:v>0.9637023593466425</c:v>
                </c:pt>
                <c:pt idx="21">
                  <c:v>0.96188747731397461</c:v>
                </c:pt>
                <c:pt idx="22">
                  <c:v>0.96007259528130673</c:v>
                </c:pt>
                <c:pt idx="23">
                  <c:v>0.95825771324863884</c:v>
                </c:pt>
                <c:pt idx="24">
                  <c:v>0.95644283121597096</c:v>
                </c:pt>
                <c:pt idx="25">
                  <c:v>0.95462794918330307</c:v>
                </c:pt>
                <c:pt idx="26">
                  <c:v>0.95281306715063518</c:v>
                </c:pt>
                <c:pt idx="27">
                  <c:v>0.9509981851179673</c:v>
                </c:pt>
                <c:pt idx="28">
                  <c:v>0.94918330308529941</c:v>
                </c:pt>
                <c:pt idx="29">
                  <c:v>0.94736842105263153</c:v>
                </c:pt>
                <c:pt idx="30">
                  <c:v>0.94555353901996375</c:v>
                </c:pt>
                <c:pt idx="31">
                  <c:v>0.94373865698729587</c:v>
                </c:pt>
                <c:pt idx="32">
                  <c:v>0.94192377495462798</c:v>
                </c:pt>
                <c:pt idx="33">
                  <c:v>0.94010889292196009</c:v>
                </c:pt>
                <c:pt idx="34">
                  <c:v>0.93829401088929221</c:v>
                </c:pt>
                <c:pt idx="35">
                  <c:v>0.93647912885662432</c:v>
                </c:pt>
                <c:pt idx="36">
                  <c:v>0.93466424682395643</c:v>
                </c:pt>
                <c:pt idx="37">
                  <c:v>0.93284936479128855</c:v>
                </c:pt>
                <c:pt idx="38">
                  <c:v>0.93103448275862066</c:v>
                </c:pt>
                <c:pt idx="39">
                  <c:v>0.92921960072595278</c:v>
                </c:pt>
                <c:pt idx="40">
                  <c:v>0.92740471869328489</c:v>
                </c:pt>
                <c:pt idx="41">
                  <c:v>0.925589836660617</c:v>
                </c:pt>
                <c:pt idx="42">
                  <c:v>0.92377495462794923</c:v>
                </c:pt>
                <c:pt idx="43">
                  <c:v>0.92196007259528134</c:v>
                </c:pt>
                <c:pt idx="44">
                  <c:v>0.92014519056261346</c:v>
                </c:pt>
                <c:pt idx="45">
                  <c:v>0.91833030852994557</c:v>
                </c:pt>
                <c:pt idx="46">
                  <c:v>0.91651542649727769</c:v>
                </c:pt>
                <c:pt idx="47">
                  <c:v>0.9147005444646098</c:v>
                </c:pt>
                <c:pt idx="48">
                  <c:v>0.91288566243194191</c:v>
                </c:pt>
                <c:pt idx="49">
                  <c:v>0.91107078039927403</c:v>
                </c:pt>
                <c:pt idx="50">
                  <c:v>0.90925589836660614</c:v>
                </c:pt>
                <c:pt idx="51">
                  <c:v>0.90744101633393826</c:v>
                </c:pt>
                <c:pt idx="52">
                  <c:v>0.90562613430127037</c:v>
                </c:pt>
                <c:pt idx="53">
                  <c:v>0.90381125226860259</c:v>
                </c:pt>
                <c:pt idx="54">
                  <c:v>0.90199637023593471</c:v>
                </c:pt>
                <c:pt idx="55">
                  <c:v>0.90018148820326682</c:v>
                </c:pt>
                <c:pt idx="56">
                  <c:v>0.89836660617059894</c:v>
                </c:pt>
                <c:pt idx="57">
                  <c:v>0.89655172413793105</c:v>
                </c:pt>
                <c:pt idx="58">
                  <c:v>0.89473684210526316</c:v>
                </c:pt>
                <c:pt idx="59">
                  <c:v>0.89292196007259528</c:v>
                </c:pt>
                <c:pt idx="60">
                  <c:v>0.89110707803992739</c:v>
                </c:pt>
                <c:pt idx="61">
                  <c:v>0.88929219600725951</c:v>
                </c:pt>
                <c:pt idx="62">
                  <c:v>0.88747731397459162</c:v>
                </c:pt>
                <c:pt idx="63">
                  <c:v>0.88566243194192373</c:v>
                </c:pt>
                <c:pt idx="64">
                  <c:v>0.88384754990925585</c:v>
                </c:pt>
                <c:pt idx="65">
                  <c:v>0.88203266787658807</c:v>
                </c:pt>
                <c:pt idx="66">
                  <c:v>0.88021778584392019</c:v>
                </c:pt>
                <c:pt idx="67">
                  <c:v>0.8784029038112523</c:v>
                </c:pt>
                <c:pt idx="68">
                  <c:v>0.87658802177858441</c:v>
                </c:pt>
                <c:pt idx="69">
                  <c:v>0.87477313974591653</c:v>
                </c:pt>
                <c:pt idx="70">
                  <c:v>0.87295825771324864</c:v>
                </c:pt>
                <c:pt idx="71">
                  <c:v>0.87114337568058076</c:v>
                </c:pt>
                <c:pt idx="72">
                  <c:v>0.86932849364791287</c:v>
                </c:pt>
                <c:pt idx="73">
                  <c:v>0.86751361161524498</c:v>
                </c:pt>
                <c:pt idx="74">
                  <c:v>0.8656987295825771</c:v>
                </c:pt>
                <c:pt idx="75">
                  <c:v>0.86388384754990921</c:v>
                </c:pt>
                <c:pt idx="76">
                  <c:v>0.86206896551724133</c:v>
                </c:pt>
                <c:pt idx="77">
                  <c:v>0.86025408348457355</c:v>
                </c:pt>
                <c:pt idx="78">
                  <c:v>0.85843920145190566</c:v>
                </c:pt>
                <c:pt idx="79">
                  <c:v>0.85662431941923778</c:v>
                </c:pt>
                <c:pt idx="80">
                  <c:v>0.85480943738656989</c:v>
                </c:pt>
                <c:pt idx="81">
                  <c:v>0.85299455535390201</c:v>
                </c:pt>
                <c:pt idx="82">
                  <c:v>0.85117967332123412</c:v>
                </c:pt>
                <c:pt idx="83">
                  <c:v>0.84936479128856623</c:v>
                </c:pt>
                <c:pt idx="84">
                  <c:v>0.84754990925589835</c:v>
                </c:pt>
                <c:pt idx="85">
                  <c:v>0.84573502722323046</c:v>
                </c:pt>
                <c:pt idx="86">
                  <c:v>0.84392014519056258</c:v>
                </c:pt>
                <c:pt idx="87">
                  <c:v>0.84210526315789469</c:v>
                </c:pt>
                <c:pt idx="88">
                  <c:v>0.84029038112522692</c:v>
                </c:pt>
                <c:pt idx="89">
                  <c:v>0.83847549909255903</c:v>
                </c:pt>
                <c:pt idx="90">
                  <c:v>0.83666061705989114</c:v>
                </c:pt>
                <c:pt idx="91">
                  <c:v>0.83484573502722326</c:v>
                </c:pt>
                <c:pt idx="92">
                  <c:v>0.83303085299455537</c:v>
                </c:pt>
                <c:pt idx="93">
                  <c:v>0.83121597096188748</c:v>
                </c:pt>
                <c:pt idx="94">
                  <c:v>0.8294010889292196</c:v>
                </c:pt>
                <c:pt idx="95">
                  <c:v>0.82758620689655171</c:v>
                </c:pt>
                <c:pt idx="96">
                  <c:v>0.82577132486388383</c:v>
                </c:pt>
                <c:pt idx="97">
                  <c:v>0.82395644283121594</c:v>
                </c:pt>
                <c:pt idx="98">
                  <c:v>0.82214156079854805</c:v>
                </c:pt>
                <c:pt idx="99">
                  <c:v>0.82032667876588017</c:v>
                </c:pt>
                <c:pt idx="100">
                  <c:v>0.81851179673321239</c:v>
                </c:pt>
                <c:pt idx="101">
                  <c:v>0.81669691470054451</c:v>
                </c:pt>
                <c:pt idx="102">
                  <c:v>0.81488203266787662</c:v>
                </c:pt>
                <c:pt idx="103">
                  <c:v>0.81306715063520874</c:v>
                </c:pt>
                <c:pt idx="104">
                  <c:v>0.81125226860254085</c:v>
                </c:pt>
                <c:pt idx="105">
                  <c:v>0.80943738656987296</c:v>
                </c:pt>
                <c:pt idx="106">
                  <c:v>0.80762250453720508</c:v>
                </c:pt>
                <c:pt idx="107">
                  <c:v>0.80580762250453719</c:v>
                </c:pt>
                <c:pt idx="108">
                  <c:v>0.8039927404718693</c:v>
                </c:pt>
                <c:pt idx="109">
                  <c:v>0.80217785843920142</c:v>
                </c:pt>
                <c:pt idx="110">
                  <c:v>0.80036297640653353</c:v>
                </c:pt>
                <c:pt idx="111">
                  <c:v>0.79854809437386565</c:v>
                </c:pt>
                <c:pt idx="112">
                  <c:v>0.79673321234119787</c:v>
                </c:pt>
                <c:pt idx="113">
                  <c:v>0.79491833030852999</c:v>
                </c:pt>
                <c:pt idx="114">
                  <c:v>0.7931034482758621</c:v>
                </c:pt>
                <c:pt idx="115">
                  <c:v>0.79128856624319421</c:v>
                </c:pt>
                <c:pt idx="116">
                  <c:v>0.78947368421052633</c:v>
                </c:pt>
                <c:pt idx="117">
                  <c:v>0.78765880217785844</c:v>
                </c:pt>
                <c:pt idx="118">
                  <c:v>0.78584392014519056</c:v>
                </c:pt>
                <c:pt idx="119">
                  <c:v>0.78402903811252267</c:v>
                </c:pt>
                <c:pt idx="120">
                  <c:v>0.78221415607985478</c:v>
                </c:pt>
                <c:pt idx="121">
                  <c:v>0.7803992740471869</c:v>
                </c:pt>
                <c:pt idx="122">
                  <c:v>0.77858439201451901</c:v>
                </c:pt>
                <c:pt idx="123">
                  <c:v>0.77676950998185113</c:v>
                </c:pt>
                <c:pt idx="124">
                  <c:v>0.77495462794918335</c:v>
                </c:pt>
                <c:pt idx="125">
                  <c:v>0.77313974591651546</c:v>
                </c:pt>
                <c:pt idx="126">
                  <c:v>0.77132486388384758</c:v>
                </c:pt>
                <c:pt idx="127">
                  <c:v>0.76950998185117969</c:v>
                </c:pt>
                <c:pt idx="128">
                  <c:v>0.76769509981851181</c:v>
                </c:pt>
                <c:pt idx="129">
                  <c:v>0.76588021778584392</c:v>
                </c:pt>
                <c:pt idx="130">
                  <c:v>0.76406533575317603</c:v>
                </c:pt>
                <c:pt idx="131">
                  <c:v>0.76225045372050815</c:v>
                </c:pt>
                <c:pt idx="132">
                  <c:v>0.76043557168784026</c:v>
                </c:pt>
                <c:pt idx="133">
                  <c:v>0.75862068965517238</c:v>
                </c:pt>
                <c:pt idx="134">
                  <c:v>0.75680580762250449</c:v>
                </c:pt>
                <c:pt idx="135">
                  <c:v>0.75499092558983671</c:v>
                </c:pt>
                <c:pt idx="136">
                  <c:v>0.75317604355716883</c:v>
                </c:pt>
                <c:pt idx="137">
                  <c:v>0.75136116152450094</c:v>
                </c:pt>
                <c:pt idx="138">
                  <c:v>0.74954627949183306</c:v>
                </c:pt>
                <c:pt idx="139">
                  <c:v>0.74773139745916517</c:v>
                </c:pt>
                <c:pt idx="140">
                  <c:v>0.74591651542649728</c:v>
                </c:pt>
                <c:pt idx="141">
                  <c:v>0.7441016333938294</c:v>
                </c:pt>
                <c:pt idx="142">
                  <c:v>0.74228675136116151</c:v>
                </c:pt>
                <c:pt idx="143">
                  <c:v>0.74047186932849363</c:v>
                </c:pt>
                <c:pt idx="144">
                  <c:v>0.73865698729582574</c:v>
                </c:pt>
                <c:pt idx="145">
                  <c:v>0.73684210526315785</c:v>
                </c:pt>
                <c:pt idx="146">
                  <c:v>0.73502722323048997</c:v>
                </c:pt>
                <c:pt idx="147">
                  <c:v>0.73321234119782219</c:v>
                </c:pt>
                <c:pt idx="148">
                  <c:v>0.73139745916515431</c:v>
                </c:pt>
                <c:pt idx="149">
                  <c:v>0.72958257713248642</c:v>
                </c:pt>
                <c:pt idx="150">
                  <c:v>0.72776769509981853</c:v>
                </c:pt>
                <c:pt idx="151">
                  <c:v>0.72595281306715065</c:v>
                </c:pt>
                <c:pt idx="152">
                  <c:v>0.72413793103448276</c:v>
                </c:pt>
                <c:pt idx="153">
                  <c:v>0.72232304900181488</c:v>
                </c:pt>
                <c:pt idx="154">
                  <c:v>0.72050816696914699</c:v>
                </c:pt>
                <c:pt idx="155">
                  <c:v>0.7186932849364791</c:v>
                </c:pt>
                <c:pt idx="156">
                  <c:v>0.71687840290381122</c:v>
                </c:pt>
                <c:pt idx="157">
                  <c:v>0.71506352087114333</c:v>
                </c:pt>
                <c:pt idx="158">
                  <c:v>0.71324863883847545</c:v>
                </c:pt>
                <c:pt idx="159">
                  <c:v>0.71143375680580767</c:v>
                </c:pt>
                <c:pt idx="160">
                  <c:v>0.70961887477313979</c:v>
                </c:pt>
                <c:pt idx="161">
                  <c:v>0.7078039927404719</c:v>
                </c:pt>
                <c:pt idx="162">
                  <c:v>0.70598911070780401</c:v>
                </c:pt>
                <c:pt idx="163">
                  <c:v>0.70417422867513613</c:v>
                </c:pt>
                <c:pt idx="164">
                  <c:v>0.70235934664246824</c:v>
                </c:pt>
                <c:pt idx="165">
                  <c:v>0.70054446460980035</c:v>
                </c:pt>
                <c:pt idx="166">
                  <c:v>0.69872958257713247</c:v>
                </c:pt>
                <c:pt idx="167">
                  <c:v>0.69691470054446458</c:v>
                </c:pt>
                <c:pt idx="168">
                  <c:v>0.6950998185117967</c:v>
                </c:pt>
                <c:pt idx="169">
                  <c:v>0.69328493647912881</c:v>
                </c:pt>
                <c:pt idx="170">
                  <c:v>0.69147005444646104</c:v>
                </c:pt>
                <c:pt idx="171">
                  <c:v>0.68965517241379315</c:v>
                </c:pt>
                <c:pt idx="172">
                  <c:v>0.68784029038112526</c:v>
                </c:pt>
                <c:pt idx="173">
                  <c:v>0.68602540834845738</c:v>
                </c:pt>
                <c:pt idx="174">
                  <c:v>0.68421052631578949</c:v>
                </c:pt>
                <c:pt idx="175">
                  <c:v>0.68239564428312161</c:v>
                </c:pt>
                <c:pt idx="176">
                  <c:v>0.68058076225045372</c:v>
                </c:pt>
                <c:pt idx="177">
                  <c:v>0.67876588021778583</c:v>
                </c:pt>
                <c:pt idx="178">
                  <c:v>0.67695099818511795</c:v>
                </c:pt>
                <c:pt idx="179">
                  <c:v>0.67513611615245006</c:v>
                </c:pt>
                <c:pt idx="180">
                  <c:v>0.67332123411978217</c:v>
                </c:pt>
                <c:pt idx="181">
                  <c:v>0.67150635208711429</c:v>
                </c:pt>
                <c:pt idx="182">
                  <c:v>0.66969147005444651</c:v>
                </c:pt>
                <c:pt idx="183">
                  <c:v>0.66787658802177863</c:v>
                </c:pt>
                <c:pt idx="184">
                  <c:v>0.66606170598911074</c:v>
                </c:pt>
                <c:pt idx="185">
                  <c:v>0.66424682395644286</c:v>
                </c:pt>
                <c:pt idx="186">
                  <c:v>0.66243194192377497</c:v>
                </c:pt>
                <c:pt idx="187">
                  <c:v>0.66061705989110708</c:v>
                </c:pt>
                <c:pt idx="188">
                  <c:v>0.6588021778584392</c:v>
                </c:pt>
                <c:pt idx="189">
                  <c:v>0.65698729582577131</c:v>
                </c:pt>
                <c:pt idx="190">
                  <c:v>0.65517241379310343</c:v>
                </c:pt>
                <c:pt idx="191">
                  <c:v>0.65335753176043554</c:v>
                </c:pt>
                <c:pt idx="192">
                  <c:v>0.65154264972776765</c:v>
                </c:pt>
                <c:pt idx="193">
                  <c:v>0.64972776769509977</c:v>
                </c:pt>
                <c:pt idx="194">
                  <c:v>0.64791288566243199</c:v>
                </c:pt>
                <c:pt idx="195">
                  <c:v>0.64609800362976411</c:v>
                </c:pt>
                <c:pt idx="196">
                  <c:v>0.64428312159709622</c:v>
                </c:pt>
                <c:pt idx="197">
                  <c:v>0.64246823956442833</c:v>
                </c:pt>
                <c:pt idx="198">
                  <c:v>0.64065335753176045</c:v>
                </c:pt>
                <c:pt idx="199">
                  <c:v>0.63883847549909256</c:v>
                </c:pt>
                <c:pt idx="200">
                  <c:v>0.63702359346642468</c:v>
                </c:pt>
                <c:pt idx="201">
                  <c:v>0.63520871143375679</c:v>
                </c:pt>
                <c:pt idx="202">
                  <c:v>0.6333938294010889</c:v>
                </c:pt>
                <c:pt idx="203">
                  <c:v>0.63157894736842102</c:v>
                </c:pt>
                <c:pt idx="204">
                  <c:v>0.62976406533575313</c:v>
                </c:pt>
                <c:pt idx="205">
                  <c:v>0.62794918330308525</c:v>
                </c:pt>
                <c:pt idx="206">
                  <c:v>0.62613430127041747</c:v>
                </c:pt>
                <c:pt idx="207">
                  <c:v>0.62431941923774958</c:v>
                </c:pt>
                <c:pt idx="208">
                  <c:v>0.6225045372050817</c:v>
                </c:pt>
                <c:pt idx="209">
                  <c:v>0.62068965517241381</c:v>
                </c:pt>
                <c:pt idx="210">
                  <c:v>0.61887477313974593</c:v>
                </c:pt>
                <c:pt idx="211">
                  <c:v>0.61705989110707804</c:v>
                </c:pt>
                <c:pt idx="212">
                  <c:v>0.61524500907441015</c:v>
                </c:pt>
                <c:pt idx="213">
                  <c:v>0.61343012704174227</c:v>
                </c:pt>
                <c:pt idx="214">
                  <c:v>0.61161524500907438</c:v>
                </c:pt>
                <c:pt idx="215">
                  <c:v>0.6098003629764065</c:v>
                </c:pt>
                <c:pt idx="216">
                  <c:v>0.60798548094373861</c:v>
                </c:pt>
                <c:pt idx="217">
                  <c:v>0.60617059891107083</c:v>
                </c:pt>
                <c:pt idx="218">
                  <c:v>0.60435571687840295</c:v>
                </c:pt>
                <c:pt idx="219">
                  <c:v>0.60254083484573506</c:v>
                </c:pt>
                <c:pt idx="220">
                  <c:v>0.60072595281306718</c:v>
                </c:pt>
                <c:pt idx="221">
                  <c:v>0.59891107078039929</c:v>
                </c:pt>
                <c:pt idx="222">
                  <c:v>0.5970961887477314</c:v>
                </c:pt>
                <c:pt idx="223">
                  <c:v>0.59528130671506352</c:v>
                </c:pt>
                <c:pt idx="224">
                  <c:v>0.59346642468239563</c:v>
                </c:pt>
                <c:pt idx="225">
                  <c:v>0.59165154264972775</c:v>
                </c:pt>
                <c:pt idx="226">
                  <c:v>0.58983666061705986</c:v>
                </c:pt>
                <c:pt idx="227">
                  <c:v>0.58802177858439197</c:v>
                </c:pt>
                <c:pt idx="228">
                  <c:v>0.58620689655172409</c:v>
                </c:pt>
                <c:pt idx="229">
                  <c:v>0.58439201451905631</c:v>
                </c:pt>
                <c:pt idx="230">
                  <c:v>0.58257713248638843</c:v>
                </c:pt>
                <c:pt idx="231">
                  <c:v>0.58076225045372054</c:v>
                </c:pt>
                <c:pt idx="232">
                  <c:v>0.57894736842105265</c:v>
                </c:pt>
                <c:pt idx="233">
                  <c:v>0.57713248638838477</c:v>
                </c:pt>
                <c:pt idx="234">
                  <c:v>0.57531760435571688</c:v>
                </c:pt>
                <c:pt idx="235">
                  <c:v>0.573502722323049</c:v>
                </c:pt>
                <c:pt idx="236">
                  <c:v>0.57168784029038111</c:v>
                </c:pt>
                <c:pt idx="237">
                  <c:v>0.56987295825771322</c:v>
                </c:pt>
                <c:pt idx="238">
                  <c:v>0.56805807622504534</c:v>
                </c:pt>
                <c:pt idx="239">
                  <c:v>0.56624319419237745</c:v>
                </c:pt>
                <c:pt idx="240">
                  <c:v>0.56442831215970957</c:v>
                </c:pt>
                <c:pt idx="241">
                  <c:v>0.56261343012704179</c:v>
                </c:pt>
                <c:pt idx="242">
                  <c:v>0.56079854809437391</c:v>
                </c:pt>
                <c:pt idx="243">
                  <c:v>0.55898366606170602</c:v>
                </c:pt>
                <c:pt idx="244">
                  <c:v>0.55716878402903813</c:v>
                </c:pt>
                <c:pt idx="245">
                  <c:v>0.55535390199637025</c:v>
                </c:pt>
                <c:pt idx="246">
                  <c:v>0.55353901996370236</c:v>
                </c:pt>
                <c:pt idx="247">
                  <c:v>0.55172413793103448</c:v>
                </c:pt>
                <c:pt idx="248">
                  <c:v>0.54990925589836659</c:v>
                </c:pt>
                <c:pt idx="249">
                  <c:v>0.5480943738656987</c:v>
                </c:pt>
                <c:pt idx="250">
                  <c:v>0.54627949183303082</c:v>
                </c:pt>
                <c:pt idx="251">
                  <c:v>0.54446460980036293</c:v>
                </c:pt>
                <c:pt idx="252">
                  <c:v>0.54264972776769504</c:v>
                </c:pt>
                <c:pt idx="253">
                  <c:v>0.54083484573502727</c:v>
                </c:pt>
                <c:pt idx="254">
                  <c:v>0.53901996370235938</c:v>
                </c:pt>
                <c:pt idx="255">
                  <c:v>0.5372050816696915</c:v>
                </c:pt>
                <c:pt idx="256">
                  <c:v>0.53539019963702361</c:v>
                </c:pt>
                <c:pt idx="257">
                  <c:v>0.53357531760435573</c:v>
                </c:pt>
                <c:pt idx="258">
                  <c:v>0.53176043557168784</c:v>
                </c:pt>
                <c:pt idx="259">
                  <c:v>0.52994555353901995</c:v>
                </c:pt>
                <c:pt idx="260">
                  <c:v>0.52813067150635207</c:v>
                </c:pt>
                <c:pt idx="261">
                  <c:v>0.52631578947368418</c:v>
                </c:pt>
                <c:pt idx="262">
                  <c:v>0.5245009074410163</c:v>
                </c:pt>
                <c:pt idx="263">
                  <c:v>0.52268602540834841</c:v>
                </c:pt>
                <c:pt idx="264">
                  <c:v>0.52087114337568063</c:v>
                </c:pt>
                <c:pt idx="265">
                  <c:v>0.51905626134301275</c:v>
                </c:pt>
                <c:pt idx="266">
                  <c:v>0.51724137931034486</c:v>
                </c:pt>
                <c:pt idx="267">
                  <c:v>0.51542649727767698</c:v>
                </c:pt>
                <c:pt idx="268">
                  <c:v>0.51361161524500909</c:v>
                </c:pt>
                <c:pt idx="269">
                  <c:v>0.5117967332123412</c:v>
                </c:pt>
                <c:pt idx="270">
                  <c:v>0.50998185117967332</c:v>
                </c:pt>
                <c:pt idx="271">
                  <c:v>0.50816696914700543</c:v>
                </c:pt>
                <c:pt idx="272">
                  <c:v>0.50635208711433755</c:v>
                </c:pt>
                <c:pt idx="273">
                  <c:v>0.50453720508166966</c:v>
                </c:pt>
                <c:pt idx="274">
                  <c:v>0.50272232304900177</c:v>
                </c:pt>
                <c:pt idx="275">
                  <c:v>0.50090744101633389</c:v>
                </c:pt>
                <c:pt idx="276">
                  <c:v>0.49909255898366606</c:v>
                </c:pt>
                <c:pt idx="277">
                  <c:v>0.49727767695099817</c:v>
                </c:pt>
                <c:pt idx="278">
                  <c:v>0.49546279491833028</c:v>
                </c:pt>
                <c:pt idx="279">
                  <c:v>0.49364791288566245</c:v>
                </c:pt>
                <c:pt idx="280">
                  <c:v>0.49183303085299457</c:v>
                </c:pt>
                <c:pt idx="281">
                  <c:v>0.49001814882032668</c:v>
                </c:pt>
                <c:pt idx="282">
                  <c:v>0.4882032667876588</c:v>
                </c:pt>
                <c:pt idx="283">
                  <c:v>0.48638838475499091</c:v>
                </c:pt>
                <c:pt idx="284">
                  <c:v>0.48457350272232302</c:v>
                </c:pt>
                <c:pt idx="285">
                  <c:v>0.48275862068965519</c:v>
                </c:pt>
                <c:pt idx="286">
                  <c:v>0.48094373865698731</c:v>
                </c:pt>
                <c:pt idx="287">
                  <c:v>0.47912885662431942</c:v>
                </c:pt>
                <c:pt idx="288">
                  <c:v>0.47731397459165154</c:v>
                </c:pt>
                <c:pt idx="289">
                  <c:v>0.47549909255898365</c:v>
                </c:pt>
                <c:pt idx="290">
                  <c:v>0.47368421052631576</c:v>
                </c:pt>
                <c:pt idx="291">
                  <c:v>0.47186932849364793</c:v>
                </c:pt>
                <c:pt idx="292">
                  <c:v>0.47005444646098005</c:v>
                </c:pt>
                <c:pt idx="293">
                  <c:v>0.46823956442831216</c:v>
                </c:pt>
                <c:pt idx="294">
                  <c:v>0.46642468239564427</c:v>
                </c:pt>
                <c:pt idx="295">
                  <c:v>0.46460980036297639</c:v>
                </c:pt>
                <c:pt idx="296">
                  <c:v>0.4627949183303085</c:v>
                </c:pt>
                <c:pt idx="297">
                  <c:v>0.46098003629764067</c:v>
                </c:pt>
                <c:pt idx="298">
                  <c:v>0.45916515426497279</c:v>
                </c:pt>
                <c:pt idx="299">
                  <c:v>0.4573502722323049</c:v>
                </c:pt>
                <c:pt idx="300">
                  <c:v>0.45553539019963701</c:v>
                </c:pt>
                <c:pt idx="301">
                  <c:v>0.45372050816696913</c:v>
                </c:pt>
                <c:pt idx="302">
                  <c:v>0.4519056261343013</c:v>
                </c:pt>
                <c:pt idx="303">
                  <c:v>0.45009074410163341</c:v>
                </c:pt>
                <c:pt idx="304">
                  <c:v>0.44827586206896552</c:v>
                </c:pt>
                <c:pt idx="305">
                  <c:v>0.44646098003629764</c:v>
                </c:pt>
                <c:pt idx="306">
                  <c:v>0.44464609800362975</c:v>
                </c:pt>
                <c:pt idx="307">
                  <c:v>0.44283121597096187</c:v>
                </c:pt>
                <c:pt idx="308">
                  <c:v>0.44101633393829404</c:v>
                </c:pt>
                <c:pt idx="309">
                  <c:v>0.43920145190562615</c:v>
                </c:pt>
                <c:pt idx="310">
                  <c:v>0.43738656987295826</c:v>
                </c:pt>
                <c:pt idx="311">
                  <c:v>0.43557168784029038</c:v>
                </c:pt>
                <c:pt idx="312">
                  <c:v>0.43375680580762249</c:v>
                </c:pt>
                <c:pt idx="313">
                  <c:v>0.43194192377495461</c:v>
                </c:pt>
                <c:pt idx="314">
                  <c:v>0.43012704174228678</c:v>
                </c:pt>
                <c:pt idx="315">
                  <c:v>0.42831215970961889</c:v>
                </c:pt>
                <c:pt idx="316">
                  <c:v>0.426497277676951</c:v>
                </c:pt>
                <c:pt idx="317">
                  <c:v>0.42468239564428312</c:v>
                </c:pt>
                <c:pt idx="318">
                  <c:v>0.42286751361161523</c:v>
                </c:pt>
                <c:pt idx="319">
                  <c:v>0.42105263157894735</c:v>
                </c:pt>
                <c:pt idx="320">
                  <c:v>0.41923774954627951</c:v>
                </c:pt>
                <c:pt idx="321">
                  <c:v>0.41742286751361163</c:v>
                </c:pt>
                <c:pt idx="322">
                  <c:v>0.41560798548094374</c:v>
                </c:pt>
                <c:pt idx="323">
                  <c:v>0.41379310344827586</c:v>
                </c:pt>
                <c:pt idx="324">
                  <c:v>0.41197822141560797</c:v>
                </c:pt>
                <c:pt idx="325">
                  <c:v>0.41016333938294008</c:v>
                </c:pt>
                <c:pt idx="326">
                  <c:v>0.40834845735027225</c:v>
                </c:pt>
                <c:pt idx="327">
                  <c:v>0.40653357531760437</c:v>
                </c:pt>
                <c:pt idx="328">
                  <c:v>0.40471869328493648</c:v>
                </c:pt>
                <c:pt idx="329">
                  <c:v>0.4029038112522686</c:v>
                </c:pt>
                <c:pt idx="330">
                  <c:v>0.40108892921960071</c:v>
                </c:pt>
                <c:pt idx="331">
                  <c:v>0.39927404718693282</c:v>
                </c:pt>
                <c:pt idx="332">
                  <c:v>0.39745916515426499</c:v>
                </c:pt>
                <c:pt idx="333">
                  <c:v>0.39564428312159711</c:v>
                </c:pt>
                <c:pt idx="334">
                  <c:v>0.39382940108892922</c:v>
                </c:pt>
                <c:pt idx="335">
                  <c:v>0.39201451905626133</c:v>
                </c:pt>
                <c:pt idx="336">
                  <c:v>0.39019963702359345</c:v>
                </c:pt>
                <c:pt idx="337">
                  <c:v>0.38838475499092556</c:v>
                </c:pt>
                <c:pt idx="338">
                  <c:v>0.38656987295825773</c:v>
                </c:pt>
                <c:pt idx="339">
                  <c:v>0.38475499092558985</c:v>
                </c:pt>
                <c:pt idx="340">
                  <c:v>0.38294010889292196</c:v>
                </c:pt>
                <c:pt idx="341">
                  <c:v>0.38112522686025407</c:v>
                </c:pt>
                <c:pt idx="342">
                  <c:v>0.37931034482758619</c:v>
                </c:pt>
                <c:pt idx="343">
                  <c:v>0.37749546279491836</c:v>
                </c:pt>
                <c:pt idx="344">
                  <c:v>0.37568058076225047</c:v>
                </c:pt>
                <c:pt idx="345">
                  <c:v>0.37386569872958259</c:v>
                </c:pt>
                <c:pt idx="346">
                  <c:v>0.3720508166969147</c:v>
                </c:pt>
                <c:pt idx="347">
                  <c:v>0.37023593466424681</c:v>
                </c:pt>
                <c:pt idx="348">
                  <c:v>0.36842105263157893</c:v>
                </c:pt>
                <c:pt idx="349">
                  <c:v>0.3666061705989111</c:v>
                </c:pt>
                <c:pt idx="350">
                  <c:v>0.36479128856624321</c:v>
                </c:pt>
                <c:pt idx="351">
                  <c:v>0.36297640653357532</c:v>
                </c:pt>
                <c:pt idx="352">
                  <c:v>0.36116152450090744</c:v>
                </c:pt>
                <c:pt idx="353">
                  <c:v>0.35934664246823955</c:v>
                </c:pt>
                <c:pt idx="354">
                  <c:v>0.35753176043557167</c:v>
                </c:pt>
                <c:pt idx="355">
                  <c:v>0.35571687840290384</c:v>
                </c:pt>
                <c:pt idx="356">
                  <c:v>0.35390199637023595</c:v>
                </c:pt>
                <c:pt idx="357">
                  <c:v>0.35208711433756806</c:v>
                </c:pt>
                <c:pt idx="358">
                  <c:v>0.35027223230490018</c:v>
                </c:pt>
                <c:pt idx="359">
                  <c:v>0.34845735027223229</c:v>
                </c:pt>
                <c:pt idx="360">
                  <c:v>0.34664246823956441</c:v>
                </c:pt>
                <c:pt idx="361">
                  <c:v>0.34482758620689657</c:v>
                </c:pt>
                <c:pt idx="362">
                  <c:v>0.34301270417422869</c:v>
                </c:pt>
                <c:pt idx="363">
                  <c:v>0.3411978221415608</c:v>
                </c:pt>
                <c:pt idx="364">
                  <c:v>0.33938294010889292</c:v>
                </c:pt>
                <c:pt idx="365">
                  <c:v>0.33756805807622503</c:v>
                </c:pt>
                <c:pt idx="366">
                  <c:v>0.33575317604355714</c:v>
                </c:pt>
                <c:pt idx="367">
                  <c:v>0.33393829401088931</c:v>
                </c:pt>
                <c:pt idx="368">
                  <c:v>0.33212341197822143</c:v>
                </c:pt>
                <c:pt idx="369">
                  <c:v>0.33030852994555354</c:v>
                </c:pt>
                <c:pt idx="370">
                  <c:v>0.32849364791288566</c:v>
                </c:pt>
                <c:pt idx="371">
                  <c:v>0.32667876588021777</c:v>
                </c:pt>
                <c:pt idx="372">
                  <c:v>0.32486388384754988</c:v>
                </c:pt>
                <c:pt idx="373">
                  <c:v>0.32304900181488205</c:v>
                </c:pt>
                <c:pt idx="374">
                  <c:v>0.32123411978221417</c:v>
                </c:pt>
                <c:pt idx="375">
                  <c:v>0.31941923774954628</c:v>
                </c:pt>
                <c:pt idx="376">
                  <c:v>0.31760435571687839</c:v>
                </c:pt>
                <c:pt idx="377">
                  <c:v>0.31578947368421051</c:v>
                </c:pt>
                <c:pt idx="378">
                  <c:v>0.31397459165154262</c:v>
                </c:pt>
                <c:pt idx="379">
                  <c:v>0.31215970961887479</c:v>
                </c:pt>
                <c:pt idx="380">
                  <c:v>0.31034482758620691</c:v>
                </c:pt>
                <c:pt idx="381">
                  <c:v>0.30852994555353902</c:v>
                </c:pt>
                <c:pt idx="382">
                  <c:v>0.30671506352087113</c:v>
                </c:pt>
                <c:pt idx="383">
                  <c:v>0.30490018148820325</c:v>
                </c:pt>
                <c:pt idx="384">
                  <c:v>0.30308529945553542</c:v>
                </c:pt>
                <c:pt idx="385">
                  <c:v>0.30127041742286753</c:v>
                </c:pt>
                <c:pt idx="386">
                  <c:v>0.29945553539019965</c:v>
                </c:pt>
                <c:pt idx="387">
                  <c:v>0.29764065335753176</c:v>
                </c:pt>
                <c:pt idx="388">
                  <c:v>0.29582577132486387</c:v>
                </c:pt>
                <c:pt idx="389">
                  <c:v>0.29401088929219599</c:v>
                </c:pt>
                <c:pt idx="390">
                  <c:v>0.29219600725952816</c:v>
                </c:pt>
                <c:pt idx="391">
                  <c:v>0.29038112522686027</c:v>
                </c:pt>
                <c:pt idx="392">
                  <c:v>0.28856624319419238</c:v>
                </c:pt>
                <c:pt idx="393">
                  <c:v>0.2867513611615245</c:v>
                </c:pt>
                <c:pt idx="394">
                  <c:v>0.28493647912885661</c:v>
                </c:pt>
                <c:pt idx="395">
                  <c:v>0.28312159709618873</c:v>
                </c:pt>
                <c:pt idx="396">
                  <c:v>0.2813067150635209</c:v>
                </c:pt>
                <c:pt idx="397">
                  <c:v>0.27949183303085301</c:v>
                </c:pt>
                <c:pt idx="398">
                  <c:v>0.27767695099818512</c:v>
                </c:pt>
                <c:pt idx="399">
                  <c:v>0.27586206896551724</c:v>
                </c:pt>
                <c:pt idx="400">
                  <c:v>0.27404718693284935</c:v>
                </c:pt>
                <c:pt idx="401">
                  <c:v>0.27223230490018147</c:v>
                </c:pt>
                <c:pt idx="402">
                  <c:v>0.27041742286751363</c:v>
                </c:pt>
                <c:pt idx="403">
                  <c:v>0.26860254083484575</c:v>
                </c:pt>
                <c:pt idx="404">
                  <c:v>0.26678765880217786</c:v>
                </c:pt>
                <c:pt idx="405">
                  <c:v>0.26497277676950998</c:v>
                </c:pt>
                <c:pt idx="406">
                  <c:v>0.26315789473684209</c:v>
                </c:pt>
                <c:pt idx="407">
                  <c:v>0.2613430127041742</c:v>
                </c:pt>
                <c:pt idx="408">
                  <c:v>0.25952813067150637</c:v>
                </c:pt>
                <c:pt idx="409">
                  <c:v>0.25771324863883849</c:v>
                </c:pt>
                <c:pt idx="410">
                  <c:v>0.2558983666061706</c:v>
                </c:pt>
                <c:pt idx="411">
                  <c:v>0.25408348457350272</c:v>
                </c:pt>
                <c:pt idx="412">
                  <c:v>0.25226860254083483</c:v>
                </c:pt>
                <c:pt idx="413">
                  <c:v>0.25045372050816694</c:v>
                </c:pt>
                <c:pt idx="414">
                  <c:v>0.24863883847549909</c:v>
                </c:pt>
                <c:pt idx="415">
                  <c:v>0.24682395644283123</c:v>
                </c:pt>
                <c:pt idx="416">
                  <c:v>0.24500907441016334</c:v>
                </c:pt>
                <c:pt idx="417">
                  <c:v>0.24319419237749546</c:v>
                </c:pt>
                <c:pt idx="418">
                  <c:v>0.2413793103448276</c:v>
                </c:pt>
                <c:pt idx="419">
                  <c:v>0.23956442831215971</c:v>
                </c:pt>
                <c:pt idx="420">
                  <c:v>0.23774954627949182</c:v>
                </c:pt>
                <c:pt idx="421">
                  <c:v>0.23593466424682397</c:v>
                </c:pt>
                <c:pt idx="422">
                  <c:v>0.23411978221415608</c:v>
                </c:pt>
                <c:pt idx="423">
                  <c:v>0.23230490018148819</c:v>
                </c:pt>
                <c:pt idx="424">
                  <c:v>0.23049001814882034</c:v>
                </c:pt>
                <c:pt idx="425">
                  <c:v>0.22867513611615245</c:v>
                </c:pt>
                <c:pt idx="426">
                  <c:v>0.22686025408348456</c:v>
                </c:pt>
                <c:pt idx="427">
                  <c:v>0.22504537205081671</c:v>
                </c:pt>
                <c:pt idx="428">
                  <c:v>0.22323049001814882</c:v>
                </c:pt>
                <c:pt idx="429">
                  <c:v>0.22141560798548093</c:v>
                </c:pt>
                <c:pt idx="430">
                  <c:v>0.21960072595281308</c:v>
                </c:pt>
                <c:pt idx="431">
                  <c:v>0.21778584392014519</c:v>
                </c:pt>
                <c:pt idx="432">
                  <c:v>0.2159709618874773</c:v>
                </c:pt>
                <c:pt idx="433">
                  <c:v>0.21415607985480944</c:v>
                </c:pt>
                <c:pt idx="434">
                  <c:v>0.21234119782214156</c:v>
                </c:pt>
                <c:pt idx="435">
                  <c:v>0.21052631578947367</c:v>
                </c:pt>
                <c:pt idx="436">
                  <c:v>0.20871143375680581</c:v>
                </c:pt>
                <c:pt idx="437">
                  <c:v>0.20689655172413793</c:v>
                </c:pt>
                <c:pt idx="438">
                  <c:v>0.20508166969147004</c:v>
                </c:pt>
                <c:pt idx="439">
                  <c:v>0.20326678765880218</c:v>
                </c:pt>
                <c:pt idx="440">
                  <c:v>0.2014519056261343</c:v>
                </c:pt>
                <c:pt idx="441">
                  <c:v>0.19963702359346641</c:v>
                </c:pt>
                <c:pt idx="442">
                  <c:v>0.19782214156079855</c:v>
                </c:pt>
                <c:pt idx="443">
                  <c:v>0.19600725952813067</c:v>
                </c:pt>
                <c:pt idx="444">
                  <c:v>0.19419237749546278</c:v>
                </c:pt>
                <c:pt idx="445">
                  <c:v>0.19237749546279492</c:v>
                </c:pt>
                <c:pt idx="446">
                  <c:v>0.19056261343012704</c:v>
                </c:pt>
                <c:pt idx="447">
                  <c:v>0.18874773139745918</c:v>
                </c:pt>
                <c:pt idx="448">
                  <c:v>0.18693284936479129</c:v>
                </c:pt>
                <c:pt idx="449">
                  <c:v>0.18511796733212341</c:v>
                </c:pt>
                <c:pt idx="450">
                  <c:v>0.18330308529945555</c:v>
                </c:pt>
                <c:pt idx="451">
                  <c:v>0.18148820326678766</c:v>
                </c:pt>
                <c:pt idx="452">
                  <c:v>0.17967332123411978</c:v>
                </c:pt>
                <c:pt idx="453">
                  <c:v>0.17785843920145192</c:v>
                </c:pt>
                <c:pt idx="454">
                  <c:v>0.17604355716878403</c:v>
                </c:pt>
                <c:pt idx="455">
                  <c:v>0.17422867513611615</c:v>
                </c:pt>
                <c:pt idx="456">
                  <c:v>0.17241379310344829</c:v>
                </c:pt>
                <c:pt idx="457">
                  <c:v>0.1705989110707804</c:v>
                </c:pt>
                <c:pt idx="458">
                  <c:v>0.16878402903811252</c:v>
                </c:pt>
                <c:pt idx="459">
                  <c:v>0.16696914700544466</c:v>
                </c:pt>
                <c:pt idx="460">
                  <c:v>0.16515426497277677</c:v>
                </c:pt>
                <c:pt idx="461">
                  <c:v>0.16333938294010888</c:v>
                </c:pt>
                <c:pt idx="462">
                  <c:v>0.16152450090744103</c:v>
                </c:pt>
                <c:pt idx="463">
                  <c:v>0.15970961887477314</c:v>
                </c:pt>
                <c:pt idx="464">
                  <c:v>0.15789473684210525</c:v>
                </c:pt>
                <c:pt idx="465">
                  <c:v>0.1560798548094374</c:v>
                </c:pt>
                <c:pt idx="466">
                  <c:v>0.15426497277676951</c:v>
                </c:pt>
                <c:pt idx="467">
                  <c:v>0.15245009074410162</c:v>
                </c:pt>
                <c:pt idx="468">
                  <c:v>0.15063520871143377</c:v>
                </c:pt>
                <c:pt idx="469">
                  <c:v>0.14882032667876588</c:v>
                </c:pt>
                <c:pt idx="470">
                  <c:v>0.14700544464609799</c:v>
                </c:pt>
                <c:pt idx="471">
                  <c:v>0.14519056261343014</c:v>
                </c:pt>
                <c:pt idx="472">
                  <c:v>0.14337568058076225</c:v>
                </c:pt>
                <c:pt idx="473">
                  <c:v>0.14156079854809436</c:v>
                </c:pt>
                <c:pt idx="474">
                  <c:v>0.1397459165154265</c:v>
                </c:pt>
                <c:pt idx="475">
                  <c:v>0.13793103448275862</c:v>
                </c:pt>
                <c:pt idx="476">
                  <c:v>0.13611615245009073</c:v>
                </c:pt>
                <c:pt idx="477">
                  <c:v>0.13430127041742287</c:v>
                </c:pt>
                <c:pt idx="478">
                  <c:v>0.13248638838475499</c:v>
                </c:pt>
                <c:pt idx="479">
                  <c:v>0.1306715063520871</c:v>
                </c:pt>
                <c:pt idx="480">
                  <c:v>0.12885662431941924</c:v>
                </c:pt>
                <c:pt idx="481">
                  <c:v>0.12704174228675136</c:v>
                </c:pt>
                <c:pt idx="482">
                  <c:v>0.12522686025408347</c:v>
                </c:pt>
                <c:pt idx="483">
                  <c:v>0.12341197822141561</c:v>
                </c:pt>
                <c:pt idx="484">
                  <c:v>0.12159709618874773</c:v>
                </c:pt>
                <c:pt idx="485">
                  <c:v>0.11978221415607986</c:v>
                </c:pt>
                <c:pt idx="486">
                  <c:v>0.11796733212341198</c:v>
                </c:pt>
                <c:pt idx="487">
                  <c:v>0.1161524500907441</c:v>
                </c:pt>
                <c:pt idx="488">
                  <c:v>0.11433756805807622</c:v>
                </c:pt>
                <c:pt idx="489">
                  <c:v>0.11252268602540835</c:v>
                </c:pt>
                <c:pt idx="490">
                  <c:v>0.11070780399274047</c:v>
                </c:pt>
                <c:pt idx="491">
                  <c:v>0.10889292196007259</c:v>
                </c:pt>
                <c:pt idx="492">
                  <c:v>0.10707803992740472</c:v>
                </c:pt>
                <c:pt idx="493">
                  <c:v>0.10526315789473684</c:v>
                </c:pt>
                <c:pt idx="494">
                  <c:v>0.10344827586206896</c:v>
                </c:pt>
                <c:pt idx="495">
                  <c:v>0.10163339382940109</c:v>
                </c:pt>
                <c:pt idx="496">
                  <c:v>9.9818511796733206E-2</c:v>
                </c:pt>
                <c:pt idx="497">
                  <c:v>9.8003629764065334E-2</c:v>
                </c:pt>
                <c:pt idx="498">
                  <c:v>9.6188747731397461E-2</c:v>
                </c:pt>
                <c:pt idx="499">
                  <c:v>9.4373865698729589E-2</c:v>
                </c:pt>
                <c:pt idx="500">
                  <c:v>9.2558983666061703E-2</c:v>
                </c:pt>
                <c:pt idx="501">
                  <c:v>9.0744101633393831E-2</c:v>
                </c:pt>
                <c:pt idx="502">
                  <c:v>8.8929219600725959E-2</c:v>
                </c:pt>
                <c:pt idx="503">
                  <c:v>8.7114337568058073E-2</c:v>
                </c:pt>
                <c:pt idx="504">
                  <c:v>8.5299455535390201E-2</c:v>
                </c:pt>
                <c:pt idx="505">
                  <c:v>8.3484573502722328E-2</c:v>
                </c:pt>
                <c:pt idx="506">
                  <c:v>8.1669691470054442E-2</c:v>
                </c:pt>
                <c:pt idx="507">
                  <c:v>7.985480943738657E-2</c:v>
                </c:pt>
                <c:pt idx="508">
                  <c:v>7.8039927404718698E-2</c:v>
                </c:pt>
                <c:pt idx="509">
                  <c:v>7.6225045372050812E-2</c:v>
                </c:pt>
                <c:pt idx="510">
                  <c:v>7.441016333938294E-2</c:v>
                </c:pt>
                <c:pt idx="511">
                  <c:v>7.2595281306715068E-2</c:v>
                </c:pt>
                <c:pt idx="512">
                  <c:v>7.0780399274047182E-2</c:v>
                </c:pt>
                <c:pt idx="513">
                  <c:v>6.8965517241379309E-2</c:v>
                </c:pt>
                <c:pt idx="514">
                  <c:v>6.7150635208711437E-2</c:v>
                </c:pt>
                <c:pt idx="515">
                  <c:v>6.5335753176043551E-2</c:v>
                </c:pt>
                <c:pt idx="516">
                  <c:v>6.3520871143375679E-2</c:v>
                </c:pt>
                <c:pt idx="517">
                  <c:v>6.1705989110707807E-2</c:v>
                </c:pt>
                <c:pt idx="518">
                  <c:v>5.9891107078039928E-2</c:v>
                </c:pt>
                <c:pt idx="519">
                  <c:v>5.8076225045372049E-2</c:v>
                </c:pt>
                <c:pt idx="520">
                  <c:v>5.6261343012704176E-2</c:v>
                </c:pt>
                <c:pt idx="521">
                  <c:v>5.4446460980036297E-2</c:v>
                </c:pt>
                <c:pt idx="522">
                  <c:v>5.2631578947368418E-2</c:v>
                </c:pt>
                <c:pt idx="523">
                  <c:v>5.0816696914700546E-2</c:v>
                </c:pt>
                <c:pt idx="524">
                  <c:v>4.9001814882032667E-2</c:v>
                </c:pt>
                <c:pt idx="525">
                  <c:v>4.7186932849364795E-2</c:v>
                </c:pt>
                <c:pt idx="526">
                  <c:v>4.5372050816696916E-2</c:v>
                </c:pt>
                <c:pt idx="527">
                  <c:v>4.3557168784029036E-2</c:v>
                </c:pt>
                <c:pt idx="528">
                  <c:v>4.1742286751361164E-2</c:v>
                </c:pt>
                <c:pt idx="529">
                  <c:v>3.9927404718693285E-2</c:v>
                </c:pt>
                <c:pt idx="530">
                  <c:v>3.8112522686025406E-2</c:v>
                </c:pt>
                <c:pt idx="531">
                  <c:v>3.6297640653357534E-2</c:v>
                </c:pt>
                <c:pt idx="532">
                  <c:v>3.4482758620689655E-2</c:v>
                </c:pt>
                <c:pt idx="533">
                  <c:v>3.2667876588021776E-2</c:v>
                </c:pt>
                <c:pt idx="534">
                  <c:v>3.0852994555353903E-2</c:v>
                </c:pt>
                <c:pt idx="535">
                  <c:v>2.9038112522686024E-2</c:v>
                </c:pt>
                <c:pt idx="536">
                  <c:v>2.7223230490018149E-2</c:v>
                </c:pt>
                <c:pt idx="537">
                  <c:v>2.5408348457350273E-2</c:v>
                </c:pt>
                <c:pt idx="538">
                  <c:v>2.3593466424682397E-2</c:v>
                </c:pt>
                <c:pt idx="539">
                  <c:v>2.1778584392014518E-2</c:v>
                </c:pt>
                <c:pt idx="540">
                  <c:v>1.9963702359346643E-2</c:v>
                </c:pt>
                <c:pt idx="541">
                  <c:v>1.8148820326678767E-2</c:v>
                </c:pt>
                <c:pt idx="542">
                  <c:v>1.6333938294010888E-2</c:v>
                </c:pt>
                <c:pt idx="543">
                  <c:v>1.4519056261343012E-2</c:v>
                </c:pt>
                <c:pt idx="544">
                  <c:v>1.2704174228675136E-2</c:v>
                </c:pt>
                <c:pt idx="545">
                  <c:v>1.0889292196007259E-2</c:v>
                </c:pt>
                <c:pt idx="546">
                  <c:v>9.0744101633393835E-3</c:v>
                </c:pt>
                <c:pt idx="547">
                  <c:v>7.2595281306715061E-3</c:v>
                </c:pt>
                <c:pt idx="548">
                  <c:v>5.4446460980036296E-3</c:v>
                </c:pt>
                <c:pt idx="549">
                  <c:v>3.629764065335753E-3</c:v>
                </c:pt>
                <c:pt idx="550">
                  <c:v>1.8148820326678765E-3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0.752419087298999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Proportion of Claims &lt;=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[ClaimsAnalysis.xlsm]PolicyLosses!ClaimFrequencyDistribution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PolicyLosses!$H$4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PolicyLosses!$G$5:$G$8</c:f>
              <c:strCach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strCache>
            </c:strRef>
          </c:cat>
          <c:val>
            <c:numRef>
              <c:f>PolicyLosses!$H$5:$H$8</c:f>
              <c:numCache>
                <c:formatCode>General</c:formatCode>
                <c:ptCount val="3"/>
                <c:pt idx="0">
                  <c:v>98</c:v>
                </c:pt>
                <c:pt idx="1">
                  <c:v>253</c:v>
                </c:pt>
                <c:pt idx="2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6E4A-A43B-9C777FEE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675455"/>
        <c:axId val="1640654111"/>
      </c:barChart>
      <c:catAx>
        <c:axId val="170267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54111"/>
        <c:crosses val="autoZero"/>
        <c:auto val="1"/>
        <c:lblAlgn val="ctr"/>
        <c:lblOffset val="100"/>
        <c:noMultiLvlLbl val="0"/>
      </c:catAx>
      <c:valAx>
        <c:axId val="164065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</a:t>
                </a:r>
                <a:r>
                  <a:rPr lang="en-US" sz="1200" baseline="0"/>
                  <a:t> of Policies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Empirical CDF of Policy 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PolicyLossCDF!$C$1</c:f>
              <c:strCache>
                <c:ptCount val="1"/>
                <c:pt idx="0">
                  <c:v>CDF(Loss)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PolicyLossCDF!$B$2:$B$445</c:f>
              <c:numCache>
                <c:formatCode>General</c:formatCode>
                <c:ptCount val="444"/>
                <c:pt idx="0">
                  <c:v>0.96648631445674593</c:v>
                </c:pt>
                <c:pt idx="1">
                  <c:v>0.95532054074171502</c:v>
                </c:pt>
                <c:pt idx="2">
                  <c:v>0.81901836749422197</c:v>
                </c:pt>
                <c:pt idx="3">
                  <c:v>0.75241908729899998</c:v>
                </c:pt>
                <c:pt idx="4">
                  <c:v>0.71770164206328901</c:v>
                </c:pt>
                <c:pt idx="5">
                  <c:v>0.63751538375919703</c:v>
                </c:pt>
                <c:pt idx="6">
                  <c:v>0.61891832030624705</c:v>
                </c:pt>
                <c:pt idx="7">
                  <c:v>0.61215530595893197</c:v>
                </c:pt>
                <c:pt idx="8">
                  <c:v>0.60072672632240098</c:v>
                </c:pt>
                <c:pt idx="9">
                  <c:v>0.58533700037073899</c:v>
                </c:pt>
                <c:pt idx="10">
                  <c:v>0.559039806318685</c:v>
                </c:pt>
                <c:pt idx="11">
                  <c:v>0.55660539890032945</c:v>
                </c:pt>
                <c:pt idx="12">
                  <c:v>0.55406327267497901</c:v>
                </c:pt>
                <c:pt idx="13">
                  <c:v>0.55255795294531507</c:v>
                </c:pt>
                <c:pt idx="14">
                  <c:v>0.54705735732910299</c:v>
                </c:pt>
                <c:pt idx="15">
                  <c:v>0.54356636753436705</c:v>
                </c:pt>
                <c:pt idx="16">
                  <c:v>0.53958810174823002</c:v>
                </c:pt>
                <c:pt idx="17">
                  <c:v>0.53415721621804502</c:v>
                </c:pt>
                <c:pt idx="18">
                  <c:v>0.53293197006190096</c:v>
                </c:pt>
                <c:pt idx="19">
                  <c:v>0.52883926703072603</c:v>
                </c:pt>
                <c:pt idx="20">
                  <c:v>0.52855568792026297</c:v>
                </c:pt>
                <c:pt idx="21">
                  <c:v>0.52691974473886405</c:v>
                </c:pt>
                <c:pt idx="22">
                  <c:v>0.51840139284010667</c:v>
                </c:pt>
                <c:pt idx="23">
                  <c:v>0.51749161159356905</c:v>
                </c:pt>
                <c:pt idx="24">
                  <c:v>0.51329588297316997</c:v>
                </c:pt>
                <c:pt idx="25">
                  <c:v>0.50925063351927902</c:v>
                </c:pt>
                <c:pt idx="26">
                  <c:v>0.50499262697296798</c:v>
                </c:pt>
                <c:pt idx="27">
                  <c:v>0.50348312704361198</c:v>
                </c:pt>
                <c:pt idx="28">
                  <c:v>0.50077643614046408</c:v>
                </c:pt>
                <c:pt idx="29">
                  <c:v>0.50027230203838302</c:v>
                </c:pt>
                <c:pt idx="30">
                  <c:v>0.49600896047449899</c:v>
                </c:pt>
                <c:pt idx="31">
                  <c:v>0.48319205344236799</c:v>
                </c:pt>
                <c:pt idx="32">
                  <c:v>0.48100240269326999</c:v>
                </c:pt>
                <c:pt idx="33">
                  <c:v>0.48063610456928801</c:v>
                </c:pt>
                <c:pt idx="34">
                  <c:v>0.48007312347245801</c:v>
                </c:pt>
                <c:pt idx="35">
                  <c:v>0.47810069033021496</c:v>
                </c:pt>
                <c:pt idx="36">
                  <c:v>0.47804285206515978</c:v>
                </c:pt>
                <c:pt idx="37">
                  <c:v>0.47756678415107501</c:v>
                </c:pt>
                <c:pt idx="38">
                  <c:v>0.468609821456966</c:v>
                </c:pt>
                <c:pt idx="39">
                  <c:v>0.45640454656533397</c:v>
                </c:pt>
                <c:pt idx="40">
                  <c:v>0.45502154775548098</c:v>
                </c:pt>
                <c:pt idx="41">
                  <c:v>0.45319555321420602</c:v>
                </c:pt>
                <c:pt idx="42">
                  <c:v>0.45302486066257802</c:v>
                </c:pt>
                <c:pt idx="43">
                  <c:v>0.43834064037417197</c:v>
                </c:pt>
                <c:pt idx="44">
                  <c:v>0.43039292413036501</c:v>
                </c:pt>
                <c:pt idx="45">
                  <c:v>0.42178194077184</c:v>
                </c:pt>
                <c:pt idx="46">
                  <c:v>0.41563566099119897</c:v>
                </c:pt>
                <c:pt idx="47">
                  <c:v>0.41561588710874997</c:v>
                </c:pt>
                <c:pt idx="48">
                  <c:v>0.41470994907777198</c:v>
                </c:pt>
                <c:pt idx="49">
                  <c:v>0.41263519770671298</c:v>
                </c:pt>
                <c:pt idx="50">
                  <c:v>0.41102158992362303</c:v>
                </c:pt>
                <c:pt idx="51">
                  <c:v>0.40980156681294599</c:v>
                </c:pt>
                <c:pt idx="52">
                  <c:v>0.40900436722687006</c:v>
                </c:pt>
                <c:pt idx="53">
                  <c:v>0.407837432948572</c:v>
                </c:pt>
                <c:pt idx="54">
                  <c:v>0.406565304807186</c:v>
                </c:pt>
                <c:pt idx="55">
                  <c:v>0.403389724174954</c:v>
                </c:pt>
                <c:pt idx="56">
                  <c:v>0.39682510001383098</c:v>
                </c:pt>
                <c:pt idx="57">
                  <c:v>0.39569581586172808</c:v>
                </c:pt>
                <c:pt idx="58">
                  <c:v>0.39221562427553747</c:v>
                </c:pt>
                <c:pt idx="59">
                  <c:v>0.388019936906847</c:v>
                </c:pt>
                <c:pt idx="60">
                  <c:v>0.38459710308848399</c:v>
                </c:pt>
                <c:pt idx="61">
                  <c:v>0.38292945859147731</c:v>
                </c:pt>
                <c:pt idx="62">
                  <c:v>0.38261164632753603</c:v>
                </c:pt>
                <c:pt idx="63">
                  <c:v>0.38230736537578902</c:v>
                </c:pt>
                <c:pt idx="64">
                  <c:v>0.37991301900759999</c:v>
                </c:pt>
                <c:pt idx="65">
                  <c:v>0.37715257539460006</c:v>
                </c:pt>
                <c:pt idx="66">
                  <c:v>0.37483526164511399</c:v>
                </c:pt>
                <c:pt idx="67">
                  <c:v>0.37479833806122398</c:v>
                </c:pt>
                <c:pt idx="68">
                  <c:v>0.37333439720030231</c:v>
                </c:pt>
                <c:pt idx="69">
                  <c:v>0.37254445920005097</c:v>
                </c:pt>
                <c:pt idx="70">
                  <c:v>0.36842295617663601</c:v>
                </c:pt>
                <c:pt idx="71">
                  <c:v>0.36222935949295398</c:v>
                </c:pt>
                <c:pt idx="72">
                  <c:v>0.36048274631222699</c:v>
                </c:pt>
                <c:pt idx="73">
                  <c:v>0.359953222596198</c:v>
                </c:pt>
                <c:pt idx="74">
                  <c:v>0.35951969798435102</c:v>
                </c:pt>
                <c:pt idx="75">
                  <c:v>0.35831603988339122</c:v>
                </c:pt>
                <c:pt idx="76">
                  <c:v>0.35801304319870542</c:v>
                </c:pt>
                <c:pt idx="77">
                  <c:v>0.35777921371458193</c:v>
                </c:pt>
                <c:pt idx="78">
                  <c:v>0.35698168202536018</c:v>
                </c:pt>
                <c:pt idx="79">
                  <c:v>0.35504949805546604</c:v>
                </c:pt>
                <c:pt idx="80">
                  <c:v>0.35448175121283299</c:v>
                </c:pt>
                <c:pt idx="81">
                  <c:v>0.35134375805145501</c:v>
                </c:pt>
                <c:pt idx="82">
                  <c:v>0.35097404404080201</c:v>
                </c:pt>
                <c:pt idx="83">
                  <c:v>0.35060674755469601</c:v>
                </c:pt>
                <c:pt idx="84">
                  <c:v>0.34666574106228398</c:v>
                </c:pt>
                <c:pt idx="85">
                  <c:v>0.34053709819421729</c:v>
                </c:pt>
                <c:pt idx="86">
                  <c:v>0.34006313979795999</c:v>
                </c:pt>
                <c:pt idx="87">
                  <c:v>0.33967632483870452</c:v>
                </c:pt>
                <c:pt idx="88">
                  <c:v>0.33957218635974801</c:v>
                </c:pt>
                <c:pt idx="89">
                  <c:v>0.33814577663555173</c:v>
                </c:pt>
                <c:pt idx="90">
                  <c:v>0.33665048317262503</c:v>
                </c:pt>
                <c:pt idx="91">
                  <c:v>0.33658991224957258</c:v>
                </c:pt>
                <c:pt idx="92">
                  <c:v>0.335966170596259</c:v>
                </c:pt>
                <c:pt idx="93">
                  <c:v>0.32515442531356598</c:v>
                </c:pt>
                <c:pt idx="94">
                  <c:v>0.32443432188320898</c:v>
                </c:pt>
                <c:pt idx="95">
                  <c:v>0.32419145983855802</c:v>
                </c:pt>
                <c:pt idx="96">
                  <c:v>0.32305121523611802</c:v>
                </c:pt>
                <c:pt idx="97">
                  <c:v>0.32266042188710198</c:v>
                </c:pt>
                <c:pt idx="98">
                  <c:v>0.32173915805461395</c:v>
                </c:pt>
                <c:pt idx="99">
                  <c:v>0.32007320186148691</c:v>
                </c:pt>
                <c:pt idx="100">
                  <c:v>0.31847462604212901</c:v>
                </c:pt>
                <c:pt idx="101">
                  <c:v>0.31799862772646681</c:v>
                </c:pt>
                <c:pt idx="102">
                  <c:v>0.3179748305915765</c:v>
                </c:pt>
                <c:pt idx="103">
                  <c:v>0.31784653979517102</c:v>
                </c:pt>
                <c:pt idx="104">
                  <c:v>0.31745481799855202</c:v>
                </c:pt>
                <c:pt idx="105">
                  <c:v>0.31377814500589796</c:v>
                </c:pt>
                <c:pt idx="106">
                  <c:v>0.31269678658335798</c:v>
                </c:pt>
                <c:pt idx="107">
                  <c:v>0.30998028874206801</c:v>
                </c:pt>
                <c:pt idx="108">
                  <c:v>0.30983819670691543</c:v>
                </c:pt>
                <c:pt idx="109">
                  <c:v>0.30927760708272301</c:v>
                </c:pt>
                <c:pt idx="110">
                  <c:v>0.30892252047166302</c:v>
                </c:pt>
                <c:pt idx="111">
                  <c:v>0.30885785260446502</c:v>
                </c:pt>
                <c:pt idx="112">
                  <c:v>0.30881388302581902</c:v>
                </c:pt>
                <c:pt idx="113">
                  <c:v>0.30411544779027411</c:v>
                </c:pt>
                <c:pt idx="114">
                  <c:v>0.30406397220303399</c:v>
                </c:pt>
                <c:pt idx="115">
                  <c:v>0.303595296925044</c:v>
                </c:pt>
                <c:pt idx="116">
                  <c:v>0.30357807734499198</c:v>
                </c:pt>
                <c:pt idx="117">
                  <c:v>0.30291650179358398</c:v>
                </c:pt>
                <c:pt idx="118">
                  <c:v>0.3023979609428929</c:v>
                </c:pt>
                <c:pt idx="119">
                  <c:v>0.302020883837891</c:v>
                </c:pt>
                <c:pt idx="120">
                  <c:v>0.30130781255732603</c:v>
                </c:pt>
                <c:pt idx="121">
                  <c:v>0.30089122849355698</c:v>
                </c:pt>
                <c:pt idx="122">
                  <c:v>0.29941564099263718</c:v>
                </c:pt>
                <c:pt idx="123">
                  <c:v>0.29790973079457039</c:v>
                </c:pt>
                <c:pt idx="124">
                  <c:v>0.29749466321301499</c:v>
                </c:pt>
                <c:pt idx="125">
                  <c:v>0.29696290717306001</c:v>
                </c:pt>
                <c:pt idx="126">
                  <c:v>0.286502315520127</c:v>
                </c:pt>
                <c:pt idx="127">
                  <c:v>0.28593028984899799</c:v>
                </c:pt>
                <c:pt idx="128">
                  <c:v>0.28579976319780298</c:v>
                </c:pt>
                <c:pt idx="129">
                  <c:v>0.28550977972983499</c:v>
                </c:pt>
                <c:pt idx="130">
                  <c:v>0.28406105138922599</c:v>
                </c:pt>
                <c:pt idx="131">
                  <c:v>0.28216059921827802</c:v>
                </c:pt>
                <c:pt idx="132">
                  <c:v>0.2818383978911595</c:v>
                </c:pt>
                <c:pt idx="133">
                  <c:v>0.28137792731399913</c:v>
                </c:pt>
                <c:pt idx="134">
                  <c:v>0.27904505022917847</c:v>
                </c:pt>
                <c:pt idx="135">
                  <c:v>0.27649220954902098</c:v>
                </c:pt>
                <c:pt idx="136">
                  <c:v>0.27464741993581399</c:v>
                </c:pt>
                <c:pt idx="137">
                  <c:v>0.27428250186789099</c:v>
                </c:pt>
                <c:pt idx="138">
                  <c:v>0.27399165155164101</c:v>
                </c:pt>
                <c:pt idx="139">
                  <c:v>0.27369764750991199</c:v>
                </c:pt>
                <c:pt idx="140">
                  <c:v>0.27277944150422201</c:v>
                </c:pt>
                <c:pt idx="141">
                  <c:v>0.27271410573104499</c:v>
                </c:pt>
                <c:pt idx="142">
                  <c:v>0.27072505084597398</c:v>
                </c:pt>
                <c:pt idx="143">
                  <c:v>0.27013548905218498</c:v>
                </c:pt>
                <c:pt idx="144">
                  <c:v>0.26857239638567654</c:v>
                </c:pt>
                <c:pt idx="145">
                  <c:v>0.26835649846117104</c:v>
                </c:pt>
                <c:pt idx="146">
                  <c:v>0.26724652356194012</c:v>
                </c:pt>
                <c:pt idx="147">
                  <c:v>0.26496828975687248</c:v>
                </c:pt>
                <c:pt idx="148">
                  <c:v>0.26463638384661198</c:v>
                </c:pt>
                <c:pt idx="149">
                  <c:v>0.26194944800436498</c:v>
                </c:pt>
                <c:pt idx="150">
                  <c:v>0.25947922774422</c:v>
                </c:pt>
                <c:pt idx="151">
                  <c:v>0.25763498184978617</c:v>
                </c:pt>
                <c:pt idx="152">
                  <c:v>0.25741972161364401</c:v>
                </c:pt>
                <c:pt idx="153">
                  <c:v>0.25544767354590903</c:v>
                </c:pt>
                <c:pt idx="154">
                  <c:v>0.25494409228111209</c:v>
                </c:pt>
                <c:pt idx="155">
                  <c:v>0.25291602268996699</c:v>
                </c:pt>
                <c:pt idx="156">
                  <c:v>0.25275112668659699</c:v>
                </c:pt>
                <c:pt idx="157">
                  <c:v>0.25212165912138201</c:v>
                </c:pt>
                <c:pt idx="158">
                  <c:v>0.25185821688823112</c:v>
                </c:pt>
                <c:pt idx="159">
                  <c:v>0.25145788687490939</c:v>
                </c:pt>
                <c:pt idx="160">
                  <c:v>0.24947464953417001</c:v>
                </c:pt>
                <c:pt idx="161">
                  <c:v>0.24716175163210399</c:v>
                </c:pt>
                <c:pt idx="162">
                  <c:v>0.24678371144897199</c:v>
                </c:pt>
                <c:pt idx="163">
                  <c:v>0.24465908953593099</c:v>
                </c:pt>
                <c:pt idx="164">
                  <c:v>0.243744793938763</c:v>
                </c:pt>
                <c:pt idx="165">
                  <c:v>0.242596905095704</c:v>
                </c:pt>
                <c:pt idx="166">
                  <c:v>0.24189612394257401</c:v>
                </c:pt>
                <c:pt idx="167">
                  <c:v>0.24079472563189111</c:v>
                </c:pt>
                <c:pt idx="168">
                  <c:v>0.24041420564037219</c:v>
                </c:pt>
                <c:pt idx="169">
                  <c:v>0.23965572273935309</c:v>
                </c:pt>
                <c:pt idx="170">
                  <c:v>0.23882890772545701</c:v>
                </c:pt>
                <c:pt idx="171">
                  <c:v>0.238353186852029</c:v>
                </c:pt>
                <c:pt idx="172">
                  <c:v>0.237407602266657</c:v>
                </c:pt>
                <c:pt idx="173">
                  <c:v>0.23546889788567471</c:v>
                </c:pt>
                <c:pt idx="174">
                  <c:v>0.234707516598987</c:v>
                </c:pt>
                <c:pt idx="175">
                  <c:v>0.234090705129675</c:v>
                </c:pt>
                <c:pt idx="176">
                  <c:v>0.23153415376824699</c:v>
                </c:pt>
                <c:pt idx="177">
                  <c:v>0.23138624576780101</c:v>
                </c:pt>
                <c:pt idx="178">
                  <c:v>0.23133151779079</c:v>
                </c:pt>
                <c:pt idx="179">
                  <c:v>0.230153470216789</c:v>
                </c:pt>
                <c:pt idx="180">
                  <c:v>0.22968999004761001</c:v>
                </c:pt>
                <c:pt idx="181">
                  <c:v>0.22964913720531599</c:v>
                </c:pt>
                <c:pt idx="182">
                  <c:v>0.22898476020757899</c:v>
                </c:pt>
                <c:pt idx="183">
                  <c:v>0.22812319918304971</c:v>
                </c:pt>
                <c:pt idx="184">
                  <c:v>0.22778238404279499</c:v>
                </c:pt>
                <c:pt idx="185">
                  <c:v>0.22523490315536099</c:v>
                </c:pt>
                <c:pt idx="186">
                  <c:v>0.22523145902718039</c:v>
                </c:pt>
                <c:pt idx="187">
                  <c:v>0.22508674050020011</c:v>
                </c:pt>
                <c:pt idx="188">
                  <c:v>0.22289749356091801</c:v>
                </c:pt>
                <c:pt idx="189">
                  <c:v>0.22098699593295401</c:v>
                </c:pt>
                <c:pt idx="190">
                  <c:v>0.219708186385217</c:v>
                </c:pt>
                <c:pt idx="191">
                  <c:v>0.21944240756459499</c:v>
                </c:pt>
                <c:pt idx="192">
                  <c:v>0.21870148608706191</c:v>
                </c:pt>
                <c:pt idx="193">
                  <c:v>0.21685927714266801</c:v>
                </c:pt>
                <c:pt idx="194">
                  <c:v>0.21592706381149809</c:v>
                </c:pt>
                <c:pt idx="195">
                  <c:v>0.21511845720799999</c:v>
                </c:pt>
                <c:pt idx="196">
                  <c:v>0.21314463897289299</c:v>
                </c:pt>
                <c:pt idx="197">
                  <c:v>0.213027965488893</c:v>
                </c:pt>
                <c:pt idx="198">
                  <c:v>0.2090444567738835</c:v>
                </c:pt>
                <c:pt idx="199">
                  <c:v>0.208410650635589</c:v>
                </c:pt>
                <c:pt idx="200">
                  <c:v>0.208198706472737</c:v>
                </c:pt>
                <c:pt idx="201">
                  <c:v>0.206012633015145</c:v>
                </c:pt>
                <c:pt idx="202">
                  <c:v>0.20514132009935082</c:v>
                </c:pt>
                <c:pt idx="203">
                  <c:v>0.20477016945738599</c:v>
                </c:pt>
                <c:pt idx="204">
                  <c:v>0.20462238616769901</c:v>
                </c:pt>
                <c:pt idx="205">
                  <c:v>0.20251121424479801</c:v>
                </c:pt>
                <c:pt idx="206">
                  <c:v>0.2005805093779725</c:v>
                </c:pt>
                <c:pt idx="207">
                  <c:v>0.19977638669063599</c:v>
                </c:pt>
                <c:pt idx="208">
                  <c:v>0.19897917048161801</c:v>
                </c:pt>
                <c:pt idx="209">
                  <c:v>0.197535803902539</c:v>
                </c:pt>
                <c:pt idx="210">
                  <c:v>0.19715536174666648</c:v>
                </c:pt>
                <c:pt idx="211">
                  <c:v>0.19650221573607068</c:v>
                </c:pt>
                <c:pt idx="212">
                  <c:v>0.1956955844510736</c:v>
                </c:pt>
                <c:pt idx="213">
                  <c:v>0.19508093395569501</c:v>
                </c:pt>
                <c:pt idx="214">
                  <c:v>0.19441042301571931</c:v>
                </c:pt>
                <c:pt idx="215">
                  <c:v>0.19360577133177609</c:v>
                </c:pt>
                <c:pt idx="216">
                  <c:v>0.19132647418577001</c:v>
                </c:pt>
                <c:pt idx="217">
                  <c:v>0.19073436750445499</c:v>
                </c:pt>
                <c:pt idx="218">
                  <c:v>0.18880737642926601</c:v>
                </c:pt>
                <c:pt idx="219">
                  <c:v>0.18820243128675301</c:v>
                </c:pt>
                <c:pt idx="220">
                  <c:v>0.18735024376918599</c:v>
                </c:pt>
                <c:pt idx="221">
                  <c:v>0.18687125439215591</c:v>
                </c:pt>
                <c:pt idx="222">
                  <c:v>0.1866192983687367</c:v>
                </c:pt>
                <c:pt idx="223">
                  <c:v>0.185869430362399</c:v>
                </c:pt>
                <c:pt idx="224">
                  <c:v>0.185302296636253</c:v>
                </c:pt>
                <c:pt idx="225">
                  <c:v>0.18407446965122701</c:v>
                </c:pt>
                <c:pt idx="226">
                  <c:v>0.1833059390967231</c:v>
                </c:pt>
                <c:pt idx="227">
                  <c:v>0.18270553924785901</c:v>
                </c:pt>
                <c:pt idx="228">
                  <c:v>0.18126656720689399</c:v>
                </c:pt>
                <c:pt idx="229">
                  <c:v>0.18050978370474299</c:v>
                </c:pt>
                <c:pt idx="230">
                  <c:v>0.179921512107793</c:v>
                </c:pt>
                <c:pt idx="231">
                  <c:v>0.17838524452836299</c:v>
                </c:pt>
                <c:pt idx="232">
                  <c:v>0.1782325123516646</c:v>
                </c:pt>
                <c:pt idx="233">
                  <c:v>0.17655947315892101</c:v>
                </c:pt>
                <c:pt idx="234">
                  <c:v>0.17555401129989601</c:v>
                </c:pt>
                <c:pt idx="235">
                  <c:v>0.17528185828339601</c:v>
                </c:pt>
                <c:pt idx="236">
                  <c:v>0.17456056673878501</c:v>
                </c:pt>
                <c:pt idx="237">
                  <c:v>0.17421221396761538</c:v>
                </c:pt>
                <c:pt idx="238">
                  <c:v>0.17400033854712699</c:v>
                </c:pt>
                <c:pt idx="239">
                  <c:v>0.1722860377403316</c:v>
                </c:pt>
                <c:pt idx="240">
                  <c:v>0.17099281629590901</c:v>
                </c:pt>
                <c:pt idx="241">
                  <c:v>0.17071688261944201</c:v>
                </c:pt>
                <c:pt idx="242">
                  <c:v>0.17056801049679299</c:v>
                </c:pt>
                <c:pt idx="243">
                  <c:v>0.16638835745984301</c:v>
                </c:pt>
                <c:pt idx="244">
                  <c:v>0.16574923834984001</c:v>
                </c:pt>
                <c:pt idx="245">
                  <c:v>0.16564961170869799</c:v>
                </c:pt>
                <c:pt idx="246">
                  <c:v>0.165017364881582</c:v>
                </c:pt>
                <c:pt idx="247">
                  <c:v>0.16408938955420199</c:v>
                </c:pt>
                <c:pt idx="248">
                  <c:v>0.16361706700449299</c:v>
                </c:pt>
                <c:pt idx="249">
                  <c:v>0.163310032623493</c:v>
                </c:pt>
                <c:pt idx="250">
                  <c:v>0.16177819505434701</c:v>
                </c:pt>
                <c:pt idx="251">
                  <c:v>0.157985178662431</c:v>
                </c:pt>
                <c:pt idx="252">
                  <c:v>0.15653910249819</c:v>
                </c:pt>
                <c:pt idx="253">
                  <c:v>0.15652070059307399</c:v>
                </c:pt>
                <c:pt idx="254">
                  <c:v>0.15641937081797599</c:v>
                </c:pt>
                <c:pt idx="255">
                  <c:v>0.154792847051134</c:v>
                </c:pt>
                <c:pt idx="256">
                  <c:v>0.1539865898029508</c:v>
                </c:pt>
                <c:pt idx="257">
                  <c:v>0.15359026129202699</c:v>
                </c:pt>
                <c:pt idx="258">
                  <c:v>0.15054701752117899</c:v>
                </c:pt>
                <c:pt idx="259">
                  <c:v>0.15027158269803242</c:v>
                </c:pt>
                <c:pt idx="260">
                  <c:v>0.150121320569233</c:v>
                </c:pt>
                <c:pt idx="261">
                  <c:v>0.149755201124807</c:v>
                </c:pt>
                <c:pt idx="262">
                  <c:v>0.14953038808651201</c:v>
                </c:pt>
                <c:pt idx="263">
                  <c:v>0.14855939519040701</c:v>
                </c:pt>
                <c:pt idx="264">
                  <c:v>0.14696667492530099</c:v>
                </c:pt>
                <c:pt idx="265">
                  <c:v>0.1469468997333872</c:v>
                </c:pt>
                <c:pt idx="266">
                  <c:v>0.14451707908577099</c:v>
                </c:pt>
                <c:pt idx="267">
                  <c:v>0.14269444325458799</c:v>
                </c:pt>
                <c:pt idx="268">
                  <c:v>0.142526118194156</c:v>
                </c:pt>
                <c:pt idx="269">
                  <c:v>0.14163807632139611</c:v>
                </c:pt>
                <c:pt idx="270">
                  <c:v>0.14161660489075301</c:v>
                </c:pt>
                <c:pt idx="271">
                  <c:v>0.141568221614669</c:v>
                </c:pt>
                <c:pt idx="272">
                  <c:v>0.14095942055435301</c:v>
                </c:pt>
                <c:pt idx="273">
                  <c:v>0.139741087606466</c:v>
                </c:pt>
                <c:pt idx="274">
                  <c:v>0.1391869750646226</c:v>
                </c:pt>
                <c:pt idx="275">
                  <c:v>0.13913234259287999</c:v>
                </c:pt>
                <c:pt idx="276">
                  <c:v>0.13865013256837699</c:v>
                </c:pt>
                <c:pt idx="277">
                  <c:v>0.1380561239832076</c:v>
                </c:pt>
                <c:pt idx="278">
                  <c:v>0.13728199813692199</c:v>
                </c:pt>
                <c:pt idx="279">
                  <c:v>0.13578001707481152</c:v>
                </c:pt>
                <c:pt idx="280">
                  <c:v>0.13524167443708601</c:v>
                </c:pt>
                <c:pt idx="281">
                  <c:v>0.13478802681232499</c:v>
                </c:pt>
                <c:pt idx="282">
                  <c:v>0.13458772791745399</c:v>
                </c:pt>
                <c:pt idx="283">
                  <c:v>0.13260750309296801</c:v>
                </c:pt>
                <c:pt idx="284">
                  <c:v>0.13225808695208879</c:v>
                </c:pt>
                <c:pt idx="285">
                  <c:v>0.13087129270335801</c:v>
                </c:pt>
                <c:pt idx="286">
                  <c:v>0.13039070358205601</c:v>
                </c:pt>
                <c:pt idx="287">
                  <c:v>0.12887659675629171</c:v>
                </c:pt>
                <c:pt idx="288">
                  <c:v>0.12881471005916201</c:v>
                </c:pt>
                <c:pt idx="289">
                  <c:v>0.12833446115462899</c:v>
                </c:pt>
                <c:pt idx="290">
                  <c:v>0.12793963424486801</c:v>
                </c:pt>
                <c:pt idx="291">
                  <c:v>0.12738644534510429</c:v>
                </c:pt>
                <c:pt idx="292">
                  <c:v>0.126373308785173</c:v>
                </c:pt>
                <c:pt idx="293">
                  <c:v>0.125939230300291</c:v>
                </c:pt>
                <c:pt idx="294">
                  <c:v>0.12457415073874401</c:v>
                </c:pt>
                <c:pt idx="295">
                  <c:v>0.12449356040519299</c:v>
                </c:pt>
                <c:pt idx="296">
                  <c:v>0.124119152702706</c:v>
                </c:pt>
                <c:pt idx="297">
                  <c:v>0.12328835899983499</c:v>
                </c:pt>
                <c:pt idx="298">
                  <c:v>0.123064284019373</c:v>
                </c:pt>
                <c:pt idx="299">
                  <c:v>0.11970900086445699</c:v>
                </c:pt>
                <c:pt idx="300">
                  <c:v>0.119615875182746</c:v>
                </c:pt>
                <c:pt idx="301">
                  <c:v>0.11945465058044499</c:v>
                </c:pt>
                <c:pt idx="302">
                  <c:v>0.118686942494478</c:v>
                </c:pt>
                <c:pt idx="303">
                  <c:v>0.118150298756105</c:v>
                </c:pt>
                <c:pt idx="304">
                  <c:v>0.11661464526516301</c:v>
                </c:pt>
                <c:pt idx="305">
                  <c:v>0.116045158237533</c:v>
                </c:pt>
                <c:pt idx="306">
                  <c:v>0.114631734814273</c:v>
                </c:pt>
                <c:pt idx="307">
                  <c:v>0.114610654308564</c:v>
                </c:pt>
                <c:pt idx="308">
                  <c:v>0.11390969242716301</c:v>
                </c:pt>
                <c:pt idx="309">
                  <c:v>0.11369465997944</c:v>
                </c:pt>
                <c:pt idx="310">
                  <c:v>0.112466520944948</c:v>
                </c:pt>
                <c:pt idx="311">
                  <c:v>0.111016153532811</c:v>
                </c:pt>
                <c:pt idx="312">
                  <c:v>0.10989516733746001</c:v>
                </c:pt>
                <c:pt idx="313">
                  <c:v>0.109688290168286</c:v>
                </c:pt>
                <c:pt idx="314">
                  <c:v>0.107636992230337</c:v>
                </c:pt>
                <c:pt idx="315">
                  <c:v>0.107370364016353</c:v>
                </c:pt>
                <c:pt idx="316">
                  <c:v>0.10675910172451711</c:v>
                </c:pt>
                <c:pt idx="317">
                  <c:v>0.105166657501407</c:v>
                </c:pt>
                <c:pt idx="318">
                  <c:v>0.105091304511717</c:v>
                </c:pt>
                <c:pt idx="319">
                  <c:v>0.104879167374598</c:v>
                </c:pt>
                <c:pt idx="320">
                  <c:v>0.104162111072632</c:v>
                </c:pt>
                <c:pt idx="321">
                  <c:v>0.10365784292392501</c:v>
                </c:pt>
                <c:pt idx="322">
                  <c:v>0.102933769186563</c:v>
                </c:pt>
                <c:pt idx="323">
                  <c:v>0.102871657469762</c:v>
                </c:pt>
                <c:pt idx="324">
                  <c:v>0.10182762369765</c:v>
                </c:pt>
                <c:pt idx="325">
                  <c:v>0.1017087795777184</c:v>
                </c:pt>
                <c:pt idx="326">
                  <c:v>0.100859476501755</c:v>
                </c:pt>
                <c:pt idx="327">
                  <c:v>0.1007113564993922</c:v>
                </c:pt>
                <c:pt idx="328">
                  <c:v>9.8638169089498795E-2</c:v>
                </c:pt>
                <c:pt idx="329">
                  <c:v>9.6974253795365895E-2</c:v>
                </c:pt>
                <c:pt idx="330">
                  <c:v>9.2333884137743003E-2</c:v>
                </c:pt>
                <c:pt idx="331">
                  <c:v>9.1508515772285901E-2</c:v>
                </c:pt>
                <c:pt idx="332">
                  <c:v>9.1431697186675598E-2</c:v>
                </c:pt>
                <c:pt idx="333">
                  <c:v>8.9240794773876295E-2</c:v>
                </c:pt>
                <c:pt idx="334">
                  <c:v>8.8288394589453298E-2</c:v>
                </c:pt>
                <c:pt idx="335">
                  <c:v>8.6690028115251894E-2</c:v>
                </c:pt>
                <c:pt idx="336">
                  <c:v>8.5063396468561397E-2</c:v>
                </c:pt>
                <c:pt idx="337">
                  <c:v>8.4315692771114004E-2</c:v>
                </c:pt>
                <c:pt idx="338">
                  <c:v>8.0808322370647806E-2</c:v>
                </c:pt>
                <c:pt idx="339">
                  <c:v>8.0423912839763897E-2</c:v>
                </c:pt>
                <c:pt idx="340">
                  <c:v>7.9946959613307306E-2</c:v>
                </c:pt>
                <c:pt idx="341">
                  <c:v>7.9332805058895506E-2</c:v>
                </c:pt>
                <c:pt idx="342">
                  <c:v>7.9122667052408904E-2</c:v>
                </c:pt>
                <c:pt idx="343">
                  <c:v>7.8575251918691594E-2</c:v>
                </c:pt>
                <c:pt idx="344">
                  <c:v>7.7144930376835702E-2</c:v>
                </c:pt>
                <c:pt idx="345">
                  <c:v>7.70234706117017E-2</c:v>
                </c:pt>
                <c:pt idx="346">
                  <c:v>7.4595530042164307E-2</c:v>
                </c:pt>
                <c:pt idx="347">
                  <c:v>7.4050355837289E-2</c:v>
                </c:pt>
                <c:pt idx="348">
                  <c:v>7.0452577761015295E-2</c:v>
                </c:pt>
                <c:pt idx="349">
                  <c:v>6.9059898845113807E-2</c:v>
                </c:pt>
                <c:pt idx="350">
                  <c:v>6.77421582973146E-2</c:v>
                </c:pt>
                <c:pt idx="351">
                  <c:v>6.7156647294828606E-2</c:v>
                </c:pt>
                <c:pt idx="352">
                  <c:v>6.50635205954639E-2</c:v>
                </c:pt>
                <c:pt idx="353">
                  <c:v>6.4518935917016407E-2</c:v>
                </c:pt>
                <c:pt idx="354">
                  <c:v>6.4411205530750804E-2</c:v>
                </c:pt>
                <c:pt idx="355">
                  <c:v>6.3525991187566105E-2</c:v>
                </c:pt>
                <c:pt idx="356">
                  <c:v>6.2804768355944299E-2</c:v>
                </c:pt>
                <c:pt idx="357">
                  <c:v>6.0696454287813097E-2</c:v>
                </c:pt>
                <c:pt idx="358">
                  <c:v>5.9599894744330299E-2</c:v>
                </c:pt>
                <c:pt idx="359">
                  <c:v>5.9037460126752601E-2</c:v>
                </c:pt>
                <c:pt idx="360">
                  <c:v>5.86154682651992E-2</c:v>
                </c:pt>
                <c:pt idx="361">
                  <c:v>5.82129938308482E-2</c:v>
                </c:pt>
                <c:pt idx="362">
                  <c:v>5.8010199441356602E-2</c:v>
                </c:pt>
                <c:pt idx="363">
                  <c:v>5.7961232926266801E-2</c:v>
                </c:pt>
                <c:pt idx="364">
                  <c:v>5.4524454404450202E-2</c:v>
                </c:pt>
                <c:pt idx="365">
                  <c:v>5.3788894377506599E-2</c:v>
                </c:pt>
                <c:pt idx="366">
                  <c:v>5.3183497418120403E-2</c:v>
                </c:pt>
                <c:pt idx="367">
                  <c:v>5.2097274284924902E-2</c:v>
                </c:pt>
                <c:pt idx="368">
                  <c:v>5.2021115242138802E-2</c:v>
                </c:pt>
                <c:pt idx="369">
                  <c:v>5.1285890770752803E-2</c:v>
                </c:pt>
                <c:pt idx="370">
                  <c:v>4.9608757785879899E-2</c:v>
                </c:pt>
                <c:pt idx="371">
                  <c:v>4.9478220511179803E-2</c:v>
                </c:pt>
                <c:pt idx="372">
                  <c:v>4.7958959811493798E-2</c:v>
                </c:pt>
                <c:pt idx="373">
                  <c:v>4.7571044183350598E-2</c:v>
                </c:pt>
                <c:pt idx="374">
                  <c:v>4.7396816684003903E-2</c:v>
                </c:pt>
                <c:pt idx="375">
                  <c:v>4.6817543681079002E-2</c:v>
                </c:pt>
                <c:pt idx="376">
                  <c:v>4.6415813741994202E-2</c:v>
                </c:pt>
                <c:pt idx="377">
                  <c:v>4.6179269064626799E-2</c:v>
                </c:pt>
                <c:pt idx="378">
                  <c:v>4.58369451488315E-2</c:v>
                </c:pt>
                <c:pt idx="379">
                  <c:v>4.2497878109347603E-2</c:v>
                </c:pt>
                <c:pt idx="380">
                  <c:v>4.1445267045987097E-2</c:v>
                </c:pt>
                <c:pt idx="381">
                  <c:v>4.0879887655396401E-2</c:v>
                </c:pt>
                <c:pt idx="382">
                  <c:v>3.43661861886344E-2</c:v>
                </c:pt>
                <c:pt idx="383">
                  <c:v>3.4192231252337703E-2</c:v>
                </c:pt>
                <c:pt idx="384">
                  <c:v>3.2193157060950897E-2</c:v>
                </c:pt>
                <c:pt idx="385">
                  <c:v>2.9979301203309799E-2</c:v>
                </c:pt>
                <c:pt idx="386">
                  <c:v>2.8631274353765199E-2</c:v>
                </c:pt>
                <c:pt idx="387">
                  <c:v>2.7863524362831599E-2</c:v>
                </c:pt>
                <c:pt idx="388">
                  <c:v>2.5835750892507101E-2</c:v>
                </c:pt>
                <c:pt idx="389">
                  <c:v>2.5596358888877201E-2</c:v>
                </c:pt>
                <c:pt idx="390">
                  <c:v>2.4462078359288601E-2</c:v>
                </c:pt>
                <c:pt idx="391">
                  <c:v>2.4007438671223E-2</c:v>
                </c:pt>
                <c:pt idx="392">
                  <c:v>1.9801746668600999E-2</c:v>
                </c:pt>
                <c:pt idx="393">
                  <c:v>1.9243858669678902E-2</c:v>
                </c:pt>
                <c:pt idx="394">
                  <c:v>1.5567588016898601E-2</c:v>
                </c:pt>
                <c:pt idx="395">
                  <c:v>1.48488017568041E-2</c:v>
                </c:pt>
                <c:pt idx="396">
                  <c:v>1.45816561117635E-2</c:v>
                </c:pt>
                <c:pt idx="397">
                  <c:v>1.2615023854811599E-2</c:v>
                </c:pt>
                <c:pt idx="398">
                  <c:v>1.18206393706828E-2</c:v>
                </c:pt>
                <c:pt idx="399">
                  <c:v>1.1803321686785301E-2</c:v>
                </c:pt>
                <c:pt idx="400">
                  <c:v>3.54031277641409E-3</c:v>
                </c:pt>
                <c:pt idx="401">
                  <c:v>2.1710237067861901E-3</c:v>
                </c:pt>
                <c:pt idx="402">
                  <c:v>0</c:v>
                </c:pt>
              </c:numCache>
            </c:numRef>
          </c:xVal>
          <c:yVal>
            <c:numRef>
              <c:f>PolicyLossCDF!$C$2:$C$445</c:f>
              <c:numCache>
                <c:formatCode>General</c:formatCode>
                <c:ptCount val="444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  <c:pt idx="26">
                  <c:v>0.94799999999999995</c:v>
                </c:pt>
                <c:pt idx="27">
                  <c:v>0.94599999999999995</c:v>
                </c:pt>
                <c:pt idx="28">
                  <c:v>0.94399999999999995</c:v>
                </c:pt>
                <c:pt idx="29">
                  <c:v>0.94199999999999995</c:v>
                </c:pt>
                <c:pt idx="30">
                  <c:v>0.94</c:v>
                </c:pt>
                <c:pt idx="31">
                  <c:v>0.93799999999999994</c:v>
                </c:pt>
                <c:pt idx="32">
                  <c:v>0.93600000000000005</c:v>
                </c:pt>
                <c:pt idx="33">
                  <c:v>0.93400000000000005</c:v>
                </c:pt>
                <c:pt idx="34">
                  <c:v>0.93200000000000005</c:v>
                </c:pt>
                <c:pt idx="35">
                  <c:v>0.93</c:v>
                </c:pt>
                <c:pt idx="36">
                  <c:v>0.92800000000000005</c:v>
                </c:pt>
                <c:pt idx="37">
                  <c:v>0.92600000000000005</c:v>
                </c:pt>
                <c:pt idx="38">
                  <c:v>0.92400000000000004</c:v>
                </c:pt>
                <c:pt idx="39">
                  <c:v>0.92200000000000004</c:v>
                </c:pt>
                <c:pt idx="40">
                  <c:v>0.92</c:v>
                </c:pt>
                <c:pt idx="41">
                  <c:v>0.91800000000000004</c:v>
                </c:pt>
                <c:pt idx="42">
                  <c:v>0.91600000000000004</c:v>
                </c:pt>
                <c:pt idx="43">
                  <c:v>0.91400000000000003</c:v>
                </c:pt>
                <c:pt idx="44">
                  <c:v>0.91200000000000003</c:v>
                </c:pt>
                <c:pt idx="45">
                  <c:v>0.91</c:v>
                </c:pt>
                <c:pt idx="46">
                  <c:v>0.90800000000000003</c:v>
                </c:pt>
                <c:pt idx="47">
                  <c:v>0.90600000000000003</c:v>
                </c:pt>
                <c:pt idx="48">
                  <c:v>0.90400000000000003</c:v>
                </c:pt>
                <c:pt idx="49">
                  <c:v>0.90200000000000002</c:v>
                </c:pt>
                <c:pt idx="50">
                  <c:v>0.9</c:v>
                </c:pt>
                <c:pt idx="51">
                  <c:v>0.89800000000000002</c:v>
                </c:pt>
                <c:pt idx="52">
                  <c:v>0.89600000000000002</c:v>
                </c:pt>
                <c:pt idx="53">
                  <c:v>0.89400000000000002</c:v>
                </c:pt>
                <c:pt idx="54">
                  <c:v>0.89200000000000002</c:v>
                </c:pt>
                <c:pt idx="55">
                  <c:v>0.89</c:v>
                </c:pt>
                <c:pt idx="56">
                  <c:v>0.88800000000000001</c:v>
                </c:pt>
                <c:pt idx="57">
                  <c:v>0.88600000000000001</c:v>
                </c:pt>
                <c:pt idx="58">
                  <c:v>0.88400000000000001</c:v>
                </c:pt>
                <c:pt idx="59">
                  <c:v>0.88200000000000001</c:v>
                </c:pt>
                <c:pt idx="60">
                  <c:v>0.88</c:v>
                </c:pt>
                <c:pt idx="61">
                  <c:v>0.878</c:v>
                </c:pt>
                <c:pt idx="62">
                  <c:v>0.876</c:v>
                </c:pt>
                <c:pt idx="63">
                  <c:v>0.874</c:v>
                </c:pt>
                <c:pt idx="64">
                  <c:v>0.872</c:v>
                </c:pt>
                <c:pt idx="65">
                  <c:v>0.87</c:v>
                </c:pt>
                <c:pt idx="66">
                  <c:v>0.86799999999999999</c:v>
                </c:pt>
                <c:pt idx="67">
                  <c:v>0.86599999999999999</c:v>
                </c:pt>
                <c:pt idx="68">
                  <c:v>0.86399999999999999</c:v>
                </c:pt>
                <c:pt idx="69">
                  <c:v>0.86199999999999999</c:v>
                </c:pt>
                <c:pt idx="70">
                  <c:v>0.86</c:v>
                </c:pt>
                <c:pt idx="71">
                  <c:v>0.85799999999999998</c:v>
                </c:pt>
                <c:pt idx="72">
                  <c:v>0.85599999999999998</c:v>
                </c:pt>
                <c:pt idx="73">
                  <c:v>0.85399999999999998</c:v>
                </c:pt>
                <c:pt idx="74">
                  <c:v>0.85199999999999998</c:v>
                </c:pt>
                <c:pt idx="75">
                  <c:v>0.85</c:v>
                </c:pt>
                <c:pt idx="76">
                  <c:v>0.84799999999999998</c:v>
                </c:pt>
                <c:pt idx="77">
                  <c:v>0.84599999999999997</c:v>
                </c:pt>
                <c:pt idx="78">
                  <c:v>0.84399999999999997</c:v>
                </c:pt>
                <c:pt idx="79">
                  <c:v>0.84199999999999997</c:v>
                </c:pt>
                <c:pt idx="80">
                  <c:v>0.84</c:v>
                </c:pt>
                <c:pt idx="81">
                  <c:v>0.83799999999999997</c:v>
                </c:pt>
                <c:pt idx="82">
                  <c:v>0.83599999999999997</c:v>
                </c:pt>
                <c:pt idx="83">
                  <c:v>0.83399999999999996</c:v>
                </c:pt>
                <c:pt idx="84">
                  <c:v>0.83199999999999996</c:v>
                </c:pt>
                <c:pt idx="85">
                  <c:v>0.83</c:v>
                </c:pt>
                <c:pt idx="86">
                  <c:v>0.82799999999999996</c:v>
                </c:pt>
                <c:pt idx="87">
                  <c:v>0.82599999999999996</c:v>
                </c:pt>
                <c:pt idx="88">
                  <c:v>0.82399999999999995</c:v>
                </c:pt>
                <c:pt idx="89">
                  <c:v>0.82199999999999995</c:v>
                </c:pt>
                <c:pt idx="90">
                  <c:v>0.82</c:v>
                </c:pt>
                <c:pt idx="91">
                  <c:v>0.81799999999999995</c:v>
                </c:pt>
                <c:pt idx="92">
                  <c:v>0.81599999999999995</c:v>
                </c:pt>
                <c:pt idx="93">
                  <c:v>0.81399999999999995</c:v>
                </c:pt>
                <c:pt idx="94">
                  <c:v>0.81200000000000006</c:v>
                </c:pt>
                <c:pt idx="95">
                  <c:v>0.81</c:v>
                </c:pt>
                <c:pt idx="96">
                  <c:v>0.80800000000000005</c:v>
                </c:pt>
                <c:pt idx="97">
                  <c:v>0.80600000000000005</c:v>
                </c:pt>
                <c:pt idx="98">
                  <c:v>0.80400000000000005</c:v>
                </c:pt>
                <c:pt idx="99">
                  <c:v>0.80200000000000005</c:v>
                </c:pt>
                <c:pt idx="100">
                  <c:v>0.8</c:v>
                </c:pt>
                <c:pt idx="101">
                  <c:v>0.79800000000000004</c:v>
                </c:pt>
                <c:pt idx="102">
                  <c:v>0.79600000000000004</c:v>
                </c:pt>
                <c:pt idx="103">
                  <c:v>0.79400000000000004</c:v>
                </c:pt>
                <c:pt idx="104">
                  <c:v>0.79200000000000004</c:v>
                </c:pt>
                <c:pt idx="105">
                  <c:v>0.79</c:v>
                </c:pt>
                <c:pt idx="106">
                  <c:v>0.78800000000000003</c:v>
                </c:pt>
                <c:pt idx="107">
                  <c:v>0.78600000000000003</c:v>
                </c:pt>
                <c:pt idx="108">
                  <c:v>0.78400000000000003</c:v>
                </c:pt>
                <c:pt idx="109">
                  <c:v>0.78200000000000003</c:v>
                </c:pt>
                <c:pt idx="110">
                  <c:v>0.78</c:v>
                </c:pt>
                <c:pt idx="111">
                  <c:v>0.77800000000000002</c:v>
                </c:pt>
                <c:pt idx="112">
                  <c:v>0.77600000000000002</c:v>
                </c:pt>
                <c:pt idx="113">
                  <c:v>0.77400000000000002</c:v>
                </c:pt>
                <c:pt idx="114">
                  <c:v>0.77200000000000002</c:v>
                </c:pt>
                <c:pt idx="115">
                  <c:v>0.77</c:v>
                </c:pt>
                <c:pt idx="116">
                  <c:v>0.76800000000000002</c:v>
                </c:pt>
                <c:pt idx="117">
                  <c:v>0.76600000000000001</c:v>
                </c:pt>
                <c:pt idx="118">
                  <c:v>0.76400000000000001</c:v>
                </c:pt>
                <c:pt idx="119">
                  <c:v>0.76200000000000001</c:v>
                </c:pt>
                <c:pt idx="120">
                  <c:v>0.76</c:v>
                </c:pt>
                <c:pt idx="121">
                  <c:v>0.75800000000000001</c:v>
                </c:pt>
                <c:pt idx="122">
                  <c:v>0.75600000000000001</c:v>
                </c:pt>
                <c:pt idx="123">
                  <c:v>0.754</c:v>
                </c:pt>
                <c:pt idx="124">
                  <c:v>0.752</c:v>
                </c:pt>
                <c:pt idx="125">
                  <c:v>0.75</c:v>
                </c:pt>
                <c:pt idx="126">
                  <c:v>0.748</c:v>
                </c:pt>
                <c:pt idx="127">
                  <c:v>0.746</c:v>
                </c:pt>
                <c:pt idx="128">
                  <c:v>0.74399999999999999</c:v>
                </c:pt>
                <c:pt idx="129">
                  <c:v>0.74199999999999999</c:v>
                </c:pt>
                <c:pt idx="130">
                  <c:v>0.74</c:v>
                </c:pt>
                <c:pt idx="131">
                  <c:v>0.73799999999999999</c:v>
                </c:pt>
                <c:pt idx="132">
                  <c:v>0.73599999999999999</c:v>
                </c:pt>
                <c:pt idx="133">
                  <c:v>0.73399999999999999</c:v>
                </c:pt>
                <c:pt idx="134">
                  <c:v>0.73199999999999998</c:v>
                </c:pt>
                <c:pt idx="135">
                  <c:v>0.73</c:v>
                </c:pt>
                <c:pt idx="136">
                  <c:v>0.72799999999999998</c:v>
                </c:pt>
                <c:pt idx="137">
                  <c:v>0.72599999999999998</c:v>
                </c:pt>
                <c:pt idx="138">
                  <c:v>0.72399999999999998</c:v>
                </c:pt>
                <c:pt idx="139">
                  <c:v>0.72199999999999998</c:v>
                </c:pt>
                <c:pt idx="140">
                  <c:v>0.72</c:v>
                </c:pt>
                <c:pt idx="141">
                  <c:v>0.71799999999999997</c:v>
                </c:pt>
                <c:pt idx="142">
                  <c:v>0.71599999999999997</c:v>
                </c:pt>
                <c:pt idx="143">
                  <c:v>0.71399999999999997</c:v>
                </c:pt>
                <c:pt idx="144">
                  <c:v>0.71199999999999997</c:v>
                </c:pt>
                <c:pt idx="145">
                  <c:v>0.71</c:v>
                </c:pt>
                <c:pt idx="146">
                  <c:v>0.70799999999999996</c:v>
                </c:pt>
                <c:pt idx="147">
                  <c:v>0.70599999999999996</c:v>
                </c:pt>
                <c:pt idx="148">
                  <c:v>0.70399999999999996</c:v>
                </c:pt>
                <c:pt idx="149">
                  <c:v>0.70199999999999996</c:v>
                </c:pt>
                <c:pt idx="150">
                  <c:v>0.7</c:v>
                </c:pt>
                <c:pt idx="151">
                  <c:v>0.69799999999999995</c:v>
                </c:pt>
                <c:pt idx="152">
                  <c:v>0.69599999999999995</c:v>
                </c:pt>
                <c:pt idx="153">
                  <c:v>0.69399999999999995</c:v>
                </c:pt>
                <c:pt idx="154">
                  <c:v>0.69199999999999995</c:v>
                </c:pt>
                <c:pt idx="155">
                  <c:v>0.69</c:v>
                </c:pt>
                <c:pt idx="156">
                  <c:v>0.68799999999999994</c:v>
                </c:pt>
                <c:pt idx="157">
                  <c:v>0.68600000000000005</c:v>
                </c:pt>
                <c:pt idx="158">
                  <c:v>0.68400000000000005</c:v>
                </c:pt>
                <c:pt idx="159">
                  <c:v>0.68200000000000005</c:v>
                </c:pt>
                <c:pt idx="160">
                  <c:v>0.68</c:v>
                </c:pt>
                <c:pt idx="161">
                  <c:v>0.67800000000000005</c:v>
                </c:pt>
                <c:pt idx="162">
                  <c:v>0.67600000000000005</c:v>
                </c:pt>
                <c:pt idx="163">
                  <c:v>0.67400000000000004</c:v>
                </c:pt>
                <c:pt idx="164">
                  <c:v>0.67200000000000004</c:v>
                </c:pt>
                <c:pt idx="165">
                  <c:v>0.67</c:v>
                </c:pt>
                <c:pt idx="166">
                  <c:v>0.66800000000000004</c:v>
                </c:pt>
                <c:pt idx="167">
                  <c:v>0.66600000000000004</c:v>
                </c:pt>
                <c:pt idx="168">
                  <c:v>0.66400000000000003</c:v>
                </c:pt>
                <c:pt idx="169">
                  <c:v>0.66200000000000003</c:v>
                </c:pt>
                <c:pt idx="170">
                  <c:v>0.66</c:v>
                </c:pt>
                <c:pt idx="171">
                  <c:v>0.65800000000000003</c:v>
                </c:pt>
                <c:pt idx="172">
                  <c:v>0.65600000000000003</c:v>
                </c:pt>
                <c:pt idx="173">
                  <c:v>0.65400000000000003</c:v>
                </c:pt>
                <c:pt idx="174">
                  <c:v>0.65200000000000002</c:v>
                </c:pt>
                <c:pt idx="175">
                  <c:v>0.65</c:v>
                </c:pt>
                <c:pt idx="176">
                  <c:v>0.64800000000000002</c:v>
                </c:pt>
                <c:pt idx="177">
                  <c:v>0.64600000000000002</c:v>
                </c:pt>
                <c:pt idx="178">
                  <c:v>0.64400000000000002</c:v>
                </c:pt>
                <c:pt idx="179">
                  <c:v>0.64200000000000002</c:v>
                </c:pt>
                <c:pt idx="180">
                  <c:v>0.64</c:v>
                </c:pt>
                <c:pt idx="181">
                  <c:v>0.63800000000000001</c:v>
                </c:pt>
                <c:pt idx="182">
                  <c:v>0.63600000000000001</c:v>
                </c:pt>
                <c:pt idx="183">
                  <c:v>0.63400000000000001</c:v>
                </c:pt>
                <c:pt idx="184">
                  <c:v>0.63200000000000001</c:v>
                </c:pt>
                <c:pt idx="185">
                  <c:v>0.63</c:v>
                </c:pt>
                <c:pt idx="186">
                  <c:v>0.628</c:v>
                </c:pt>
                <c:pt idx="187">
                  <c:v>0.626</c:v>
                </c:pt>
                <c:pt idx="188">
                  <c:v>0.624</c:v>
                </c:pt>
                <c:pt idx="189">
                  <c:v>0.622</c:v>
                </c:pt>
                <c:pt idx="190">
                  <c:v>0.62</c:v>
                </c:pt>
                <c:pt idx="191">
                  <c:v>0.61799999999999999</c:v>
                </c:pt>
                <c:pt idx="192">
                  <c:v>0.61599999999999999</c:v>
                </c:pt>
                <c:pt idx="193">
                  <c:v>0.61399999999999999</c:v>
                </c:pt>
                <c:pt idx="194">
                  <c:v>0.61199999999999999</c:v>
                </c:pt>
                <c:pt idx="195">
                  <c:v>0.61</c:v>
                </c:pt>
                <c:pt idx="196">
                  <c:v>0.60799999999999998</c:v>
                </c:pt>
                <c:pt idx="197">
                  <c:v>0.60599999999999998</c:v>
                </c:pt>
                <c:pt idx="198">
                  <c:v>0.60399999999999998</c:v>
                </c:pt>
                <c:pt idx="199">
                  <c:v>0.60199999999999998</c:v>
                </c:pt>
                <c:pt idx="200">
                  <c:v>0.6</c:v>
                </c:pt>
                <c:pt idx="201">
                  <c:v>0.59799999999999998</c:v>
                </c:pt>
                <c:pt idx="202">
                  <c:v>0.59599999999999997</c:v>
                </c:pt>
                <c:pt idx="203">
                  <c:v>0.59399999999999997</c:v>
                </c:pt>
                <c:pt idx="204">
                  <c:v>0.59199999999999997</c:v>
                </c:pt>
                <c:pt idx="205">
                  <c:v>0.59</c:v>
                </c:pt>
                <c:pt idx="206">
                  <c:v>0.58799999999999997</c:v>
                </c:pt>
                <c:pt idx="207">
                  <c:v>0.58599999999999997</c:v>
                </c:pt>
                <c:pt idx="208">
                  <c:v>0.58399999999999996</c:v>
                </c:pt>
                <c:pt idx="209">
                  <c:v>0.58199999999999996</c:v>
                </c:pt>
                <c:pt idx="210">
                  <c:v>0.57999999999999996</c:v>
                </c:pt>
                <c:pt idx="211">
                  <c:v>0.57799999999999996</c:v>
                </c:pt>
                <c:pt idx="212">
                  <c:v>0.57599999999999996</c:v>
                </c:pt>
                <c:pt idx="213">
                  <c:v>0.57399999999999995</c:v>
                </c:pt>
                <c:pt idx="214">
                  <c:v>0.57199999999999995</c:v>
                </c:pt>
                <c:pt idx="215">
                  <c:v>0.56999999999999995</c:v>
                </c:pt>
                <c:pt idx="216">
                  <c:v>0.56799999999999995</c:v>
                </c:pt>
                <c:pt idx="217">
                  <c:v>0.56599999999999995</c:v>
                </c:pt>
                <c:pt idx="218">
                  <c:v>0.56399999999999995</c:v>
                </c:pt>
                <c:pt idx="219">
                  <c:v>0.56200000000000006</c:v>
                </c:pt>
                <c:pt idx="220">
                  <c:v>0.56000000000000005</c:v>
                </c:pt>
                <c:pt idx="221">
                  <c:v>0.55800000000000005</c:v>
                </c:pt>
                <c:pt idx="222">
                  <c:v>0.55600000000000005</c:v>
                </c:pt>
                <c:pt idx="223">
                  <c:v>0.55400000000000005</c:v>
                </c:pt>
                <c:pt idx="224">
                  <c:v>0.55200000000000005</c:v>
                </c:pt>
                <c:pt idx="225">
                  <c:v>0.55000000000000004</c:v>
                </c:pt>
                <c:pt idx="226">
                  <c:v>0.54800000000000004</c:v>
                </c:pt>
                <c:pt idx="227">
                  <c:v>0.54600000000000004</c:v>
                </c:pt>
                <c:pt idx="228">
                  <c:v>0.54400000000000004</c:v>
                </c:pt>
                <c:pt idx="229">
                  <c:v>0.54200000000000004</c:v>
                </c:pt>
                <c:pt idx="230">
                  <c:v>0.54</c:v>
                </c:pt>
                <c:pt idx="231">
                  <c:v>0.53800000000000003</c:v>
                </c:pt>
                <c:pt idx="232">
                  <c:v>0.53600000000000003</c:v>
                </c:pt>
                <c:pt idx="233">
                  <c:v>0.53400000000000003</c:v>
                </c:pt>
                <c:pt idx="234">
                  <c:v>0.53200000000000003</c:v>
                </c:pt>
                <c:pt idx="235">
                  <c:v>0.53</c:v>
                </c:pt>
                <c:pt idx="236">
                  <c:v>0.52800000000000002</c:v>
                </c:pt>
                <c:pt idx="237">
                  <c:v>0.52600000000000002</c:v>
                </c:pt>
                <c:pt idx="238">
                  <c:v>0.52400000000000002</c:v>
                </c:pt>
                <c:pt idx="239">
                  <c:v>0.52200000000000002</c:v>
                </c:pt>
                <c:pt idx="240">
                  <c:v>0.52</c:v>
                </c:pt>
                <c:pt idx="241">
                  <c:v>0.51800000000000002</c:v>
                </c:pt>
                <c:pt idx="242">
                  <c:v>0.51600000000000001</c:v>
                </c:pt>
                <c:pt idx="243">
                  <c:v>0.51400000000000001</c:v>
                </c:pt>
                <c:pt idx="244">
                  <c:v>0.51200000000000001</c:v>
                </c:pt>
                <c:pt idx="245">
                  <c:v>0.51</c:v>
                </c:pt>
                <c:pt idx="246">
                  <c:v>0.50800000000000001</c:v>
                </c:pt>
                <c:pt idx="247">
                  <c:v>0.50600000000000001</c:v>
                </c:pt>
                <c:pt idx="248">
                  <c:v>0.504</c:v>
                </c:pt>
                <c:pt idx="249">
                  <c:v>0.502</c:v>
                </c:pt>
                <c:pt idx="250">
                  <c:v>0.5</c:v>
                </c:pt>
                <c:pt idx="251">
                  <c:v>0.498</c:v>
                </c:pt>
                <c:pt idx="252">
                  <c:v>0.496</c:v>
                </c:pt>
                <c:pt idx="253">
                  <c:v>0.49399999999999999</c:v>
                </c:pt>
                <c:pt idx="254">
                  <c:v>0.49199999999999999</c:v>
                </c:pt>
                <c:pt idx="255">
                  <c:v>0.49</c:v>
                </c:pt>
                <c:pt idx="256">
                  <c:v>0.48799999999999999</c:v>
                </c:pt>
                <c:pt idx="257">
                  <c:v>0.48599999999999999</c:v>
                </c:pt>
                <c:pt idx="258">
                  <c:v>0.48399999999999999</c:v>
                </c:pt>
                <c:pt idx="259">
                  <c:v>0.48199999999999998</c:v>
                </c:pt>
                <c:pt idx="260">
                  <c:v>0.48</c:v>
                </c:pt>
                <c:pt idx="261">
                  <c:v>0.47799999999999998</c:v>
                </c:pt>
                <c:pt idx="262">
                  <c:v>0.47599999999999998</c:v>
                </c:pt>
                <c:pt idx="263">
                  <c:v>0.47399999999999998</c:v>
                </c:pt>
                <c:pt idx="264">
                  <c:v>0.47199999999999998</c:v>
                </c:pt>
                <c:pt idx="265">
                  <c:v>0.47</c:v>
                </c:pt>
                <c:pt idx="266">
                  <c:v>0.46800000000000003</c:v>
                </c:pt>
                <c:pt idx="267">
                  <c:v>0.46600000000000003</c:v>
                </c:pt>
                <c:pt idx="268">
                  <c:v>0.46400000000000002</c:v>
                </c:pt>
                <c:pt idx="269">
                  <c:v>0.46200000000000002</c:v>
                </c:pt>
                <c:pt idx="270">
                  <c:v>0.46</c:v>
                </c:pt>
                <c:pt idx="271">
                  <c:v>0.45800000000000002</c:v>
                </c:pt>
                <c:pt idx="272">
                  <c:v>0.45600000000000002</c:v>
                </c:pt>
                <c:pt idx="273">
                  <c:v>0.45400000000000001</c:v>
                </c:pt>
                <c:pt idx="274">
                  <c:v>0.45200000000000001</c:v>
                </c:pt>
                <c:pt idx="275">
                  <c:v>0.45</c:v>
                </c:pt>
                <c:pt idx="276">
                  <c:v>0.44800000000000001</c:v>
                </c:pt>
                <c:pt idx="277">
                  <c:v>0.44600000000000001</c:v>
                </c:pt>
                <c:pt idx="278">
                  <c:v>0.44400000000000001</c:v>
                </c:pt>
                <c:pt idx="279">
                  <c:v>0.442</c:v>
                </c:pt>
                <c:pt idx="280">
                  <c:v>0.44</c:v>
                </c:pt>
                <c:pt idx="281">
                  <c:v>0.438</c:v>
                </c:pt>
                <c:pt idx="282">
                  <c:v>0.436</c:v>
                </c:pt>
                <c:pt idx="283">
                  <c:v>0.434</c:v>
                </c:pt>
                <c:pt idx="284">
                  <c:v>0.432</c:v>
                </c:pt>
                <c:pt idx="285">
                  <c:v>0.43</c:v>
                </c:pt>
                <c:pt idx="286">
                  <c:v>0.42799999999999999</c:v>
                </c:pt>
                <c:pt idx="287">
                  <c:v>0.42599999999999999</c:v>
                </c:pt>
                <c:pt idx="288">
                  <c:v>0.42399999999999999</c:v>
                </c:pt>
                <c:pt idx="289">
                  <c:v>0.42199999999999999</c:v>
                </c:pt>
                <c:pt idx="290">
                  <c:v>0.42</c:v>
                </c:pt>
                <c:pt idx="291">
                  <c:v>0.41799999999999998</c:v>
                </c:pt>
                <c:pt idx="292">
                  <c:v>0.41599999999999998</c:v>
                </c:pt>
                <c:pt idx="293">
                  <c:v>0.41399999999999998</c:v>
                </c:pt>
                <c:pt idx="294">
                  <c:v>0.41199999999999998</c:v>
                </c:pt>
                <c:pt idx="295">
                  <c:v>0.41</c:v>
                </c:pt>
                <c:pt idx="296">
                  <c:v>0.40799999999999997</c:v>
                </c:pt>
                <c:pt idx="297">
                  <c:v>0.40600000000000003</c:v>
                </c:pt>
                <c:pt idx="298">
                  <c:v>0.40400000000000003</c:v>
                </c:pt>
                <c:pt idx="299">
                  <c:v>0.40200000000000002</c:v>
                </c:pt>
                <c:pt idx="300">
                  <c:v>0.4</c:v>
                </c:pt>
                <c:pt idx="301">
                  <c:v>0.39800000000000002</c:v>
                </c:pt>
                <c:pt idx="302">
                  <c:v>0.39600000000000002</c:v>
                </c:pt>
                <c:pt idx="303">
                  <c:v>0.39400000000000002</c:v>
                </c:pt>
                <c:pt idx="304">
                  <c:v>0.39200000000000002</c:v>
                </c:pt>
                <c:pt idx="305">
                  <c:v>0.39</c:v>
                </c:pt>
                <c:pt idx="306">
                  <c:v>0.38800000000000001</c:v>
                </c:pt>
                <c:pt idx="307">
                  <c:v>0.38600000000000001</c:v>
                </c:pt>
                <c:pt idx="308">
                  <c:v>0.38400000000000001</c:v>
                </c:pt>
                <c:pt idx="309">
                  <c:v>0.38200000000000001</c:v>
                </c:pt>
                <c:pt idx="310">
                  <c:v>0.38</c:v>
                </c:pt>
                <c:pt idx="311">
                  <c:v>0.378</c:v>
                </c:pt>
                <c:pt idx="312">
                  <c:v>0.376</c:v>
                </c:pt>
                <c:pt idx="313">
                  <c:v>0.374</c:v>
                </c:pt>
                <c:pt idx="314">
                  <c:v>0.372</c:v>
                </c:pt>
                <c:pt idx="315">
                  <c:v>0.37</c:v>
                </c:pt>
                <c:pt idx="316">
                  <c:v>0.36799999999999999</c:v>
                </c:pt>
                <c:pt idx="317">
                  <c:v>0.36599999999999999</c:v>
                </c:pt>
                <c:pt idx="318">
                  <c:v>0.36399999999999999</c:v>
                </c:pt>
                <c:pt idx="319">
                  <c:v>0.36199999999999999</c:v>
                </c:pt>
                <c:pt idx="320">
                  <c:v>0.36</c:v>
                </c:pt>
                <c:pt idx="321">
                  <c:v>0.35799999999999998</c:v>
                </c:pt>
                <c:pt idx="322">
                  <c:v>0.35599999999999998</c:v>
                </c:pt>
                <c:pt idx="323">
                  <c:v>0.35399999999999998</c:v>
                </c:pt>
                <c:pt idx="324">
                  <c:v>0.35199999999999998</c:v>
                </c:pt>
                <c:pt idx="325">
                  <c:v>0.35</c:v>
                </c:pt>
                <c:pt idx="326">
                  <c:v>0.34799999999999998</c:v>
                </c:pt>
                <c:pt idx="327">
                  <c:v>0.34599999999999997</c:v>
                </c:pt>
                <c:pt idx="328">
                  <c:v>0.34399999999999997</c:v>
                </c:pt>
                <c:pt idx="329">
                  <c:v>0.34200000000000003</c:v>
                </c:pt>
                <c:pt idx="330">
                  <c:v>0.34</c:v>
                </c:pt>
                <c:pt idx="331">
                  <c:v>0.33800000000000002</c:v>
                </c:pt>
                <c:pt idx="332">
                  <c:v>0.33600000000000002</c:v>
                </c:pt>
                <c:pt idx="333">
                  <c:v>0.33400000000000002</c:v>
                </c:pt>
                <c:pt idx="334">
                  <c:v>0.33200000000000002</c:v>
                </c:pt>
                <c:pt idx="335">
                  <c:v>0.33</c:v>
                </c:pt>
                <c:pt idx="336">
                  <c:v>0.32800000000000001</c:v>
                </c:pt>
                <c:pt idx="337">
                  <c:v>0.32600000000000001</c:v>
                </c:pt>
                <c:pt idx="338">
                  <c:v>0.32400000000000001</c:v>
                </c:pt>
                <c:pt idx="339">
                  <c:v>0.32200000000000001</c:v>
                </c:pt>
                <c:pt idx="340">
                  <c:v>0.32</c:v>
                </c:pt>
                <c:pt idx="341">
                  <c:v>0.318</c:v>
                </c:pt>
                <c:pt idx="342">
                  <c:v>0.316</c:v>
                </c:pt>
                <c:pt idx="343">
                  <c:v>0.314</c:v>
                </c:pt>
                <c:pt idx="344">
                  <c:v>0.312</c:v>
                </c:pt>
                <c:pt idx="345">
                  <c:v>0.31</c:v>
                </c:pt>
                <c:pt idx="346">
                  <c:v>0.308</c:v>
                </c:pt>
                <c:pt idx="347">
                  <c:v>0.30599999999999999</c:v>
                </c:pt>
                <c:pt idx="348">
                  <c:v>0.30399999999999999</c:v>
                </c:pt>
                <c:pt idx="349">
                  <c:v>0.30199999999999999</c:v>
                </c:pt>
                <c:pt idx="350">
                  <c:v>0.3</c:v>
                </c:pt>
                <c:pt idx="351">
                  <c:v>0.29799999999999999</c:v>
                </c:pt>
                <c:pt idx="352">
                  <c:v>0.29599999999999999</c:v>
                </c:pt>
                <c:pt idx="353">
                  <c:v>0.29399999999999998</c:v>
                </c:pt>
                <c:pt idx="354">
                  <c:v>0.29199999999999998</c:v>
                </c:pt>
                <c:pt idx="355">
                  <c:v>0.28999999999999998</c:v>
                </c:pt>
                <c:pt idx="356">
                  <c:v>0.28799999999999998</c:v>
                </c:pt>
                <c:pt idx="357">
                  <c:v>0.28599999999999998</c:v>
                </c:pt>
                <c:pt idx="358">
                  <c:v>0.28399999999999997</c:v>
                </c:pt>
                <c:pt idx="359">
                  <c:v>0.28199999999999997</c:v>
                </c:pt>
                <c:pt idx="360">
                  <c:v>0.28000000000000003</c:v>
                </c:pt>
                <c:pt idx="361">
                  <c:v>0.27800000000000002</c:v>
                </c:pt>
                <c:pt idx="362">
                  <c:v>0.27600000000000002</c:v>
                </c:pt>
                <c:pt idx="363">
                  <c:v>0.27400000000000002</c:v>
                </c:pt>
                <c:pt idx="364">
                  <c:v>0.27200000000000002</c:v>
                </c:pt>
                <c:pt idx="365">
                  <c:v>0.27</c:v>
                </c:pt>
                <c:pt idx="366">
                  <c:v>0.26800000000000002</c:v>
                </c:pt>
                <c:pt idx="367">
                  <c:v>0.26600000000000001</c:v>
                </c:pt>
                <c:pt idx="368">
                  <c:v>0.26400000000000001</c:v>
                </c:pt>
                <c:pt idx="369">
                  <c:v>0.26200000000000001</c:v>
                </c:pt>
                <c:pt idx="370">
                  <c:v>0.26</c:v>
                </c:pt>
                <c:pt idx="371">
                  <c:v>0.25800000000000001</c:v>
                </c:pt>
                <c:pt idx="372">
                  <c:v>0.25600000000000001</c:v>
                </c:pt>
                <c:pt idx="373">
                  <c:v>0.254</c:v>
                </c:pt>
                <c:pt idx="374">
                  <c:v>0.252</c:v>
                </c:pt>
                <c:pt idx="375">
                  <c:v>0.25</c:v>
                </c:pt>
                <c:pt idx="376">
                  <c:v>0.248</c:v>
                </c:pt>
                <c:pt idx="377">
                  <c:v>0.246</c:v>
                </c:pt>
                <c:pt idx="378">
                  <c:v>0.24399999999999999</c:v>
                </c:pt>
                <c:pt idx="379">
                  <c:v>0.24199999999999999</c:v>
                </c:pt>
                <c:pt idx="380">
                  <c:v>0.24</c:v>
                </c:pt>
                <c:pt idx="381">
                  <c:v>0.23799999999999999</c:v>
                </c:pt>
                <c:pt idx="382">
                  <c:v>0.23599999999999999</c:v>
                </c:pt>
                <c:pt idx="383">
                  <c:v>0.23400000000000001</c:v>
                </c:pt>
                <c:pt idx="384">
                  <c:v>0.23200000000000001</c:v>
                </c:pt>
                <c:pt idx="385">
                  <c:v>0.23</c:v>
                </c:pt>
                <c:pt idx="386">
                  <c:v>0.22800000000000001</c:v>
                </c:pt>
                <c:pt idx="387">
                  <c:v>0.22600000000000001</c:v>
                </c:pt>
                <c:pt idx="388">
                  <c:v>0.224</c:v>
                </c:pt>
                <c:pt idx="389">
                  <c:v>0.222</c:v>
                </c:pt>
                <c:pt idx="390">
                  <c:v>0.22</c:v>
                </c:pt>
                <c:pt idx="391">
                  <c:v>0.218</c:v>
                </c:pt>
                <c:pt idx="392">
                  <c:v>0.216</c:v>
                </c:pt>
                <c:pt idx="393">
                  <c:v>0.214</c:v>
                </c:pt>
                <c:pt idx="394">
                  <c:v>0.21199999999999999</c:v>
                </c:pt>
                <c:pt idx="395">
                  <c:v>0.21</c:v>
                </c:pt>
                <c:pt idx="396">
                  <c:v>0.20799999999999999</c:v>
                </c:pt>
                <c:pt idx="397">
                  <c:v>0.20599999999999999</c:v>
                </c:pt>
                <c:pt idx="398">
                  <c:v>0.20399999999999999</c:v>
                </c:pt>
                <c:pt idx="399">
                  <c:v>0.20200000000000001</c:v>
                </c:pt>
                <c:pt idx="400">
                  <c:v>0.2</c:v>
                </c:pt>
                <c:pt idx="401">
                  <c:v>0.19800000000000001</c:v>
                </c:pt>
                <c:pt idx="402">
                  <c:v>0.19600000000000001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9-9D4A-AFD0-4E3B92958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0.9664863144567459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Policy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Proportion of Policies With</a:t>
                </a:r>
                <a:r>
                  <a:rPr lang="en-US" sz="1200" baseline="0"/>
                  <a:t> Losses &lt;= Amount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_xlchart.v1.6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Policy-Level 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Policy-Level Loss</a:t>
          </a:r>
        </a:p>
      </cx:txPr>
    </cx:title>
    <cx:plotArea>
      <cx:plotAreaRegion>
        <cx:series layoutId="boxWhisker" uniqueId="{CD4FC400-A53F-6D46-866C-BE53E7E09E25}">
          <cx:tx>
            <cx:txData>
              <cx:f>_xlchart.v1.8</cx:f>
              <cx:v>TotalClaimAmount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Policy Loss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Policy Loss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400971</xdr:colOff>
          <xdr:row>5</xdr:row>
          <xdr:rowOff>0</xdr:rowOff>
        </xdr:from>
        <xdr:to>
          <xdr:col>10</xdr:col>
          <xdr:colOff>0</xdr:colOff>
          <xdr:row>7</xdr:row>
          <xdr:rowOff>18387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6</xdr:col>
      <xdr:colOff>26504</xdr:colOff>
      <xdr:row>33</xdr:row>
      <xdr:rowOff>176697</xdr:rowOff>
    </xdr:from>
    <xdr:to>
      <xdr:col>11</xdr:col>
      <xdr:colOff>0</xdr:colOff>
      <xdr:row>47</xdr:row>
      <xdr:rowOff>136941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15068</xdr:colOff>
      <xdr:row>33</xdr:row>
      <xdr:rowOff>176697</xdr:rowOff>
    </xdr:from>
    <xdr:to>
      <xdr:col>5</xdr:col>
      <xdr:colOff>456366</xdr:colOff>
      <xdr:row>47</xdr:row>
      <xdr:rowOff>136941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3329" y="6316871"/>
              <a:ext cx="292608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31805</xdr:colOff>
      <xdr:row>5</xdr:row>
      <xdr:rowOff>0</xdr:rowOff>
    </xdr:from>
    <xdr:to>
      <xdr:col>23</xdr:col>
      <xdr:colOff>0</xdr:colOff>
      <xdr:row>18</xdr:row>
      <xdr:rowOff>159026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B0933-BA7F-6343-B6F9-4BC46E79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28483</xdr:colOff>
      <xdr:row>33</xdr:row>
      <xdr:rowOff>176697</xdr:rowOff>
    </xdr:from>
    <xdr:to>
      <xdr:col>17</xdr:col>
      <xdr:colOff>469780</xdr:colOff>
      <xdr:row>47</xdr:row>
      <xdr:rowOff>136940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9A69557-A0CA-2D4E-AD99-5664706DC4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9353" y="6316871"/>
              <a:ext cx="2926079" cy="27431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26504</xdr:colOff>
      <xdr:row>33</xdr:row>
      <xdr:rowOff>176697</xdr:rowOff>
    </xdr:from>
    <xdr:to>
      <xdr:col>23</xdr:col>
      <xdr:colOff>0</xdr:colOff>
      <xdr:row>47</xdr:row>
      <xdr:rowOff>136940</xdr:rowOff>
    </xdr:to>
    <xdr:graphicFrame macro="">
      <xdr:nvGraphicFramePr>
        <xdr:cNvPr id="17" name="PolicyLossCDFChart">
          <a:extLst>
            <a:ext uri="{FF2B5EF4-FFF2-40B4-BE49-F238E27FC236}">
              <a16:creationId xmlns:a16="http://schemas.microsoft.com/office/drawing/2014/main" id="{F37D6405-F7C5-ABDB-9BC3-11BD92DBA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22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8D1DAE17-128B-BAA0-80A4-C5411D3B5EFF}"/>
            </a:ext>
          </a:extLst>
        </xdr:cNvPr>
        <xdr:cNvSpPr/>
      </xdr:nvSpPr>
      <xdr:spPr>
        <a:xfrm>
          <a:off x="828261" y="4064000"/>
          <a:ext cx="9110869" cy="5256696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24</xdr:col>
      <xdr:colOff>0</xdr:colOff>
      <xdr:row>48</xdr:row>
      <xdr:rowOff>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F223D756-AAD4-FB48-97D2-9C9072073E29}"/>
            </a:ext>
          </a:extLst>
        </xdr:cNvPr>
        <xdr:cNvSpPr/>
      </xdr:nvSpPr>
      <xdr:spPr>
        <a:xfrm>
          <a:off x="9685130" y="4207565"/>
          <a:ext cx="8028609" cy="5356087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6DCD97CB-33E2-4F4F-8265-86AC73E1BC52}"/>
            </a:ext>
          </a:extLst>
        </xdr:cNvPr>
        <xdr:cNvSpPr/>
      </xdr:nvSpPr>
      <xdr:spPr>
        <a:xfrm>
          <a:off x="9685130" y="0"/>
          <a:ext cx="8028609" cy="4207565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3.121787847223" createdVersion="8" refreshedVersion="8" minRefreshableVersion="3" recordCount="500" xr:uid="{DB9A0C32-7E36-4741-8AC9-667E4E6A4B74}">
  <cacheSource type="worksheet">
    <worksheetSource name="TblPolicyLevelAggregate"/>
  </cacheSource>
  <cacheFields count="3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0" maxValue="20" count="20">
        <n v="2"/>
        <n v="1"/>
        <n v="0"/>
        <n v="3" u="1"/>
        <n v="4" u="1"/>
        <n v="5" u="1"/>
        <n v="6" u="1"/>
        <n v="8" u="1"/>
        <n v="7" u="1"/>
        <n v="9" u="1"/>
        <n v="14" u="1"/>
        <n v="10" u="1"/>
        <n v="15" u="1"/>
        <n v="11" u="1"/>
        <n v="13" u="1"/>
        <n v="12" u="1"/>
        <n v="16" u="1"/>
        <n v="17" u="1"/>
        <n v="18" u="1"/>
        <n v="20" u="1"/>
      </sharedItems>
    </cacheField>
    <cacheField name="TotalClaimAmount" numFmtId="0">
      <sharedItems containsSemiMixedTypes="0" containsString="0" containsNumber="1" minValue="0" maxValue="0.966486314456745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n v="0.55660539890032945"/>
  </r>
  <r>
    <n v="2"/>
    <x v="1"/>
    <n v="2.5596358888877201E-2"/>
  </r>
  <r>
    <n v="3"/>
    <x v="1"/>
    <n v="5.1285890770752803E-2"/>
  </r>
  <r>
    <n v="6"/>
    <x v="0"/>
    <n v="0.35504949805546604"/>
  </r>
  <r>
    <n v="7"/>
    <x v="1"/>
    <n v="0.30406397220303399"/>
  </r>
  <r>
    <n v="9"/>
    <x v="1"/>
    <n v="0.15652070059307399"/>
  </r>
  <r>
    <n v="10"/>
    <x v="1"/>
    <n v="0.18820243128675301"/>
  </r>
  <r>
    <n v="12"/>
    <x v="1"/>
    <n v="2.1710237067861901E-3"/>
  </r>
  <r>
    <n v="13"/>
    <x v="1"/>
    <n v="5.9037460126752601E-2"/>
  </r>
  <r>
    <n v="14"/>
    <x v="1"/>
    <n v="0.25291602268996699"/>
  </r>
  <r>
    <n v="15"/>
    <x v="0"/>
    <n v="0.31377814500589796"/>
  </r>
  <r>
    <n v="17"/>
    <x v="0"/>
    <n v="0.45319555321420602"/>
  </r>
  <r>
    <n v="18"/>
    <x v="0"/>
    <n v="0.37333439720030231"/>
  </r>
  <r>
    <n v="19"/>
    <x v="1"/>
    <n v="0.22523490315536099"/>
  </r>
  <r>
    <n v="22"/>
    <x v="1"/>
    <n v="2.9979301203309799E-2"/>
  </r>
  <r>
    <n v="23"/>
    <x v="1"/>
    <n v="0.30881388302581902"/>
  </r>
  <r>
    <n v="25"/>
    <x v="1"/>
    <n v="1.2615023854811599E-2"/>
  </r>
  <r>
    <n v="26"/>
    <x v="1"/>
    <n v="0.10365784292392501"/>
  </r>
  <r>
    <n v="27"/>
    <x v="1"/>
    <n v="0.27649220954902098"/>
  </r>
  <r>
    <n v="28"/>
    <x v="1"/>
    <n v="0.27271410573104499"/>
  </r>
  <r>
    <n v="29"/>
    <x v="0"/>
    <n v="0.25494409228111209"/>
  </r>
  <r>
    <n v="30"/>
    <x v="0"/>
    <n v="0.35134375805145501"/>
  </r>
  <r>
    <n v="33"/>
    <x v="1"/>
    <n v="0.17071688261944201"/>
  </r>
  <r>
    <n v="35"/>
    <x v="0"/>
    <n v="0.41102158992362303"/>
  </r>
  <r>
    <n v="36"/>
    <x v="1"/>
    <n v="9.6974253795365895E-2"/>
  </r>
  <r>
    <n v="37"/>
    <x v="1"/>
    <n v="0.206012633015145"/>
  </r>
  <r>
    <n v="38"/>
    <x v="0"/>
    <n v="0.53958810174823002"/>
  </r>
  <r>
    <n v="39"/>
    <x v="1"/>
    <n v="7.9946959613307306E-2"/>
  </r>
  <r>
    <n v="40"/>
    <x v="0"/>
    <n v="0.27399165155164101"/>
  </r>
  <r>
    <n v="41"/>
    <x v="0"/>
    <n v="0.52855568792026297"/>
  </r>
  <r>
    <n v="42"/>
    <x v="1"/>
    <n v="0.14696667492530099"/>
  </r>
  <r>
    <n v="43"/>
    <x v="1"/>
    <n v="4.9478220511179803E-2"/>
  </r>
  <r>
    <n v="44"/>
    <x v="1"/>
    <n v="0.27277944150422201"/>
  </r>
  <r>
    <n v="45"/>
    <x v="0"/>
    <n v="0.19650221573607068"/>
  </r>
  <r>
    <n v="46"/>
    <x v="0"/>
    <n v="0.31847462604212901"/>
  </r>
  <r>
    <n v="47"/>
    <x v="0"/>
    <n v="0.50027230203838302"/>
  </r>
  <r>
    <n v="48"/>
    <x v="1"/>
    <n v="0.242596905095704"/>
  </r>
  <r>
    <n v="49"/>
    <x v="0"/>
    <n v="0.63751538375919703"/>
  </r>
  <r>
    <n v="51"/>
    <x v="0"/>
    <n v="0.13478802681232499"/>
  </r>
  <r>
    <n v="52"/>
    <x v="1"/>
    <n v="0.243744793938763"/>
  </r>
  <r>
    <n v="54"/>
    <x v="0"/>
    <n v="0.1007113564993922"/>
  </r>
  <r>
    <n v="55"/>
    <x v="1"/>
    <n v="0.28550977972983499"/>
  </r>
  <r>
    <n v="56"/>
    <x v="0"/>
    <n v="0.25145788687490939"/>
  </r>
  <r>
    <n v="57"/>
    <x v="0"/>
    <n v="0.35831603988339122"/>
  </r>
  <r>
    <n v="58"/>
    <x v="1"/>
    <n v="0.24678371144897199"/>
  </r>
  <r>
    <n v="60"/>
    <x v="1"/>
    <n v="7.9332805058895506E-2"/>
  </r>
  <r>
    <n v="61"/>
    <x v="1"/>
    <n v="0.100859476501755"/>
  </r>
  <r>
    <n v="62"/>
    <x v="0"/>
    <n v="0.55255795294531507"/>
  </r>
  <r>
    <n v="63"/>
    <x v="1"/>
    <n v="0.302020883837891"/>
  </r>
  <r>
    <n v="64"/>
    <x v="0"/>
    <n v="0.35951969798435102"/>
  </r>
  <r>
    <n v="66"/>
    <x v="1"/>
    <n v="0.35448175121283299"/>
  </r>
  <r>
    <n v="70"/>
    <x v="1"/>
    <n v="1.1803321686785301E-2"/>
  </r>
  <r>
    <n v="71"/>
    <x v="1"/>
    <n v="0.19508093395569501"/>
  </r>
  <r>
    <n v="72"/>
    <x v="1"/>
    <n v="0.238353186852029"/>
  </r>
  <r>
    <n v="73"/>
    <x v="1"/>
    <n v="0.23133151779079"/>
  </r>
  <r>
    <n v="74"/>
    <x v="0"/>
    <n v="0.33814577663555173"/>
  </r>
  <r>
    <n v="75"/>
    <x v="1"/>
    <n v="0.111016153532811"/>
  </r>
  <r>
    <n v="76"/>
    <x v="0"/>
    <n v="0.19360577133177609"/>
  </r>
  <r>
    <n v="77"/>
    <x v="1"/>
    <n v="0.13865013256837699"/>
  </r>
  <r>
    <n v="78"/>
    <x v="1"/>
    <n v="0.15653910249819"/>
  </r>
  <r>
    <n v="79"/>
    <x v="1"/>
    <n v="0.13039070358205601"/>
  </r>
  <r>
    <n v="80"/>
    <x v="0"/>
    <n v="0.17421221396761538"/>
  </r>
  <r>
    <n v="81"/>
    <x v="0"/>
    <n v="0.31269678658335798"/>
  </r>
  <r>
    <n v="82"/>
    <x v="1"/>
    <n v="0.20477016945738599"/>
  </r>
  <r>
    <n v="83"/>
    <x v="1"/>
    <n v="0.16408938955420199"/>
  </r>
  <r>
    <n v="84"/>
    <x v="1"/>
    <n v="0.27464741993581399"/>
  </r>
  <r>
    <n v="85"/>
    <x v="0"/>
    <n v="0.2090444567738835"/>
  </r>
  <r>
    <n v="86"/>
    <x v="1"/>
    <n v="0.15359026129202699"/>
  </r>
  <r>
    <n v="90"/>
    <x v="0"/>
    <n v="0.35060674755469601"/>
  </r>
  <r>
    <n v="91"/>
    <x v="0"/>
    <n v="0.22508674050020011"/>
  </r>
  <r>
    <n v="92"/>
    <x v="1"/>
    <n v="0.150121320569233"/>
  </r>
  <r>
    <n v="93"/>
    <x v="1"/>
    <n v="0.11661464526516301"/>
  </r>
  <r>
    <n v="94"/>
    <x v="1"/>
    <n v="0.12457415073874401"/>
  </r>
  <r>
    <n v="95"/>
    <x v="1"/>
    <n v="0.107370364016353"/>
  </r>
  <r>
    <n v="96"/>
    <x v="0"/>
    <n v="0.51329588297316997"/>
  </r>
  <r>
    <n v="97"/>
    <x v="1"/>
    <n v="0.185869430362399"/>
  </r>
  <r>
    <n v="98"/>
    <x v="0"/>
    <n v="0.29790973079457039"/>
  </r>
  <r>
    <n v="99"/>
    <x v="1"/>
    <n v="4.1445267045987097E-2"/>
  </r>
  <r>
    <n v="100"/>
    <x v="1"/>
    <n v="0.29696290717306001"/>
  </r>
  <r>
    <n v="101"/>
    <x v="1"/>
    <n v="7.70234706117017E-2"/>
  </r>
  <r>
    <n v="102"/>
    <x v="1"/>
    <n v="0.107636992230337"/>
  </r>
  <r>
    <n v="103"/>
    <x v="1"/>
    <n v="7.7144930376835702E-2"/>
  </r>
  <r>
    <n v="105"/>
    <x v="1"/>
    <n v="0.13087129270335801"/>
  </r>
  <r>
    <n v="108"/>
    <x v="1"/>
    <n v="0.21685927714266801"/>
  </r>
  <r>
    <n v="109"/>
    <x v="1"/>
    <n v="0.17400033854712699"/>
  </r>
  <r>
    <n v="110"/>
    <x v="0"/>
    <n v="0.30983819670691543"/>
  </r>
  <r>
    <n v="112"/>
    <x v="1"/>
    <n v="0.38230736537578902"/>
  </r>
  <r>
    <n v="113"/>
    <x v="0"/>
    <n v="0.36842295617663601"/>
  </r>
  <r>
    <n v="115"/>
    <x v="1"/>
    <n v="0.208410650635589"/>
  </r>
  <r>
    <n v="116"/>
    <x v="0"/>
    <n v="5.3788894377506599E-2"/>
  </r>
  <r>
    <n v="117"/>
    <x v="1"/>
    <n v="0.22289749356091801"/>
  </r>
  <r>
    <n v="119"/>
    <x v="1"/>
    <n v="7.4050355837289E-2"/>
  </r>
  <r>
    <n v="120"/>
    <x v="1"/>
    <n v="0.388019936906847"/>
  </r>
  <r>
    <n v="121"/>
    <x v="1"/>
    <n v="0.17528185828339601"/>
  </r>
  <r>
    <n v="122"/>
    <x v="1"/>
    <n v="0.16574923834984001"/>
  </r>
  <r>
    <n v="123"/>
    <x v="1"/>
    <n v="0.14451707908577099"/>
  </r>
  <r>
    <n v="124"/>
    <x v="0"/>
    <n v="0.34053709819421729"/>
  </r>
  <r>
    <n v="125"/>
    <x v="1"/>
    <n v="0.197535803902539"/>
  </r>
  <r>
    <n v="127"/>
    <x v="0"/>
    <n v="0.54356636753436705"/>
  </r>
  <r>
    <n v="128"/>
    <x v="0"/>
    <n v="0.52691974473886405"/>
  </r>
  <r>
    <n v="129"/>
    <x v="0"/>
    <n v="0.26724652356194012"/>
  </r>
  <r>
    <n v="130"/>
    <x v="1"/>
    <n v="0.28216059921827802"/>
  </r>
  <r>
    <n v="131"/>
    <x v="1"/>
    <n v="0.208198706472737"/>
  </r>
  <r>
    <n v="133"/>
    <x v="1"/>
    <n v="1.9801746668600999E-2"/>
  </r>
  <r>
    <n v="134"/>
    <x v="1"/>
    <n v="0.11390969242716301"/>
  </r>
  <r>
    <n v="135"/>
    <x v="1"/>
    <n v="2.4462078359288601E-2"/>
  </r>
  <r>
    <n v="136"/>
    <x v="1"/>
    <n v="5.82129938308482E-2"/>
  </r>
  <r>
    <n v="138"/>
    <x v="1"/>
    <n v="0.303595296925044"/>
  </r>
  <r>
    <n v="140"/>
    <x v="1"/>
    <n v="0.13458772791745399"/>
  </r>
  <r>
    <n v="141"/>
    <x v="1"/>
    <n v="7.8575251918691594E-2"/>
  </r>
  <r>
    <n v="142"/>
    <x v="1"/>
    <n v="3.4192231252337703E-2"/>
  </r>
  <r>
    <n v="143"/>
    <x v="0"/>
    <n v="0.33658991224957258"/>
  </r>
  <r>
    <n v="144"/>
    <x v="0"/>
    <n v="0.1956955844510736"/>
  </r>
  <r>
    <n v="146"/>
    <x v="0"/>
    <n v="0.35777921371458193"/>
  </r>
  <r>
    <n v="147"/>
    <x v="0"/>
    <n v="0.96648631445674593"/>
  </r>
  <r>
    <n v="148"/>
    <x v="0"/>
    <n v="0.32266042188710198"/>
  </r>
  <r>
    <n v="149"/>
    <x v="0"/>
    <n v="0.23965572273935309"/>
  </r>
  <r>
    <n v="150"/>
    <x v="1"/>
    <n v="8.5063396468561397E-2"/>
  </r>
  <r>
    <n v="152"/>
    <x v="1"/>
    <n v="0.15641937081797599"/>
  </r>
  <r>
    <n v="153"/>
    <x v="1"/>
    <n v="0.14855939519040701"/>
  </r>
  <r>
    <n v="154"/>
    <x v="0"/>
    <n v="0.23546889788567471"/>
  </r>
  <r>
    <n v="155"/>
    <x v="0"/>
    <n v="0.43834064037417197"/>
  </r>
  <r>
    <n v="156"/>
    <x v="1"/>
    <n v="0.24947464953417001"/>
  </r>
  <r>
    <n v="157"/>
    <x v="1"/>
    <n v="9.8638169089498795E-2"/>
  </r>
  <r>
    <n v="158"/>
    <x v="0"/>
    <n v="0.27369764750991199"/>
  </r>
  <r>
    <n v="159"/>
    <x v="1"/>
    <n v="0.119615875182746"/>
  </r>
  <r>
    <n v="160"/>
    <x v="0"/>
    <n v="0.27072505084597398"/>
  </r>
  <r>
    <n v="161"/>
    <x v="1"/>
    <n v="0.18270553924785901"/>
  </r>
  <r>
    <n v="162"/>
    <x v="1"/>
    <n v="0.26463638384661198"/>
  </r>
  <r>
    <n v="163"/>
    <x v="1"/>
    <n v="4.7958959811493798E-2"/>
  </r>
  <r>
    <n v="164"/>
    <x v="1"/>
    <n v="5.4524454404450202E-2"/>
  </r>
  <r>
    <n v="165"/>
    <x v="1"/>
    <n v="0.102933769186563"/>
  </r>
  <r>
    <n v="166"/>
    <x v="1"/>
    <n v="0.126373308785173"/>
  </r>
  <r>
    <n v="167"/>
    <x v="1"/>
    <n v="0.30130781255732603"/>
  </r>
  <r>
    <n v="168"/>
    <x v="0"/>
    <n v="0.35801304319870542"/>
  </r>
  <r>
    <n v="169"/>
    <x v="1"/>
    <n v="0.24716175163210399"/>
  </r>
  <r>
    <n v="170"/>
    <x v="0"/>
    <n v="0.95532054074171502"/>
  </r>
  <r>
    <n v="171"/>
    <x v="1"/>
    <n v="0.34006313979795999"/>
  </r>
  <r>
    <n v="172"/>
    <x v="0"/>
    <n v="0.14163807632139611"/>
  </r>
  <r>
    <n v="174"/>
    <x v="1"/>
    <n v="0.11369465997944"/>
  </r>
  <r>
    <n v="175"/>
    <x v="1"/>
    <n v="0.48007312347245801"/>
  </r>
  <r>
    <n v="176"/>
    <x v="1"/>
    <n v="8.4315692771114004E-2"/>
  </r>
  <r>
    <n v="177"/>
    <x v="1"/>
    <n v="0.104879167374598"/>
  </r>
  <r>
    <n v="178"/>
    <x v="1"/>
    <n v="0.14095942055435301"/>
  </r>
  <r>
    <n v="180"/>
    <x v="1"/>
    <n v="1.18206393706828E-2"/>
  </r>
  <r>
    <n v="182"/>
    <x v="1"/>
    <n v="1.9243858669678902E-2"/>
  </r>
  <r>
    <n v="183"/>
    <x v="1"/>
    <n v="0.16564961170869799"/>
  </r>
  <r>
    <n v="184"/>
    <x v="0"/>
    <n v="0.102871657469762"/>
  </r>
  <r>
    <n v="185"/>
    <x v="1"/>
    <n v="0.25212165912138201"/>
  </r>
  <r>
    <n v="186"/>
    <x v="1"/>
    <n v="0.28593028984899799"/>
  </r>
  <r>
    <n v="187"/>
    <x v="0"/>
    <n v="0.15027158269803242"/>
  </r>
  <r>
    <n v="188"/>
    <x v="1"/>
    <n v="0.75241908729899998"/>
  </r>
  <r>
    <n v="191"/>
    <x v="0"/>
    <n v="0.49600896047449899"/>
  </r>
  <r>
    <n v="192"/>
    <x v="1"/>
    <n v="0.114631734814273"/>
  </r>
  <r>
    <n v="194"/>
    <x v="1"/>
    <n v="0.60072672632240098"/>
  </r>
  <r>
    <n v="196"/>
    <x v="1"/>
    <n v="0.25275112668659699"/>
  </r>
  <r>
    <n v="197"/>
    <x v="1"/>
    <n v="0.18126656720689399"/>
  </r>
  <r>
    <n v="198"/>
    <x v="1"/>
    <n v="0.50348312704361198"/>
  </r>
  <r>
    <n v="199"/>
    <x v="0"/>
    <n v="0.36048274631222699"/>
  </r>
  <r>
    <n v="200"/>
    <x v="1"/>
    <n v="0.12328835899983499"/>
  </r>
  <r>
    <n v="201"/>
    <x v="0"/>
    <n v="0.21944240756459499"/>
  </r>
  <r>
    <n v="203"/>
    <x v="1"/>
    <n v="0.118150298756105"/>
  </r>
  <r>
    <n v="204"/>
    <x v="1"/>
    <n v="0.18050978370474299"/>
  </r>
  <r>
    <n v="205"/>
    <x v="1"/>
    <n v="0.19897917048161801"/>
  </r>
  <r>
    <n v="207"/>
    <x v="1"/>
    <n v="0.112466520944948"/>
  </r>
  <r>
    <n v="208"/>
    <x v="0"/>
    <n v="0.53415721621804502"/>
  </r>
  <r>
    <n v="209"/>
    <x v="0"/>
    <n v="0.19441042301571931"/>
  </r>
  <r>
    <n v="210"/>
    <x v="0"/>
    <n v="0.28137792731399913"/>
  </r>
  <r>
    <n v="211"/>
    <x v="1"/>
    <n v="0.163310032623493"/>
  </r>
  <r>
    <n v="212"/>
    <x v="0"/>
    <n v="0.25185821688823112"/>
  </r>
  <r>
    <n v="213"/>
    <x v="0"/>
    <n v="0.32173915805461395"/>
  </r>
  <r>
    <n v="214"/>
    <x v="1"/>
    <n v="0.48319205344236799"/>
  </r>
  <r>
    <n v="215"/>
    <x v="0"/>
    <n v="0.71770164206328901"/>
  </r>
  <r>
    <n v="216"/>
    <x v="1"/>
    <n v="0.30892252047166302"/>
  </r>
  <r>
    <n v="217"/>
    <x v="1"/>
    <n v="0.24465908953593099"/>
  </r>
  <r>
    <n v="218"/>
    <x v="1"/>
    <n v="0.23153415376824699"/>
  </r>
  <r>
    <n v="221"/>
    <x v="0"/>
    <n v="0.34666574106228398"/>
  </r>
  <r>
    <n v="223"/>
    <x v="1"/>
    <n v="0.105166657501407"/>
  </r>
  <r>
    <n v="224"/>
    <x v="1"/>
    <n v="0.30291650179358398"/>
  </r>
  <r>
    <n v="225"/>
    <x v="0"/>
    <n v="0.35698168202536018"/>
  </r>
  <r>
    <n v="226"/>
    <x v="1"/>
    <n v="8.0808322370647806E-2"/>
  </r>
  <r>
    <n v="227"/>
    <x v="1"/>
    <n v="0.219708186385217"/>
  </r>
  <r>
    <n v="228"/>
    <x v="1"/>
    <n v="0.14269444325458799"/>
  </r>
  <r>
    <n v="229"/>
    <x v="1"/>
    <n v="8.0423912839763897E-2"/>
  </r>
  <r>
    <n v="231"/>
    <x v="1"/>
    <n v="9.1508515772285901E-2"/>
  </r>
  <r>
    <n v="232"/>
    <x v="1"/>
    <n v="0.165017364881582"/>
  </r>
  <r>
    <n v="233"/>
    <x v="1"/>
    <n v="2.5835750892507101E-2"/>
  </r>
  <r>
    <n v="234"/>
    <x v="0"/>
    <n v="0.45502154775548098"/>
  </r>
  <r>
    <n v="235"/>
    <x v="0"/>
    <n v="0.29941564099263718"/>
  </r>
  <r>
    <n v="236"/>
    <x v="1"/>
    <n v="0.17099281629590901"/>
  </r>
  <r>
    <n v="237"/>
    <x v="0"/>
    <n v="0.39569581586172808"/>
  </r>
  <r>
    <n v="239"/>
    <x v="0"/>
    <n v="0.1866192983687367"/>
  </r>
  <r>
    <n v="241"/>
    <x v="1"/>
    <n v="5.8010199441356602E-2"/>
  </r>
  <r>
    <n v="242"/>
    <x v="1"/>
    <n v="0.359953222596198"/>
  </r>
  <r>
    <n v="243"/>
    <x v="0"/>
    <n v="0.52883926703072603"/>
  </r>
  <r>
    <n v="244"/>
    <x v="1"/>
    <n v="0.37479833806122398"/>
  </r>
  <r>
    <n v="245"/>
    <x v="1"/>
    <n v="0.17655947315892101"/>
  </r>
  <r>
    <n v="246"/>
    <x v="1"/>
    <n v="0.32515442531356598"/>
  </r>
  <r>
    <n v="247"/>
    <x v="1"/>
    <n v="0.16638835745984301"/>
  </r>
  <r>
    <n v="250"/>
    <x v="1"/>
    <n v="6.4518935917016407E-2"/>
  </r>
  <r>
    <n v="251"/>
    <x v="0"/>
    <n v="0.21870148608706191"/>
  </r>
  <r>
    <n v="252"/>
    <x v="0"/>
    <n v="0.26194944800436498"/>
  </r>
  <r>
    <n v="253"/>
    <x v="1"/>
    <n v="9.2333884137743003E-2"/>
  </r>
  <r>
    <n v="254"/>
    <x v="0"/>
    <n v="0.41263519770671298"/>
  </r>
  <r>
    <n v="255"/>
    <x v="1"/>
    <n v="0.37991301900759999"/>
  </r>
  <r>
    <n v="256"/>
    <x v="1"/>
    <n v="0.141568221614669"/>
  </r>
  <r>
    <n v="257"/>
    <x v="0"/>
    <n v="0.37483526164511399"/>
  </r>
  <r>
    <n v="258"/>
    <x v="1"/>
    <n v="0.38459710308848399"/>
  </r>
  <r>
    <n v="259"/>
    <x v="1"/>
    <n v="0.234090705129675"/>
  </r>
  <r>
    <n v="263"/>
    <x v="1"/>
    <n v="6.77421582973146E-2"/>
  </r>
  <r>
    <n v="265"/>
    <x v="1"/>
    <n v="0.125939230300291"/>
  </r>
  <r>
    <n v="266"/>
    <x v="1"/>
    <n v="0.55406327267497901"/>
  </r>
  <r>
    <n v="267"/>
    <x v="1"/>
    <n v="0.36222935949295398"/>
  </r>
  <r>
    <n v="268"/>
    <x v="1"/>
    <n v="2.7863524362831599E-2"/>
  </r>
  <r>
    <n v="269"/>
    <x v="0"/>
    <n v="0.30357807734499198"/>
  </r>
  <r>
    <n v="270"/>
    <x v="1"/>
    <n v="0.10182762369765"/>
  </r>
  <r>
    <n v="272"/>
    <x v="0"/>
    <n v="0.32007320186148691"/>
  </r>
  <r>
    <n v="273"/>
    <x v="0"/>
    <n v="0.35097404404080201"/>
  </r>
  <r>
    <n v="274"/>
    <x v="0"/>
    <n v="0.559039806318685"/>
  </r>
  <r>
    <n v="275"/>
    <x v="1"/>
    <n v="4.7396816684003903E-2"/>
  </r>
  <r>
    <n v="276"/>
    <x v="1"/>
    <n v="0.16361706700449299"/>
  </r>
  <r>
    <n v="278"/>
    <x v="1"/>
    <n v="1.5567588016898601E-2"/>
  </r>
  <r>
    <n v="279"/>
    <x v="0"/>
    <n v="0.19715536174666648"/>
  </r>
  <r>
    <n v="280"/>
    <x v="1"/>
    <n v="0.13260750309296801"/>
  </r>
  <r>
    <n v="281"/>
    <x v="1"/>
    <n v="0.14161660489075301"/>
  </r>
  <r>
    <n v="282"/>
    <x v="0"/>
    <n v="0.26835649846117104"/>
  </r>
  <r>
    <n v="283"/>
    <x v="1"/>
    <n v="0.142526118194156"/>
  </r>
  <r>
    <n v="284"/>
    <x v="0"/>
    <n v="0.45640454656533397"/>
  </r>
  <r>
    <n v="285"/>
    <x v="0"/>
    <n v="0.30411544779027411"/>
  </r>
  <r>
    <n v="286"/>
    <x v="1"/>
    <n v="4.6817543681079002E-2"/>
  </r>
  <r>
    <n v="287"/>
    <x v="0"/>
    <n v="0.1469468997333872"/>
  </r>
  <r>
    <n v="288"/>
    <x v="0"/>
    <n v="0.30927760708272301"/>
  </r>
  <r>
    <n v="289"/>
    <x v="0"/>
    <n v="0.26496828975687248"/>
  </r>
  <r>
    <n v="290"/>
    <x v="1"/>
    <n v="0.123064284019373"/>
  </r>
  <r>
    <n v="291"/>
    <x v="1"/>
    <n v="4.9608757785879899E-2"/>
  </r>
  <r>
    <n v="292"/>
    <x v="0"/>
    <n v="0.53293197006190096"/>
  </r>
  <r>
    <n v="293"/>
    <x v="0"/>
    <n v="0.1782325123516646"/>
  </r>
  <r>
    <n v="295"/>
    <x v="1"/>
    <n v="6.4411205530750804E-2"/>
  </r>
  <r>
    <n v="298"/>
    <x v="0"/>
    <n v="0.22523145902718039"/>
  </r>
  <r>
    <n v="299"/>
    <x v="0"/>
    <n v="0.1539865898029508"/>
  </r>
  <r>
    <n v="301"/>
    <x v="1"/>
    <n v="0.157985178662431"/>
  </r>
  <r>
    <n v="302"/>
    <x v="0"/>
    <n v="0.234707516598987"/>
  </r>
  <r>
    <n v="303"/>
    <x v="1"/>
    <n v="5.2097274284924902E-2"/>
  </r>
  <r>
    <n v="304"/>
    <x v="1"/>
    <n v="0.32305121523611802"/>
  </r>
  <r>
    <n v="305"/>
    <x v="1"/>
    <n v="1.45816561117635E-2"/>
  </r>
  <r>
    <n v="306"/>
    <x v="1"/>
    <n v="0.38261164632753603"/>
  </r>
  <r>
    <n v="307"/>
    <x v="0"/>
    <n v="0.41561588710874997"/>
  </r>
  <r>
    <n v="308"/>
    <x v="0"/>
    <n v="0.12738644534510429"/>
  </r>
  <r>
    <n v="309"/>
    <x v="1"/>
    <n v="0.109688290168286"/>
  </r>
  <r>
    <n v="310"/>
    <x v="1"/>
    <n v="0.41470994907777198"/>
  </r>
  <r>
    <n v="311"/>
    <x v="1"/>
    <n v="0.19977638669063599"/>
  </r>
  <r>
    <n v="312"/>
    <x v="1"/>
    <n v="0.179921512107793"/>
  </r>
  <r>
    <n v="313"/>
    <x v="1"/>
    <n v="4.6415813741994202E-2"/>
  </r>
  <r>
    <n v="314"/>
    <x v="0"/>
    <n v="0.2005805093779725"/>
  </r>
  <r>
    <n v="315"/>
    <x v="1"/>
    <n v="0.116045158237533"/>
  </r>
  <r>
    <n v="318"/>
    <x v="0"/>
    <n v="0.50499262697296798"/>
  </r>
  <r>
    <n v="319"/>
    <x v="1"/>
    <n v="0.22778238404279499"/>
  </r>
  <r>
    <n v="322"/>
    <x v="1"/>
    <n v="0.27013548905218498"/>
  </r>
  <r>
    <n v="323"/>
    <x v="0"/>
    <n v="0.33967632483870452"/>
  </r>
  <r>
    <n v="324"/>
    <x v="1"/>
    <n v="0.104162111072632"/>
  </r>
  <r>
    <n v="325"/>
    <x v="0"/>
    <n v="0.406565304807186"/>
  </r>
  <r>
    <n v="326"/>
    <x v="0"/>
    <n v="0.12887659675629171"/>
  </r>
  <r>
    <n v="328"/>
    <x v="0"/>
    <n v="0.1391869750646226"/>
  </r>
  <r>
    <n v="329"/>
    <x v="1"/>
    <n v="6.7156647294828606E-2"/>
  </r>
  <r>
    <n v="331"/>
    <x v="1"/>
    <n v="0.20251121424479801"/>
  </r>
  <r>
    <n v="332"/>
    <x v="0"/>
    <n v="0.13225808695208879"/>
  </r>
  <r>
    <n v="333"/>
    <x v="1"/>
    <n v="1.48488017568041E-2"/>
  </r>
  <r>
    <n v="335"/>
    <x v="1"/>
    <n v="0.24189612394257401"/>
  </r>
  <r>
    <n v="336"/>
    <x v="1"/>
    <n v="0.39682510001383098"/>
  </r>
  <r>
    <n v="337"/>
    <x v="1"/>
    <n v="0.25741972161364401"/>
  </r>
  <r>
    <n v="338"/>
    <x v="1"/>
    <n v="5.2021115242138802E-2"/>
  </r>
  <r>
    <n v="339"/>
    <x v="1"/>
    <n v="0.154792847051134"/>
  </r>
  <r>
    <n v="341"/>
    <x v="1"/>
    <n v="0.19073436750445499"/>
  </r>
  <r>
    <n v="342"/>
    <x v="0"/>
    <n v="0.18687125439215591"/>
  </r>
  <r>
    <n v="343"/>
    <x v="1"/>
    <n v="0.105091304511717"/>
  </r>
  <r>
    <n v="344"/>
    <x v="0"/>
    <n v="0.1833059390967231"/>
  </r>
  <r>
    <n v="345"/>
    <x v="1"/>
    <n v="7.0452577761015295E-2"/>
  </r>
  <r>
    <n v="346"/>
    <x v="1"/>
    <n v="0.18407446965122701"/>
  </r>
  <r>
    <n v="348"/>
    <x v="1"/>
    <n v="0.335966170596259"/>
  </r>
  <r>
    <n v="349"/>
    <x v="0"/>
    <n v="0.3179748305915765"/>
  </r>
  <r>
    <n v="350"/>
    <x v="1"/>
    <n v="9.1431697186675598E-2"/>
  </r>
  <r>
    <n v="351"/>
    <x v="0"/>
    <n v="0.3023979609428929"/>
  </r>
  <r>
    <n v="353"/>
    <x v="1"/>
    <n v="3.54031277641409E-3"/>
  </r>
  <r>
    <n v="354"/>
    <x v="0"/>
    <n v="0.1380561239832076"/>
  </r>
  <r>
    <n v="355"/>
    <x v="1"/>
    <n v="0.11945465058044499"/>
  </r>
  <r>
    <n v="357"/>
    <x v="1"/>
    <n v="0.13728199813692199"/>
  </r>
  <r>
    <n v="358"/>
    <x v="1"/>
    <n v="0.17056801049679299"/>
  </r>
  <r>
    <n v="359"/>
    <x v="1"/>
    <n v="0.31784653979517102"/>
  </r>
  <r>
    <n v="361"/>
    <x v="0"/>
    <n v="0.24079472563189111"/>
  </r>
  <r>
    <n v="362"/>
    <x v="0"/>
    <n v="0.10675910172451711"/>
  </r>
  <r>
    <n v="364"/>
    <x v="1"/>
    <n v="0.149755201124807"/>
  </r>
  <r>
    <n v="365"/>
    <x v="1"/>
    <n v="0.17838524452836299"/>
  </r>
  <r>
    <n v="366"/>
    <x v="1"/>
    <n v="0.18735024376918599"/>
  </r>
  <r>
    <n v="367"/>
    <x v="0"/>
    <n v="0.30089122849355698"/>
  </r>
  <r>
    <n v="368"/>
    <x v="0"/>
    <n v="0.47804285206515978"/>
  </r>
  <r>
    <n v="369"/>
    <x v="1"/>
    <n v="0.25947922774422"/>
  </r>
  <r>
    <n v="370"/>
    <x v="1"/>
    <n v="0.13524167443708601"/>
  </r>
  <r>
    <n v="371"/>
    <x v="1"/>
    <n v="6.3525991187566105E-2"/>
  </r>
  <r>
    <n v="372"/>
    <x v="1"/>
    <n v="6.9059898845113807E-2"/>
  </r>
  <r>
    <n v="374"/>
    <x v="1"/>
    <n v="8.9240794773876295E-2"/>
  </r>
  <r>
    <n v="375"/>
    <x v="1"/>
    <n v="0.29749466321301499"/>
  </r>
  <r>
    <n v="377"/>
    <x v="1"/>
    <n v="0.12833446115462899"/>
  </r>
  <r>
    <n v="378"/>
    <x v="0"/>
    <n v="0.230153470216789"/>
  </r>
  <r>
    <n v="379"/>
    <x v="1"/>
    <n v="4.2497878109347603E-2"/>
  </r>
  <r>
    <n v="381"/>
    <x v="1"/>
    <n v="0.47756678415107501"/>
  </r>
  <r>
    <n v="382"/>
    <x v="1"/>
    <n v="0.31745481799855202"/>
  </r>
  <r>
    <n v="383"/>
    <x v="1"/>
    <n v="6.50635205954639E-2"/>
  </r>
  <r>
    <n v="384"/>
    <x v="1"/>
    <n v="0.185302296636253"/>
  </r>
  <r>
    <n v="385"/>
    <x v="1"/>
    <n v="0.28579976319780298"/>
  </r>
  <r>
    <n v="387"/>
    <x v="0"/>
    <n v="0.40980156681294599"/>
  </r>
  <r>
    <n v="388"/>
    <x v="0"/>
    <n v="0.22812319918304971"/>
  </r>
  <r>
    <n v="389"/>
    <x v="0"/>
    <n v="0.54705735732910299"/>
  </r>
  <r>
    <n v="390"/>
    <x v="0"/>
    <n v="0.48063610456928801"/>
  </r>
  <r>
    <n v="392"/>
    <x v="1"/>
    <n v="5.7961232926266801E-2"/>
  </r>
  <r>
    <n v="393"/>
    <x v="1"/>
    <n v="0.118686942494478"/>
  </r>
  <r>
    <n v="394"/>
    <x v="1"/>
    <n v="0.114610654308564"/>
  </r>
  <r>
    <n v="395"/>
    <x v="0"/>
    <n v="0.23882890772545701"/>
  </r>
  <r>
    <n v="396"/>
    <x v="0"/>
    <n v="0.13578001707481152"/>
  </r>
  <r>
    <n v="397"/>
    <x v="0"/>
    <n v="0.27904505022917847"/>
  </r>
  <r>
    <n v="398"/>
    <x v="0"/>
    <n v="0.25763498184978617"/>
  </r>
  <r>
    <n v="399"/>
    <x v="0"/>
    <n v="0.50077643614046408"/>
  </r>
  <r>
    <n v="402"/>
    <x v="0"/>
    <n v="0.21592706381149809"/>
  </r>
  <r>
    <n v="404"/>
    <x v="1"/>
    <n v="0.23138624576780101"/>
  </r>
  <r>
    <n v="405"/>
    <x v="1"/>
    <n v="5.3183497418120403E-2"/>
  </r>
  <r>
    <n v="406"/>
    <x v="1"/>
    <n v="2.4007438671223E-2"/>
  </r>
  <r>
    <n v="407"/>
    <x v="1"/>
    <n v="0.15054701752117899"/>
  </r>
  <r>
    <n v="408"/>
    <x v="0"/>
    <n v="0.47810069033021496"/>
  </r>
  <r>
    <n v="409"/>
    <x v="1"/>
    <n v="0.213027965488893"/>
  </r>
  <r>
    <n v="410"/>
    <x v="1"/>
    <n v="0.32443432188320898"/>
  </r>
  <r>
    <n v="411"/>
    <x v="1"/>
    <n v="0.12449356040519299"/>
  </r>
  <r>
    <n v="413"/>
    <x v="0"/>
    <n v="0.237407602266657"/>
  </r>
  <r>
    <n v="414"/>
    <x v="1"/>
    <n v="0.12881471005916201"/>
  </r>
  <r>
    <n v="415"/>
    <x v="0"/>
    <n v="0.1722860377403316"/>
  </r>
  <r>
    <n v="416"/>
    <x v="0"/>
    <n v="0.81901836749422197"/>
  </r>
  <r>
    <n v="418"/>
    <x v="1"/>
    <n v="0.14953038808651201"/>
  </r>
  <r>
    <n v="419"/>
    <x v="1"/>
    <n v="3.2193157060950897E-2"/>
  </r>
  <r>
    <n v="420"/>
    <x v="0"/>
    <n v="0.31799862772646681"/>
  </r>
  <r>
    <n v="421"/>
    <x v="1"/>
    <n v="4.7571044183350598E-2"/>
  </r>
  <r>
    <n v="422"/>
    <x v="1"/>
    <n v="0.139741087606466"/>
  </r>
  <r>
    <n v="423"/>
    <x v="1"/>
    <n v="3.43661861886344E-2"/>
  </r>
  <r>
    <n v="424"/>
    <x v="1"/>
    <n v="0.16177819505434701"/>
  </r>
  <r>
    <n v="426"/>
    <x v="1"/>
    <n v="4.6179269064626799E-2"/>
  </r>
  <r>
    <n v="427"/>
    <x v="1"/>
    <n v="0.13913234259287999"/>
  </r>
  <r>
    <n v="428"/>
    <x v="1"/>
    <n v="8.8288394589453298E-2"/>
  </r>
  <r>
    <n v="429"/>
    <x v="0"/>
    <n v="0.1017087795777184"/>
  </r>
  <r>
    <n v="432"/>
    <x v="1"/>
    <n v="7.9122667052408904E-2"/>
  </r>
  <r>
    <n v="433"/>
    <x v="1"/>
    <n v="0.43039292413036501"/>
  </r>
  <r>
    <n v="435"/>
    <x v="0"/>
    <n v="0.407837432948572"/>
  </r>
  <r>
    <n v="436"/>
    <x v="1"/>
    <n v="0.20462238616769901"/>
  </r>
  <r>
    <n v="437"/>
    <x v="0"/>
    <n v="0.11970900086445699"/>
  </r>
  <r>
    <n v="438"/>
    <x v="1"/>
    <n v="0.124119152702706"/>
  </r>
  <r>
    <n v="439"/>
    <x v="0"/>
    <n v="0.26857239638567654"/>
  </r>
  <r>
    <n v="440"/>
    <x v="0"/>
    <n v="0.468609821456966"/>
  </r>
  <r>
    <n v="441"/>
    <x v="0"/>
    <n v="0.61891832030624705"/>
  </r>
  <r>
    <n v="442"/>
    <x v="1"/>
    <n v="0.33665048317262503"/>
  </r>
  <r>
    <n v="443"/>
    <x v="1"/>
    <n v="0.25544767354590903"/>
  </r>
  <r>
    <n v="444"/>
    <x v="0"/>
    <n v="0.33957218635974801"/>
  </r>
  <r>
    <n v="446"/>
    <x v="1"/>
    <n v="0.22898476020757899"/>
  </r>
  <r>
    <n v="447"/>
    <x v="1"/>
    <n v="8.6690028115251894E-2"/>
  </r>
  <r>
    <n v="448"/>
    <x v="0"/>
    <n v="0.61215530595893197"/>
  </r>
  <r>
    <n v="449"/>
    <x v="1"/>
    <n v="0.32419145983855802"/>
  </r>
  <r>
    <n v="450"/>
    <x v="1"/>
    <n v="0.19132647418577001"/>
  </r>
  <r>
    <n v="451"/>
    <x v="1"/>
    <n v="0.10989516733746001"/>
  </r>
  <r>
    <n v="452"/>
    <x v="1"/>
    <n v="0.30885785260446502"/>
  </r>
  <r>
    <n v="453"/>
    <x v="0"/>
    <n v="0.24041420564037219"/>
  </r>
  <r>
    <n v="454"/>
    <x v="0"/>
    <n v="0.48100240269326999"/>
  </r>
  <r>
    <n v="455"/>
    <x v="0"/>
    <n v="0.21314463897289299"/>
  </r>
  <r>
    <n v="458"/>
    <x v="1"/>
    <n v="6.2804768355944299E-2"/>
  </r>
  <r>
    <n v="459"/>
    <x v="0"/>
    <n v="0.40900436722687006"/>
  </r>
  <r>
    <n v="460"/>
    <x v="0"/>
    <n v="0.41563566099119897"/>
  </r>
  <r>
    <n v="462"/>
    <x v="1"/>
    <n v="0.22098699593295401"/>
  </r>
  <r>
    <n v="463"/>
    <x v="1"/>
    <n v="5.86154682651992E-2"/>
  </r>
  <r>
    <n v="464"/>
    <x v="0"/>
    <n v="0.37254445920005097"/>
  </r>
  <r>
    <n v="465"/>
    <x v="1"/>
    <n v="6.0696454287813097E-2"/>
  </r>
  <r>
    <n v="466"/>
    <x v="0"/>
    <n v="0.58533700037073899"/>
  </r>
  <r>
    <n v="467"/>
    <x v="0"/>
    <n v="0.39221562427553747"/>
  </r>
  <r>
    <n v="468"/>
    <x v="1"/>
    <n v="0.17555401129989601"/>
  </r>
  <r>
    <n v="469"/>
    <x v="0"/>
    <n v="0.20514132009935082"/>
  </r>
  <r>
    <n v="471"/>
    <x v="0"/>
    <n v="0.42178194077184"/>
  </r>
  <r>
    <n v="473"/>
    <x v="1"/>
    <n v="0.22968999004761001"/>
  </r>
  <r>
    <n v="474"/>
    <x v="1"/>
    <n v="2.8631274353765199E-2"/>
  </r>
  <r>
    <n v="475"/>
    <x v="1"/>
    <n v="0.18880737642926601"/>
  </r>
  <r>
    <n v="476"/>
    <x v="1"/>
    <n v="0.12793963424486801"/>
  </r>
  <r>
    <n v="477"/>
    <x v="1"/>
    <n v="5.9599894744330299E-2"/>
  </r>
  <r>
    <n v="478"/>
    <x v="0"/>
    <n v="0.37715257539460006"/>
  </r>
  <r>
    <n v="479"/>
    <x v="0"/>
    <n v="0.51749161159356905"/>
  </r>
  <r>
    <n v="480"/>
    <x v="1"/>
    <n v="7.4595530042164307E-2"/>
  </r>
  <r>
    <n v="481"/>
    <x v="0"/>
    <n v="0.51840139284010667"/>
  </r>
  <r>
    <n v="483"/>
    <x v="1"/>
    <n v="4.0879887655396401E-2"/>
  </r>
  <r>
    <n v="484"/>
    <x v="1"/>
    <n v="0.50925063351927902"/>
  </r>
  <r>
    <n v="486"/>
    <x v="0"/>
    <n v="0.2818383978911595"/>
  </r>
  <r>
    <n v="487"/>
    <x v="0"/>
    <n v="0.403389724174954"/>
  </r>
  <r>
    <n v="488"/>
    <x v="1"/>
    <n v="0.17456056673878501"/>
  </r>
  <r>
    <n v="489"/>
    <x v="1"/>
    <n v="0.21511845720799999"/>
  </r>
  <r>
    <n v="492"/>
    <x v="0"/>
    <n v="0.45302486066257802"/>
  </r>
  <r>
    <n v="493"/>
    <x v="1"/>
    <n v="0.27428250186789099"/>
  </r>
  <r>
    <n v="494"/>
    <x v="1"/>
    <n v="4.58369451488315E-2"/>
  </r>
  <r>
    <n v="495"/>
    <x v="0"/>
    <n v="0.38292945859147731"/>
  </r>
  <r>
    <n v="497"/>
    <x v="0"/>
    <n v="0.30998028874206801"/>
  </r>
  <r>
    <n v="498"/>
    <x v="0"/>
    <n v="0.286502315520127"/>
  </r>
  <r>
    <n v="499"/>
    <x v="1"/>
    <n v="0.28406105138922599"/>
  </r>
  <r>
    <n v="500"/>
    <x v="1"/>
    <n v="0.22964913720531599"/>
  </r>
  <r>
    <n v="4"/>
    <x v="2"/>
    <n v="0"/>
  </r>
  <r>
    <n v="5"/>
    <x v="2"/>
    <n v="0"/>
  </r>
  <r>
    <n v="8"/>
    <x v="2"/>
    <n v="0"/>
  </r>
  <r>
    <n v="11"/>
    <x v="2"/>
    <n v="0"/>
  </r>
  <r>
    <n v="16"/>
    <x v="2"/>
    <n v="0"/>
  </r>
  <r>
    <n v="20"/>
    <x v="2"/>
    <n v="0"/>
  </r>
  <r>
    <n v="21"/>
    <x v="2"/>
    <n v="0"/>
  </r>
  <r>
    <n v="24"/>
    <x v="2"/>
    <n v="0"/>
  </r>
  <r>
    <n v="31"/>
    <x v="2"/>
    <n v="0"/>
  </r>
  <r>
    <n v="32"/>
    <x v="2"/>
    <n v="0"/>
  </r>
  <r>
    <n v="34"/>
    <x v="2"/>
    <n v="0"/>
  </r>
  <r>
    <n v="50"/>
    <x v="2"/>
    <n v="0"/>
  </r>
  <r>
    <n v="53"/>
    <x v="2"/>
    <n v="0"/>
  </r>
  <r>
    <n v="59"/>
    <x v="2"/>
    <n v="0"/>
  </r>
  <r>
    <n v="65"/>
    <x v="2"/>
    <n v="0"/>
  </r>
  <r>
    <n v="67"/>
    <x v="2"/>
    <n v="0"/>
  </r>
  <r>
    <n v="68"/>
    <x v="2"/>
    <n v="0"/>
  </r>
  <r>
    <n v="69"/>
    <x v="2"/>
    <n v="0"/>
  </r>
  <r>
    <n v="87"/>
    <x v="2"/>
    <n v="0"/>
  </r>
  <r>
    <n v="88"/>
    <x v="2"/>
    <n v="0"/>
  </r>
  <r>
    <n v="89"/>
    <x v="2"/>
    <n v="0"/>
  </r>
  <r>
    <n v="104"/>
    <x v="2"/>
    <n v="0"/>
  </r>
  <r>
    <n v="106"/>
    <x v="2"/>
    <n v="0"/>
  </r>
  <r>
    <n v="107"/>
    <x v="2"/>
    <n v="0"/>
  </r>
  <r>
    <n v="111"/>
    <x v="2"/>
    <n v="0"/>
  </r>
  <r>
    <n v="114"/>
    <x v="2"/>
    <n v="0"/>
  </r>
  <r>
    <n v="118"/>
    <x v="2"/>
    <n v="0"/>
  </r>
  <r>
    <n v="126"/>
    <x v="2"/>
    <n v="0"/>
  </r>
  <r>
    <n v="132"/>
    <x v="2"/>
    <n v="0"/>
  </r>
  <r>
    <n v="137"/>
    <x v="2"/>
    <n v="0"/>
  </r>
  <r>
    <n v="139"/>
    <x v="2"/>
    <n v="0"/>
  </r>
  <r>
    <n v="145"/>
    <x v="2"/>
    <n v="0"/>
  </r>
  <r>
    <n v="151"/>
    <x v="2"/>
    <n v="0"/>
  </r>
  <r>
    <n v="173"/>
    <x v="2"/>
    <n v="0"/>
  </r>
  <r>
    <n v="179"/>
    <x v="2"/>
    <n v="0"/>
  </r>
  <r>
    <n v="181"/>
    <x v="2"/>
    <n v="0"/>
  </r>
  <r>
    <n v="189"/>
    <x v="2"/>
    <n v="0"/>
  </r>
  <r>
    <n v="190"/>
    <x v="2"/>
    <n v="0"/>
  </r>
  <r>
    <n v="193"/>
    <x v="2"/>
    <n v="0"/>
  </r>
  <r>
    <n v="195"/>
    <x v="2"/>
    <n v="0"/>
  </r>
  <r>
    <n v="202"/>
    <x v="2"/>
    <n v="0"/>
  </r>
  <r>
    <n v="206"/>
    <x v="2"/>
    <n v="0"/>
  </r>
  <r>
    <n v="219"/>
    <x v="2"/>
    <n v="0"/>
  </r>
  <r>
    <n v="220"/>
    <x v="2"/>
    <n v="0"/>
  </r>
  <r>
    <n v="222"/>
    <x v="2"/>
    <n v="0"/>
  </r>
  <r>
    <n v="230"/>
    <x v="2"/>
    <n v="0"/>
  </r>
  <r>
    <n v="238"/>
    <x v="2"/>
    <n v="0"/>
  </r>
  <r>
    <n v="240"/>
    <x v="2"/>
    <n v="0"/>
  </r>
  <r>
    <n v="248"/>
    <x v="2"/>
    <n v="0"/>
  </r>
  <r>
    <n v="249"/>
    <x v="2"/>
    <n v="0"/>
  </r>
  <r>
    <n v="260"/>
    <x v="2"/>
    <n v="0"/>
  </r>
  <r>
    <n v="261"/>
    <x v="2"/>
    <n v="0"/>
  </r>
  <r>
    <n v="262"/>
    <x v="2"/>
    <n v="0"/>
  </r>
  <r>
    <n v="264"/>
    <x v="2"/>
    <n v="0"/>
  </r>
  <r>
    <n v="271"/>
    <x v="2"/>
    <n v="0"/>
  </r>
  <r>
    <n v="277"/>
    <x v="2"/>
    <n v="0"/>
  </r>
  <r>
    <n v="294"/>
    <x v="2"/>
    <n v="0"/>
  </r>
  <r>
    <n v="296"/>
    <x v="2"/>
    <n v="0"/>
  </r>
  <r>
    <n v="297"/>
    <x v="2"/>
    <n v="0"/>
  </r>
  <r>
    <n v="300"/>
    <x v="2"/>
    <n v="0"/>
  </r>
  <r>
    <n v="316"/>
    <x v="2"/>
    <n v="0"/>
  </r>
  <r>
    <n v="317"/>
    <x v="2"/>
    <n v="0"/>
  </r>
  <r>
    <n v="320"/>
    <x v="2"/>
    <n v="0"/>
  </r>
  <r>
    <n v="321"/>
    <x v="2"/>
    <n v="0"/>
  </r>
  <r>
    <n v="327"/>
    <x v="2"/>
    <n v="0"/>
  </r>
  <r>
    <n v="330"/>
    <x v="2"/>
    <n v="0"/>
  </r>
  <r>
    <n v="334"/>
    <x v="2"/>
    <n v="0"/>
  </r>
  <r>
    <n v="340"/>
    <x v="2"/>
    <n v="0"/>
  </r>
  <r>
    <n v="347"/>
    <x v="2"/>
    <n v="0"/>
  </r>
  <r>
    <n v="352"/>
    <x v="2"/>
    <n v="0"/>
  </r>
  <r>
    <n v="356"/>
    <x v="2"/>
    <n v="0"/>
  </r>
  <r>
    <n v="360"/>
    <x v="2"/>
    <n v="0"/>
  </r>
  <r>
    <n v="363"/>
    <x v="2"/>
    <n v="0"/>
  </r>
  <r>
    <n v="373"/>
    <x v="2"/>
    <n v="0"/>
  </r>
  <r>
    <n v="376"/>
    <x v="2"/>
    <n v="0"/>
  </r>
  <r>
    <n v="380"/>
    <x v="2"/>
    <n v="0"/>
  </r>
  <r>
    <n v="386"/>
    <x v="2"/>
    <n v="0"/>
  </r>
  <r>
    <n v="391"/>
    <x v="2"/>
    <n v="0"/>
  </r>
  <r>
    <n v="400"/>
    <x v="2"/>
    <n v="0"/>
  </r>
  <r>
    <n v="401"/>
    <x v="2"/>
    <n v="0"/>
  </r>
  <r>
    <n v="403"/>
    <x v="2"/>
    <n v="0"/>
  </r>
  <r>
    <n v="412"/>
    <x v="2"/>
    <n v="0"/>
  </r>
  <r>
    <n v="417"/>
    <x v="2"/>
    <n v="0"/>
  </r>
  <r>
    <n v="425"/>
    <x v="2"/>
    <n v="0"/>
  </r>
  <r>
    <n v="430"/>
    <x v="2"/>
    <n v="0"/>
  </r>
  <r>
    <n v="431"/>
    <x v="2"/>
    <n v="0"/>
  </r>
  <r>
    <n v="434"/>
    <x v="2"/>
    <n v="0"/>
  </r>
  <r>
    <n v="445"/>
    <x v="2"/>
    <n v="0"/>
  </r>
  <r>
    <n v="456"/>
    <x v="2"/>
    <n v="0"/>
  </r>
  <r>
    <n v="457"/>
    <x v="2"/>
    <n v="0"/>
  </r>
  <r>
    <n v="461"/>
    <x v="2"/>
    <n v="0"/>
  </r>
  <r>
    <n v="470"/>
    <x v="2"/>
    <n v="0"/>
  </r>
  <r>
    <n v="472"/>
    <x v="2"/>
    <n v="0"/>
  </r>
  <r>
    <n v="482"/>
    <x v="2"/>
    <n v="0"/>
  </r>
  <r>
    <n v="485"/>
    <x v="2"/>
    <n v="0"/>
  </r>
  <r>
    <n v="490"/>
    <x v="2"/>
    <n v="0"/>
  </r>
  <r>
    <n v="491"/>
    <x v="2"/>
    <n v="0"/>
  </r>
  <r>
    <n v="496"/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83489-326C-0D4E-98D3-9DD4B64DA6C6}" name="ClaimFrequencyDistribution" cacheId="1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8" rowHeaderCaption="ClaimCount">
  <location ref="G4:H8" firstHeaderRow="1" firstDataRow="1" firstDataCol="1"/>
  <pivotFields count="3">
    <pivotField dataField="1" showAll="0"/>
    <pivotField axis="axisRow" showAll="0">
      <items count="21">
        <item x="2"/>
        <item x="1"/>
        <item x="0"/>
        <item m="1" x="3"/>
        <item m="1" x="4"/>
        <item m="1" x="7"/>
        <item m="1" x="9"/>
        <item m="1" x="10"/>
        <item m="1" x="11"/>
        <item m="1" x="12"/>
        <item m="1" x="13"/>
        <item m="1" x="5"/>
        <item m="1" x="14"/>
        <item m="1" x="8"/>
        <item m="1" x="6"/>
        <item m="1" x="15"/>
        <item m="1" x="16"/>
        <item m="1" x="17"/>
        <item m="1" x="18"/>
        <item m="1" x="19"/>
        <item t="default"/>
      </items>
    </pivotField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umberOfPolicies" fld="0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7">
    <queryTableFields count="3">
      <queryTableField id="1" name="PolicyID" tableColumnId="1"/>
      <queryTableField id="5" name="ClaimCount" tableColumnId="5"/>
      <queryTableField id="6" name="TotalClaimAm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LevelAggregate" displayName="TblPolicyLevelAggregate" ref="A1:C501" tableType="queryTable" totalsRowShown="0">
  <autoFilter ref="A1:C501" xr:uid="{6FD60C7A-11CB-D64A-9178-3665ED20C177}"/>
  <tableColumns count="3">
    <tableColumn id="1" xr3:uid="{5DE5B291-796D-7045-BFD1-5A9B4FB90FEE}" uniqueName="1" name="PolicyID" queryTableFieldId="1"/>
    <tableColumn id="5" xr3:uid="{8847E856-0F77-8A48-B37D-4CF5AF451F69}" uniqueName="5" name="ClaimCount" queryTableFieldId="5"/>
    <tableColumn id="2" xr3:uid="{8C80CA43-B24B-2640-9405-11039249EA3E}" uniqueName="2" name="TotalClaimAmoun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552" tableType="queryTable" totalsRowShown="0">
  <autoFilter ref="A1:F552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16"/>
    <tableColumn id="9" xr3:uid="{6E1BE1DB-73BF-114D-B4CD-11D91104C0BA}" uniqueName="9" name="ClaimDate" queryTableFieldId="9" dataDxfId="15"/>
    <tableColumn id="10" xr3:uid="{57B99380-2615-4C46-8D84-866206D505EC}" uniqueName="10" name="CleanedClaimAmountText" queryTableFieldId="10" dataDxfId="14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C3:W33"/>
  <sheetViews>
    <sheetView showGridLines="0" tabSelected="1" zoomScale="115" zoomScaleNormal="100" workbookViewId="0">
      <selection activeCell="K54" sqref="K54"/>
    </sheetView>
  </sheetViews>
  <sheetFormatPr baseColWidth="10" defaultRowHeight="16" x14ac:dyDescent="0.2"/>
  <cols>
    <col min="1" max="1" width="10.83203125" style="10"/>
    <col min="2" max="2" width="3.83203125" style="10" customWidth="1"/>
    <col min="3" max="5" width="10.83203125" style="10" customWidth="1"/>
    <col min="6" max="6" width="10.83203125" style="10"/>
    <col min="7" max="8" width="10.83203125" style="10" customWidth="1"/>
    <col min="9" max="9" width="10.83203125" style="10"/>
    <col min="10" max="11" width="10.83203125" style="10" customWidth="1"/>
    <col min="12" max="14" width="3.83203125" style="10" customWidth="1"/>
    <col min="15" max="16" width="10.83203125" style="10" customWidth="1"/>
    <col min="17" max="18" width="10.83203125" style="10"/>
    <col min="19" max="19" width="10.83203125" style="10" customWidth="1"/>
    <col min="20" max="23" width="10.83203125" style="10"/>
    <col min="24" max="24" width="3.83203125" style="10" customWidth="1"/>
    <col min="25" max="27" width="10.83203125" style="10"/>
    <col min="28" max="29" width="10.83203125" style="10" customWidth="1"/>
    <col min="30" max="31" width="10.83203125" style="10"/>
    <col min="32" max="32" width="10.83203125" style="10" customWidth="1"/>
    <col min="33" max="33" width="10.83203125" style="10"/>
    <col min="34" max="35" width="10.83203125" style="10" customWidth="1"/>
    <col min="36" max="16384" width="10.83203125" style="10"/>
  </cols>
  <sheetData>
    <row r="3" spans="3:23" ht="27" x14ac:dyDescent="0.35">
      <c r="C3" s="13"/>
      <c r="D3" s="14"/>
      <c r="E3" s="14"/>
      <c r="F3" s="14"/>
      <c r="G3" s="14"/>
      <c r="H3" s="14"/>
      <c r="I3" s="14"/>
      <c r="J3" s="14"/>
      <c r="K3" s="8"/>
      <c r="L3" s="9"/>
      <c r="M3" s="9"/>
      <c r="O3" s="13" t="s">
        <v>600</v>
      </c>
      <c r="P3" s="13"/>
      <c r="Q3" s="13"/>
      <c r="R3" s="13"/>
      <c r="S3" s="13"/>
      <c r="T3" s="13"/>
      <c r="U3" s="13"/>
      <c r="V3" s="13"/>
      <c r="W3" s="13"/>
    </row>
    <row r="4" spans="3:23" x14ac:dyDescent="0.2">
      <c r="O4" s="10" t="s">
        <v>601</v>
      </c>
    </row>
    <row r="5" spans="3:23" ht="19" x14ac:dyDescent="0.25">
      <c r="C5" s="32" t="s">
        <v>3</v>
      </c>
      <c r="D5" s="32"/>
      <c r="F5" s="32" t="s">
        <v>4</v>
      </c>
      <c r="G5" s="32"/>
    </row>
    <row r="6" spans="3:23" ht="19" x14ac:dyDescent="0.25">
      <c r="C6" s="27" t="s">
        <v>5</v>
      </c>
      <c r="D6" s="28" t="s">
        <v>152</v>
      </c>
      <c r="F6" s="27" t="s">
        <v>5</v>
      </c>
      <c r="G6" s="28" t="s">
        <v>415</v>
      </c>
      <c r="O6" s="32" t="s">
        <v>18</v>
      </c>
      <c r="P6" s="32"/>
      <c r="Q6" s="11"/>
    </row>
    <row r="7" spans="3:23" x14ac:dyDescent="0.2">
      <c r="C7" s="27" t="s">
        <v>6</v>
      </c>
      <c r="D7" s="29">
        <v>1</v>
      </c>
      <c r="F7" s="27" t="s">
        <v>8</v>
      </c>
      <c r="G7" s="29">
        <v>2</v>
      </c>
      <c r="O7" s="22" t="s">
        <v>19</v>
      </c>
      <c r="P7" s="22">
        <f>AVERAGE(TblPolicyLevelAggregate[ClaimCount])</f>
        <v>1.1020000000000001</v>
      </c>
    </row>
    <row r="8" spans="3:23" x14ac:dyDescent="0.2">
      <c r="C8" s="27" t="s">
        <v>7</v>
      </c>
      <c r="D8" s="29">
        <v>0.54</v>
      </c>
      <c r="F8" s="27" t="s">
        <v>9</v>
      </c>
      <c r="G8" s="29">
        <v>11</v>
      </c>
      <c r="O8" s="23" t="s">
        <v>607</v>
      </c>
      <c r="P8" s="23">
        <f>MEDIAN(TblPolicyLevelAggregate[ClaimCount])</f>
        <v>1</v>
      </c>
    </row>
    <row r="9" spans="3:23" x14ac:dyDescent="0.2">
      <c r="C9" s="27" t="s">
        <v>17</v>
      </c>
      <c r="D9" s="29">
        <v>2</v>
      </c>
      <c r="F9" s="27" t="s">
        <v>10</v>
      </c>
      <c r="G9" s="29">
        <v>10</v>
      </c>
      <c r="O9" s="22" t="s">
        <v>20</v>
      </c>
      <c r="P9" s="22">
        <f>_xlfn.STDEV.S(TblPolicyLevelAggregate[ClaimCount])</f>
        <v>0.69610712556367438</v>
      </c>
    </row>
    <row r="10" spans="3:23" x14ac:dyDescent="0.2">
      <c r="F10" s="27" t="s">
        <v>11</v>
      </c>
      <c r="G10" s="29">
        <v>1.5</v>
      </c>
      <c r="O10" s="23" t="s">
        <v>145</v>
      </c>
      <c r="P10" s="23">
        <f>MIN(TblPolicyLevelAggregate[ClaimCount])</f>
        <v>0</v>
      </c>
    </row>
    <row r="11" spans="3:23" x14ac:dyDescent="0.2">
      <c r="O11" s="22" t="s">
        <v>146</v>
      </c>
      <c r="P11" s="22">
        <f>MAX(TblPolicyLevelAggregate[ClaimCount])</f>
        <v>2</v>
      </c>
    </row>
    <row r="12" spans="3:23" x14ac:dyDescent="0.2">
      <c r="O12" s="23" t="s">
        <v>606</v>
      </c>
      <c r="P12" s="23">
        <f>COUNTIF(TblPolicyLevelAggregate[ClaimCount], "=0")</f>
        <v>98</v>
      </c>
    </row>
    <row r="13" spans="3:23" x14ac:dyDescent="0.2">
      <c r="O13" s="22" t="s">
        <v>147</v>
      </c>
      <c r="P13" s="22">
        <f>COUNT(claimSimResults[PolicyID])</f>
        <v>551</v>
      </c>
    </row>
    <row r="15" spans="3:23" x14ac:dyDescent="0.2">
      <c r="O15" s="15" t="s">
        <v>614</v>
      </c>
      <c r="P15" s="15" t="s">
        <v>613</v>
      </c>
    </row>
    <row r="16" spans="3:23" x14ac:dyDescent="0.2">
      <c r="O16" s="16">
        <v>25</v>
      </c>
      <c r="P16" s="20">
        <f>_xlfn.PERCENTILE.EXC(TblPolicyLevelAggregate[ClaimCount], O16/100)</f>
        <v>1</v>
      </c>
    </row>
    <row r="17" spans="3:23" x14ac:dyDescent="0.2">
      <c r="O17" s="18">
        <v>50</v>
      </c>
      <c r="P17" s="22">
        <f>_xlfn.PERCENTILE.EXC(TblPolicyLevelAggregate[ClaimCount], O17/100)</f>
        <v>1</v>
      </c>
    </row>
    <row r="18" spans="3:23" x14ac:dyDescent="0.2">
      <c r="O18" s="16">
        <v>75</v>
      </c>
      <c r="P18" s="20">
        <f>_xlfn.PERCENTILE.EXC(TblPolicyLevelAggregate[ClaimCount], O18/100)</f>
        <v>2</v>
      </c>
    </row>
    <row r="19" spans="3:23" x14ac:dyDescent="0.2">
      <c r="O19" s="18">
        <v>90</v>
      </c>
      <c r="P19" s="22">
        <f>_xlfn.PERCENTILE.EXC(TblPolicyLevelAggregate[ClaimCount], O19/100)</f>
        <v>2</v>
      </c>
    </row>
    <row r="20" spans="3:23" x14ac:dyDescent="0.2">
      <c r="O20" s="16">
        <v>99</v>
      </c>
      <c r="P20" s="20">
        <f>_xlfn.PERCENTILE.EXC(TblPolicyLevelAggregate[ClaimCount], O20/100)</f>
        <v>2</v>
      </c>
    </row>
    <row r="21" spans="3:23" x14ac:dyDescent="0.2">
      <c r="O21" s="9"/>
      <c r="P21" s="33"/>
    </row>
    <row r="22" spans="3:23" x14ac:dyDescent="0.2">
      <c r="O22" s="9"/>
      <c r="P22" s="33"/>
    </row>
    <row r="24" spans="3:23" ht="27" x14ac:dyDescent="0.35">
      <c r="C24" s="13" t="s">
        <v>602</v>
      </c>
      <c r="D24" s="13"/>
      <c r="E24" s="13"/>
      <c r="F24" s="13"/>
      <c r="G24" s="13"/>
      <c r="H24" s="13"/>
      <c r="I24" s="13"/>
      <c r="J24" s="13"/>
      <c r="K24" s="13"/>
      <c r="L24" s="9"/>
      <c r="M24" s="9"/>
      <c r="O24" s="13" t="s">
        <v>274</v>
      </c>
      <c r="P24" s="13"/>
      <c r="Q24" s="13"/>
      <c r="R24" s="13"/>
      <c r="S24" s="13"/>
      <c r="T24" s="13"/>
      <c r="U24" s="13"/>
      <c r="V24" s="13"/>
      <c r="W24" s="13"/>
    </row>
    <row r="25" spans="3:23" x14ac:dyDescent="0.2">
      <c r="C25" s="10" t="s">
        <v>603</v>
      </c>
      <c r="O25" s="10" t="s">
        <v>604</v>
      </c>
    </row>
    <row r="27" spans="3:23" ht="19" x14ac:dyDescent="0.25">
      <c r="C27" s="32" t="s">
        <v>18</v>
      </c>
      <c r="D27" s="32"/>
      <c r="F27" s="32" t="s">
        <v>148</v>
      </c>
      <c r="G27" s="32"/>
      <c r="H27" s="32"/>
      <c r="O27" s="32" t="s">
        <v>18</v>
      </c>
      <c r="P27" s="32"/>
      <c r="R27" s="32" t="s">
        <v>151</v>
      </c>
      <c r="S27" s="32"/>
      <c r="T27" s="32"/>
    </row>
    <row r="28" spans="3:23" x14ac:dyDescent="0.2">
      <c r="C28" s="22" t="s">
        <v>19</v>
      </c>
      <c r="D28" s="24">
        <f>AVERAGE(claimSimResults[ValidClaimAmount])</f>
        <v>0.17173544505305288</v>
      </c>
      <c r="F28" s="15" t="s">
        <v>612</v>
      </c>
      <c r="G28" s="15" t="s">
        <v>610</v>
      </c>
      <c r="H28" s="15" t="s">
        <v>611</v>
      </c>
      <c r="J28" s="15" t="s">
        <v>614</v>
      </c>
      <c r="K28" s="15" t="s">
        <v>610</v>
      </c>
      <c r="O28" s="22" t="s">
        <v>19</v>
      </c>
      <c r="P28" s="24">
        <f>AVERAGE(TblPolicyLevelAggregate[TotalClaimAmount])</f>
        <v>0.18925246044846428</v>
      </c>
      <c r="R28" s="15" t="s">
        <v>612</v>
      </c>
      <c r="S28" s="15" t="s">
        <v>613</v>
      </c>
      <c r="T28" s="15" t="s">
        <v>275</v>
      </c>
      <c r="V28" s="15" t="s">
        <v>614</v>
      </c>
      <c r="W28" s="15" t="s">
        <v>275</v>
      </c>
    </row>
    <row r="29" spans="3:23" x14ac:dyDescent="0.2">
      <c r="C29" s="23" t="s">
        <v>607</v>
      </c>
      <c r="D29" s="31">
        <f>MEDIAN(claimSimResults[ValidClaimAmount])</f>
        <v>0.149755201124807</v>
      </c>
      <c r="F29" s="16" cm="1">
        <f t="array" ref="F29:H33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188</v>
      </c>
      <c r="G29" s="21">
        <v>0.75241908729899998</v>
      </c>
      <c r="H29" s="25">
        <v>45297</v>
      </c>
      <c r="J29" s="16">
        <v>25</v>
      </c>
      <c r="K29" s="21">
        <f>_xlfn.PERCENTILE.EXC(claimSimResults[ValidClaimAmount], J29/100)</f>
        <v>8.4896508764371298E-2</v>
      </c>
      <c r="L29" s="12"/>
      <c r="M29" s="12"/>
      <c r="O29" s="23" t="s">
        <v>20</v>
      </c>
      <c r="P29" s="31">
        <f>_xlfn.STDEV.S(TblPolicyLevelAggregate[TotalClaimAmount])</f>
        <v>0.16888829389833865</v>
      </c>
      <c r="R29" s="16" cm="1">
        <f t="array" ref="R29:T33">INDEX(_xlfn._xlws.SORT(TblPolicyLevelAggregate[], 3, -1), _xlfn.SEQUENCE(5), {1,2,3})</f>
        <v>147</v>
      </c>
      <c r="S29" s="16">
        <v>2</v>
      </c>
      <c r="T29" s="17">
        <v>0.96648631445674593</v>
      </c>
      <c r="V29" s="16">
        <v>25</v>
      </c>
      <c r="W29" s="17">
        <f>_xlfn.PERCENTILE.EXC(TblPolicyLevelAggregate[TotalClaimAmount], V29/100)</f>
        <v>4.6962361931810227E-2</v>
      </c>
    </row>
    <row r="30" spans="3:23" x14ac:dyDescent="0.2">
      <c r="C30" s="22" t="s">
        <v>20</v>
      </c>
      <c r="D30" s="24">
        <f>_xlfn.STDEV.S(claimSimResults[ValidClaimAmount])</f>
        <v>0.1163765580390748</v>
      </c>
      <c r="F30" s="18">
        <v>147</v>
      </c>
      <c r="G30" s="24">
        <v>0.75009966930289496</v>
      </c>
      <c r="H30" s="26">
        <v>45394</v>
      </c>
      <c r="J30" s="18">
        <v>50</v>
      </c>
      <c r="K30" s="24">
        <f>_xlfn.PERCENTILE.EXC(claimSimResults[ValidClaimAmount], J30/100)</f>
        <v>0.149755201124807</v>
      </c>
      <c r="L30" s="12"/>
      <c r="M30" s="12"/>
      <c r="O30" s="22" t="s">
        <v>145</v>
      </c>
      <c r="P30" s="30">
        <f>MIN(TblPolicyLevelAggregate[TotalClaimAmount])</f>
        <v>0</v>
      </c>
      <c r="R30" s="18">
        <v>170</v>
      </c>
      <c r="S30" s="18">
        <v>2</v>
      </c>
      <c r="T30" s="19">
        <v>0.95532054074171502</v>
      </c>
      <c r="V30" s="18">
        <v>50</v>
      </c>
      <c r="W30" s="19">
        <f>_xlfn.PERCENTILE.EXC(TblPolicyLevelAggregate[TotalClaimAmount], V30/100)</f>
        <v>0.16254411383892001</v>
      </c>
    </row>
    <row r="31" spans="3:23" x14ac:dyDescent="0.2">
      <c r="C31" s="23" t="s">
        <v>145</v>
      </c>
      <c r="D31" s="31">
        <f>MIN(claimSimResults[ValidClaimAmount])</f>
        <v>2.1710237067861901E-3</v>
      </c>
      <c r="F31" s="16">
        <v>194</v>
      </c>
      <c r="G31" s="21">
        <v>0.60072672632240098</v>
      </c>
      <c r="H31" s="25">
        <v>45433</v>
      </c>
      <c r="J31" s="16">
        <v>75</v>
      </c>
      <c r="K31" s="21">
        <f>_xlfn.PERCENTILE.EXC(claimSimResults[ValidClaimAmount], J31/100)</f>
        <v>0.238353186852029</v>
      </c>
      <c r="L31" s="12"/>
      <c r="M31" s="12"/>
      <c r="O31" s="23" t="s">
        <v>146</v>
      </c>
      <c r="P31" s="31">
        <f>MAX(TblPolicyLevelAggregate[TotalClaimAmount])</f>
        <v>0.96648631445674593</v>
      </c>
      <c r="R31" s="16">
        <v>416</v>
      </c>
      <c r="S31" s="16">
        <v>2</v>
      </c>
      <c r="T31" s="17">
        <v>0.81901836749422197</v>
      </c>
      <c r="V31" s="16">
        <v>75</v>
      </c>
      <c r="W31" s="17">
        <f>_xlfn.PERCENTILE.EXC(TblPolicyLevelAggregate[TotalClaimAmount], V31/100)</f>
        <v>0.29736172420302626</v>
      </c>
    </row>
    <row r="32" spans="3:23" x14ac:dyDescent="0.2">
      <c r="C32" s="22" t="s">
        <v>146</v>
      </c>
      <c r="D32" s="24">
        <f>MAX(claimSimResults[ValidClaimAmount])</f>
        <v>0.75241908729899998</v>
      </c>
      <c r="F32" s="18">
        <v>215</v>
      </c>
      <c r="G32" s="24">
        <v>0.59839305569434897</v>
      </c>
      <c r="H32" s="26">
        <v>45614</v>
      </c>
      <c r="J32" s="18">
        <v>90</v>
      </c>
      <c r="K32" s="24">
        <f>_xlfn.PERCENTILE.EXC(claimSimResults[ValidClaimAmount], J32/100)</f>
        <v>0.31799989440285981</v>
      </c>
      <c r="L32" s="12"/>
      <c r="M32" s="12"/>
      <c r="O32" s="22" t="s">
        <v>608</v>
      </c>
      <c r="P32" s="22">
        <f>SUM(TblPolicyLevelAggregate[ClaimCount])</f>
        <v>551</v>
      </c>
      <c r="R32" s="18">
        <v>188</v>
      </c>
      <c r="S32" s="18">
        <v>1</v>
      </c>
      <c r="T32" s="19">
        <v>0.75241908729899998</v>
      </c>
      <c r="V32" s="18">
        <v>90</v>
      </c>
      <c r="W32" s="19">
        <f>_xlfn.PERCENTILE.EXC(TblPolicyLevelAggregate[TotalClaimAmount], V32/100)</f>
        <v>0.41247383692840406</v>
      </c>
    </row>
    <row r="33" spans="3:23" x14ac:dyDescent="0.2">
      <c r="C33" s="23" t="s">
        <v>605</v>
      </c>
      <c r="D33" s="31">
        <f>SUM(claimSimResults[ValidClaimAmount])</f>
        <v>94.626230224232131</v>
      </c>
      <c r="F33" s="16">
        <v>170</v>
      </c>
      <c r="G33" s="21">
        <v>0.57775656815271303</v>
      </c>
      <c r="H33" s="25">
        <v>45460</v>
      </c>
      <c r="J33" s="16">
        <v>99</v>
      </c>
      <c r="K33" s="21">
        <f>_xlfn.PERCENTILE.EXC(claimSimResults[ValidClaimAmount], J33/100)</f>
        <v>0.5654360545042918</v>
      </c>
      <c r="L33" s="12"/>
      <c r="M33" s="12"/>
      <c r="O33" s="23" t="s">
        <v>609</v>
      </c>
      <c r="P33" s="31">
        <f>SUM(TblPolicyLevelAggregate[TotalClaimAmount])</f>
        <v>94.626230224232145</v>
      </c>
      <c r="R33" s="16">
        <v>215</v>
      </c>
      <c r="S33" s="16">
        <v>2</v>
      </c>
      <c r="T33" s="17">
        <v>0.71770164206328901</v>
      </c>
      <c r="V33" s="16">
        <v>99</v>
      </c>
      <c r="W33" s="17">
        <f>_xlfn.PERCENTILE.EXC(TblPolicyLevelAggregate[TotalClaimAmount], V33/100)</f>
        <v>0.71689977948024886</v>
      </c>
    </row>
  </sheetData>
  <mergeCells count="11">
    <mergeCell ref="O24:W24"/>
    <mergeCell ref="O3:W3"/>
    <mergeCell ref="C24:K24"/>
    <mergeCell ref="C27:D27"/>
    <mergeCell ref="F27:H27"/>
    <mergeCell ref="O27:P27"/>
    <mergeCell ref="R27:T27"/>
    <mergeCell ref="O6:P6"/>
    <mergeCell ref="C5:D5"/>
    <mergeCell ref="F5:G5"/>
    <mergeCell ref="C3:J3"/>
  </mergeCells>
  <conditionalFormatting sqref="F7:F8">
    <cfRule type="expression" dxfId="6" priority="7" stopIfTrue="1">
      <formula>$G$6&lt;&gt;"Gamma"</formula>
    </cfRule>
  </conditionalFormatting>
  <conditionalFormatting sqref="F9:F10">
    <cfRule type="expression" dxfId="5" priority="6">
      <formula>$G$6&lt;&gt;"Lognormal"</formula>
    </cfRule>
  </conditionalFormatting>
  <conditionalFormatting sqref="C7:D7">
    <cfRule type="expression" dxfId="4" priority="5">
      <formula>$D$6&lt;&gt;"Poisson"</formula>
    </cfRule>
  </conditionalFormatting>
  <conditionalFormatting sqref="C8:C9">
    <cfRule type="expression" dxfId="3" priority="4">
      <formula>$D$6&lt;&gt;"Binomial"</formula>
    </cfRule>
  </conditionalFormatting>
  <conditionalFormatting sqref="D8:D9">
    <cfRule type="expression" dxfId="2" priority="3">
      <formula>$D$6&lt;&gt;"Binomial"</formula>
    </cfRule>
  </conditionalFormatting>
  <conditionalFormatting sqref="G7:G8">
    <cfRule type="expression" dxfId="1" priority="2" stopIfTrue="1">
      <formula>$G$6&lt;&gt;"Gamma"</formula>
    </cfRule>
  </conditionalFormatting>
  <conditionalFormatting sqref="G9:G10">
    <cfRule type="expression" dxfId="0" priority="1">
      <formula>$G$6&lt;&gt;"Lognormal"</formula>
    </cfRule>
  </conditionalFormatting>
  <dataValidations count="8">
    <dataValidation type="list" showInputMessage="1" showErrorMessage="1" promptTitle="Poisson by default" sqref="D6" xr:uid="{D1411DE7-65CB-C84B-88A4-5928A841D417}">
      <formula1>"Poisson,Binomial"</formula1>
    </dataValidation>
    <dataValidation type="decimal" operator="greaterThan" allowBlank="1" showInputMessage="1" showErrorMessage="1" sqref="D7 G8" xr:uid="{40CF4B19-1C35-7842-872E-420463E70408}">
      <formula1>0</formula1>
    </dataValidation>
    <dataValidation type="decimal" allowBlank="1" showInputMessage="1" showErrorMessage="1" sqref="D8" xr:uid="{AC114271-8CBC-9947-AE7E-F94CAAF79F4E}">
      <formula1>0</formula1>
      <formula2>1</formula2>
    </dataValidation>
    <dataValidation type="whole" operator="greaterThan" allowBlank="1" showInputMessage="1" showErrorMessage="1" sqref="D9 G7" xr:uid="{FDD9DCB0-02C3-E149-93F2-B1199E6C715A}">
      <formula1>0</formula1>
    </dataValidation>
    <dataValidation type="list" showInputMessage="1" showErrorMessage="1" promptTitle="Poisson by default" sqref="G6" xr:uid="{BC5627C4-B098-D145-8BA5-B12B31C0A91B}">
      <formula1>"Gamma,Lognormal"</formula1>
    </dataValidation>
    <dataValidation type="custom" operator="greaterThan" allowBlank="1" showInputMessage="1" showErrorMessage="1" sqref="G10" xr:uid="{40AC7D11-F594-3444-A2A0-3F1807C28FB0}">
      <formula1>ISNUMBER(G10)</formula1>
    </dataValidation>
    <dataValidation type="decimal" operator="greaterThanOrEqual" allowBlank="1" showInputMessage="1" showErrorMessage="1" sqref="G9" xr:uid="{A02B9B2D-5C86-944B-8804-F906AF4F2453}">
      <formula1>0</formula1>
    </dataValidation>
    <dataValidation type="decimal" allowBlank="1" showInputMessage="1" showErrorMessage="1" sqref="J29:J33 V29:V33 O16:O23" xr:uid="{0830D58D-9A76-A548-BD30-8712FA863F92}">
      <formula1>1</formula1>
      <formula2>99</formula2>
    </dataValidation>
  </dataValidations>
  <pageMargins left="0.7" right="0.7" top="0.75" bottom="0.75" header="0.3" footer="0.3"/>
  <pageSetup scale="5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7</xdr:col>
                    <xdr:colOff>406400</xdr:colOff>
                    <xdr:row>5</xdr:row>
                    <xdr:rowOff>0</xdr:rowOff>
                  </from>
                  <to>
                    <xdr:col>10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C24" sqref="C24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14</v>
      </c>
      <c r="B4" t="s">
        <v>15</v>
      </c>
      <c r="C4" t="s">
        <v>16</v>
      </c>
    </row>
    <row r="5" spans="1:3" x14ac:dyDescent="0.2">
      <c r="A5" s="3" t="s">
        <v>12</v>
      </c>
      <c r="B5" s="3" t="s">
        <v>13</v>
      </c>
      <c r="C5" s="3" t="s">
        <v>28</v>
      </c>
    </row>
    <row r="6" spans="1:3" x14ac:dyDescent="0.2">
      <c r="A6" t="s">
        <v>21</v>
      </c>
      <c r="B6">
        <v>500</v>
      </c>
      <c r="C6" t="s">
        <v>22</v>
      </c>
    </row>
    <row r="7" spans="1:3" x14ac:dyDescent="0.2">
      <c r="A7" t="s">
        <v>23</v>
      </c>
      <c r="B7">
        <v>1000000</v>
      </c>
      <c r="C7" t="s">
        <v>24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K501"/>
  <sheetViews>
    <sheetView workbookViewId="0">
      <selection activeCell="H20" sqref="H20"/>
    </sheetView>
  </sheetViews>
  <sheetFormatPr baseColWidth="10" defaultRowHeight="16" x14ac:dyDescent="0.2"/>
  <cols>
    <col min="1" max="1" width="10.5" bestFit="1" customWidth="1"/>
    <col min="2" max="2" width="13.6640625" bestFit="1" customWidth="1"/>
    <col min="3" max="3" width="19.33203125" bestFit="1" customWidth="1"/>
    <col min="4" max="4" width="12.6640625" bestFit="1" customWidth="1"/>
    <col min="5" max="5" width="19.5" bestFit="1" customWidth="1"/>
    <col min="6" max="6" width="10.5" bestFit="1" customWidth="1"/>
    <col min="7" max="7" width="13.6640625" bestFit="1" customWidth="1"/>
    <col min="8" max="8" width="16.6640625" bestFit="1" customWidth="1"/>
    <col min="9" max="10" width="13" bestFit="1" customWidth="1"/>
    <col min="11" max="11" width="15.33203125" bestFit="1" customWidth="1"/>
  </cols>
  <sheetData>
    <row r="1" spans="1:11" x14ac:dyDescent="0.2">
      <c r="A1" t="s">
        <v>0</v>
      </c>
      <c r="B1" t="s">
        <v>30</v>
      </c>
      <c r="C1" t="s">
        <v>149</v>
      </c>
    </row>
    <row r="2" spans="1:11" x14ac:dyDescent="0.2">
      <c r="A2">
        <v>1</v>
      </c>
      <c r="B2">
        <v>2</v>
      </c>
      <c r="C2">
        <v>0.55660539890032945</v>
      </c>
    </row>
    <row r="3" spans="1:11" x14ac:dyDescent="0.2">
      <c r="A3">
        <v>2</v>
      </c>
      <c r="B3">
        <v>1</v>
      </c>
      <c r="C3">
        <v>2.5596358888877201E-2</v>
      </c>
      <c r="J3" s="4"/>
      <c r="K3" s="4"/>
    </row>
    <row r="4" spans="1:11" x14ac:dyDescent="0.2">
      <c r="A4">
        <v>3</v>
      </c>
      <c r="B4">
        <v>1</v>
      </c>
      <c r="C4">
        <v>5.1285890770752803E-2</v>
      </c>
      <c r="G4" s="5" t="s">
        <v>30</v>
      </c>
      <c r="H4" t="s">
        <v>31</v>
      </c>
      <c r="J4" s="4"/>
      <c r="K4" s="4"/>
    </row>
    <row r="5" spans="1:11" x14ac:dyDescent="0.2">
      <c r="A5">
        <v>6</v>
      </c>
      <c r="B5">
        <v>2</v>
      </c>
      <c r="C5">
        <v>0.35504949805546604</v>
      </c>
      <c r="G5" s="6">
        <v>0</v>
      </c>
      <c r="H5" s="7">
        <v>98</v>
      </c>
      <c r="J5" s="4"/>
      <c r="K5" s="4"/>
    </row>
    <row r="6" spans="1:11" x14ac:dyDescent="0.2">
      <c r="A6">
        <v>7</v>
      </c>
      <c r="B6">
        <v>1</v>
      </c>
      <c r="C6">
        <v>0.30406397220303399</v>
      </c>
      <c r="G6" s="6">
        <v>1</v>
      </c>
      <c r="H6" s="7">
        <v>253</v>
      </c>
      <c r="J6" s="4"/>
      <c r="K6" s="4"/>
    </row>
    <row r="7" spans="1:11" x14ac:dyDescent="0.2">
      <c r="A7">
        <v>9</v>
      </c>
      <c r="B7">
        <v>1</v>
      </c>
      <c r="C7">
        <v>0.15652070059307399</v>
      </c>
      <c r="G7" s="6">
        <v>2</v>
      </c>
      <c r="H7" s="7">
        <v>149</v>
      </c>
    </row>
    <row r="8" spans="1:11" x14ac:dyDescent="0.2">
      <c r="A8">
        <v>10</v>
      </c>
      <c r="B8">
        <v>1</v>
      </c>
      <c r="C8">
        <v>0.18820243128675301</v>
      </c>
      <c r="G8" s="6" t="s">
        <v>29</v>
      </c>
      <c r="H8" s="7">
        <v>500</v>
      </c>
    </row>
    <row r="9" spans="1:11" x14ac:dyDescent="0.2">
      <c r="A9">
        <v>12</v>
      </c>
      <c r="B9">
        <v>1</v>
      </c>
      <c r="C9">
        <v>2.1710237067861901E-3</v>
      </c>
    </row>
    <row r="10" spans="1:11" x14ac:dyDescent="0.2">
      <c r="A10">
        <v>13</v>
      </c>
      <c r="B10">
        <v>1</v>
      </c>
      <c r="C10">
        <v>5.9037460126752601E-2</v>
      </c>
    </row>
    <row r="11" spans="1:11" x14ac:dyDescent="0.2">
      <c r="A11">
        <v>14</v>
      </c>
      <c r="B11">
        <v>1</v>
      </c>
      <c r="C11">
        <v>0.25291602268996699</v>
      </c>
    </row>
    <row r="12" spans="1:11" x14ac:dyDescent="0.2">
      <c r="A12">
        <v>15</v>
      </c>
      <c r="B12">
        <v>2</v>
      </c>
      <c r="C12">
        <v>0.31377814500589796</v>
      </c>
    </row>
    <row r="13" spans="1:11" x14ac:dyDescent="0.2">
      <c r="A13">
        <v>17</v>
      </c>
      <c r="B13">
        <v>2</v>
      </c>
      <c r="C13">
        <v>0.45319555321420602</v>
      </c>
    </row>
    <row r="14" spans="1:11" x14ac:dyDescent="0.2">
      <c r="A14">
        <v>18</v>
      </c>
      <c r="B14">
        <v>2</v>
      </c>
      <c r="C14">
        <v>0.37333439720030231</v>
      </c>
    </row>
    <row r="15" spans="1:11" x14ac:dyDescent="0.2">
      <c r="A15">
        <v>19</v>
      </c>
      <c r="B15">
        <v>1</v>
      </c>
      <c r="C15">
        <v>0.22523490315536099</v>
      </c>
    </row>
    <row r="16" spans="1:11" x14ac:dyDescent="0.2">
      <c r="A16">
        <v>22</v>
      </c>
      <c r="B16">
        <v>1</v>
      </c>
      <c r="C16">
        <v>2.9979301203309799E-2</v>
      </c>
    </row>
    <row r="17" spans="1:3" x14ac:dyDescent="0.2">
      <c r="A17">
        <v>23</v>
      </c>
      <c r="B17">
        <v>1</v>
      </c>
      <c r="C17">
        <v>0.30881388302581902</v>
      </c>
    </row>
    <row r="18" spans="1:3" x14ac:dyDescent="0.2">
      <c r="A18">
        <v>25</v>
      </c>
      <c r="B18">
        <v>1</v>
      </c>
      <c r="C18">
        <v>1.2615023854811599E-2</v>
      </c>
    </row>
    <row r="19" spans="1:3" x14ac:dyDescent="0.2">
      <c r="A19">
        <v>26</v>
      </c>
      <c r="B19">
        <v>1</v>
      </c>
      <c r="C19">
        <v>0.10365784292392501</v>
      </c>
    </row>
    <row r="20" spans="1:3" x14ac:dyDescent="0.2">
      <c r="A20">
        <v>27</v>
      </c>
      <c r="B20">
        <v>1</v>
      </c>
      <c r="C20">
        <v>0.27649220954902098</v>
      </c>
    </row>
    <row r="21" spans="1:3" x14ac:dyDescent="0.2">
      <c r="A21">
        <v>28</v>
      </c>
      <c r="B21">
        <v>1</v>
      </c>
      <c r="C21">
        <v>0.27271410573104499</v>
      </c>
    </row>
    <row r="22" spans="1:3" x14ac:dyDescent="0.2">
      <c r="A22">
        <v>29</v>
      </c>
      <c r="B22">
        <v>2</v>
      </c>
      <c r="C22">
        <v>0.25494409228111209</v>
      </c>
    </row>
    <row r="23" spans="1:3" x14ac:dyDescent="0.2">
      <c r="A23">
        <v>30</v>
      </c>
      <c r="B23">
        <v>2</v>
      </c>
      <c r="C23">
        <v>0.35134375805145501</v>
      </c>
    </row>
    <row r="24" spans="1:3" x14ac:dyDescent="0.2">
      <c r="A24">
        <v>33</v>
      </c>
      <c r="B24">
        <v>1</v>
      </c>
      <c r="C24">
        <v>0.17071688261944201</v>
      </c>
    </row>
    <row r="25" spans="1:3" x14ac:dyDescent="0.2">
      <c r="A25">
        <v>35</v>
      </c>
      <c r="B25">
        <v>2</v>
      </c>
      <c r="C25">
        <v>0.41102158992362303</v>
      </c>
    </row>
    <row r="26" spans="1:3" x14ac:dyDescent="0.2">
      <c r="A26">
        <v>36</v>
      </c>
      <c r="B26">
        <v>1</v>
      </c>
      <c r="C26">
        <v>9.6974253795365895E-2</v>
      </c>
    </row>
    <row r="27" spans="1:3" x14ac:dyDescent="0.2">
      <c r="A27">
        <v>37</v>
      </c>
      <c r="B27">
        <v>1</v>
      </c>
      <c r="C27">
        <v>0.206012633015145</v>
      </c>
    </row>
    <row r="28" spans="1:3" x14ac:dyDescent="0.2">
      <c r="A28">
        <v>38</v>
      </c>
      <c r="B28">
        <v>2</v>
      </c>
      <c r="C28">
        <v>0.53958810174823002</v>
      </c>
    </row>
    <row r="29" spans="1:3" x14ac:dyDescent="0.2">
      <c r="A29">
        <v>39</v>
      </c>
      <c r="B29">
        <v>1</v>
      </c>
      <c r="C29">
        <v>7.9946959613307306E-2</v>
      </c>
    </row>
    <row r="30" spans="1:3" x14ac:dyDescent="0.2">
      <c r="A30">
        <v>40</v>
      </c>
      <c r="B30">
        <v>2</v>
      </c>
      <c r="C30">
        <v>0.27399165155164101</v>
      </c>
    </row>
    <row r="31" spans="1:3" x14ac:dyDescent="0.2">
      <c r="A31">
        <v>41</v>
      </c>
      <c r="B31">
        <v>2</v>
      </c>
      <c r="C31">
        <v>0.52855568792026297</v>
      </c>
    </row>
    <row r="32" spans="1:3" x14ac:dyDescent="0.2">
      <c r="A32">
        <v>42</v>
      </c>
      <c r="B32">
        <v>1</v>
      </c>
      <c r="C32">
        <v>0.14696667492530099</v>
      </c>
    </row>
    <row r="33" spans="1:3" x14ac:dyDescent="0.2">
      <c r="A33">
        <v>43</v>
      </c>
      <c r="B33">
        <v>1</v>
      </c>
      <c r="C33">
        <v>4.9478220511179803E-2</v>
      </c>
    </row>
    <row r="34" spans="1:3" x14ac:dyDescent="0.2">
      <c r="A34">
        <v>44</v>
      </c>
      <c r="B34">
        <v>1</v>
      </c>
      <c r="C34">
        <v>0.27277944150422201</v>
      </c>
    </row>
    <row r="35" spans="1:3" x14ac:dyDescent="0.2">
      <c r="A35">
        <v>45</v>
      </c>
      <c r="B35">
        <v>2</v>
      </c>
      <c r="C35">
        <v>0.19650221573607068</v>
      </c>
    </row>
    <row r="36" spans="1:3" x14ac:dyDescent="0.2">
      <c r="A36">
        <v>46</v>
      </c>
      <c r="B36">
        <v>2</v>
      </c>
      <c r="C36">
        <v>0.31847462604212901</v>
      </c>
    </row>
    <row r="37" spans="1:3" x14ac:dyDescent="0.2">
      <c r="A37">
        <v>47</v>
      </c>
      <c r="B37">
        <v>2</v>
      </c>
      <c r="C37">
        <v>0.50027230203838302</v>
      </c>
    </row>
    <row r="38" spans="1:3" x14ac:dyDescent="0.2">
      <c r="A38">
        <v>48</v>
      </c>
      <c r="B38">
        <v>1</v>
      </c>
      <c r="C38">
        <v>0.242596905095704</v>
      </c>
    </row>
    <row r="39" spans="1:3" x14ac:dyDescent="0.2">
      <c r="A39">
        <v>49</v>
      </c>
      <c r="B39">
        <v>2</v>
      </c>
      <c r="C39">
        <v>0.63751538375919703</v>
      </c>
    </row>
    <row r="40" spans="1:3" x14ac:dyDescent="0.2">
      <c r="A40">
        <v>51</v>
      </c>
      <c r="B40">
        <v>2</v>
      </c>
      <c r="C40">
        <v>0.13478802681232499</v>
      </c>
    </row>
    <row r="41" spans="1:3" x14ac:dyDescent="0.2">
      <c r="A41">
        <v>52</v>
      </c>
      <c r="B41">
        <v>1</v>
      </c>
      <c r="C41">
        <v>0.243744793938763</v>
      </c>
    </row>
    <row r="42" spans="1:3" x14ac:dyDescent="0.2">
      <c r="A42">
        <v>54</v>
      </c>
      <c r="B42">
        <v>2</v>
      </c>
      <c r="C42">
        <v>0.1007113564993922</v>
      </c>
    </row>
    <row r="43" spans="1:3" x14ac:dyDescent="0.2">
      <c r="A43">
        <v>55</v>
      </c>
      <c r="B43">
        <v>1</v>
      </c>
      <c r="C43">
        <v>0.28550977972983499</v>
      </c>
    </row>
    <row r="44" spans="1:3" x14ac:dyDescent="0.2">
      <c r="A44">
        <v>56</v>
      </c>
      <c r="B44">
        <v>2</v>
      </c>
      <c r="C44">
        <v>0.25145788687490939</v>
      </c>
    </row>
    <row r="45" spans="1:3" x14ac:dyDescent="0.2">
      <c r="A45">
        <v>57</v>
      </c>
      <c r="B45">
        <v>2</v>
      </c>
      <c r="C45">
        <v>0.35831603988339122</v>
      </c>
    </row>
    <row r="46" spans="1:3" x14ac:dyDescent="0.2">
      <c r="A46">
        <v>58</v>
      </c>
      <c r="B46">
        <v>1</v>
      </c>
      <c r="C46">
        <v>0.24678371144897199</v>
      </c>
    </row>
    <row r="47" spans="1:3" x14ac:dyDescent="0.2">
      <c r="A47">
        <v>60</v>
      </c>
      <c r="B47">
        <v>1</v>
      </c>
      <c r="C47">
        <v>7.9332805058895506E-2</v>
      </c>
    </row>
    <row r="48" spans="1:3" x14ac:dyDescent="0.2">
      <c r="A48">
        <v>61</v>
      </c>
      <c r="B48">
        <v>1</v>
      </c>
      <c r="C48">
        <v>0.100859476501755</v>
      </c>
    </row>
    <row r="49" spans="1:3" x14ac:dyDescent="0.2">
      <c r="A49">
        <v>62</v>
      </c>
      <c r="B49">
        <v>2</v>
      </c>
      <c r="C49">
        <v>0.55255795294531507</v>
      </c>
    </row>
    <row r="50" spans="1:3" x14ac:dyDescent="0.2">
      <c r="A50">
        <v>63</v>
      </c>
      <c r="B50">
        <v>1</v>
      </c>
      <c r="C50">
        <v>0.302020883837891</v>
      </c>
    </row>
    <row r="51" spans="1:3" x14ac:dyDescent="0.2">
      <c r="A51">
        <v>64</v>
      </c>
      <c r="B51">
        <v>2</v>
      </c>
      <c r="C51">
        <v>0.35951969798435102</v>
      </c>
    </row>
    <row r="52" spans="1:3" x14ac:dyDescent="0.2">
      <c r="A52">
        <v>66</v>
      </c>
      <c r="B52">
        <v>1</v>
      </c>
      <c r="C52">
        <v>0.35448175121283299</v>
      </c>
    </row>
    <row r="53" spans="1:3" x14ac:dyDescent="0.2">
      <c r="A53">
        <v>70</v>
      </c>
      <c r="B53">
        <v>1</v>
      </c>
      <c r="C53">
        <v>1.1803321686785301E-2</v>
      </c>
    </row>
    <row r="54" spans="1:3" x14ac:dyDescent="0.2">
      <c r="A54">
        <v>71</v>
      </c>
      <c r="B54">
        <v>1</v>
      </c>
      <c r="C54">
        <v>0.19508093395569501</v>
      </c>
    </row>
    <row r="55" spans="1:3" x14ac:dyDescent="0.2">
      <c r="A55">
        <v>72</v>
      </c>
      <c r="B55">
        <v>1</v>
      </c>
      <c r="C55">
        <v>0.238353186852029</v>
      </c>
    </row>
    <row r="56" spans="1:3" x14ac:dyDescent="0.2">
      <c r="A56">
        <v>73</v>
      </c>
      <c r="B56">
        <v>1</v>
      </c>
      <c r="C56">
        <v>0.23133151779079</v>
      </c>
    </row>
    <row r="57" spans="1:3" x14ac:dyDescent="0.2">
      <c r="A57">
        <v>74</v>
      </c>
      <c r="B57">
        <v>2</v>
      </c>
      <c r="C57">
        <v>0.33814577663555173</v>
      </c>
    </row>
    <row r="58" spans="1:3" x14ac:dyDescent="0.2">
      <c r="A58">
        <v>75</v>
      </c>
      <c r="B58">
        <v>1</v>
      </c>
      <c r="C58">
        <v>0.111016153532811</v>
      </c>
    </row>
    <row r="59" spans="1:3" x14ac:dyDescent="0.2">
      <c r="A59">
        <v>76</v>
      </c>
      <c r="B59">
        <v>2</v>
      </c>
      <c r="C59">
        <v>0.19360577133177609</v>
      </c>
    </row>
    <row r="60" spans="1:3" x14ac:dyDescent="0.2">
      <c r="A60">
        <v>77</v>
      </c>
      <c r="B60">
        <v>1</v>
      </c>
      <c r="C60">
        <v>0.13865013256837699</v>
      </c>
    </row>
    <row r="61" spans="1:3" x14ac:dyDescent="0.2">
      <c r="A61">
        <v>78</v>
      </c>
      <c r="B61">
        <v>1</v>
      </c>
      <c r="C61">
        <v>0.15653910249819</v>
      </c>
    </row>
    <row r="62" spans="1:3" x14ac:dyDescent="0.2">
      <c r="A62">
        <v>79</v>
      </c>
      <c r="B62">
        <v>1</v>
      </c>
      <c r="C62">
        <v>0.13039070358205601</v>
      </c>
    </row>
    <row r="63" spans="1:3" x14ac:dyDescent="0.2">
      <c r="A63">
        <v>80</v>
      </c>
      <c r="B63">
        <v>2</v>
      </c>
      <c r="C63">
        <v>0.17421221396761538</v>
      </c>
    </row>
    <row r="64" spans="1:3" x14ac:dyDescent="0.2">
      <c r="A64">
        <v>81</v>
      </c>
      <c r="B64">
        <v>2</v>
      </c>
      <c r="C64">
        <v>0.31269678658335798</v>
      </c>
    </row>
    <row r="65" spans="1:3" x14ac:dyDescent="0.2">
      <c r="A65">
        <v>82</v>
      </c>
      <c r="B65">
        <v>1</v>
      </c>
      <c r="C65">
        <v>0.20477016945738599</v>
      </c>
    </row>
    <row r="66" spans="1:3" x14ac:dyDescent="0.2">
      <c r="A66">
        <v>83</v>
      </c>
      <c r="B66">
        <v>1</v>
      </c>
      <c r="C66">
        <v>0.16408938955420199</v>
      </c>
    </row>
    <row r="67" spans="1:3" x14ac:dyDescent="0.2">
      <c r="A67">
        <v>84</v>
      </c>
      <c r="B67">
        <v>1</v>
      </c>
      <c r="C67">
        <v>0.27464741993581399</v>
      </c>
    </row>
    <row r="68" spans="1:3" x14ac:dyDescent="0.2">
      <c r="A68">
        <v>85</v>
      </c>
      <c r="B68">
        <v>2</v>
      </c>
      <c r="C68">
        <v>0.2090444567738835</v>
      </c>
    </row>
    <row r="69" spans="1:3" x14ac:dyDescent="0.2">
      <c r="A69">
        <v>86</v>
      </c>
      <c r="B69">
        <v>1</v>
      </c>
      <c r="C69">
        <v>0.15359026129202699</v>
      </c>
    </row>
    <row r="70" spans="1:3" x14ac:dyDescent="0.2">
      <c r="A70">
        <v>90</v>
      </c>
      <c r="B70">
        <v>2</v>
      </c>
      <c r="C70">
        <v>0.35060674755469601</v>
      </c>
    </row>
    <row r="71" spans="1:3" x14ac:dyDescent="0.2">
      <c r="A71">
        <v>91</v>
      </c>
      <c r="B71">
        <v>2</v>
      </c>
      <c r="C71">
        <v>0.22508674050020011</v>
      </c>
    </row>
    <row r="72" spans="1:3" x14ac:dyDescent="0.2">
      <c r="A72">
        <v>92</v>
      </c>
      <c r="B72">
        <v>1</v>
      </c>
      <c r="C72">
        <v>0.150121320569233</v>
      </c>
    </row>
    <row r="73" spans="1:3" x14ac:dyDescent="0.2">
      <c r="A73">
        <v>93</v>
      </c>
      <c r="B73">
        <v>1</v>
      </c>
      <c r="C73">
        <v>0.11661464526516301</v>
      </c>
    </row>
    <row r="74" spans="1:3" x14ac:dyDescent="0.2">
      <c r="A74">
        <v>94</v>
      </c>
      <c r="B74">
        <v>1</v>
      </c>
      <c r="C74">
        <v>0.12457415073874401</v>
      </c>
    </row>
    <row r="75" spans="1:3" x14ac:dyDescent="0.2">
      <c r="A75">
        <v>95</v>
      </c>
      <c r="B75">
        <v>1</v>
      </c>
      <c r="C75">
        <v>0.107370364016353</v>
      </c>
    </row>
    <row r="76" spans="1:3" x14ac:dyDescent="0.2">
      <c r="A76">
        <v>96</v>
      </c>
      <c r="B76">
        <v>2</v>
      </c>
      <c r="C76">
        <v>0.51329588297316997</v>
      </c>
    </row>
    <row r="77" spans="1:3" x14ac:dyDescent="0.2">
      <c r="A77">
        <v>97</v>
      </c>
      <c r="B77">
        <v>1</v>
      </c>
      <c r="C77">
        <v>0.185869430362399</v>
      </c>
    </row>
    <row r="78" spans="1:3" x14ac:dyDescent="0.2">
      <c r="A78">
        <v>98</v>
      </c>
      <c r="B78">
        <v>2</v>
      </c>
      <c r="C78">
        <v>0.29790973079457039</v>
      </c>
    </row>
    <row r="79" spans="1:3" x14ac:dyDescent="0.2">
      <c r="A79">
        <v>99</v>
      </c>
      <c r="B79">
        <v>1</v>
      </c>
      <c r="C79">
        <v>4.1445267045987097E-2</v>
      </c>
    </row>
    <row r="80" spans="1:3" x14ac:dyDescent="0.2">
      <c r="A80">
        <v>100</v>
      </c>
      <c r="B80">
        <v>1</v>
      </c>
      <c r="C80">
        <v>0.29696290717306001</v>
      </c>
    </row>
    <row r="81" spans="1:3" x14ac:dyDescent="0.2">
      <c r="A81">
        <v>101</v>
      </c>
      <c r="B81">
        <v>1</v>
      </c>
      <c r="C81">
        <v>7.70234706117017E-2</v>
      </c>
    </row>
    <row r="82" spans="1:3" x14ac:dyDescent="0.2">
      <c r="A82">
        <v>102</v>
      </c>
      <c r="B82">
        <v>1</v>
      </c>
      <c r="C82">
        <v>0.107636992230337</v>
      </c>
    </row>
    <row r="83" spans="1:3" x14ac:dyDescent="0.2">
      <c r="A83">
        <v>103</v>
      </c>
      <c r="B83">
        <v>1</v>
      </c>
      <c r="C83">
        <v>7.7144930376835702E-2</v>
      </c>
    </row>
    <row r="84" spans="1:3" x14ac:dyDescent="0.2">
      <c r="A84">
        <v>105</v>
      </c>
      <c r="B84">
        <v>1</v>
      </c>
      <c r="C84">
        <v>0.13087129270335801</v>
      </c>
    </row>
    <row r="85" spans="1:3" x14ac:dyDescent="0.2">
      <c r="A85">
        <v>108</v>
      </c>
      <c r="B85">
        <v>1</v>
      </c>
      <c r="C85">
        <v>0.21685927714266801</v>
      </c>
    </row>
    <row r="86" spans="1:3" x14ac:dyDescent="0.2">
      <c r="A86">
        <v>109</v>
      </c>
      <c r="B86">
        <v>1</v>
      </c>
      <c r="C86">
        <v>0.17400033854712699</v>
      </c>
    </row>
    <row r="87" spans="1:3" x14ac:dyDescent="0.2">
      <c r="A87">
        <v>110</v>
      </c>
      <c r="B87">
        <v>2</v>
      </c>
      <c r="C87">
        <v>0.30983819670691543</v>
      </c>
    </row>
    <row r="88" spans="1:3" x14ac:dyDescent="0.2">
      <c r="A88">
        <v>112</v>
      </c>
      <c r="B88">
        <v>1</v>
      </c>
      <c r="C88">
        <v>0.38230736537578902</v>
      </c>
    </row>
    <row r="89" spans="1:3" x14ac:dyDescent="0.2">
      <c r="A89">
        <v>113</v>
      </c>
      <c r="B89">
        <v>2</v>
      </c>
      <c r="C89">
        <v>0.36842295617663601</v>
      </c>
    </row>
    <row r="90" spans="1:3" x14ac:dyDescent="0.2">
      <c r="A90">
        <v>115</v>
      </c>
      <c r="B90">
        <v>1</v>
      </c>
      <c r="C90">
        <v>0.208410650635589</v>
      </c>
    </row>
    <row r="91" spans="1:3" x14ac:dyDescent="0.2">
      <c r="A91">
        <v>116</v>
      </c>
      <c r="B91">
        <v>2</v>
      </c>
      <c r="C91">
        <v>5.3788894377506599E-2</v>
      </c>
    </row>
    <row r="92" spans="1:3" x14ac:dyDescent="0.2">
      <c r="A92">
        <v>117</v>
      </c>
      <c r="B92">
        <v>1</v>
      </c>
      <c r="C92">
        <v>0.22289749356091801</v>
      </c>
    </row>
    <row r="93" spans="1:3" x14ac:dyDescent="0.2">
      <c r="A93">
        <v>119</v>
      </c>
      <c r="B93">
        <v>1</v>
      </c>
      <c r="C93">
        <v>7.4050355837289E-2</v>
      </c>
    </row>
    <row r="94" spans="1:3" x14ac:dyDescent="0.2">
      <c r="A94">
        <v>120</v>
      </c>
      <c r="B94">
        <v>1</v>
      </c>
      <c r="C94">
        <v>0.388019936906847</v>
      </c>
    </row>
    <row r="95" spans="1:3" x14ac:dyDescent="0.2">
      <c r="A95">
        <v>121</v>
      </c>
      <c r="B95">
        <v>1</v>
      </c>
      <c r="C95">
        <v>0.17528185828339601</v>
      </c>
    </row>
    <row r="96" spans="1:3" x14ac:dyDescent="0.2">
      <c r="A96">
        <v>122</v>
      </c>
      <c r="B96">
        <v>1</v>
      </c>
      <c r="C96">
        <v>0.16574923834984001</v>
      </c>
    </row>
    <row r="97" spans="1:3" x14ac:dyDescent="0.2">
      <c r="A97">
        <v>123</v>
      </c>
      <c r="B97">
        <v>1</v>
      </c>
      <c r="C97">
        <v>0.14451707908577099</v>
      </c>
    </row>
    <row r="98" spans="1:3" x14ac:dyDescent="0.2">
      <c r="A98">
        <v>124</v>
      </c>
      <c r="B98">
        <v>2</v>
      </c>
      <c r="C98">
        <v>0.34053709819421729</v>
      </c>
    </row>
    <row r="99" spans="1:3" x14ac:dyDescent="0.2">
      <c r="A99">
        <v>125</v>
      </c>
      <c r="B99">
        <v>1</v>
      </c>
      <c r="C99">
        <v>0.197535803902539</v>
      </c>
    </row>
    <row r="100" spans="1:3" x14ac:dyDescent="0.2">
      <c r="A100">
        <v>127</v>
      </c>
      <c r="B100">
        <v>2</v>
      </c>
      <c r="C100">
        <v>0.54356636753436705</v>
      </c>
    </row>
    <row r="101" spans="1:3" x14ac:dyDescent="0.2">
      <c r="A101">
        <v>128</v>
      </c>
      <c r="B101">
        <v>2</v>
      </c>
      <c r="C101">
        <v>0.52691974473886405</v>
      </c>
    </row>
    <row r="102" spans="1:3" x14ac:dyDescent="0.2">
      <c r="A102">
        <v>129</v>
      </c>
      <c r="B102">
        <v>2</v>
      </c>
      <c r="C102">
        <v>0.26724652356194012</v>
      </c>
    </row>
    <row r="103" spans="1:3" x14ac:dyDescent="0.2">
      <c r="A103">
        <v>130</v>
      </c>
      <c r="B103">
        <v>1</v>
      </c>
      <c r="C103">
        <v>0.28216059921827802</v>
      </c>
    </row>
    <row r="104" spans="1:3" x14ac:dyDescent="0.2">
      <c r="A104">
        <v>131</v>
      </c>
      <c r="B104">
        <v>1</v>
      </c>
      <c r="C104">
        <v>0.208198706472737</v>
      </c>
    </row>
    <row r="105" spans="1:3" x14ac:dyDescent="0.2">
      <c r="A105">
        <v>133</v>
      </c>
      <c r="B105">
        <v>1</v>
      </c>
      <c r="C105">
        <v>1.9801746668600999E-2</v>
      </c>
    </row>
    <row r="106" spans="1:3" x14ac:dyDescent="0.2">
      <c r="A106">
        <v>134</v>
      </c>
      <c r="B106">
        <v>1</v>
      </c>
      <c r="C106">
        <v>0.11390969242716301</v>
      </c>
    </row>
    <row r="107" spans="1:3" x14ac:dyDescent="0.2">
      <c r="A107">
        <v>135</v>
      </c>
      <c r="B107">
        <v>1</v>
      </c>
      <c r="C107">
        <v>2.4462078359288601E-2</v>
      </c>
    </row>
    <row r="108" spans="1:3" x14ac:dyDescent="0.2">
      <c r="A108">
        <v>136</v>
      </c>
      <c r="B108">
        <v>1</v>
      </c>
      <c r="C108">
        <v>5.82129938308482E-2</v>
      </c>
    </row>
    <row r="109" spans="1:3" x14ac:dyDescent="0.2">
      <c r="A109">
        <v>138</v>
      </c>
      <c r="B109">
        <v>1</v>
      </c>
      <c r="C109">
        <v>0.303595296925044</v>
      </c>
    </row>
    <row r="110" spans="1:3" x14ac:dyDescent="0.2">
      <c r="A110">
        <v>140</v>
      </c>
      <c r="B110">
        <v>1</v>
      </c>
      <c r="C110">
        <v>0.13458772791745399</v>
      </c>
    </row>
    <row r="111" spans="1:3" x14ac:dyDescent="0.2">
      <c r="A111">
        <v>141</v>
      </c>
      <c r="B111">
        <v>1</v>
      </c>
      <c r="C111">
        <v>7.8575251918691594E-2</v>
      </c>
    </row>
    <row r="112" spans="1:3" x14ac:dyDescent="0.2">
      <c r="A112">
        <v>142</v>
      </c>
      <c r="B112">
        <v>1</v>
      </c>
      <c r="C112">
        <v>3.4192231252337703E-2</v>
      </c>
    </row>
    <row r="113" spans="1:3" x14ac:dyDescent="0.2">
      <c r="A113">
        <v>143</v>
      </c>
      <c r="B113">
        <v>2</v>
      </c>
      <c r="C113">
        <v>0.33658991224957258</v>
      </c>
    </row>
    <row r="114" spans="1:3" x14ac:dyDescent="0.2">
      <c r="A114">
        <v>144</v>
      </c>
      <c r="B114">
        <v>2</v>
      </c>
      <c r="C114">
        <v>0.1956955844510736</v>
      </c>
    </row>
    <row r="115" spans="1:3" x14ac:dyDescent="0.2">
      <c r="A115">
        <v>146</v>
      </c>
      <c r="B115">
        <v>2</v>
      </c>
      <c r="C115">
        <v>0.35777921371458193</v>
      </c>
    </row>
    <row r="116" spans="1:3" x14ac:dyDescent="0.2">
      <c r="A116">
        <v>147</v>
      </c>
      <c r="B116">
        <v>2</v>
      </c>
      <c r="C116">
        <v>0.96648631445674593</v>
      </c>
    </row>
    <row r="117" spans="1:3" x14ac:dyDescent="0.2">
      <c r="A117">
        <v>148</v>
      </c>
      <c r="B117">
        <v>2</v>
      </c>
      <c r="C117">
        <v>0.32266042188710198</v>
      </c>
    </row>
    <row r="118" spans="1:3" x14ac:dyDescent="0.2">
      <c r="A118">
        <v>149</v>
      </c>
      <c r="B118">
        <v>2</v>
      </c>
      <c r="C118">
        <v>0.23965572273935309</v>
      </c>
    </row>
    <row r="119" spans="1:3" x14ac:dyDescent="0.2">
      <c r="A119">
        <v>150</v>
      </c>
      <c r="B119">
        <v>1</v>
      </c>
      <c r="C119">
        <v>8.5063396468561397E-2</v>
      </c>
    </row>
    <row r="120" spans="1:3" x14ac:dyDescent="0.2">
      <c r="A120">
        <v>152</v>
      </c>
      <c r="B120">
        <v>1</v>
      </c>
      <c r="C120">
        <v>0.15641937081797599</v>
      </c>
    </row>
    <row r="121" spans="1:3" x14ac:dyDescent="0.2">
      <c r="A121">
        <v>153</v>
      </c>
      <c r="B121">
        <v>1</v>
      </c>
      <c r="C121">
        <v>0.14855939519040701</v>
      </c>
    </row>
    <row r="122" spans="1:3" x14ac:dyDescent="0.2">
      <c r="A122">
        <v>154</v>
      </c>
      <c r="B122">
        <v>2</v>
      </c>
      <c r="C122">
        <v>0.23546889788567471</v>
      </c>
    </row>
    <row r="123" spans="1:3" x14ac:dyDescent="0.2">
      <c r="A123">
        <v>155</v>
      </c>
      <c r="B123">
        <v>2</v>
      </c>
      <c r="C123">
        <v>0.43834064037417197</v>
      </c>
    </row>
    <row r="124" spans="1:3" x14ac:dyDescent="0.2">
      <c r="A124">
        <v>156</v>
      </c>
      <c r="B124">
        <v>1</v>
      </c>
      <c r="C124">
        <v>0.24947464953417001</v>
      </c>
    </row>
    <row r="125" spans="1:3" x14ac:dyDescent="0.2">
      <c r="A125">
        <v>157</v>
      </c>
      <c r="B125">
        <v>1</v>
      </c>
      <c r="C125">
        <v>9.8638169089498795E-2</v>
      </c>
    </row>
    <row r="126" spans="1:3" x14ac:dyDescent="0.2">
      <c r="A126">
        <v>158</v>
      </c>
      <c r="B126">
        <v>2</v>
      </c>
      <c r="C126">
        <v>0.27369764750991199</v>
      </c>
    </row>
    <row r="127" spans="1:3" x14ac:dyDescent="0.2">
      <c r="A127">
        <v>159</v>
      </c>
      <c r="B127">
        <v>1</v>
      </c>
      <c r="C127">
        <v>0.119615875182746</v>
      </c>
    </row>
    <row r="128" spans="1:3" x14ac:dyDescent="0.2">
      <c r="A128">
        <v>160</v>
      </c>
      <c r="B128">
        <v>2</v>
      </c>
      <c r="C128">
        <v>0.27072505084597398</v>
      </c>
    </row>
    <row r="129" spans="1:3" x14ac:dyDescent="0.2">
      <c r="A129">
        <v>161</v>
      </c>
      <c r="B129">
        <v>1</v>
      </c>
      <c r="C129">
        <v>0.18270553924785901</v>
      </c>
    </row>
    <row r="130" spans="1:3" x14ac:dyDescent="0.2">
      <c r="A130">
        <v>162</v>
      </c>
      <c r="B130">
        <v>1</v>
      </c>
      <c r="C130">
        <v>0.26463638384661198</v>
      </c>
    </row>
    <row r="131" spans="1:3" x14ac:dyDescent="0.2">
      <c r="A131">
        <v>163</v>
      </c>
      <c r="B131">
        <v>1</v>
      </c>
      <c r="C131">
        <v>4.7958959811493798E-2</v>
      </c>
    </row>
    <row r="132" spans="1:3" x14ac:dyDescent="0.2">
      <c r="A132">
        <v>164</v>
      </c>
      <c r="B132">
        <v>1</v>
      </c>
      <c r="C132">
        <v>5.4524454404450202E-2</v>
      </c>
    </row>
    <row r="133" spans="1:3" x14ac:dyDescent="0.2">
      <c r="A133">
        <v>165</v>
      </c>
      <c r="B133">
        <v>1</v>
      </c>
      <c r="C133">
        <v>0.102933769186563</v>
      </c>
    </row>
    <row r="134" spans="1:3" x14ac:dyDescent="0.2">
      <c r="A134">
        <v>166</v>
      </c>
      <c r="B134">
        <v>1</v>
      </c>
      <c r="C134">
        <v>0.126373308785173</v>
      </c>
    </row>
    <row r="135" spans="1:3" x14ac:dyDescent="0.2">
      <c r="A135">
        <v>167</v>
      </c>
      <c r="B135">
        <v>1</v>
      </c>
      <c r="C135">
        <v>0.30130781255732603</v>
      </c>
    </row>
    <row r="136" spans="1:3" x14ac:dyDescent="0.2">
      <c r="A136">
        <v>168</v>
      </c>
      <c r="B136">
        <v>2</v>
      </c>
      <c r="C136">
        <v>0.35801304319870542</v>
      </c>
    </row>
    <row r="137" spans="1:3" x14ac:dyDescent="0.2">
      <c r="A137">
        <v>169</v>
      </c>
      <c r="B137">
        <v>1</v>
      </c>
      <c r="C137">
        <v>0.24716175163210399</v>
      </c>
    </row>
    <row r="138" spans="1:3" x14ac:dyDescent="0.2">
      <c r="A138">
        <v>170</v>
      </c>
      <c r="B138">
        <v>2</v>
      </c>
      <c r="C138">
        <v>0.95532054074171502</v>
      </c>
    </row>
    <row r="139" spans="1:3" x14ac:dyDescent="0.2">
      <c r="A139">
        <v>171</v>
      </c>
      <c r="B139">
        <v>1</v>
      </c>
      <c r="C139">
        <v>0.34006313979795999</v>
      </c>
    </row>
    <row r="140" spans="1:3" x14ac:dyDescent="0.2">
      <c r="A140">
        <v>172</v>
      </c>
      <c r="B140">
        <v>2</v>
      </c>
      <c r="C140">
        <v>0.14163807632139611</v>
      </c>
    </row>
    <row r="141" spans="1:3" x14ac:dyDescent="0.2">
      <c r="A141">
        <v>174</v>
      </c>
      <c r="B141">
        <v>1</v>
      </c>
      <c r="C141">
        <v>0.11369465997944</v>
      </c>
    </row>
    <row r="142" spans="1:3" x14ac:dyDescent="0.2">
      <c r="A142">
        <v>175</v>
      </c>
      <c r="B142">
        <v>1</v>
      </c>
      <c r="C142">
        <v>0.48007312347245801</v>
      </c>
    </row>
    <row r="143" spans="1:3" x14ac:dyDescent="0.2">
      <c r="A143">
        <v>176</v>
      </c>
      <c r="B143">
        <v>1</v>
      </c>
      <c r="C143">
        <v>8.4315692771114004E-2</v>
      </c>
    </row>
    <row r="144" spans="1:3" x14ac:dyDescent="0.2">
      <c r="A144">
        <v>177</v>
      </c>
      <c r="B144">
        <v>1</v>
      </c>
      <c r="C144">
        <v>0.104879167374598</v>
      </c>
    </row>
    <row r="145" spans="1:3" x14ac:dyDescent="0.2">
      <c r="A145">
        <v>178</v>
      </c>
      <c r="B145">
        <v>1</v>
      </c>
      <c r="C145">
        <v>0.14095942055435301</v>
      </c>
    </row>
    <row r="146" spans="1:3" x14ac:dyDescent="0.2">
      <c r="A146">
        <v>180</v>
      </c>
      <c r="B146">
        <v>1</v>
      </c>
      <c r="C146">
        <v>1.18206393706828E-2</v>
      </c>
    </row>
    <row r="147" spans="1:3" x14ac:dyDescent="0.2">
      <c r="A147">
        <v>182</v>
      </c>
      <c r="B147">
        <v>1</v>
      </c>
      <c r="C147">
        <v>1.9243858669678902E-2</v>
      </c>
    </row>
    <row r="148" spans="1:3" x14ac:dyDescent="0.2">
      <c r="A148">
        <v>183</v>
      </c>
      <c r="B148">
        <v>1</v>
      </c>
      <c r="C148">
        <v>0.16564961170869799</v>
      </c>
    </row>
    <row r="149" spans="1:3" x14ac:dyDescent="0.2">
      <c r="A149">
        <v>184</v>
      </c>
      <c r="B149">
        <v>2</v>
      </c>
      <c r="C149">
        <v>0.102871657469762</v>
      </c>
    </row>
    <row r="150" spans="1:3" x14ac:dyDescent="0.2">
      <c r="A150">
        <v>185</v>
      </c>
      <c r="B150">
        <v>1</v>
      </c>
      <c r="C150">
        <v>0.25212165912138201</v>
      </c>
    </row>
    <row r="151" spans="1:3" x14ac:dyDescent="0.2">
      <c r="A151">
        <v>186</v>
      </c>
      <c r="B151">
        <v>1</v>
      </c>
      <c r="C151">
        <v>0.28593028984899799</v>
      </c>
    </row>
    <row r="152" spans="1:3" x14ac:dyDescent="0.2">
      <c r="A152">
        <v>187</v>
      </c>
      <c r="B152">
        <v>2</v>
      </c>
      <c r="C152">
        <v>0.15027158269803242</v>
      </c>
    </row>
    <row r="153" spans="1:3" x14ac:dyDescent="0.2">
      <c r="A153">
        <v>188</v>
      </c>
      <c r="B153">
        <v>1</v>
      </c>
      <c r="C153">
        <v>0.75241908729899998</v>
      </c>
    </row>
    <row r="154" spans="1:3" x14ac:dyDescent="0.2">
      <c r="A154">
        <v>191</v>
      </c>
      <c r="B154">
        <v>2</v>
      </c>
      <c r="C154">
        <v>0.49600896047449899</v>
      </c>
    </row>
    <row r="155" spans="1:3" x14ac:dyDescent="0.2">
      <c r="A155">
        <v>192</v>
      </c>
      <c r="B155">
        <v>1</v>
      </c>
      <c r="C155">
        <v>0.114631734814273</v>
      </c>
    </row>
    <row r="156" spans="1:3" x14ac:dyDescent="0.2">
      <c r="A156">
        <v>194</v>
      </c>
      <c r="B156">
        <v>1</v>
      </c>
      <c r="C156">
        <v>0.60072672632240098</v>
      </c>
    </row>
    <row r="157" spans="1:3" x14ac:dyDescent="0.2">
      <c r="A157">
        <v>196</v>
      </c>
      <c r="B157">
        <v>1</v>
      </c>
      <c r="C157">
        <v>0.25275112668659699</v>
      </c>
    </row>
    <row r="158" spans="1:3" x14ac:dyDescent="0.2">
      <c r="A158">
        <v>197</v>
      </c>
      <c r="B158">
        <v>1</v>
      </c>
      <c r="C158">
        <v>0.18126656720689399</v>
      </c>
    </row>
    <row r="159" spans="1:3" x14ac:dyDescent="0.2">
      <c r="A159">
        <v>198</v>
      </c>
      <c r="B159">
        <v>1</v>
      </c>
      <c r="C159">
        <v>0.50348312704361198</v>
      </c>
    </row>
    <row r="160" spans="1:3" x14ac:dyDescent="0.2">
      <c r="A160">
        <v>199</v>
      </c>
      <c r="B160">
        <v>2</v>
      </c>
      <c r="C160">
        <v>0.36048274631222699</v>
      </c>
    </row>
    <row r="161" spans="1:3" x14ac:dyDescent="0.2">
      <c r="A161">
        <v>200</v>
      </c>
      <c r="B161">
        <v>1</v>
      </c>
      <c r="C161">
        <v>0.12328835899983499</v>
      </c>
    </row>
    <row r="162" spans="1:3" x14ac:dyDescent="0.2">
      <c r="A162">
        <v>201</v>
      </c>
      <c r="B162">
        <v>2</v>
      </c>
      <c r="C162">
        <v>0.21944240756459499</v>
      </c>
    </row>
    <row r="163" spans="1:3" x14ac:dyDescent="0.2">
      <c r="A163">
        <v>203</v>
      </c>
      <c r="B163">
        <v>1</v>
      </c>
      <c r="C163">
        <v>0.118150298756105</v>
      </c>
    </row>
    <row r="164" spans="1:3" x14ac:dyDescent="0.2">
      <c r="A164">
        <v>204</v>
      </c>
      <c r="B164">
        <v>1</v>
      </c>
      <c r="C164">
        <v>0.18050978370474299</v>
      </c>
    </row>
    <row r="165" spans="1:3" x14ac:dyDescent="0.2">
      <c r="A165">
        <v>205</v>
      </c>
      <c r="B165">
        <v>1</v>
      </c>
      <c r="C165">
        <v>0.19897917048161801</v>
      </c>
    </row>
    <row r="166" spans="1:3" x14ac:dyDescent="0.2">
      <c r="A166">
        <v>207</v>
      </c>
      <c r="B166">
        <v>1</v>
      </c>
      <c r="C166">
        <v>0.112466520944948</v>
      </c>
    </row>
    <row r="167" spans="1:3" x14ac:dyDescent="0.2">
      <c r="A167">
        <v>208</v>
      </c>
      <c r="B167">
        <v>2</v>
      </c>
      <c r="C167">
        <v>0.53415721621804502</v>
      </c>
    </row>
    <row r="168" spans="1:3" x14ac:dyDescent="0.2">
      <c r="A168">
        <v>209</v>
      </c>
      <c r="B168">
        <v>2</v>
      </c>
      <c r="C168">
        <v>0.19441042301571931</v>
      </c>
    </row>
    <row r="169" spans="1:3" x14ac:dyDescent="0.2">
      <c r="A169">
        <v>210</v>
      </c>
      <c r="B169">
        <v>2</v>
      </c>
      <c r="C169">
        <v>0.28137792731399913</v>
      </c>
    </row>
    <row r="170" spans="1:3" x14ac:dyDescent="0.2">
      <c r="A170">
        <v>211</v>
      </c>
      <c r="B170">
        <v>1</v>
      </c>
      <c r="C170">
        <v>0.163310032623493</v>
      </c>
    </row>
    <row r="171" spans="1:3" x14ac:dyDescent="0.2">
      <c r="A171">
        <v>212</v>
      </c>
      <c r="B171">
        <v>2</v>
      </c>
      <c r="C171">
        <v>0.25185821688823112</v>
      </c>
    </row>
    <row r="172" spans="1:3" x14ac:dyDescent="0.2">
      <c r="A172">
        <v>213</v>
      </c>
      <c r="B172">
        <v>2</v>
      </c>
      <c r="C172">
        <v>0.32173915805461395</v>
      </c>
    </row>
    <row r="173" spans="1:3" x14ac:dyDescent="0.2">
      <c r="A173">
        <v>214</v>
      </c>
      <c r="B173">
        <v>1</v>
      </c>
      <c r="C173">
        <v>0.48319205344236799</v>
      </c>
    </row>
    <row r="174" spans="1:3" x14ac:dyDescent="0.2">
      <c r="A174">
        <v>215</v>
      </c>
      <c r="B174">
        <v>2</v>
      </c>
      <c r="C174">
        <v>0.71770164206328901</v>
      </c>
    </row>
    <row r="175" spans="1:3" x14ac:dyDescent="0.2">
      <c r="A175">
        <v>216</v>
      </c>
      <c r="B175">
        <v>1</v>
      </c>
      <c r="C175">
        <v>0.30892252047166302</v>
      </c>
    </row>
    <row r="176" spans="1:3" x14ac:dyDescent="0.2">
      <c r="A176">
        <v>217</v>
      </c>
      <c r="B176">
        <v>1</v>
      </c>
      <c r="C176">
        <v>0.24465908953593099</v>
      </c>
    </row>
    <row r="177" spans="1:3" x14ac:dyDescent="0.2">
      <c r="A177">
        <v>218</v>
      </c>
      <c r="B177">
        <v>1</v>
      </c>
      <c r="C177">
        <v>0.23153415376824699</v>
      </c>
    </row>
    <row r="178" spans="1:3" x14ac:dyDescent="0.2">
      <c r="A178">
        <v>221</v>
      </c>
      <c r="B178">
        <v>2</v>
      </c>
      <c r="C178">
        <v>0.34666574106228398</v>
      </c>
    </row>
    <row r="179" spans="1:3" x14ac:dyDescent="0.2">
      <c r="A179">
        <v>223</v>
      </c>
      <c r="B179">
        <v>1</v>
      </c>
      <c r="C179">
        <v>0.105166657501407</v>
      </c>
    </row>
    <row r="180" spans="1:3" x14ac:dyDescent="0.2">
      <c r="A180">
        <v>224</v>
      </c>
      <c r="B180">
        <v>1</v>
      </c>
      <c r="C180">
        <v>0.30291650179358398</v>
      </c>
    </row>
    <row r="181" spans="1:3" x14ac:dyDescent="0.2">
      <c r="A181">
        <v>225</v>
      </c>
      <c r="B181">
        <v>2</v>
      </c>
      <c r="C181">
        <v>0.35698168202536018</v>
      </c>
    </row>
    <row r="182" spans="1:3" x14ac:dyDescent="0.2">
      <c r="A182">
        <v>226</v>
      </c>
      <c r="B182">
        <v>1</v>
      </c>
      <c r="C182">
        <v>8.0808322370647806E-2</v>
      </c>
    </row>
    <row r="183" spans="1:3" x14ac:dyDescent="0.2">
      <c r="A183">
        <v>227</v>
      </c>
      <c r="B183">
        <v>1</v>
      </c>
      <c r="C183">
        <v>0.219708186385217</v>
      </c>
    </row>
    <row r="184" spans="1:3" x14ac:dyDescent="0.2">
      <c r="A184">
        <v>228</v>
      </c>
      <c r="B184">
        <v>1</v>
      </c>
      <c r="C184">
        <v>0.14269444325458799</v>
      </c>
    </row>
    <row r="185" spans="1:3" x14ac:dyDescent="0.2">
      <c r="A185">
        <v>229</v>
      </c>
      <c r="B185">
        <v>1</v>
      </c>
      <c r="C185">
        <v>8.0423912839763897E-2</v>
      </c>
    </row>
    <row r="186" spans="1:3" x14ac:dyDescent="0.2">
      <c r="A186">
        <v>231</v>
      </c>
      <c r="B186">
        <v>1</v>
      </c>
      <c r="C186">
        <v>9.1508515772285901E-2</v>
      </c>
    </row>
    <row r="187" spans="1:3" x14ac:dyDescent="0.2">
      <c r="A187">
        <v>232</v>
      </c>
      <c r="B187">
        <v>1</v>
      </c>
      <c r="C187">
        <v>0.165017364881582</v>
      </c>
    </row>
    <row r="188" spans="1:3" x14ac:dyDescent="0.2">
      <c r="A188">
        <v>233</v>
      </c>
      <c r="B188">
        <v>1</v>
      </c>
      <c r="C188">
        <v>2.5835750892507101E-2</v>
      </c>
    </row>
    <row r="189" spans="1:3" x14ac:dyDescent="0.2">
      <c r="A189">
        <v>234</v>
      </c>
      <c r="B189">
        <v>2</v>
      </c>
      <c r="C189">
        <v>0.45502154775548098</v>
      </c>
    </row>
    <row r="190" spans="1:3" x14ac:dyDescent="0.2">
      <c r="A190">
        <v>235</v>
      </c>
      <c r="B190">
        <v>2</v>
      </c>
      <c r="C190">
        <v>0.29941564099263718</v>
      </c>
    </row>
    <row r="191" spans="1:3" x14ac:dyDescent="0.2">
      <c r="A191">
        <v>236</v>
      </c>
      <c r="B191">
        <v>1</v>
      </c>
      <c r="C191">
        <v>0.17099281629590901</v>
      </c>
    </row>
    <row r="192" spans="1:3" x14ac:dyDescent="0.2">
      <c r="A192">
        <v>237</v>
      </c>
      <c r="B192">
        <v>2</v>
      </c>
      <c r="C192">
        <v>0.39569581586172808</v>
      </c>
    </row>
    <row r="193" spans="1:3" x14ac:dyDescent="0.2">
      <c r="A193">
        <v>239</v>
      </c>
      <c r="B193">
        <v>2</v>
      </c>
      <c r="C193">
        <v>0.1866192983687367</v>
      </c>
    </row>
    <row r="194" spans="1:3" x14ac:dyDescent="0.2">
      <c r="A194">
        <v>241</v>
      </c>
      <c r="B194">
        <v>1</v>
      </c>
      <c r="C194">
        <v>5.8010199441356602E-2</v>
      </c>
    </row>
    <row r="195" spans="1:3" x14ac:dyDescent="0.2">
      <c r="A195">
        <v>242</v>
      </c>
      <c r="B195">
        <v>1</v>
      </c>
      <c r="C195">
        <v>0.359953222596198</v>
      </c>
    </row>
    <row r="196" spans="1:3" x14ac:dyDescent="0.2">
      <c r="A196">
        <v>243</v>
      </c>
      <c r="B196">
        <v>2</v>
      </c>
      <c r="C196">
        <v>0.52883926703072603</v>
      </c>
    </row>
    <row r="197" spans="1:3" x14ac:dyDescent="0.2">
      <c r="A197">
        <v>244</v>
      </c>
      <c r="B197">
        <v>1</v>
      </c>
      <c r="C197">
        <v>0.37479833806122398</v>
      </c>
    </row>
    <row r="198" spans="1:3" x14ac:dyDescent="0.2">
      <c r="A198">
        <v>245</v>
      </c>
      <c r="B198">
        <v>1</v>
      </c>
      <c r="C198">
        <v>0.17655947315892101</v>
      </c>
    </row>
    <row r="199" spans="1:3" x14ac:dyDescent="0.2">
      <c r="A199">
        <v>246</v>
      </c>
      <c r="B199">
        <v>1</v>
      </c>
      <c r="C199">
        <v>0.32515442531356598</v>
      </c>
    </row>
    <row r="200" spans="1:3" x14ac:dyDescent="0.2">
      <c r="A200">
        <v>247</v>
      </c>
      <c r="B200">
        <v>1</v>
      </c>
      <c r="C200">
        <v>0.16638835745984301</v>
      </c>
    </row>
    <row r="201" spans="1:3" x14ac:dyDescent="0.2">
      <c r="A201">
        <v>250</v>
      </c>
      <c r="B201">
        <v>1</v>
      </c>
      <c r="C201">
        <v>6.4518935917016407E-2</v>
      </c>
    </row>
    <row r="202" spans="1:3" x14ac:dyDescent="0.2">
      <c r="A202">
        <v>251</v>
      </c>
      <c r="B202">
        <v>2</v>
      </c>
      <c r="C202">
        <v>0.21870148608706191</v>
      </c>
    </row>
    <row r="203" spans="1:3" x14ac:dyDescent="0.2">
      <c r="A203">
        <v>252</v>
      </c>
      <c r="B203">
        <v>2</v>
      </c>
      <c r="C203">
        <v>0.26194944800436498</v>
      </c>
    </row>
    <row r="204" spans="1:3" x14ac:dyDescent="0.2">
      <c r="A204">
        <v>253</v>
      </c>
      <c r="B204">
        <v>1</v>
      </c>
      <c r="C204">
        <v>9.2333884137743003E-2</v>
      </c>
    </row>
    <row r="205" spans="1:3" x14ac:dyDescent="0.2">
      <c r="A205">
        <v>254</v>
      </c>
      <c r="B205">
        <v>2</v>
      </c>
      <c r="C205">
        <v>0.41263519770671298</v>
      </c>
    </row>
    <row r="206" spans="1:3" x14ac:dyDescent="0.2">
      <c r="A206">
        <v>255</v>
      </c>
      <c r="B206">
        <v>1</v>
      </c>
      <c r="C206">
        <v>0.37991301900759999</v>
      </c>
    </row>
    <row r="207" spans="1:3" x14ac:dyDescent="0.2">
      <c r="A207">
        <v>256</v>
      </c>
      <c r="B207">
        <v>1</v>
      </c>
      <c r="C207">
        <v>0.141568221614669</v>
      </c>
    </row>
    <row r="208" spans="1:3" x14ac:dyDescent="0.2">
      <c r="A208">
        <v>257</v>
      </c>
      <c r="B208">
        <v>2</v>
      </c>
      <c r="C208">
        <v>0.37483526164511399</v>
      </c>
    </row>
    <row r="209" spans="1:3" x14ac:dyDescent="0.2">
      <c r="A209">
        <v>258</v>
      </c>
      <c r="B209">
        <v>1</v>
      </c>
      <c r="C209">
        <v>0.38459710308848399</v>
      </c>
    </row>
    <row r="210" spans="1:3" x14ac:dyDescent="0.2">
      <c r="A210">
        <v>259</v>
      </c>
      <c r="B210">
        <v>1</v>
      </c>
      <c r="C210">
        <v>0.234090705129675</v>
      </c>
    </row>
    <row r="211" spans="1:3" x14ac:dyDescent="0.2">
      <c r="A211">
        <v>263</v>
      </c>
      <c r="B211">
        <v>1</v>
      </c>
      <c r="C211">
        <v>6.77421582973146E-2</v>
      </c>
    </row>
    <row r="212" spans="1:3" x14ac:dyDescent="0.2">
      <c r="A212">
        <v>265</v>
      </c>
      <c r="B212">
        <v>1</v>
      </c>
      <c r="C212">
        <v>0.125939230300291</v>
      </c>
    </row>
    <row r="213" spans="1:3" x14ac:dyDescent="0.2">
      <c r="A213">
        <v>266</v>
      </c>
      <c r="B213">
        <v>1</v>
      </c>
      <c r="C213">
        <v>0.55406327267497901</v>
      </c>
    </row>
    <row r="214" spans="1:3" x14ac:dyDescent="0.2">
      <c r="A214">
        <v>267</v>
      </c>
      <c r="B214">
        <v>1</v>
      </c>
      <c r="C214">
        <v>0.36222935949295398</v>
      </c>
    </row>
    <row r="215" spans="1:3" x14ac:dyDescent="0.2">
      <c r="A215">
        <v>268</v>
      </c>
      <c r="B215">
        <v>1</v>
      </c>
      <c r="C215">
        <v>2.7863524362831599E-2</v>
      </c>
    </row>
    <row r="216" spans="1:3" x14ac:dyDescent="0.2">
      <c r="A216">
        <v>269</v>
      </c>
      <c r="B216">
        <v>2</v>
      </c>
      <c r="C216">
        <v>0.30357807734499198</v>
      </c>
    </row>
    <row r="217" spans="1:3" x14ac:dyDescent="0.2">
      <c r="A217">
        <v>270</v>
      </c>
      <c r="B217">
        <v>1</v>
      </c>
      <c r="C217">
        <v>0.10182762369765</v>
      </c>
    </row>
    <row r="218" spans="1:3" x14ac:dyDescent="0.2">
      <c r="A218">
        <v>272</v>
      </c>
      <c r="B218">
        <v>2</v>
      </c>
      <c r="C218">
        <v>0.32007320186148691</v>
      </c>
    </row>
    <row r="219" spans="1:3" x14ac:dyDescent="0.2">
      <c r="A219">
        <v>273</v>
      </c>
      <c r="B219">
        <v>2</v>
      </c>
      <c r="C219">
        <v>0.35097404404080201</v>
      </c>
    </row>
    <row r="220" spans="1:3" x14ac:dyDescent="0.2">
      <c r="A220">
        <v>274</v>
      </c>
      <c r="B220">
        <v>2</v>
      </c>
      <c r="C220">
        <v>0.559039806318685</v>
      </c>
    </row>
    <row r="221" spans="1:3" x14ac:dyDescent="0.2">
      <c r="A221">
        <v>275</v>
      </c>
      <c r="B221">
        <v>1</v>
      </c>
      <c r="C221">
        <v>4.7396816684003903E-2</v>
      </c>
    </row>
    <row r="222" spans="1:3" x14ac:dyDescent="0.2">
      <c r="A222">
        <v>276</v>
      </c>
      <c r="B222">
        <v>1</v>
      </c>
      <c r="C222">
        <v>0.16361706700449299</v>
      </c>
    </row>
    <row r="223" spans="1:3" x14ac:dyDescent="0.2">
      <c r="A223">
        <v>278</v>
      </c>
      <c r="B223">
        <v>1</v>
      </c>
      <c r="C223">
        <v>1.5567588016898601E-2</v>
      </c>
    </row>
    <row r="224" spans="1:3" x14ac:dyDescent="0.2">
      <c r="A224">
        <v>279</v>
      </c>
      <c r="B224">
        <v>2</v>
      </c>
      <c r="C224">
        <v>0.19715536174666648</v>
      </c>
    </row>
    <row r="225" spans="1:3" x14ac:dyDescent="0.2">
      <c r="A225">
        <v>280</v>
      </c>
      <c r="B225">
        <v>1</v>
      </c>
      <c r="C225">
        <v>0.13260750309296801</v>
      </c>
    </row>
    <row r="226" spans="1:3" x14ac:dyDescent="0.2">
      <c r="A226">
        <v>281</v>
      </c>
      <c r="B226">
        <v>1</v>
      </c>
      <c r="C226">
        <v>0.14161660489075301</v>
      </c>
    </row>
    <row r="227" spans="1:3" x14ac:dyDescent="0.2">
      <c r="A227">
        <v>282</v>
      </c>
      <c r="B227">
        <v>2</v>
      </c>
      <c r="C227">
        <v>0.26835649846117104</v>
      </c>
    </row>
    <row r="228" spans="1:3" x14ac:dyDescent="0.2">
      <c r="A228">
        <v>283</v>
      </c>
      <c r="B228">
        <v>1</v>
      </c>
      <c r="C228">
        <v>0.142526118194156</v>
      </c>
    </row>
    <row r="229" spans="1:3" x14ac:dyDescent="0.2">
      <c r="A229">
        <v>284</v>
      </c>
      <c r="B229">
        <v>2</v>
      </c>
      <c r="C229">
        <v>0.45640454656533397</v>
      </c>
    </row>
    <row r="230" spans="1:3" x14ac:dyDescent="0.2">
      <c r="A230">
        <v>285</v>
      </c>
      <c r="B230">
        <v>2</v>
      </c>
      <c r="C230">
        <v>0.30411544779027411</v>
      </c>
    </row>
    <row r="231" spans="1:3" x14ac:dyDescent="0.2">
      <c r="A231">
        <v>286</v>
      </c>
      <c r="B231">
        <v>1</v>
      </c>
      <c r="C231">
        <v>4.6817543681079002E-2</v>
      </c>
    </row>
    <row r="232" spans="1:3" x14ac:dyDescent="0.2">
      <c r="A232">
        <v>287</v>
      </c>
      <c r="B232">
        <v>2</v>
      </c>
      <c r="C232">
        <v>0.1469468997333872</v>
      </c>
    </row>
    <row r="233" spans="1:3" x14ac:dyDescent="0.2">
      <c r="A233">
        <v>288</v>
      </c>
      <c r="B233">
        <v>2</v>
      </c>
      <c r="C233">
        <v>0.30927760708272301</v>
      </c>
    </row>
    <row r="234" spans="1:3" x14ac:dyDescent="0.2">
      <c r="A234">
        <v>289</v>
      </c>
      <c r="B234">
        <v>2</v>
      </c>
      <c r="C234">
        <v>0.26496828975687248</v>
      </c>
    </row>
    <row r="235" spans="1:3" x14ac:dyDescent="0.2">
      <c r="A235">
        <v>290</v>
      </c>
      <c r="B235">
        <v>1</v>
      </c>
      <c r="C235">
        <v>0.123064284019373</v>
      </c>
    </row>
    <row r="236" spans="1:3" x14ac:dyDescent="0.2">
      <c r="A236">
        <v>291</v>
      </c>
      <c r="B236">
        <v>1</v>
      </c>
      <c r="C236">
        <v>4.9608757785879899E-2</v>
      </c>
    </row>
    <row r="237" spans="1:3" x14ac:dyDescent="0.2">
      <c r="A237">
        <v>292</v>
      </c>
      <c r="B237">
        <v>2</v>
      </c>
      <c r="C237">
        <v>0.53293197006190096</v>
      </c>
    </row>
    <row r="238" spans="1:3" x14ac:dyDescent="0.2">
      <c r="A238">
        <v>293</v>
      </c>
      <c r="B238">
        <v>2</v>
      </c>
      <c r="C238">
        <v>0.1782325123516646</v>
      </c>
    </row>
    <row r="239" spans="1:3" x14ac:dyDescent="0.2">
      <c r="A239">
        <v>295</v>
      </c>
      <c r="B239">
        <v>1</v>
      </c>
      <c r="C239">
        <v>6.4411205530750804E-2</v>
      </c>
    </row>
    <row r="240" spans="1:3" x14ac:dyDescent="0.2">
      <c r="A240">
        <v>298</v>
      </c>
      <c r="B240">
        <v>2</v>
      </c>
      <c r="C240">
        <v>0.22523145902718039</v>
      </c>
    </row>
    <row r="241" spans="1:3" x14ac:dyDescent="0.2">
      <c r="A241">
        <v>299</v>
      </c>
      <c r="B241">
        <v>2</v>
      </c>
      <c r="C241">
        <v>0.1539865898029508</v>
      </c>
    </row>
    <row r="242" spans="1:3" x14ac:dyDescent="0.2">
      <c r="A242">
        <v>301</v>
      </c>
      <c r="B242">
        <v>1</v>
      </c>
      <c r="C242">
        <v>0.157985178662431</v>
      </c>
    </row>
    <row r="243" spans="1:3" x14ac:dyDescent="0.2">
      <c r="A243">
        <v>302</v>
      </c>
      <c r="B243">
        <v>2</v>
      </c>
      <c r="C243">
        <v>0.234707516598987</v>
      </c>
    </row>
    <row r="244" spans="1:3" x14ac:dyDescent="0.2">
      <c r="A244">
        <v>303</v>
      </c>
      <c r="B244">
        <v>1</v>
      </c>
      <c r="C244">
        <v>5.2097274284924902E-2</v>
      </c>
    </row>
    <row r="245" spans="1:3" x14ac:dyDescent="0.2">
      <c r="A245">
        <v>304</v>
      </c>
      <c r="B245">
        <v>1</v>
      </c>
      <c r="C245">
        <v>0.32305121523611802</v>
      </c>
    </row>
    <row r="246" spans="1:3" x14ac:dyDescent="0.2">
      <c r="A246">
        <v>305</v>
      </c>
      <c r="B246">
        <v>1</v>
      </c>
      <c r="C246">
        <v>1.45816561117635E-2</v>
      </c>
    </row>
    <row r="247" spans="1:3" x14ac:dyDescent="0.2">
      <c r="A247">
        <v>306</v>
      </c>
      <c r="B247">
        <v>1</v>
      </c>
      <c r="C247">
        <v>0.38261164632753603</v>
      </c>
    </row>
    <row r="248" spans="1:3" x14ac:dyDescent="0.2">
      <c r="A248">
        <v>307</v>
      </c>
      <c r="B248">
        <v>2</v>
      </c>
      <c r="C248">
        <v>0.41561588710874997</v>
      </c>
    </row>
    <row r="249" spans="1:3" x14ac:dyDescent="0.2">
      <c r="A249">
        <v>308</v>
      </c>
      <c r="B249">
        <v>2</v>
      </c>
      <c r="C249">
        <v>0.12738644534510429</v>
      </c>
    </row>
    <row r="250" spans="1:3" x14ac:dyDescent="0.2">
      <c r="A250">
        <v>309</v>
      </c>
      <c r="B250">
        <v>1</v>
      </c>
      <c r="C250">
        <v>0.109688290168286</v>
      </c>
    </row>
    <row r="251" spans="1:3" x14ac:dyDescent="0.2">
      <c r="A251">
        <v>310</v>
      </c>
      <c r="B251">
        <v>1</v>
      </c>
      <c r="C251">
        <v>0.41470994907777198</v>
      </c>
    </row>
    <row r="252" spans="1:3" x14ac:dyDescent="0.2">
      <c r="A252">
        <v>311</v>
      </c>
      <c r="B252">
        <v>1</v>
      </c>
      <c r="C252">
        <v>0.19977638669063599</v>
      </c>
    </row>
    <row r="253" spans="1:3" x14ac:dyDescent="0.2">
      <c r="A253">
        <v>312</v>
      </c>
      <c r="B253">
        <v>1</v>
      </c>
      <c r="C253">
        <v>0.179921512107793</v>
      </c>
    </row>
    <row r="254" spans="1:3" x14ac:dyDescent="0.2">
      <c r="A254">
        <v>313</v>
      </c>
      <c r="B254">
        <v>1</v>
      </c>
      <c r="C254">
        <v>4.6415813741994202E-2</v>
      </c>
    </row>
    <row r="255" spans="1:3" x14ac:dyDescent="0.2">
      <c r="A255">
        <v>314</v>
      </c>
      <c r="B255">
        <v>2</v>
      </c>
      <c r="C255">
        <v>0.2005805093779725</v>
      </c>
    </row>
    <row r="256" spans="1:3" x14ac:dyDescent="0.2">
      <c r="A256">
        <v>315</v>
      </c>
      <c r="B256">
        <v>1</v>
      </c>
      <c r="C256">
        <v>0.116045158237533</v>
      </c>
    </row>
    <row r="257" spans="1:3" x14ac:dyDescent="0.2">
      <c r="A257">
        <v>318</v>
      </c>
      <c r="B257">
        <v>2</v>
      </c>
      <c r="C257">
        <v>0.50499262697296798</v>
      </c>
    </row>
    <row r="258" spans="1:3" x14ac:dyDescent="0.2">
      <c r="A258">
        <v>319</v>
      </c>
      <c r="B258">
        <v>1</v>
      </c>
      <c r="C258">
        <v>0.22778238404279499</v>
      </c>
    </row>
    <row r="259" spans="1:3" x14ac:dyDescent="0.2">
      <c r="A259">
        <v>322</v>
      </c>
      <c r="B259">
        <v>1</v>
      </c>
      <c r="C259">
        <v>0.27013548905218498</v>
      </c>
    </row>
    <row r="260" spans="1:3" x14ac:dyDescent="0.2">
      <c r="A260">
        <v>323</v>
      </c>
      <c r="B260">
        <v>2</v>
      </c>
      <c r="C260">
        <v>0.33967632483870452</v>
      </c>
    </row>
    <row r="261" spans="1:3" x14ac:dyDescent="0.2">
      <c r="A261">
        <v>324</v>
      </c>
      <c r="B261">
        <v>1</v>
      </c>
      <c r="C261">
        <v>0.104162111072632</v>
      </c>
    </row>
    <row r="262" spans="1:3" x14ac:dyDescent="0.2">
      <c r="A262">
        <v>325</v>
      </c>
      <c r="B262">
        <v>2</v>
      </c>
      <c r="C262">
        <v>0.406565304807186</v>
      </c>
    </row>
    <row r="263" spans="1:3" x14ac:dyDescent="0.2">
      <c r="A263">
        <v>326</v>
      </c>
      <c r="B263">
        <v>2</v>
      </c>
      <c r="C263">
        <v>0.12887659675629171</v>
      </c>
    </row>
    <row r="264" spans="1:3" x14ac:dyDescent="0.2">
      <c r="A264">
        <v>328</v>
      </c>
      <c r="B264">
        <v>2</v>
      </c>
      <c r="C264">
        <v>0.1391869750646226</v>
      </c>
    </row>
    <row r="265" spans="1:3" x14ac:dyDescent="0.2">
      <c r="A265">
        <v>329</v>
      </c>
      <c r="B265">
        <v>1</v>
      </c>
      <c r="C265">
        <v>6.7156647294828606E-2</v>
      </c>
    </row>
    <row r="266" spans="1:3" x14ac:dyDescent="0.2">
      <c r="A266">
        <v>331</v>
      </c>
      <c r="B266">
        <v>1</v>
      </c>
      <c r="C266">
        <v>0.20251121424479801</v>
      </c>
    </row>
    <row r="267" spans="1:3" x14ac:dyDescent="0.2">
      <c r="A267">
        <v>332</v>
      </c>
      <c r="B267">
        <v>2</v>
      </c>
      <c r="C267">
        <v>0.13225808695208879</v>
      </c>
    </row>
    <row r="268" spans="1:3" x14ac:dyDescent="0.2">
      <c r="A268">
        <v>333</v>
      </c>
      <c r="B268">
        <v>1</v>
      </c>
      <c r="C268">
        <v>1.48488017568041E-2</v>
      </c>
    </row>
    <row r="269" spans="1:3" x14ac:dyDescent="0.2">
      <c r="A269">
        <v>335</v>
      </c>
      <c r="B269">
        <v>1</v>
      </c>
      <c r="C269">
        <v>0.24189612394257401</v>
      </c>
    </row>
    <row r="270" spans="1:3" x14ac:dyDescent="0.2">
      <c r="A270">
        <v>336</v>
      </c>
      <c r="B270">
        <v>1</v>
      </c>
      <c r="C270">
        <v>0.39682510001383098</v>
      </c>
    </row>
    <row r="271" spans="1:3" x14ac:dyDescent="0.2">
      <c r="A271">
        <v>337</v>
      </c>
      <c r="B271">
        <v>1</v>
      </c>
      <c r="C271">
        <v>0.25741972161364401</v>
      </c>
    </row>
    <row r="272" spans="1:3" x14ac:dyDescent="0.2">
      <c r="A272">
        <v>338</v>
      </c>
      <c r="B272">
        <v>1</v>
      </c>
      <c r="C272">
        <v>5.2021115242138802E-2</v>
      </c>
    </row>
    <row r="273" spans="1:3" x14ac:dyDescent="0.2">
      <c r="A273">
        <v>339</v>
      </c>
      <c r="B273">
        <v>1</v>
      </c>
      <c r="C273">
        <v>0.154792847051134</v>
      </c>
    </row>
    <row r="274" spans="1:3" x14ac:dyDescent="0.2">
      <c r="A274">
        <v>341</v>
      </c>
      <c r="B274">
        <v>1</v>
      </c>
      <c r="C274">
        <v>0.19073436750445499</v>
      </c>
    </row>
    <row r="275" spans="1:3" x14ac:dyDescent="0.2">
      <c r="A275">
        <v>342</v>
      </c>
      <c r="B275">
        <v>2</v>
      </c>
      <c r="C275">
        <v>0.18687125439215591</v>
      </c>
    </row>
    <row r="276" spans="1:3" x14ac:dyDescent="0.2">
      <c r="A276">
        <v>343</v>
      </c>
      <c r="B276">
        <v>1</v>
      </c>
      <c r="C276">
        <v>0.105091304511717</v>
      </c>
    </row>
    <row r="277" spans="1:3" x14ac:dyDescent="0.2">
      <c r="A277">
        <v>344</v>
      </c>
      <c r="B277">
        <v>2</v>
      </c>
      <c r="C277">
        <v>0.1833059390967231</v>
      </c>
    </row>
    <row r="278" spans="1:3" x14ac:dyDescent="0.2">
      <c r="A278">
        <v>345</v>
      </c>
      <c r="B278">
        <v>1</v>
      </c>
      <c r="C278">
        <v>7.0452577761015295E-2</v>
      </c>
    </row>
    <row r="279" spans="1:3" x14ac:dyDescent="0.2">
      <c r="A279">
        <v>346</v>
      </c>
      <c r="B279">
        <v>1</v>
      </c>
      <c r="C279">
        <v>0.18407446965122701</v>
      </c>
    </row>
    <row r="280" spans="1:3" x14ac:dyDescent="0.2">
      <c r="A280">
        <v>348</v>
      </c>
      <c r="B280">
        <v>1</v>
      </c>
      <c r="C280">
        <v>0.335966170596259</v>
      </c>
    </row>
    <row r="281" spans="1:3" x14ac:dyDescent="0.2">
      <c r="A281">
        <v>349</v>
      </c>
      <c r="B281">
        <v>2</v>
      </c>
      <c r="C281">
        <v>0.3179748305915765</v>
      </c>
    </row>
    <row r="282" spans="1:3" x14ac:dyDescent="0.2">
      <c r="A282">
        <v>350</v>
      </c>
      <c r="B282">
        <v>1</v>
      </c>
      <c r="C282">
        <v>9.1431697186675598E-2</v>
      </c>
    </row>
    <row r="283" spans="1:3" x14ac:dyDescent="0.2">
      <c r="A283">
        <v>351</v>
      </c>
      <c r="B283">
        <v>2</v>
      </c>
      <c r="C283">
        <v>0.3023979609428929</v>
      </c>
    </row>
    <row r="284" spans="1:3" x14ac:dyDescent="0.2">
      <c r="A284">
        <v>353</v>
      </c>
      <c r="B284">
        <v>1</v>
      </c>
      <c r="C284">
        <v>3.54031277641409E-3</v>
      </c>
    </row>
    <row r="285" spans="1:3" x14ac:dyDescent="0.2">
      <c r="A285">
        <v>354</v>
      </c>
      <c r="B285">
        <v>2</v>
      </c>
      <c r="C285">
        <v>0.1380561239832076</v>
      </c>
    </row>
    <row r="286" spans="1:3" x14ac:dyDescent="0.2">
      <c r="A286">
        <v>355</v>
      </c>
      <c r="B286">
        <v>1</v>
      </c>
      <c r="C286">
        <v>0.11945465058044499</v>
      </c>
    </row>
    <row r="287" spans="1:3" x14ac:dyDescent="0.2">
      <c r="A287">
        <v>357</v>
      </c>
      <c r="B287">
        <v>1</v>
      </c>
      <c r="C287">
        <v>0.13728199813692199</v>
      </c>
    </row>
    <row r="288" spans="1:3" x14ac:dyDescent="0.2">
      <c r="A288">
        <v>358</v>
      </c>
      <c r="B288">
        <v>1</v>
      </c>
      <c r="C288">
        <v>0.17056801049679299</v>
      </c>
    </row>
    <row r="289" spans="1:3" x14ac:dyDescent="0.2">
      <c r="A289">
        <v>359</v>
      </c>
      <c r="B289">
        <v>1</v>
      </c>
      <c r="C289">
        <v>0.31784653979517102</v>
      </c>
    </row>
    <row r="290" spans="1:3" x14ac:dyDescent="0.2">
      <c r="A290">
        <v>361</v>
      </c>
      <c r="B290">
        <v>2</v>
      </c>
      <c r="C290">
        <v>0.24079472563189111</v>
      </c>
    </row>
    <row r="291" spans="1:3" x14ac:dyDescent="0.2">
      <c r="A291">
        <v>362</v>
      </c>
      <c r="B291">
        <v>2</v>
      </c>
      <c r="C291">
        <v>0.10675910172451711</v>
      </c>
    </row>
    <row r="292" spans="1:3" x14ac:dyDescent="0.2">
      <c r="A292">
        <v>364</v>
      </c>
      <c r="B292">
        <v>1</v>
      </c>
      <c r="C292">
        <v>0.149755201124807</v>
      </c>
    </row>
    <row r="293" spans="1:3" x14ac:dyDescent="0.2">
      <c r="A293">
        <v>365</v>
      </c>
      <c r="B293">
        <v>1</v>
      </c>
      <c r="C293">
        <v>0.17838524452836299</v>
      </c>
    </row>
    <row r="294" spans="1:3" x14ac:dyDescent="0.2">
      <c r="A294">
        <v>366</v>
      </c>
      <c r="B294">
        <v>1</v>
      </c>
      <c r="C294">
        <v>0.18735024376918599</v>
      </c>
    </row>
    <row r="295" spans="1:3" x14ac:dyDescent="0.2">
      <c r="A295">
        <v>367</v>
      </c>
      <c r="B295">
        <v>2</v>
      </c>
      <c r="C295">
        <v>0.30089122849355698</v>
      </c>
    </row>
    <row r="296" spans="1:3" x14ac:dyDescent="0.2">
      <c r="A296">
        <v>368</v>
      </c>
      <c r="B296">
        <v>2</v>
      </c>
      <c r="C296">
        <v>0.47804285206515978</v>
      </c>
    </row>
    <row r="297" spans="1:3" x14ac:dyDescent="0.2">
      <c r="A297">
        <v>369</v>
      </c>
      <c r="B297">
        <v>1</v>
      </c>
      <c r="C297">
        <v>0.25947922774422</v>
      </c>
    </row>
    <row r="298" spans="1:3" x14ac:dyDescent="0.2">
      <c r="A298">
        <v>370</v>
      </c>
      <c r="B298">
        <v>1</v>
      </c>
      <c r="C298">
        <v>0.13524167443708601</v>
      </c>
    </row>
    <row r="299" spans="1:3" x14ac:dyDescent="0.2">
      <c r="A299">
        <v>371</v>
      </c>
      <c r="B299">
        <v>1</v>
      </c>
      <c r="C299">
        <v>6.3525991187566105E-2</v>
      </c>
    </row>
    <row r="300" spans="1:3" x14ac:dyDescent="0.2">
      <c r="A300">
        <v>372</v>
      </c>
      <c r="B300">
        <v>1</v>
      </c>
      <c r="C300">
        <v>6.9059898845113807E-2</v>
      </c>
    </row>
    <row r="301" spans="1:3" x14ac:dyDescent="0.2">
      <c r="A301">
        <v>374</v>
      </c>
      <c r="B301">
        <v>1</v>
      </c>
      <c r="C301">
        <v>8.9240794773876295E-2</v>
      </c>
    </row>
    <row r="302" spans="1:3" x14ac:dyDescent="0.2">
      <c r="A302">
        <v>375</v>
      </c>
      <c r="B302">
        <v>1</v>
      </c>
      <c r="C302">
        <v>0.29749466321301499</v>
      </c>
    </row>
    <row r="303" spans="1:3" x14ac:dyDescent="0.2">
      <c r="A303">
        <v>377</v>
      </c>
      <c r="B303">
        <v>1</v>
      </c>
      <c r="C303">
        <v>0.12833446115462899</v>
      </c>
    </row>
    <row r="304" spans="1:3" x14ac:dyDescent="0.2">
      <c r="A304">
        <v>378</v>
      </c>
      <c r="B304">
        <v>2</v>
      </c>
      <c r="C304">
        <v>0.230153470216789</v>
      </c>
    </row>
    <row r="305" spans="1:3" x14ac:dyDescent="0.2">
      <c r="A305">
        <v>379</v>
      </c>
      <c r="B305">
        <v>1</v>
      </c>
      <c r="C305">
        <v>4.2497878109347603E-2</v>
      </c>
    </row>
    <row r="306" spans="1:3" x14ac:dyDescent="0.2">
      <c r="A306">
        <v>381</v>
      </c>
      <c r="B306">
        <v>1</v>
      </c>
      <c r="C306">
        <v>0.47756678415107501</v>
      </c>
    </row>
    <row r="307" spans="1:3" x14ac:dyDescent="0.2">
      <c r="A307">
        <v>382</v>
      </c>
      <c r="B307">
        <v>1</v>
      </c>
      <c r="C307">
        <v>0.31745481799855202</v>
      </c>
    </row>
    <row r="308" spans="1:3" x14ac:dyDescent="0.2">
      <c r="A308">
        <v>383</v>
      </c>
      <c r="B308">
        <v>1</v>
      </c>
      <c r="C308">
        <v>6.50635205954639E-2</v>
      </c>
    </row>
    <row r="309" spans="1:3" x14ac:dyDescent="0.2">
      <c r="A309">
        <v>384</v>
      </c>
      <c r="B309">
        <v>1</v>
      </c>
      <c r="C309">
        <v>0.185302296636253</v>
      </c>
    </row>
    <row r="310" spans="1:3" x14ac:dyDescent="0.2">
      <c r="A310">
        <v>385</v>
      </c>
      <c r="B310">
        <v>1</v>
      </c>
      <c r="C310">
        <v>0.28579976319780298</v>
      </c>
    </row>
    <row r="311" spans="1:3" x14ac:dyDescent="0.2">
      <c r="A311">
        <v>387</v>
      </c>
      <c r="B311">
        <v>2</v>
      </c>
      <c r="C311">
        <v>0.40980156681294599</v>
      </c>
    </row>
    <row r="312" spans="1:3" x14ac:dyDescent="0.2">
      <c r="A312">
        <v>388</v>
      </c>
      <c r="B312">
        <v>2</v>
      </c>
      <c r="C312">
        <v>0.22812319918304971</v>
      </c>
    </row>
    <row r="313" spans="1:3" x14ac:dyDescent="0.2">
      <c r="A313">
        <v>389</v>
      </c>
      <c r="B313">
        <v>2</v>
      </c>
      <c r="C313">
        <v>0.54705735732910299</v>
      </c>
    </row>
    <row r="314" spans="1:3" x14ac:dyDescent="0.2">
      <c r="A314">
        <v>390</v>
      </c>
      <c r="B314">
        <v>2</v>
      </c>
      <c r="C314">
        <v>0.48063610456928801</v>
      </c>
    </row>
    <row r="315" spans="1:3" x14ac:dyDescent="0.2">
      <c r="A315">
        <v>392</v>
      </c>
      <c r="B315">
        <v>1</v>
      </c>
      <c r="C315">
        <v>5.7961232926266801E-2</v>
      </c>
    </row>
    <row r="316" spans="1:3" x14ac:dyDescent="0.2">
      <c r="A316">
        <v>393</v>
      </c>
      <c r="B316">
        <v>1</v>
      </c>
      <c r="C316">
        <v>0.118686942494478</v>
      </c>
    </row>
    <row r="317" spans="1:3" x14ac:dyDescent="0.2">
      <c r="A317">
        <v>394</v>
      </c>
      <c r="B317">
        <v>1</v>
      </c>
      <c r="C317">
        <v>0.114610654308564</v>
      </c>
    </row>
    <row r="318" spans="1:3" x14ac:dyDescent="0.2">
      <c r="A318">
        <v>395</v>
      </c>
      <c r="B318">
        <v>2</v>
      </c>
      <c r="C318">
        <v>0.23882890772545701</v>
      </c>
    </row>
    <row r="319" spans="1:3" x14ac:dyDescent="0.2">
      <c r="A319">
        <v>396</v>
      </c>
      <c r="B319">
        <v>2</v>
      </c>
      <c r="C319">
        <v>0.13578001707481152</v>
      </c>
    </row>
    <row r="320" spans="1:3" x14ac:dyDescent="0.2">
      <c r="A320">
        <v>397</v>
      </c>
      <c r="B320">
        <v>2</v>
      </c>
      <c r="C320">
        <v>0.27904505022917847</v>
      </c>
    </row>
    <row r="321" spans="1:3" x14ac:dyDescent="0.2">
      <c r="A321">
        <v>398</v>
      </c>
      <c r="B321">
        <v>2</v>
      </c>
      <c r="C321">
        <v>0.25763498184978617</v>
      </c>
    </row>
    <row r="322" spans="1:3" x14ac:dyDescent="0.2">
      <c r="A322">
        <v>399</v>
      </c>
      <c r="B322">
        <v>2</v>
      </c>
      <c r="C322">
        <v>0.50077643614046408</v>
      </c>
    </row>
    <row r="323" spans="1:3" x14ac:dyDescent="0.2">
      <c r="A323">
        <v>402</v>
      </c>
      <c r="B323">
        <v>2</v>
      </c>
      <c r="C323">
        <v>0.21592706381149809</v>
      </c>
    </row>
    <row r="324" spans="1:3" x14ac:dyDescent="0.2">
      <c r="A324">
        <v>404</v>
      </c>
      <c r="B324">
        <v>1</v>
      </c>
      <c r="C324">
        <v>0.23138624576780101</v>
      </c>
    </row>
    <row r="325" spans="1:3" x14ac:dyDescent="0.2">
      <c r="A325">
        <v>405</v>
      </c>
      <c r="B325">
        <v>1</v>
      </c>
      <c r="C325">
        <v>5.3183497418120403E-2</v>
      </c>
    </row>
    <row r="326" spans="1:3" x14ac:dyDescent="0.2">
      <c r="A326">
        <v>406</v>
      </c>
      <c r="B326">
        <v>1</v>
      </c>
      <c r="C326">
        <v>2.4007438671223E-2</v>
      </c>
    </row>
    <row r="327" spans="1:3" x14ac:dyDescent="0.2">
      <c r="A327">
        <v>407</v>
      </c>
      <c r="B327">
        <v>1</v>
      </c>
      <c r="C327">
        <v>0.15054701752117899</v>
      </c>
    </row>
    <row r="328" spans="1:3" x14ac:dyDescent="0.2">
      <c r="A328">
        <v>408</v>
      </c>
      <c r="B328">
        <v>2</v>
      </c>
      <c r="C328">
        <v>0.47810069033021496</v>
      </c>
    </row>
    <row r="329" spans="1:3" x14ac:dyDescent="0.2">
      <c r="A329">
        <v>409</v>
      </c>
      <c r="B329">
        <v>1</v>
      </c>
      <c r="C329">
        <v>0.213027965488893</v>
      </c>
    </row>
    <row r="330" spans="1:3" x14ac:dyDescent="0.2">
      <c r="A330">
        <v>410</v>
      </c>
      <c r="B330">
        <v>1</v>
      </c>
      <c r="C330">
        <v>0.32443432188320898</v>
      </c>
    </row>
    <row r="331" spans="1:3" x14ac:dyDescent="0.2">
      <c r="A331">
        <v>411</v>
      </c>
      <c r="B331">
        <v>1</v>
      </c>
      <c r="C331">
        <v>0.12449356040519299</v>
      </c>
    </row>
    <row r="332" spans="1:3" x14ac:dyDescent="0.2">
      <c r="A332">
        <v>413</v>
      </c>
      <c r="B332">
        <v>2</v>
      </c>
      <c r="C332">
        <v>0.237407602266657</v>
      </c>
    </row>
    <row r="333" spans="1:3" x14ac:dyDescent="0.2">
      <c r="A333">
        <v>414</v>
      </c>
      <c r="B333">
        <v>1</v>
      </c>
      <c r="C333">
        <v>0.12881471005916201</v>
      </c>
    </row>
    <row r="334" spans="1:3" x14ac:dyDescent="0.2">
      <c r="A334">
        <v>415</v>
      </c>
      <c r="B334">
        <v>2</v>
      </c>
      <c r="C334">
        <v>0.1722860377403316</v>
      </c>
    </row>
    <row r="335" spans="1:3" x14ac:dyDescent="0.2">
      <c r="A335">
        <v>416</v>
      </c>
      <c r="B335">
        <v>2</v>
      </c>
      <c r="C335">
        <v>0.81901836749422197</v>
      </c>
    </row>
    <row r="336" spans="1:3" x14ac:dyDescent="0.2">
      <c r="A336">
        <v>418</v>
      </c>
      <c r="B336">
        <v>1</v>
      </c>
      <c r="C336">
        <v>0.14953038808651201</v>
      </c>
    </row>
    <row r="337" spans="1:3" x14ac:dyDescent="0.2">
      <c r="A337">
        <v>419</v>
      </c>
      <c r="B337">
        <v>1</v>
      </c>
      <c r="C337">
        <v>3.2193157060950897E-2</v>
      </c>
    </row>
    <row r="338" spans="1:3" x14ac:dyDescent="0.2">
      <c r="A338">
        <v>420</v>
      </c>
      <c r="B338">
        <v>2</v>
      </c>
      <c r="C338">
        <v>0.31799862772646681</v>
      </c>
    </row>
    <row r="339" spans="1:3" x14ac:dyDescent="0.2">
      <c r="A339">
        <v>421</v>
      </c>
      <c r="B339">
        <v>1</v>
      </c>
      <c r="C339">
        <v>4.7571044183350598E-2</v>
      </c>
    </row>
    <row r="340" spans="1:3" x14ac:dyDescent="0.2">
      <c r="A340">
        <v>422</v>
      </c>
      <c r="B340">
        <v>1</v>
      </c>
      <c r="C340">
        <v>0.139741087606466</v>
      </c>
    </row>
    <row r="341" spans="1:3" x14ac:dyDescent="0.2">
      <c r="A341">
        <v>423</v>
      </c>
      <c r="B341">
        <v>1</v>
      </c>
      <c r="C341">
        <v>3.43661861886344E-2</v>
      </c>
    </row>
    <row r="342" spans="1:3" x14ac:dyDescent="0.2">
      <c r="A342">
        <v>424</v>
      </c>
      <c r="B342">
        <v>1</v>
      </c>
      <c r="C342">
        <v>0.16177819505434701</v>
      </c>
    </row>
    <row r="343" spans="1:3" x14ac:dyDescent="0.2">
      <c r="A343">
        <v>426</v>
      </c>
      <c r="B343">
        <v>1</v>
      </c>
      <c r="C343">
        <v>4.6179269064626799E-2</v>
      </c>
    </row>
    <row r="344" spans="1:3" x14ac:dyDescent="0.2">
      <c r="A344">
        <v>427</v>
      </c>
      <c r="B344">
        <v>1</v>
      </c>
      <c r="C344">
        <v>0.13913234259287999</v>
      </c>
    </row>
    <row r="345" spans="1:3" x14ac:dyDescent="0.2">
      <c r="A345">
        <v>428</v>
      </c>
      <c r="B345">
        <v>1</v>
      </c>
      <c r="C345">
        <v>8.8288394589453298E-2</v>
      </c>
    </row>
    <row r="346" spans="1:3" x14ac:dyDescent="0.2">
      <c r="A346">
        <v>429</v>
      </c>
      <c r="B346">
        <v>2</v>
      </c>
      <c r="C346">
        <v>0.1017087795777184</v>
      </c>
    </row>
    <row r="347" spans="1:3" x14ac:dyDescent="0.2">
      <c r="A347">
        <v>432</v>
      </c>
      <c r="B347">
        <v>1</v>
      </c>
      <c r="C347">
        <v>7.9122667052408904E-2</v>
      </c>
    </row>
    <row r="348" spans="1:3" x14ac:dyDescent="0.2">
      <c r="A348">
        <v>433</v>
      </c>
      <c r="B348">
        <v>1</v>
      </c>
      <c r="C348">
        <v>0.43039292413036501</v>
      </c>
    </row>
    <row r="349" spans="1:3" x14ac:dyDescent="0.2">
      <c r="A349">
        <v>435</v>
      </c>
      <c r="B349">
        <v>2</v>
      </c>
      <c r="C349">
        <v>0.407837432948572</v>
      </c>
    </row>
    <row r="350" spans="1:3" x14ac:dyDescent="0.2">
      <c r="A350">
        <v>436</v>
      </c>
      <c r="B350">
        <v>1</v>
      </c>
      <c r="C350">
        <v>0.20462238616769901</v>
      </c>
    </row>
    <row r="351" spans="1:3" x14ac:dyDescent="0.2">
      <c r="A351">
        <v>437</v>
      </c>
      <c r="B351">
        <v>2</v>
      </c>
      <c r="C351">
        <v>0.11970900086445699</v>
      </c>
    </row>
    <row r="352" spans="1:3" x14ac:dyDescent="0.2">
      <c r="A352">
        <v>438</v>
      </c>
      <c r="B352">
        <v>1</v>
      </c>
      <c r="C352">
        <v>0.124119152702706</v>
      </c>
    </row>
    <row r="353" spans="1:3" x14ac:dyDescent="0.2">
      <c r="A353">
        <v>439</v>
      </c>
      <c r="B353">
        <v>2</v>
      </c>
      <c r="C353">
        <v>0.26857239638567654</v>
      </c>
    </row>
    <row r="354" spans="1:3" x14ac:dyDescent="0.2">
      <c r="A354">
        <v>440</v>
      </c>
      <c r="B354">
        <v>2</v>
      </c>
      <c r="C354">
        <v>0.468609821456966</v>
      </c>
    </row>
    <row r="355" spans="1:3" x14ac:dyDescent="0.2">
      <c r="A355">
        <v>441</v>
      </c>
      <c r="B355">
        <v>2</v>
      </c>
      <c r="C355">
        <v>0.61891832030624705</v>
      </c>
    </row>
    <row r="356" spans="1:3" x14ac:dyDescent="0.2">
      <c r="A356">
        <v>442</v>
      </c>
      <c r="B356">
        <v>1</v>
      </c>
      <c r="C356">
        <v>0.33665048317262503</v>
      </c>
    </row>
    <row r="357" spans="1:3" x14ac:dyDescent="0.2">
      <c r="A357">
        <v>443</v>
      </c>
      <c r="B357">
        <v>1</v>
      </c>
      <c r="C357">
        <v>0.25544767354590903</v>
      </c>
    </row>
    <row r="358" spans="1:3" x14ac:dyDescent="0.2">
      <c r="A358">
        <v>444</v>
      </c>
      <c r="B358">
        <v>2</v>
      </c>
      <c r="C358">
        <v>0.33957218635974801</v>
      </c>
    </row>
    <row r="359" spans="1:3" x14ac:dyDescent="0.2">
      <c r="A359">
        <v>446</v>
      </c>
      <c r="B359">
        <v>1</v>
      </c>
      <c r="C359">
        <v>0.22898476020757899</v>
      </c>
    </row>
    <row r="360" spans="1:3" x14ac:dyDescent="0.2">
      <c r="A360">
        <v>447</v>
      </c>
      <c r="B360">
        <v>1</v>
      </c>
      <c r="C360">
        <v>8.6690028115251894E-2</v>
      </c>
    </row>
    <row r="361" spans="1:3" x14ac:dyDescent="0.2">
      <c r="A361">
        <v>448</v>
      </c>
      <c r="B361">
        <v>2</v>
      </c>
      <c r="C361">
        <v>0.61215530595893197</v>
      </c>
    </row>
    <row r="362" spans="1:3" x14ac:dyDescent="0.2">
      <c r="A362">
        <v>449</v>
      </c>
      <c r="B362">
        <v>1</v>
      </c>
      <c r="C362">
        <v>0.32419145983855802</v>
      </c>
    </row>
    <row r="363" spans="1:3" x14ac:dyDescent="0.2">
      <c r="A363">
        <v>450</v>
      </c>
      <c r="B363">
        <v>1</v>
      </c>
      <c r="C363">
        <v>0.19132647418577001</v>
      </c>
    </row>
    <row r="364" spans="1:3" x14ac:dyDescent="0.2">
      <c r="A364">
        <v>451</v>
      </c>
      <c r="B364">
        <v>1</v>
      </c>
      <c r="C364">
        <v>0.10989516733746001</v>
      </c>
    </row>
    <row r="365" spans="1:3" x14ac:dyDescent="0.2">
      <c r="A365">
        <v>452</v>
      </c>
      <c r="B365">
        <v>1</v>
      </c>
      <c r="C365">
        <v>0.30885785260446502</v>
      </c>
    </row>
    <row r="366" spans="1:3" x14ac:dyDescent="0.2">
      <c r="A366">
        <v>453</v>
      </c>
      <c r="B366">
        <v>2</v>
      </c>
      <c r="C366">
        <v>0.24041420564037219</v>
      </c>
    </row>
    <row r="367" spans="1:3" x14ac:dyDescent="0.2">
      <c r="A367">
        <v>454</v>
      </c>
      <c r="B367">
        <v>2</v>
      </c>
      <c r="C367">
        <v>0.48100240269326999</v>
      </c>
    </row>
    <row r="368" spans="1:3" x14ac:dyDescent="0.2">
      <c r="A368">
        <v>455</v>
      </c>
      <c r="B368">
        <v>2</v>
      </c>
      <c r="C368">
        <v>0.21314463897289299</v>
      </c>
    </row>
    <row r="369" spans="1:3" x14ac:dyDescent="0.2">
      <c r="A369">
        <v>458</v>
      </c>
      <c r="B369">
        <v>1</v>
      </c>
      <c r="C369">
        <v>6.2804768355944299E-2</v>
      </c>
    </row>
    <row r="370" spans="1:3" x14ac:dyDescent="0.2">
      <c r="A370">
        <v>459</v>
      </c>
      <c r="B370">
        <v>2</v>
      </c>
      <c r="C370">
        <v>0.40900436722687006</v>
      </c>
    </row>
    <row r="371" spans="1:3" x14ac:dyDescent="0.2">
      <c r="A371">
        <v>460</v>
      </c>
      <c r="B371">
        <v>2</v>
      </c>
      <c r="C371">
        <v>0.41563566099119897</v>
      </c>
    </row>
    <row r="372" spans="1:3" x14ac:dyDescent="0.2">
      <c r="A372">
        <v>462</v>
      </c>
      <c r="B372">
        <v>1</v>
      </c>
      <c r="C372">
        <v>0.22098699593295401</v>
      </c>
    </row>
    <row r="373" spans="1:3" x14ac:dyDescent="0.2">
      <c r="A373">
        <v>463</v>
      </c>
      <c r="B373">
        <v>1</v>
      </c>
      <c r="C373">
        <v>5.86154682651992E-2</v>
      </c>
    </row>
    <row r="374" spans="1:3" x14ac:dyDescent="0.2">
      <c r="A374">
        <v>464</v>
      </c>
      <c r="B374">
        <v>2</v>
      </c>
      <c r="C374">
        <v>0.37254445920005097</v>
      </c>
    </row>
    <row r="375" spans="1:3" x14ac:dyDescent="0.2">
      <c r="A375">
        <v>465</v>
      </c>
      <c r="B375">
        <v>1</v>
      </c>
      <c r="C375">
        <v>6.0696454287813097E-2</v>
      </c>
    </row>
    <row r="376" spans="1:3" x14ac:dyDescent="0.2">
      <c r="A376">
        <v>466</v>
      </c>
      <c r="B376">
        <v>2</v>
      </c>
      <c r="C376">
        <v>0.58533700037073899</v>
      </c>
    </row>
    <row r="377" spans="1:3" x14ac:dyDescent="0.2">
      <c r="A377">
        <v>467</v>
      </c>
      <c r="B377">
        <v>2</v>
      </c>
      <c r="C377">
        <v>0.39221562427553747</v>
      </c>
    </row>
    <row r="378" spans="1:3" x14ac:dyDescent="0.2">
      <c r="A378">
        <v>468</v>
      </c>
      <c r="B378">
        <v>1</v>
      </c>
      <c r="C378">
        <v>0.17555401129989601</v>
      </c>
    </row>
    <row r="379" spans="1:3" x14ac:dyDescent="0.2">
      <c r="A379">
        <v>469</v>
      </c>
      <c r="B379">
        <v>2</v>
      </c>
      <c r="C379">
        <v>0.20514132009935082</v>
      </c>
    </row>
    <row r="380" spans="1:3" x14ac:dyDescent="0.2">
      <c r="A380">
        <v>471</v>
      </c>
      <c r="B380">
        <v>2</v>
      </c>
      <c r="C380">
        <v>0.42178194077184</v>
      </c>
    </row>
    <row r="381" spans="1:3" x14ac:dyDescent="0.2">
      <c r="A381">
        <v>473</v>
      </c>
      <c r="B381">
        <v>1</v>
      </c>
      <c r="C381">
        <v>0.22968999004761001</v>
      </c>
    </row>
    <row r="382" spans="1:3" x14ac:dyDescent="0.2">
      <c r="A382">
        <v>474</v>
      </c>
      <c r="B382">
        <v>1</v>
      </c>
      <c r="C382">
        <v>2.8631274353765199E-2</v>
      </c>
    </row>
    <row r="383" spans="1:3" x14ac:dyDescent="0.2">
      <c r="A383">
        <v>475</v>
      </c>
      <c r="B383">
        <v>1</v>
      </c>
      <c r="C383">
        <v>0.18880737642926601</v>
      </c>
    </row>
    <row r="384" spans="1:3" x14ac:dyDescent="0.2">
      <c r="A384">
        <v>476</v>
      </c>
      <c r="B384">
        <v>1</v>
      </c>
      <c r="C384">
        <v>0.12793963424486801</v>
      </c>
    </row>
    <row r="385" spans="1:3" x14ac:dyDescent="0.2">
      <c r="A385">
        <v>477</v>
      </c>
      <c r="B385">
        <v>1</v>
      </c>
      <c r="C385">
        <v>5.9599894744330299E-2</v>
      </c>
    </row>
    <row r="386" spans="1:3" x14ac:dyDescent="0.2">
      <c r="A386">
        <v>478</v>
      </c>
      <c r="B386">
        <v>2</v>
      </c>
      <c r="C386">
        <v>0.37715257539460006</v>
      </c>
    </row>
    <row r="387" spans="1:3" x14ac:dyDescent="0.2">
      <c r="A387">
        <v>479</v>
      </c>
      <c r="B387">
        <v>2</v>
      </c>
      <c r="C387">
        <v>0.51749161159356905</v>
      </c>
    </row>
    <row r="388" spans="1:3" x14ac:dyDescent="0.2">
      <c r="A388">
        <v>480</v>
      </c>
      <c r="B388">
        <v>1</v>
      </c>
      <c r="C388">
        <v>7.4595530042164307E-2</v>
      </c>
    </row>
    <row r="389" spans="1:3" x14ac:dyDescent="0.2">
      <c r="A389">
        <v>481</v>
      </c>
      <c r="B389">
        <v>2</v>
      </c>
      <c r="C389">
        <v>0.51840139284010667</v>
      </c>
    </row>
    <row r="390" spans="1:3" x14ac:dyDescent="0.2">
      <c r="A390">
        <v>483</v>
      </c>
      <c r="B390">
        <v>1</v>
      </c>
      <c r="C390">
        <v>4.0879887655396401E-2</v>
      </c>
    </row>
    <row r="391" spans="1:3" x14ac:dyDescent="0.2">
      <c r="A391">
        <v>484</v>
      </c>
      <c r="B391">
        <v>1</v>
      </c>
      <c r="C391">
        <v>0.50925063351927902</v>
      </c>
    </row>
    <row r="392" spans="1:3" x14ac:dyDescent="0.2">
      <c r="A392">
        <v>486</v>
      </c>
      <c r="B392">
        <v>2</v>
      </c>
      <c r="C392">
        <v>0.2818383978911595</v>
      </c>
    </row>
    <row r="393" spans="1:3" x14ac:dyDescent="0.2">
      <c r="A393">
        <v>487</v>
      </c>
      <c r="B393">
        <v>2</v>
      </c>
      <c r="C393">
        <v>0.403389724174954</v>
      </c>
    </row>
    <row r="394" spans="1:3" x14ac:dyDescent="0.2">
      <c r="A394">
        <v>488</v>
      </c>
      <c r="B394">
        <v>1</v>
      </c>
      <c r="C394">
        <v>0.17456056673878501</v>
      </c>
    </row>
    <row r="395" spans="1:3" x14ac:dyDescent="0.2">
      <c r="A395">
        <v>489</v>
      </c>
      <c r="B395">
        <v>1</v>
      </c>
      <c r="C395">
        <v>0.21511845720799999</v>
      </c>
    </row>
    <row r="396" spans="1:3" x14ac:dyDescent="0.2">
      <c r="A396">
        <v>492</v>
      </c>
      <c r="B396">
        <v>2</v>
      </c>
      <c r="C396">
        <v>0.45302486066257802</v>
      </c>
    </row>
    <row r="397" spans="1:3" x14ac:dyDescent="0.2">
      <c r="A397">
        <v>493</v>
      </c>
      <c r="B397">
        <v>1</v>
      </c>
      <c r="C397">
        <v>0.27428250186789099</v>
      </c>
    </row>
    <row r="398" spans="1:3" x14ac:dyDescent="0.2">
      <c r="A398">
        <v>494</v>
      </c>
      <c r="B398">
        <v>1</v>
      </c>
      <c r="C398">
        <v>4.58369451488315E-2</v>
      </c>
    </row>
    <row r="399" spans="1:3" x14ac:dyDescent="0.2">
      <c r="A399">
        <v>495</v>
      </c>
      <c r="B399">
        <v>2</v>
      </c>
      <c r="C399">
        <v>0.38292945859147731</v>
      </c>
    </row>
    <row r="400" spans="1:3" x14ac:dyDescent="0.2">
      <c r="A400">
        <v>497</v>
      </c>
      <c r="B400">
        <v>2</v>
      </c>
      <c r="C400">
        <v>0.30998028874206801</v>
      </c>
    </row>
    <row r="401" spans="1:3" x14ac:dyDescent="0.2">
      <c r="A401">
        <v>498</v>
      </c>
      <c r="B401">
        <v>2</v>
      </c>
      <c r="C401">
        <v>0.286502315520127</v>
      </c>
    </row>
    <row r="402" spans="1:3" x14ac:dyDescent="0.2">
      <c r="A402">
        <v>499</v>
      </c>
      <c r="B402">
        <v>1</v>
      </c>
      <c r="C402">
        <v>0.28406105138922599</v>
      </c>
    </row>
    <row r="403" spans="1:3" x14ac:dyDescent="0.2">
      <c r="A403">
        <v>500</v>
      </c>
      <c r="B403">
        <v>1</v>
      </c>
      <c r="C403">
        <v>0.22964913720531599</v>
      </c>
    </row>
    <row r="404" spans="1:3" x14ac:dyDescent="0.2">
      <c r="A404">
        <v>4</v>
      </c>
      <c r="B404">
        <v>0</v>
      </c>
      <c r="C404">
        <v>0</v>
      </c>
    </row>
    <row r="405" spans="1:3" x14ac:dyDescent="0.2">
      <c r="A405">
        <v>5</v>
      </c>
      <c r="B405">
        <v>0</v>
      </c>
      <c r="C405">
        <v>0</v>
      </c>
    </row>
    <row r="406" spans="1:3" x14ac:dyDescent="0.2">
      <c r="A406">
        <v>8</v>
      </c>
      <c r="B406">
        <v>0</v>
      </c>
      <c r="C406">
        <v>0</v>
      </c>
    </row>
    <row r="407" spans="1:3" x14ac:dyDescent="0.2">
      <c r="A407">
        <v>11</v>
      </c>
      <c r="B407">
        <v>0</v>
      </c>
      <c r="C407">
        <v>0</v>
      </c>
    </row>
    <row r="408" spans="1:3" x14ac:dyDescent="0.2">
      <c r="A408">
        <v>16</v>
      </c>
      <c r="B408">
        <v>0</v>
      </c>
      <c r="C408">
        <v>0</v>
      </c>
    </row>
    <row r="409" spans="1:3" x14ac:dyDescent="0.2">
      <c r="A409">
        <v>20</v>
      </c>
      <c r="B409">
        <v>0</v>
      </c>
      <c r="C409">
        <v>0</v>
      </c>
    </row>
    <row r="410" spans="1:3" x14ac:dyDescent="0.2">
      <c r="A410">
        <v>21</v>
      </c>
      <c r="B410">
        <v>0</v>
      </c>
      <c r="C410">
        <v>0</v>
      </c>
    </row>
    <row r="411" spans="1:3" x14ac:dyDescent="0.2">
      <c r="A411">
        <v>24</v>
      </c>
      <c r="B411">
        <v>0</v>
      </c>
      <c r="C411">
        <v>0</v>
      </c>
    </row>
    <row r="412" spans="1:3" x14ac:dyDescent="0.2">
      <c r="A412">
        <v>31</v>
      </c>
      <c r="B412">
        <v>0</v>
      </c>
      <c r="C412">
        <v>0</v>
      </c>
    </row>
    <row r="413" spans="1:3" x14ac:dyDescent="0.2">
      <c r="A413">
        <v>32</v>
      </c>
      <c r="B413">
        <v>0</v>
      </c>
      <c r="C413">
        <v>0</v>
      </c>
    </row>
    <row r="414" spans="1:3" x14ac:dyDescent="0.2">
      <c r="A414">
        <v>34</v>
      </c>
      <c r="B414">
        <v>0</v>
      </c>
      <c r="C414">
        <v>0</v>
      </c>
    </row>
    <row r="415" spans="1:3" x14ac:dyDescent="0.2">
      <c r="A415">
        <v>50</v>
      </c>
      <c r="B415">
        <v>0</v>
      </c>
      <c r="C415">
        <v>0</v>
      </c>
    </row>
    <row r="416" spans="1:3" x14ac:dyDescent="0.2">
      <c r="A416">
        <v>53</v>
      </c>
      <c r="B416">
        <v>0</v>
      </c>
      <c r="C416">
        <v>0</v>
      </c>
    </row>
    <row r="417" spans="1:3" x14ac:dyDescent="0.2">
      <c r="A417">
        <v>59</v>
      </c>
      <c r="B417">
        <v>0</v>
      </c>
      <c r="C417">
        <v>0</v>
      </c>
    </row>
    <row r="418" spans="1:3" x14ac:dyDescent="0.2">
      <c r="A418">
        <v>65</v>
      </c>
      <c r="B418">
        <v>0</v>
      </c>
      <c r="C418">
        <v>0</v>
      </c>
    </row>
    <row r="419" spans="1:3" x14ac:dyDescent="0.2">
      <c r="A419">
        <v>67</v>
      </c>
      <c r="B419">
        <v>0</v>
      </c>
      <c r="C419">
        <v>0</v>
      </c>
    </row>
    <row r="420" spans="1:3" x14ac:dyDescent="0.2">
      <c r="A420">
        <v>68</v>
      </c>
      <c r="B420">
        <v>0</v>
      </c>
      <c r="C420">
        <v>0</v>
      </c>
    </row>
    <row r="421" spans="1:3" x14ac:dyDescent="0.2">
      <c r="A421">
        <v>69</v>
      </c>
      <c r="B421">
        <v>0</v>
      </c>
      <c r="C421">
        <v>0</v>
      </c>
    </row>
    <row r="422" spans="1:3" x14ac:dyDescent="0.2">
      <c r="A422">
        <v>87</v>
      </c>
      <c r="B422">
        <v>0</v>
      </c>
      <c r="C422">
        <v>0</v>
      </c>
    </row>
    <row r="423" spans="1:3" x14ac:dyDescent="0.2">
      <c r="A423">
        <v>88</v>
      </c>
      <c r="B423">
        <v>0</v>
      </c>
      <c r="C423">
        <v>0</v>
      </c>
    </row>
    <row r="424" spans="1:3" x14ac:dyDescent="0.2">
      <c r="A424">
        <v>89</v>
      </c>
      <c r="B424">
        <v>0</v>
      </c>
      <c r="C424">
        <v>0</v>
      </c>
    </row>
    <row r="425" spans="1:3" x14ac:dyDescent="0.2">
      <c r="A425">
        <v>104</v>
      </c>
      <c r="B425">
        <v>0</v>
      </c>
      <c r="C425">
        <v>0</v>
      </c>
    </row>
    <row r="426" spans="1:3" x14ac:dyDescent="0.2">
      <c r="A426">
        <v>106</v>
      </c>
      <c r="B426">
        <v>0</v>
      </c>
      <c r="C426">
        <v>0</v>
      </c>
    </row>
    <row r="427" spans="1:3" x14ac:dyDescent="0.2">
      <c r="A427">
        <v>107</v>
      </c>
      <c r="B427">
        <v>0</v>
      </c>
      <c r="C427">
        <v>0</v>
      </c>
    </row>
    <row r="428" spans="1:3" x14ac:dyDescent="0.2">
      <c r="A428">
        <v>111</v>
      </c>
      <c r="B428">
        <v>0</v>
      </c>
      <c r="C428">
        <v>0</v>
      </c>
    </row>
    <row r="429" spans="1:3" x14ac:dyDescent="0.2">
      <c r="A429">
        <v>114</v>
      </c>
      <c r="B429">
        <v>0</v>
      </c>
      <c r="C429">
        <v>0</v>
      </c>
    </row>
    <row r="430" spans="1:3" x14ac:dyDescent="0.2">
      <c r="A430">
        <v>118</v>
      </c>
      <c r="B430">
        <v>0</v>
      </c>
      <c r="C430">
        <v>0</v>
      </c>
    </row>
    <row r="431" spans="1:3" x14ac:dyDescent="0.2">
      <c r="A431">
        <v>126</v>
      </c>
      <c r="B431">
        <v>0</v>
      </c>
      <c r="C431">
        <v>0</v>
      </c>
    </row>
    <row r="432" spans="1:3" x14ac:dyDescent="0.2">
      <c r="A432">
        <v>132</v>
      </c>
      <c r="B432">
        <v>0</v>
      </c>
      <c r="C432">
        <v>0</v>
      </c>
    </row>
    <row r="433" spans="1:3" x14ac:dyDescent="0.2">
      <c r="A433">
        <v>137</v>
      </c>
      <c r="B433">
        <v>0</v>
      </c>
      <c r="C433">
        <v>0</v>
      </c>
    </row>
    <row r="434" spans="1:3" x14ac:dyDescent="0.2">
      <c r="A434">
        <v>139</v>
      </c>
      <c r="B434">
        <v>0</v>
      </c>
      <c r="C434">
        <v>0</v>
      </c>
    </row>
    <row r="435" spans="1:3" x14ac:dyDescent="0.2">
      <c r="A435">
        <v>145</v>
      </c>
      <c r="B435">
        <v>0</v>
      </c>
      <c r="C435">
        <v>0</v>
      </c>
    </row>
    <row r="436" spans="1:3" x14ac:dyDescent="0.2">
      <c r="A436">
        <v>151</v>
      </c>
      <c r="B436">
        <v>0</v>
      </c>
      <c r="C436">
        <v>0</v>
      </c>
    </row>
    <row r="437" spans="1:3" x14ac:dyDescent="0.2">
      <c r="A437">
        <v>173</v>
      </c>
      <c r="B437">
        <v>0</v>
      </c>
      <c r="C437">
        <v>0</v>
      </c>
    </row>
    <row r="438" spans="1:3" x14ac:dyDescent="0.2">
      <c r="A438">
        <v>179</v>
      </c>
      <c r="B438">
        <v>0</v>
      </c>
      <c r="C438">
        <v>0</v>
      </c>
    </row>
    <row r="439" spans="1:3" x14ac:dyDescent="0.2">
      <c r="A439">
        <v>181</v>
      </c>
      <c r="B439">
        <v>0</v>
      </c>
      <c r="C439">
        <v>0</v>
      </c>
    </row>
    <row r="440" spans="1:3" x14ac:dyDescent="0.2">
      <c r="A440">
        <v>189</v>
      </c>
      <c r="B440">
        <v>0</v>
      </c>
      <c r="C440">
        <v>0</v>
      </c>
    </row>
    <row r="441" spans="1:3" x14ac:dyDescent="0.2">
      <c r="A441">
        <v>190</v>
      </c>
      <c r="B441">
        <v>0</v>
      </c>
      <c r="C441">
        <v>0</v>
      </c>
    </row>
    <row r="442" spans="1:3" x14ac:dyDescent="0.2">
      <c r="A442">
        <v>193</v>
      </c>
      <c r="B442">
        <v>0</v>
      </c>
      <c r="C442">
        <v>0</v>
      </c>
    </row>
    <row r="443" spans="1:3" x14ac:dyDescent="0.2">
      <c r="A443">
        <v>195</v>
      </c>
      <c r="B443">
        <v>0</v>
      </c>
      <c r="C443">
        <v>0</v>
      </c>
    </row>
    <row r="444" spans="1:3" x14ac:dyDescent="0.2">
      <c r="A444">
        <v>202</v>
      </c>
      <c r="B444">
        <v>0</v>
      </c>
      <c r="C444">
        <v>0</v>
      </c>
    </row>
    <row r="445" spans="1:3" x14ac:dyDescent="0.2">
      <c r="A445">
        <v>206</v>
      </c>
      <c r="B445">
        <v>0</v>
      </c>
      <c r="C445">
        <v>0</v>
      </c>
    </row>
    <row r="446" spans="1:3" x14ac:dyDescent="0.2">
      <c r="A446">
        <v>219</v>
      </c>
      <c r="B446">
        <v>0</v>
      </c>
      <c r="C446">
        <v>0</v>
      </c>
    </row>
    <row r="447" spans="1:3" x14ac:dyDescent="0.2">
      <c r="A447">
        <v>220</v>
      </c>
      <c r="B447">
        <v>0</v>
      </c>
      <c r="C447">
        <v>0</v>
      </c>
    </row>
    <row r="448" spans="1:3" x14ac:dyDescent="0.2">
      <c r="A448">
        <v>222</v>
      </c>
      <c r="B448">
        <v>0</v>
      </c>
      <c r="C448">
        <v>0</v>
      </c>
    </row>
    <row r="449" spans="1:3" x14ac:dyDescent="0.2">
      <c r="A449">
        <v>230</v>
      </c>
      <c r="B449">
        <v>0</v>
      </c>
      <c r="C449">
        <v>0</v>
      </c>
    </row>
    <row r="450" spans="1:3" x14ac:dyDescent="0.2">
      <c r="A450">
        <v>238</v>
      </c>
      <c r="B450">
        <v>0</v>
      </c>
      <c r="C450">
        <v>0</v>
      </c>
    </row>
    <row r="451" spans="1:3" x14ac:dyDescent="0.2">
      <c r="A451">
        <v>240</v>
      </c>
      <c r="B451">
        <v>0</v>
      </c>
      <c r="C451">
        <v>0</v>
      </c>
    </row>
    <row r="452" spans="1:3" x14ac:dyDescent="0.2">
      <c r="A452">
        <v>248</v>
      </c>
      <c r="B452">
        <v>0</v>
      </c>
      <c r="C452">
        <v>0</v>
      </c>
    </row>
    <row r="453" spans="1:3" x14ac:dyDescent="0.2">
      <c r="A453">
        <v>249</v>
      </c>
      <c r="B453">
        <v>0</v>
      </c>
      <c r="C453">
        <v>0</v>
      </c>
    </row>
    <row r="454" spans="1:3" x14ac:dyDescent="0.2">
      <c r="A454">
        <v>260</v>
      </c>
      <c r="B454">
        <v>0</v>
      </c>
      <c r="C454">
        <v>0</v>
      </c>
    </row>
    <row r="455" spans="1:3" x14ac:dyDescent="0.2">
      <c r="A455">
        <v>261</v>
      </c>
      <c r="B455">
        <v>0</v>
      </c>
      <c r="C455">
        <v>0</v>
      </c>
    </row>
    <row r="456" spans="1:3" x14ac:dyDescent="0.2">
      <c r="A456">
        <v>262</v>
      </c>
      <c r="B456">
        <v>0</v>
      </c>
      <c r="C456">
        <v>0</v>
      </c>
    </row>
    <row r="457" spans="1:3" x14ac:dyDescent="0.2">
      <c r="A457">
        <v>264</v>
      </c>
      <c r="B457">
        <v>0</v>
      </c>
      <c r="C457">
        <v>0</v>
      </c>
    </row>
    <row r="458" spans="1:3" x14ac:dyDescent="0.2">
      <c r="A458">
        <v>271</v>
      </c>
      <c r="B458">
        <v>0</v>
      </c>
      <c r="C458">
        <v>0</v>
      </c>
    </row>
    <row r="459" spans="1:3" x14ac:dyDescent="0.2">
      <c r="A459">
        <v>277</v>
      </c>
      <c r="B459">
        <v>0</v>
      </c>
      <c r="C459">
        <v>0</v>
      </c>
    </row>
    <row r="460" spans="1:3" x14ac:dyDescent="0.2">
      <c r="A460">
        <v>294</v>
      </c>
      <c r="B460">
        <v>0</v>
      </c>
      <c r="C460">
        <v>0</v>
      </c>
    </row>
    <row r="461" spans="1:3" x14ac:dyDescent="0.2">
      <c r="A461">
        <v>296</v>
      </c>
      <c r="B461">
        <v>0</v>
      </c>
      <c r="C461">
        <v>0</v>
      </c>
    </row>
    <row r="462" spans="1:3" x14ac:dyDescent="0.2">
      <c r="A462">
        <v>297</v>
      </c>
      <c r="B462">
        <v>0</v>
      </c>
      <c r="C462">
        <v>0</v>
      </c>
    </row>
    <row r="463" spans="1:3" x14ac:dyDescent="0.2">
      <c r="A463">
        <v>300</v>
      </c>
      <c r="B463">
        <v>0</v>
      </c>
      <c r="C463">
        <v>0</v>
      </c>
    </row>
    <row r="464" spans="1:3" x14ac:dyDescent="0.2">
      <c r="A464">
        <v>316</v>
      </c>
      <c r="B464">
        <v>0</v>
      </c>
      <c r="C464">
        <v>0</v>
      </c>
    </row>
    <row r="465" spans="1:3" x14ac:dyDescent="0.2">
      <c r="A465">
        <v>317</v>
      </c>
      <c r="B465">
        <v>0</v>
      </c>
      <c r="C465">
        <v>0</v>
      </c>
    </row>
    <row r="466" spans="1:3" x14ac:dyDescent="0.2">
      <c r="A466">
        <v>320</v>
      </c>
      <c r="B466">
        <v>0</v>
      </c>
      <c r="C466">
        <v>0</v>
      </c>
    </row>
    <row r="467" spans="1:3" x14ac:dyDescent="0.2">
      <c r="A467">
        <v>321</v>
      </c>
      <c r="B467">
        <v>0</v>
      </c>
      <c r="C467">
        <v>0</v>
      </c>
    </row>
    <row r="468" spans="1:3" x14ac:dyDescent="0.2">
      <c r="A468">
        <v>327</v>
      </c>
      <c r="B468">
        <v>0</v>
      </c>
      <c r="C468">
        <v>0</v>
      </c>
    </row>
    <row r="469" spans="1:3" x14ac:dyDescent="0.2">
      <c r="A469">
        <v>330</v>
      </c>
      <c r="B469">
        <v>0</v>
      </c>
      <c r="C469">
        <v>0</v>
      </c>
    </row>
    <row r="470" spans="1:3" x14ac:dyDescent="0.2">
      <c r="A470">
        <v>334</v>
      </c>
      <c r="B470">
        <v>0</v>
      </c>
      <c r="C470">
        <v>0</v>
      </c>
    </row>
    <row r="471" spans="1:3" x14ac:dyDescent="0.2">
      <c r="A471">
        <v>340</v>
      </c>
      <c r="B471">
        <v>0</v>
      </c>
      <c r="C471">
        <v>0</v>
      </c>
    </row>
    <row r="472" spans="1:3" x14ac:dyDescent="0.2">
      <c r="A472">
        <v>347</v>
      </c>
      <c r="B472">
        <v>0</v>
      </c>
      <c r="C472">
        <v>0</v>
      </c>
    </row>
    <row r="473" spans="1:3" x14ac:dyDescent="0.2">
      <c r="A473">
        <v>352</v>
      </c>
      <c r="B473">
        <v>0</v>
      </c>
      <c r="C473">
        <v>0</v>
      </c>
    </row>
    <row r="474" spans="1:3" x14ac:dyDescent="0.2">
      <c r="A474">
        <v>356</v>
      </c>
      <c r="B474">
        <v>0</v>
      </c>
      <c r="C474">
        <v>0</v>
      </c>
    </row>
    <row r="475" spans="1:3" x14ac:dyDescent="0.2">
      <c r="A475">
        <v>360</v>
      </c>
      <c r="B475">
        <v>0</v>
      </c>
      <c r="C475">
        <v>0</v>
      </c>
    </row>
    <row r="476" spans="1:3" x14ac:dyDescent="0.2">
      <c r="A476">
        <v>363</v>
      </c>
      <c r="B476">
        <v>0</v>
      </c>
      <c r="C476">
        <v>0</v>
      </c>
    </row>
    <row r="477" spans="1:3" x14ac:dyDescent="0.2">
      <c r="A477">
        <v>373</v>
      </c>
      <c r="B477">
        <v>0</v>
      </c>
      <c r="C477">
        <v>0</v>
      </c>
    </row>
    <row r="478" spans="1:3" x14ac:dyDescent="0.2">
      <c r="A478">
        <v>376</v>
      </c>
      <c r="B478">
        <v>0</v>
      </c>
      <c r="C478">
        <v>0</v>
      </c>
    </row>
    <row r="479" spans="1:3" x14ac:dyDescent="0.2">
      <c r="A479">
        <v>380</v>
      </c>
      <c r="B479">
        <v>0</v>
      </c>
      <c r="C479">
        <v>0</v>
      </c>
    </row>
    <row r="480" spans="1:3" x14ac:dyDescent="0.2">
      <c r="A480">
        <v>386</v>
      </c>
      <c r="B480">
        <v>0</v>
      </c>
      <c r="C480">
        <v>0</v>
      </c>
    </row>
    <row r="481" spans="1:3" x14ac:dyDescent="0.2">
      <c r="A481">
        <v>391</v>
      </c>
      <c r="B481">
        <v>0</v>
      </c>
      <c r="C481">
        <v>0</v>
      </c>
    </row>
    <row r="482" spans="1:3" x14ac:dyDescent="0.2">
      <c r="A482">
        <v>400</v>
      </c>
      <c r="B482">
        <v>0</v>
      </c>
      <c r="C482">
        <v>0</v>
      </c>
    </row>
    <row r="483" spans="1:3" x14ac:dyDescent="0.2">
      <c r="A483">
        <v>401</v>
      </c>
      <c r="B483">
        <v>0</v>
      </c>
      <c r="C483">
        <v>0</v>
      </c>
    </row>
    <row r="484" spans="1:3" x14ac:dyDescent="0.2">
      <c r="A484">
        <v>403</v>
      </c>
      <c r="B484">
        <v>0</v>
      </c>
      <c r="C484">
        <v>0</v>
      </c>
    </row>
    <row r="485" spans="1:3" x14ac:dyDescent="0.2">
      <c r="A485">
        <v>412</v>
      </c>
      <c r="B485">
        <v>0</v>
      </c>
      <c r="C485">
        <v>0</v>
      </c>
    </row>
    <row r="486" spans="1:3" x14ac:dyDescent="0.2">
      <c r="A486">
        <v>417</v>
      </c>
      <c r="B486">
        <v>0</v>
      </c>
      <c r="C486">
        <v>0</v>
      </c>
    </row>
    <row r="487" spans="1:3" x14ac:dyDescent="0.2">
      <c r="A487">
        <v>425</v>
      </c>
      <c r="B487">
        <v>0</v>
      </c>
      <c r="C487">
        <v>0</v>
      </c>
    </row>
    <row r="488" spans="1:3" x14ac:dyDescent="0.2">
      <c r="A488">
        <v>430</v>
      </c>
      <c r="B488">
        <v>0</v>
      </c>
      <c r="C488">
        <v>0</v>
      </c>
    </row>
    <row r="489" spans="1:3" x14ac:dyDescent="0.2">
      <c r="A489">
        <v>431</v>
      </c>
      <c r="B489">
        <v>0</v>
      </c>
      <c r="C489">
        <v>0</v>
      </c>
    </row>
    <row r="490" spans="1:3" x14ac:dyDescent="0.2">
      <c r="A490">
        <v>434</v>
      </c>
      <c r="B490">
        <v>0</v>
      </c>
      <c r="C490">
        <v>0</v>
      </c>
    </row>
    <row r="491" spans="1:3" x14ac:dyDescent="0.2">
      <c r="A491">
        <v>445</v>
      </c>
      <c r="B491">
        <v>0</v>
      </c>
      <c r="C491">
        <v>0</v>
      </c>
    </row>
    <row r="492" spans="1:3" x14ac:dyDescent="0.2">
      <c r="A492">
        <v>456</v>
      </c>
      <c r="B492">
        <v>0</v>
      </c>
      <c r="C492">
        <v>0</v>
      </c>
    </row>
    <row r="493" spans="1:3" x14ac:dyDescent="0.2">
      <c r="A493">
        <v>457</v>
      </c>
      <c r="B493">
        <v>0</v>
      </c>
      <c r="C493">
        <v>0</v>
      </c>
    </row>
    <row r="494" spans="1:3" x14ac:dyDescent="0.2">
      <c r="A494">
        <v>461</v>
      </c>
      <c r="B494">
        <v>0</v>
      </c>
      <c r="C494">
        <v>0</v>
      </c>
    </row>
    <row r="495" spans="1:3" x14ac:dyDescent="0.2">
      <c r="A495">
        <v>470</v>
      </c>
      <c r="B495">
        <v>0</v>
      </c>
      <c r="C495">
        <v>0</v>
      </c>
    </row>
    <row r="496" spans="1:3" x14ac:dyDescent="0.2">
      <c r="A496">
        <v>472</v>
      </c>
      <c r="B496">
        <v>0</v>
      </c>
      <c r="C496">
        <v>0</v>
      </c>
    </row>
    <row r="497" spans="1:3" x14ac:dyDescent="0.2">
      <c r="A497">
        <v>482</v>
      </c>
      <c r="B497">
        <v>0</v>
      </c>
      <c r="C497">
        <v>0</v>
      </c>
    </row>
    <row r="498" spans="1:3" x14ac:dyDescent="0.2">
      <c r="A498">
        <v>485</v>
      </c>
      <c r="B498">
        <v>0</v>
      </c>
      <c r="C498">
        <v>0</v>
      </c>
    </row>
    <row r="499" spans="1:3" x14ac:dyDescent="0.2">
      <c r="A499">
        <v>490</v>
      </c>
      <c r="B499">
        <v>0</v>
      </c>
      <c r="C499">
        <v>0</v>
      </c>
    </row>
    <row r="500" spans="1:3" x14ac:dyDescent="0.2">
      <c r="A500">
        <v>491</v>
      </c>
      <c r="B500">
        <v>0</v>
      </c>
      <c r="C500">
        <v>0</v>
      </c>
    </row>
    <row r="501" spans="1:3" x14ac:dyDescent="0.2">
      <c r="A501">
        <v>496</v>
      </c>
      <c r="B501">
        <v>0</v>
      </c>
      <c r="C501">
        <v>0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P552"/>
  <sheetViews>
    <sheetView topLeftCell="D1" workbookViewId="0">
      <selection activeCell="P21" sqref="P21"/>
    </sheetView>
  </sheetViews>
  <sheetFormatPr baseColWidth="10" defaultRowHeight="16" x14ac:dyDescent="0.2"/>
  <cols>
    <col min="1" max="1" width="10.5" customWidth="1"/>
    <col min="2" max="2" width="19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bestFit="1" customWidth="1"/>
    <col min="11" max="11" width="15.83203125" bestFit="1" customWidth="1"/>
    <col min="12" max="12" width="16.83203125" bestFit="1" customWidth="1"/>
    <col min="13" max="13" width="23.1640625" bestFit="1" customWidth="1"/>
    <col min="19" max="19" width="13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27</v>
      </c>
      <c r="E1" t="s">
        <v>25</v>
      </c>
      <c r="F1" t="s">
        <v>26</v>
      </c>
    </row>
    <row r="2" spans="1:6" x14ac:dyDescent="0.2">
      <c r="A2">
        <v>1</v>
      </c>
      <c r="B2" s="7" t="s">
        <v>153</v>
      </c>
      <c r="C2" s="1">
        <v>45644</v>
      </c>
      <c r="D2" s="7" t="s">
        <v>153</v>
      </c>
      <c r="E2">
        <v>9.7750153504012394E-2</v>
      </c>
      <c r="F2">
        <v>9.7750153504012394E-2</v>
      </c>
    </row>
    <row r="3" spans="1:6" x14ac:dyDescent="0.2">
      <c r="A3">
        <v>1</v>
      </c>
      <c r="B3" s="7" t="s">
        <v>280</v>
      </c>
      <c r="C3" s="1">
        <v>45539</v>
      </c>
      <c r="D3" s="7" t="s">
        <v>280</v>
      </c>
      <c r="E3">
        <v>0.458855245396317</v>
      </c>
      <c r="F3">
        <v>0.458855245396317</v>
      </c>
    </row>
    <row r="4" spans="1:6" x14ac:dyDescent="0.2">
      <c r="A4">
        <v>2</v>
      </c>
      <c r="B4" s="7" t="s">
        <v>338</v>
      </c>
      <c r="C4" s="1">
        <v>45391</v>
      </c>
      <c r="D4" s="7" t="s">
        <v>338</v>
      </c>
      <c r="E4">
        <v>2.5596358888877201E-2</v>
      </c>
      <c r="F4">
        <v>2.5596358888877201E-2</v>
      </c>
    </row>
    <row r="5" spans="1:6" x14ac:dyDescent="0.2">
      <c r="A5">
        <v>3</v>
      </c>
      <c r="B5" s="7" t="s">
        <v>154</v>
      </c>
      <c r="C5" s="1">
        <v>45301</v>
      </c>
      <c r="D5" s="7" t="s">
        <v>154</v>
      </c>
      <c r="E5">
        <v>5.1285890770752803E-2</v>
      </c>
      <c r="F5">
        <v>5.1285890770752803E-2</v>
      </c>
    </row>
    <row r="6" spans="1:6" x14ac:dyDescent="0.2">
      <c r="A6">
        <v>6</v>
      </c>
      <c r="B6" s="7" t="s">
        <v>416</v>
      </c>
      <c r="C6" s="1">
        <v>45500</v>
      </c>
      <c r="D6" s="7" t="s">
        <v>416</v>
      </c>
      <c r="E6">
        <v>0.25448892155688102</v>
      </c>
      <c r="F6">
        <v>0.25448892155688102</v>
      </c>
    </row>
    <row r="7" spans="1:6" x14ac:dyDescent="0.2">
      <c r="A7">
        <v>6</v>
      </c>
      <c r="B7" s="7" t="s">
        <v>417</v>
      </c>
      <c r="C7" s="1">
        <v>45606</v>
      </c>
      <c r="D7" s="7" t="s">
        <v>417</v>
      </c>
      <c r="E7">
        <v>0.10056057649858501</v>
      </c>
      <c r="F7">
        <v>0.10056057649858501</v>
      </c>
    </row>
    <row r="8" spans="1:6" x14ac:dyDescent="0.2">
      <c r="A8">
        <v>7</v>
      </c>
      <c r="B8" s="7" t="s">
        <v>418</v>
      </c>
      <c r="C8" s="1">
        <v>45410</v>
      </c>
      <c r="D8" s="7" t="s">
        <v>418</v>
      </c>
      <c r="E8">
        <v>0.30406397220303399</v>
      </c>
      <c r="F8">
        <v>0.30406397220303399</v>
      </c>
    </row>
    <row r="9" spans="1:6" x14ac:dyDescent="0.2">
      <c r="A9">
        <v>9</v>
      </c>
      <c r="B9" s="7" t="s">
        <v>419</v>
      </c>
      <c r="C9" s="1">
        <v>45358</v>
      </c>
      <c r="D9" s="7" t="s">
        <v>419</v>
      </c>
      <c r="E9">
        <v>0.15652070059307399</v>
      </c>
      <c r="F9">
        <v>0.15652070059307399</v>
      </c>
    </row>
    <row r="10" spans="1:6" x14ac:dyDescent="0.2">
      <c r="A10">
        <v>10</v>
      </c>
      <c r="B10" s="7" t="s">
        <v>281</v>
      </c>
      <c r="C10" s="1">
        <v>45425</v>
      </c>
      <c r="D10" s="7" t="s">
        <v>281</v>
      </c>
      <c r="E10">
        <v>0.18820243128675301</v>
      </c>
      <c r="F10">
        <v>0.18820243128675301</v>
      </c>
    </row>
    <row r="11" spans="1:6" x14ac:dyDescent="0.2">
      <c r="A11">
        <v>12</v>
      </c>
      <c r="B11" s="7" t="s">
        <v>339</v>
      </c>
      <c r="C11" s="1">
        <v>45531</v>
      </c>
      <c r="D11" s="7" t="s">
        <v>339</v>
      </c>
      <c r="E11">
        <v>2.1710237067861901E-3</v>
      </c>
      <c r="F11">
        <v>2.1710237067861901E-3</v>
      </c>
    </row>
    <row r="12" spans="1:6" x14ac:dyDescent="0.2">
      <c r="A12">
        <v>13</v>
      </c>
      <c r="B12" s="7" t="s">
        <v>155</v>
      </c>
      <c r="C12" s="1">
        <v>45595</v>
      </c>
      <c r="D12" s="7" t="s">
        <v>155</v>
      </c>
      <c r="E12">
        <v>5.9037460126752601E-2</v>
      </c>
      <c r="F12">
        <v>5.9037460126752601E-2</v>
      </c>
    </row>
    <row r="13" spans="1:6" x14ac:dyDescent="0.2">
      <c r="A13">
        <v>14</v>
      </c>
      <c r="B13" s="7" t="s">
        <v>420</v>
      </c>
      <c r="C13" s="1">
        <v>45444</v>
      </c>
      <c r="D13" s="7" t="s">
        <v>420</v>
      </c>
      <c r="E13">
        <v>0.25291602268996699</v>
      </c>
      <c r="F13">
        <v>0.25291602268996699</v>
      </c>
    </row>
    <row r="14" spans="1:6" x14ac:dyDescent="0.2">
      <c r="A14">
        <v>15</v>
      </c>
      <c r="B14" s="7" t="s">
        <v>421</v>
      </c>
      <c r="C14" s="1">
        <v>45572</v>
      </c>
      <c r="D14" s="7" t="s">
        <v>421</v>
      </c>
      <c r="E14">
        <v>0.15169588482694099</v>
      </c>
      <c r="F14">
        <v>0.15169588482694099</v>
      </c>
    </row>
    <row r="15" spans="1:6" x14ac:dyDescent="0.2">
      <c r="A15">
        <v>15</v>
      </c>
      <c r="B15" s="7" t="s">
        <v>422</v>
      </c>
      <c r="C15" s="1">
        <v>45471</v>
      </c>
      <c r="D15" s="7" t="s">
        <v>422</v>
      </c>
      <c r="E15">
        <v>0.16208226017895699</v>
      </c>
      <c r="F15">
        <v>0.16208226017895699</v>
      </c>
    </row>
    <row r="16" spans="1:6" x14ac:dyDescent="0.2">
      <c r="A16">
        <v>17</v>
      </c>
      <c r="B16" s="7" t="s">
        <v>340</v>
      </c>
      <c r="C16" s="1">
        <v>45458</v>
      </c>
      <c r="D16" s="7" t="s">
        <v>340</v>
      </c>
      <c r="E16">
        <v>0.15571806457147899</v>
      </c>
      <c r="F16">
        <v>0.15571806457147899</v>
      </c>
    </row>
    <row r="17" spans="1:16" x14ac:dyDescent="0.2">
      <c r="A17">
        <v>17</v>
      </c>
      <c r="B17" s="7" t="s">
        <v>423</v>
      </c>
      <c r="C17" s="1">
        <v>45338</v>
      </c>
      <c r="D17" s="7" t="s">
        <v>423</v>
      </c>
      <c r="E17">
        <v>0.29747748864272699</v>
      </c>
      <c r="F17">
        <v>0.29747748864272699</v>
      </c>
    </row>
    <row r="18" spans="1:16" x14ac:dyDescent="0.2">
      <c r="A18">
        <v>18</v>
      </c>
      <c r="B18" s="7" t="s">
        <v>282</v>
      </c>
      <c r="C18" s="1">
        <v>45594</v>
      </c>
      <c r="D18" s="7" t="s">
        <v>282</v>
      </c>
      <c r="E18">
        <v>0.29368745625744003</v>
      </c>
      <c r="F18">
        <v>0.29368745625744003</v>
      </c>
    </row>
    <row r="19" spans="1:16" x14ac:dyDescent="0.2">
      <c r="A19">
        <v>18</v>
      </c>
      <c r="B19" s="7" t="s">
        <v>283</v>
      </c>
      <c r="C19" s="1">
        <v>45498</v>
      </c>
      <c r="D19" s="7" t="s">
        <v>283</v>
      </c>
      <c r="E19">
        <v>7.9646940942862302E-2</v>
      </c>
      <c r="F19">
        <v>7.9646940942862302E-2</v>
      </c>
    </row>
    <row r="20" spans="1:16" x14ac:dyDescent="0.2">
      <c r="A20">
        <v>19</v>
      </c>
      <c r="B20" s="7" t="s">
        <v>156</v>
      </c>
      <c r="C20" s="1">
        <v>45602</v>
      </c>
      <c r="D20" s="7" t="s">
        <v>156</v>
      </c>
      <c r="E20">
        <v>0.22523490315536099</v>
      </c>
      <c r="F20">
        <v>0.22523490315536099</v>
      </c>
    </row>
    <row r="21" spans="1:16" x14ac:dyDescent="0.2">
      <c r="A21">
        <v>22</v>
      </c>
      <c r="B21" s="7" t="s">
        <v>424</v>
      </c>
      <c r="C21" s="1">
        <v>45329</v>
      </c>
      <c r="D21" s="7" t="s">
        <v>424</v>
      </c>
      <c r="E21">
        <v>2.9979301203309799E-2</v>
      </c>
      <c r="F21">
        <v>2.9979301203309799E-2</v>
      </c>
    </row>
    <row r="22" spans="1:16" x14ac:dyDescent="0.2">
      <c r="A22">
        <v>23</v>
      </c>
      <c r="B22" s="7" t="s">
        <v>425</v>
      </c>
      <c r="C22" s="1">
        <v>45465</v>
      </c>
      <c r="D22" s="7" t="s">
        <v>425</v>
      </c>
      <c r="E22">
        <v>0.30881388302581902</v>
      </c>
      <c r="F22">
        <v>0.30881388302581902</v>
      </c>
    </row>
    <row r="23" spans="1:16" x14ac:dyDescent="0.2">
      <c r="A23">
        <v>25</v>
      </c>
      <c r="B23" s="7" t="s">
        <v>426</v>
      </c>
      <c r="C23" s="1">
        <v>45421</v>
      </c>
      <c r="D23" s="7" t="s">
        <v>426</v>
      </c>
      <c r="E23">
        <v>1.2615023854811599E-2</v>
      </c>
      <c r="F23">
        <v>1.2615023854811599E-2</v>
      </c>
    </row>
    <row r="24" spans="1:16" x14ac:dyDescent="0.2">
      <c r="A24">
        <v>26</v>
      </c>
      <c r="B24" s="7" t="s">
        <v>427</v>
      </c>
      <c r="C24" s="1">
        <v>45312</v>
      </c>
      <c r="D24" s="7" t="s">
        <v>427</v>
      </c>
      <c r="E24">
        <v>0.10365784292392501</v>
      </c>
      <c r="F24">
        <v>0.10365784292392501</v>
      </c>
      <c r="P24" t="s">
        <v>150</v>
      </c>
    </row>
    <row r="25" spans="1:16" x14ac:dyDescent="0.2">
      <c r="A25">
        <v>27</v>
      </c>
      <c r="B25" s="7" t="s">
        <v>428</v>
      </c>
      <c r="C25" s="1">
        <v>45378</v>
      </c>
      <c r="D25" s="7" t="s">
        <v>428</v>
      </c>
      <c r="E25">
        <v>0.27649220954902098</v>
      </c>
      <c r="F25">
        <v>0.27649220954902098</v>
      </c>
    </row>
    <row r="26" spans="1:16" x14ac:dyDescent="0.2">
      <c r="A26">
        <v>28</v>
      </c>
      <c r="B26" s="7" t="s">
        <v>429</v>
      </c>
      <c r="C26" s="1">
        <v>45493</v>
      </c>
      <c r="D26" s="7" t="s">
        <v>429</v>
      </c>
      <c r="E26">
        <v>0.27271410573104499</v>
      </c>
      <c r="F26">
        <v>0.27271410573104499</v>
      </c>
    </row>
    <row r="27" spans="1:16" x14ac:dyDescent="0.2">
      <c r="A27">
        <v>29</v>
      </c>
      <c r="B27" s="7" t="s">
        <v>430</v>
      </c>
      <c r="C27" s="1">
        <v>45535</v>
      </c>
      <c r="D27" s="7" t="s">
        <v>430</v>
      </c>
      <c r="E27">
        <v>3.22296036480621E-2</v>
      </c>
      <c r="F27">
        <v>3.22296036480621E-2</v>
      </c>
    </row>
    <row r="28" spans="1:16" x14ac:dyDescent="0.2">
      <c r="A28">
        <v>29</v>
      </c>
      <c r="B28" s="7" t="s">
        <v>157</v>
      </c>
      <c r="C28" s="1">
        <v>45297</v>
      </c>
      <c r="D28" s="7" t="s">
        <v>157</v>
      </c>
      <c r="E28">
        <v>0.22271448863304999</v>
      </c>
      <c r="F28">
        <v>0.22271448863304999</v>
      </c>
    </row>
    <row r="29" spans="1:16" x14ac:dyDescent="0.2">
      <c r="A29">
        <v>30</v>
      </c>
      <c r="B29" s="7" t="s">
        <v>431</v>
      </c>
      <c r="C29" s="1">
        <v>45518</v>
      </c>
      <c r="D29" s="7" t="s">
        <v>431</v>
      </c>
      <c r="E29">
        <v>0.245541328066473</v>
      </c>
      <c r="F29">
        <v>0.245541328066473</v>
      </c>
    </row>
    <row r="30" spans="1:16" x14ac:dyDescent="0.2">
      <c r="A30">
        <v>30</v>
      </c>
      <c r="B30" s="7" t="s">
        <v>432</v>
      </c>
      <c r="C30" s="1">
        <v>45530</v>
      </c>
      <c r="D30" s="7" t="s">
        <v>432</v>
      </c>
      <c r="E30">
        <v>0.105802429984982</v>
      </c>
      <c r="F30">
        <v>0.105802429984982</v>
      </c>
    </row>
    <row r="31" spans="1:16" x14ac:dyDescent="0.2">
      <c r="A31">
        <v>33</v>
      </c>
      <c r="B31" s="7" t="s">
        <v>341</v>
      </c>
      <c r="C31" s="1">
        <v>45488</v>
      </c>
      <c r="D31" s="7" t="s">
        <v>341</v>
      </c>
      <c r="E31">
        <v>0.17071688261944201</v>
      </c>
      <c r="F31">
        <v>0.17071688261944201</v>
      </c>
    </row>
    <row r="32" spans="1:16" x14ac:dyDescent="0.2">
      <c r="A32">
        <v>35</v>
      </c>
      <c r="B32" s="7" t="s">
        <v>433</v>
      </c>
      <c r="C32" s="1">
        <v>45403</v>
      </c>
      <c r="D32" s="7" t="s">
        <v>433</v>
      </c>
      <c r="E32">
        <v>0.129675768227657</v>
      </c>
      <c r="F32">
        <v>0.129675768227657</v>
      </c>
    </row>
    <row r="33" spans="1:6" x14ac:dyDescent="0.2">
      <c r="A33">
        <v>35</v>
      </c>
      <c r="B33" s="7" t="s">
        <v>342</v>
      </c>
      <c r="C33" s="1">
        <v>45482</v>
      </c>
      <c r="D33" s="7" t="s">
        <v>342</v>
      </c>
      <c r="E33">
        <v>0.281345821695966</v>
      </c>
      <c r="F33">
        <v>0.281345821695966</v>
      </c>
    </row>
    <row r="34" spans="1:6" x14ac:dyDescent="0.2">
      <c r="A34">
        <v>36</v>
      </c>
      <c r="B34" s="7" t="s">
        <v>284</v>
      </c>
      <c r="C34" s="1">
        <v>45301</v>
      </c>
      <c r="D34" s="7" t="s">
        <v>284</v>
      </c>
      <c r="E34">
        <v>9.6974253795365895E-2</v>
      </c>
      <c r="F34">
        <v>9.6974253795365895E-2</v>
      </c>
    </row>
    <row r="35" spans="1:6" x14ac:dyDescent="0.2">
      <c r="A35">
        <v>37</v>
      </c>
      <c r="B35" s="7" t="s">
        <v>434</v>
      </c>
      <c r="C35" s="1">
        <v>45596</v>
      </c>
      <c r="D35" s="7" t="s">
        <v>434</v>
      </c>
      <c r="E35">
        <v>0.206012633015145</v>
      </c>
      <c r="F35">
        <v>0.206012633015145</v>
      </c>
    </row>
    <row r="36" spans="1:6" x14ac:dyDescent="0.2">
      <c r="A36">
        <v>38</v>
      </c>
      <c r="B36" s="7" t="s">
        <v>343</v>
      </c>
      <c r="C36" s="1">
        <v>45583</v>
      </c>
      <c r="D36" s="7" t="s">
        <v>343</v>
      </c>
      <c r="E36">
        <v>0.35796906492716601</v>
      </c>
      <c r="F36">
        <v>0.35796906492716601</v>
      </c>
    </row>
    <row r="37" spans="1:6" x14ac:dyDescent="0.2">
      <c r="A37">
        <v>38</v>
      </c>
      <c r="B37" s="7" t="s">
        <v>285</v>
      </c>
      <c r="C37" s="1">
        <v>45314</v>
      </c>
      <c r="D37" s="7" t="s">
        <v>285</v>
      </c>
      <c r="E37">
        <v>0.18161903682106401</v>
      </c>
      <c r="F37">
        <v>0.18161903682106401</v>
      </c>
    </row>
    <row r="38" spans="1:6" x14ac:dyDescent="0.2">
      <c r="A38">
        <v>39</v>
      </c>
      <c r="B38" s="7" t="s">
        <v>435</v>
      </c>
      <c r="C38" s="1">
        <v>45423</v>
      </c>
      <c r="D38" s="7" t="s">
        <v>435</v>
      </c>
      <c r="E38">
        <v>7.9946959613307306E-2</v>
      </c>
      <c r="F38">
        <v>7.9946959613307306E-2</v>
      </c>
    </row>
    <row r="39" spans="1:6" x14ac:dyDescent="0.2">
      <c r="A39">
        <v>40</v>
      </c>
      <c r="B39" s="7" t="s">
        <v>286</v>
      </c>
      <c r="C39" s="1">
        <v>45494</v>
      </c>
      <c r="D39" s="7" t="s">
        <v>286</v>
      </c>
      <c r="E39">
        <v>5.9275932896998999E-2</v>
      </c>
      <c r="F39">
        <v>5.9275932896998999E-2</v>
      </c>
    </row>
    <row r="40" spans="1:6" x14ac:dyDescent="0.2">
      <c r="A40">
        <v>40</v>
      </c>
      <c r="B40" s="7" t="s">
        <v>287</v>
      </c>
      <c r="C40" s="1">
        <v>45537</v>
      </c>
      <c r="D40" s="7" t="s">
        <v>287</v>
      </c>
      <c r="E40">
        <v>0.21471571865464201</v>
      </c>
      <c r="F40">
        <v>0.21471571865464201</v>
      </c>
    </row>
    <row r="41" spans="1:6" x14ac:dyDescent="0.2">
      <c r="A41">
        <v>41</v>
      </c>
      <c r="B41" s="7" t="s">
        <v>344</v>
      </c>
      <c r="C41" s="1">
        <v>45469</v>
      </c>
      <c r="D41" s="7" t="s">
        <v>344</v>
      </c>
      <c r="E41">
        <v>0.38588380833914299</v>
      </c>
      <c r="F41">
        <v>0.38588380833914299</v>
      </c>
    </row>
    <row r="42" spans="1:6" x14ac:dyDescent="0.2">
      <c r="A42">
        <v>41</v>
      </c>
      <c r="B42" s="7" t="s">
        <v>436</v>
      </c>
      <c r="C42" s="1">
        <v>45542</v>
      </c>
      <c r="D42" s="7" t="s">
        <v>436</v>
      </c>
      <c r="E42">
        <v>0.14267187958111999</v>
      </c>
      <c r="F42">
        <v>0.14267187958111999</v>
      </c>
    </row>
    <row r="43" spans="1:6" x14ac:dyDescent="0.2">
      <c r="A43">
        <v>42</v>
      </c>
      <c r="B43" s="7" t="s">
        <v>288</v>
      </c>
      <c r="C43" s="1">
        <v>45613</v>
      </c>
      <c r="D43" s="7" t="s">
        <v>288</v>
      </c>
      <c r="E43">
        <v>0.14696667492530099</v>
      </c>
      <c r="F43">
        <v>0.14696667492530099</v>
      </c>
    </row>
    <row r="44" spans="1:6" x14ac:dyDescent="0.2">
      <c r="A44">
        <v>43</v>
      </c>
      <c r="B44" s="7" t="s">
        <v>437</v>
      </c>
      <c r="C44" s="1">
        <v>45567</v>
      </c>
      <c r="D44" s="7" t="s">
        <v>437</v>
      </c>
      <c r="E44">
        <v>4.9478220511179803E-2</v>
      </c>
      <c r="F44">
        <v>4.9478220511179803E-2</v>
      </c>
    </row>
    <row r="45" spans="1:6" x14ac:dyDescent="0.2">
      <c r="A45">
        <v>44</v>
      </c>
      <c r="B45" s="7" t="s">
        <v>289</v>
      </c>
      <c r="C45" s="1">
        <v>45490</v>
      </c>
      <c r="D45" s="7" t="s">
        <v>289</v>
      </c>
      <c r="E45">
        <v>0.27277944150422201</v>
      </c>
      <c r="F45">
        <v>0.27277944150422201</v>
      </c>
    </row>
    <row r="46" spans="1:6" x14ac:dyDescent="0.2">
      <c r="A46">
        <v>45</v>
      </c>
      <c r="B46" s="7" t="s">
        <v>438</v>
      </c>
      <c r="C46" s="1">
        <v>45633</v>
      </c>
      <c r="D46" s="7" t="s">
        <v>438</v>
      </c>
      <c r="E46">
        <v>9.2939434696544698E-2</v>
      </c>
      <c r="F46">
        <v>9.2939434696544698E-2</v>
      </c>
    </row>
    <row r="47" spans="1:6" x14ac:dyDescent="0.2">
      <c r="A47">
        <v>45</v>
      </c>
      <c r="B47" s="7" t="s">
        <v>290</v>
      </c>
      <c r="C47" s="1">
        <v>45512</v>
      </c>
      <c r="D47" s="7" t="s">
        <v>290</v>
      </c>
      <c r="E47">
        <v>0.103562781039526</v>
      </c>
      <c r="F47">
        <v>0.103562781039526</v>
      </c>
    </row>
    <row r="48" spans="1:6" x14ac:dyDescent="0.2">
      <c r="A48">
        <v>46</v>
      </c>
      <c r="B48" s="7" t="s">
        <v>158</v>
      </c>
      <c r="C48" s="1">
        <v>45472</v>
      </c>
      <c r="D48" s="7" t="s">
        <v>158</v>
      </c>
      <c r="E48">
        <v>0.21286070986789801</v>
      </c>
      <c r="F48">
        <v>0.21286070986789801</v>
      </c>
    </row>
    <row r="49" spans="1:6" x14ac:dyDescent="0.2">
      <c r="A49">
        <v>46</v>
      </c>
      <c r="B49" s="7" t="s">
        <v>159</v>
      </c>
      <c r="C49" s="1">
        <v>45593</v>
      </c>
      <c r="D49" s="7" t="s">
        <v>159</v>
      </c>
      <c r="E49">
        <v>0.10561391617423101</v>
      </c>
      <c r="F49">
        <v>0.10561391617423101</v>
      </c>
    </row>
    <row r="50" spans="1:6" x14ac:dyDescent="0.2">
      <c r="A50">
        <v>47</v>
      </c>
      <c r="B50" s="7" t="s">
        <v>439</v>
      </c>
      <c r="C50" s="1">
        <v>45520</v>
      </c>
      <c r="D50" s="7" t="s">
        <v>439</v>
      </c>
      <c r="E50">
        <v>0.20811429924838901</v>
      </c>
      <c r="F50">
        <v>0.20811429924838901</v>
      </c>
    </row>
    <row r="51" spans="1:6" x14ac:dyDescent="0.2">
      <c r="A51">
        <v>47</v>
      </c>
      <c r="B51" s="7" t="s">
        <v>440</v>
      </c>
      <c r="C51" s="1">
        <v>45515</v>
      </c>
      <c r="D51" s="7" t="s">
        <v>440</v>
      </c>
      <c r="E51">
        <v>0.29215800278999399</v>
      </c>
      <c r="F51">
        <v>0.29215800278999399</v>
      </c>
    </row>
    <row r="52" spans="1:6" x14ac:dyDescent="0.2">
      <c r="A52">
        <v>48</v>
      </c>
      <c r="B52" s="7" t="s">
        <v>441</v>
      </c>
      <c r="C52" s="1">
        <v>45478</v>
      </c>
      <c r="D52" s="7" t="s">
        <v>441</v>
      </c>
      <c r="E52">
        <v>0.242596905095704</v>
      </c>
      <c r="F52">
        <v>0.242596905095704</v>
      </c>
    </row>
    <row r="53" spans="1:6" x14ac:dyDescent="0.2">
      <c r="A53">
        <v>49</v>
      </c>
      <c r="B53" s="7" t="s">
        <v>160</v>
      </c>
      <c r="C53" s="1">
        <v>45509</v>
      </c>
      <c r="D53" s="7" t="s">
        <v>160</v>
      </c>
      <c r="E53">
        <v>0.29442568196550001</v>
      </c>
      <c r="F53">
        <v>0.29442568196550001</v>
      </c>
    </row>
    <row r="54" spans="1:6" x14ac:dyDescent="0.2">
      <c r="A54">
        <v>49</v>
      </c>
      <c r="B54" s="7" t="s">
        <v>161</v>
      </c>
      <c r="C54" s="1">
        <v>45592</v>
      </c>
      <c r="D54" s="7" t="s">
        <v>161</v>
      </c>
      <c r="E54">
        <v>0.34308970179369702</v>
      </c>
      <c r="F54">
        <v>0.34308970179369702</v>
      </c>
    </row>
    <row r="55" spans="1:6" x14ac:dyDescent="0.2">
      <c r="A55">
        <v>51</v>
      </c>
      <c r="B55" s="7" t="s">
        <v>162</v>
      </c>
      <c r="C55" s="1">
        <v>45358</v>
      </c>
      <c r="D55" s="7" t="s">
        <v>162</v>
      </c>
      <c r="E55">
        <v>8.9862249674254602E-2</v>
      </c>
      <c r="F55">
        <v>8.9862249674254602E-2</v>
      </c>
    </row>
    <row r="56" spans="1:6" x14ac:dyDescent="0.2">
      <c r="A56">
        <v>51</v>
      </c>
      <c r="B56" s="7" t="s">
        <v>442</v>
      </c>
      <c r="C56" s="1">
        <v>45586</v>
      </c>
      <c r="D56" s="7" t="s">
        <v>442</v>
      </c>
      <c r="E56">
        <v>4.4925777138070402E-2</v>
      </c>
      <c r="F56">
        <v>4.4925777138070402E-2</v>
      </c>
    </row>
    <row r="57" spans="1:6" x14ac:dyDescent="0.2">
      <c r="A57">
        <v>52</v>
      </c>
      <c r="B57" s="7" t="s">
        <v>163</v>
      </c>
      <c r="C57" s="1">
        <v>45509</v>
      </c>
      <c r="D57" s="7" t="s">
        <v>163</v>
      </c>
      <c r="E57">
        <v>0.243744793938763</v>
      </c>
      <c r="F57">
        <v>0.243744793938763</v>
      </c>
    </row>
    <row r="58" spans="1:6" x14ac:dyDescent="0.2">
      <c r="A58">
        <v>54</v>
      </c>
      <c r="B58" s="7" t="s">
        <v>164</v>
      </c>
      <c r="C58" s="1">
        <v>45429</v>
      </c>
      <c r="D58" s="7" t="s">
        <v>164</v>
      </c>
      <c r="E58">
        <v>7.8628008635304197E-2</v>
      </c>
      <c r="F58">
        <v>7.8628008635304197E-2</v>
      </c>
    </row>
    <row r="59" spans="1:6" x14ac:dyDescent="0.2">
      <c r="A59">
        <v>54</v>
      </c>
      <c r="B59" s="7" t="s">
        <v>291</v>
      </c>
      <c r="C59" s="1">
        <v>45656</v>
      </c>
      <c r="D59" s="7" t="s">
        <v>291</v>
      </c>
      <c r="E59">
        <v>2.2083347864087999E-2</v>
      </c>
      <c r="F59">
        <v>2.2083347864087999E-2</v>
      </c>
    </row>
    <row r="60" spans="1:6" x14ac:dyDescent="0.2">
      <c r="A60">
        <v>55</v>
      </c>
      <c r="B60" s="7" t="s">
        <v>443</v>
      </c>
      <c r="C60" s="1">
        <v>45358</v>
      </c>
      <c r="D60" s="7" t="s">
        <v>443</v>
      </c>
      <c r="E60">
        <v>0.28550977972983499</v>
      </c>
      <c r="F60">
        <v>0.28550977972983499</v>
      </c>
    </row>
    <row r="61" spans="1:6" x14ac:dyDescent="0.2">
      <c r="A61">
        <v>56</v>
      </c>
      <c r="B61" s="7" t="s">
        <v>345</v>
      </c>
      <c r="C61" s="1">
        <v>45320</v>
      </c>
      <c r="D61" s="7" t="s">
        <v>345</v>
      </c>
      <c r="E61">
        <v>0.177621414716852</v>
      </c>
      <c r="F61">
        <v>0.177621414716852</v>
      </c>
    </row>
    <row r="62" spans="1:6" x14ac:dyDescent="0.2">
      <c r="A62">
        <v>56</v>
      </c>
      <c r="B62" s="7" t="s">
        <v>165</v>
      </c>
      <c r="C62" s="1">
        <v>45311</v>
      </c>
      <c r="D62" s="7" t="s">
        <v>165</v>
      </c>
      <c r="E62">
        <v>7.3836472158057401E-2</v>
      </c>
      <c r="F62">
        <v>7.3836472158057401E-2</v>
      </c>
    </row>
    <row r="63" spans="1:6" x14ac:dyDescent="0.2">
      <c r="A63">
        <v>57</v>
      </c>
      <c r="B63" s="7" t="s">
        <v>346</v>
      </c>
      <c r="C63" s="1">
        <v>45336</v>
      </c>
      <c r="D63" s="7" t="s">
        <v>346</v>
      </c>
      <c r="E63">
        <v>3.1047836650232199E-3</v>
      </c>
      <c r="F63">
        <v>3.1047836650232199E-3</v>
      </c>
    </row>
    <row r="64" spans="1:6" x14ac:dyDescent="0.2">
      <c r="A64">
        <v>57</v>
      </c>
      <c r="B64" s="7" t="s">
        <v>444</v>
      </c>
      <c r="C64" s="1">
        <v>45623</v>
      </c>
      <c r="D64" s="7" t="s">
        <v>444</v>
      </c>
      <c r="E64">
        <v>0.35521125621836802</v>
      </c>
      <c r="F64">
        <v>0.35521125621836802</v>
      </c>
    </row>
    <row r="65" spans="1:6" x14ac:dyDescent="0.2">
      <c r="A65">
        <v>58</v>
      </c>
      <c r="B65" s="7" t="s">
        <v>445</v>
      </c>
      <c r="C65" s="1">
        <v>45432</v>
      </c>
      <c r="D65" s="7" t="s">
        <v>445</v>
      </c>
      <c r="E65">
        <v>0.24678371144897199</v>
      </c>
      <c r="F65">
        <v>0.24678371144897199</v>
      </c>
    </row>
    <row r="66" spans="1:6" x14ac:dyDescent="0.2">
      <c r="A66">
        <v>60</v>
      </c>
      <c r="B66" s="7" t="s">
        <v>446</v>
      </c>
      <c r="C66" s="1">
        <v>45418</v>
      </c>
      <c r="D66" s="7" t="s">
        <v>446</v>
      </c>
      <c r="E66">
        <v>7.9332805058895506E-2</v>
      </c>
      <c r="F66">
        <v>7.9332805058895506E-2</v>
      </c>
    </row>
    <row r="67" spans="1:6" x14ac:dyDescent="0.2">
      <c r="A67">
        <v>61</v>
      </c>
      <c r="B67" s="7" t="s">
        <v>292</v>
      </c>
      <c r="C67" s="1">
        <v>45618</v>
      </c>
      <c r="D67" s="7" t="s">
        <v>292</v>
      </c>
      <c r="E67">
        <v>0.100859476501755</v>
      </c>
      <c r="F67">
        <v>0.100859476501755</v>
      </c>
    </row>
    <row r="68" spans="1:6" x14ac:dyDescent="0.2">
      <c r="A68">
        <v>62</v>
      </c>
      <c r="B68" s="7" t="s">
        <v>447</v>
      </c>
      <c r="C68" s="1">
        <v>45458</v>
      </c>
      <c r="D68" s="7" t="s">
        <v>447</v>
      </c>
      <c r="E68">
        <v>0.42231682666848802</v>
      </c>
      <c r="F68">
        <v>0.42231682666848802</v>
      </c>
    </row>
    <row r="69" spans="1:6" x14ac:dyDescent="0.2">
      <c r="A69">
        <v>62</v>
      </c>
      <c r="B69" s="7" t="s">
        <v>293</v>
      </c>
      <c r="C69" s="1">
        <v>45546</v>
      </c>
      <c r="D69" s="7" t="s">
        <v>293</v>
      </c>
      <c r="E69">
        <v>0.13024112627682699</v>
      </c>
      <c r="F69">
        <v>0.13024112627682699</v>
      </c>
    </row>
    <row r="70" spans="1:6" x14ac:dyDescent="0.2">
      <c r="A70">
        <v>63</v>
      </c>
      <c r="B70" s="7" t="s">
        <v>448</v>
      </c>
      <c r="C70" s="1">
        <v>45362</v>
      </c>
      <c r="D70" s="7" t="s">
        <v>448</v>
      </c>
      <c r="E70">
        <v>0.302020883837891</v>
      </c>
      <c r="F70">
        <v>0.302020883837891</v>
      </c>
    </row>
    <row r="71" spans="1:6" x14ac:dyDescent="0.2">
      <c r="A71">
        <v>64</v>
      </c>
      <c r="B71" s="7" t="s">
        <v>347</v>
      </c>
      <c r="C71" s="1">
        <v>45555</v>
      </c>
      <c r="D71" s="7" t="s">
        <v>347</v>
      </c>
      <c r="E71">
        <v>0.16284454725382899</v>
      </c>
      <c r="F71">
        <v>0.16284454725382899</v>
      </c>
    </row>
    <row r="72" spans="1:6" x14ac:dyDescent="0.2">
      <c r="A72">
        <v>64</v>
      </c>
      <c r="B72" s="7" t="s">
        <v>348</v>
      </c>
      <c r="C72" s="1">
        <v>45358</v>
      </c>
      <c r="D72" s="7" t="s">
        <v>348</v>
      </c>
      <c r="E72">
        <v>0.196675150730522</v>
      </c>
      <c r="F72">
        <v>0.196675150730522</v>
      </c>
    </row>
    <row r="73" spans="1:6" x14ac:dyDescent="0.2">
      <c r="A73">
        <v>66</v>
      </c>
      <c r="B73" s="7" t="s">
        <v>166</v>
      </c>
      <c r="C73" s="1">
        <v>45534</v>
      </c>
      <c r="D73" s="7" t="s">
        <v>166</v>
      </c>
      <c r="E73">
        <v>0.35448175121283299</v>
      </c>
      <c r="F73">
        <v>0.35448175121283299</v>
      </c>
    </row>
    <row r="74" spans="1:6" x14ac:dyDescent="0.2">
      <c r="A74">
        <v>70</v>
      </c>
      <c r="B74" s="7" t="s">
        <v>349</v>
      </c>
      <c r="C74" s="1">
        <v>45464</v>
      </c>
      <c r="D74" s="7" t="s">
        <v>349</v>
      </c>
      <c r="E74">
        <v>1.1803321686785301E-2</v>
      </c>
      <c r="F74">
        <v>1.1803321686785301E-2</v>
      </c>
    </row>
    <row r="75" spans="1:6" x14ac:dyDescent="0.2">
      <c r="A75">
        <v>71</v>
      </c>
      <c r="B75" s="7" t="s">
        <v>167</v>
      </c>
      <c r="C75" s="1">
        <v>45582</v>
      </c>
      <c r="D75" s="7" t="s">
        <v>167</v>
      </c>
      <c r="E75">
        <v>0.19508093395569501</v>
      </c>
      <c r="F75">
        <v>0.19508093395569501</v>
      </c>
    </row>
    <row r="76" spans="1:6" x14ac:dyDescent="0.2">
      <c r="A76">
        <v>72</v>
      </c>
      <c r="B76" s="7" t="s">
        <v>294</v>
      </c>
      <c r="C76" s="1">
        <v>45355</v>
      </c>
      <c r="D76" s="7" t="s">
        <v>294</v>
      </c>
      <c r="E76">
        <v>0.238353186852029</v>
      </c>
      <c r="F76">
        <v>0.238353186852029</v>
      </c>
    </row>
    <row r="77" spans="1:6" x14ac:dyDescent="0.2">
      <c r="A77">
        <v>73</v>
      </c>
      <c r="B77" s="7" t="s">
        <v>449</v>
      </c>
      <c r="C77" s="1">
        <v>45589</v>
      </c>
      <c r="D77" s="7" t="s">
        <v>449</v>
      </c>
      <c r="E77">
        <v>0.23133151779079</v>
      </c>
      <c r="F77">
        <v>0.23133151779079</v>
      </c>
    </row>
    <row r="78" spans="1:6" x14ac:dyDescent="0.2">
      <c r="A78">
        <v>74</v>
      </c>
      <c r="B78" s="7" t="s">
        <v>168</v>
      </c>
      <c r="C78" s="1">
        <v>45520</v>
      </c>
      <c r="D78" s="7" t="s">
        <v>168</v>
      </c>
      <c r="E78">
        <v>4.7759491382392702E-2</v>
      </c>
      <c r="F78">
        <v>4.7759491382392702E-2</v>
      </c>
    </row>
    <row r="79" spans="1:6" x14ac:dyDescent="0.2">
      <c r="A79">
        <v>74</v>
      </c>
      <c r="B79" s="7" t="s">
        <v>169</v>
      </c>
      <c r="C79" s="1">
        <v>45656</v>
      </c>
      <c r="D79" s="7" t="s">
        <v>169</v>
      </c>
      <c r="E79">
        <v>0.29038628525315902</v>
      </c>
      <c r="F79">
        <v>0.29038628525315902</v>
      </c>
    </row>
    <row r="80" spans="1:6" x14ac:dyDescent="0.2">
      <c r="A80">
        <v>75</v>
      </c>
      <c r="B80" s="7" t="s">
        <v>170</v>
      </c>
      <c r="C80" s="1">
        <v>45518</v>
      </c>
      <c r="D80" s="7" t="s">
        <v>170</v>
      </c>
      <c r="E80">
        <v>0.111016153532811</v>
      </c>
      <c r="F80">
        <v>0.111016153532811</v>
      </c>
    </row>
    <row r="81" spans="1:6" x14ac:dyDescent="0.2">
      <c r="A81">
        <v>76</v>
      </c>
      <c r="B81" s="7" t="s">
        <v>350</v>
      </c>
      <c r="C81" s="1">
        <v>45534</v>
      </c>
      <c r="D81" s="7" t="s">
        <v>350</v>
      </c>
      <c r="E81">
        <v>1.25495297394771E-2</v>
      </c>
      <c r="F81">
        <v>1.25495297394771E-2</v>
      </c>
    </row>
    <row r="82" spans="1:6" x14ac:dyDescent="0.2">
      <c r="A82">
        <v>76</v>
      </c>
      <c r="B82" s="7" t="s">
        <v>351</v>
      </c>
      <c r="C82" s="1">
        <v>45556</v>
      </c>
      <c r="D82" s="7" t="s">
        <v>351</v>
      </c>
      <c r="E82">
        <v>0.18105624159229899</v>
      </c>
      <c r="F82">
        <v>0.18105624159229899</v>
      </c>
    </row>
    <row r="83" spans="1:6" x14ac:dyDescent="0.2">
      <c r="A83">
        <v>77</v>
      </c>
      <c r="B83" s="7" t="s">
        <v>171</v>
      </c>
      <c r="C83" s="1">
        <v>45403</v>
      </c>
      <c r="D83" s="7" t="s">
        <v>171</v>
      </c>
      <c r="E83">
        <v>0.13865013256837699</v>
      </c>
      <c r="F83">
        <v>0.13865013256837699</v>
      </c>
    </row>
    <row r="84" spans="1:6" x14ac:dyDescent="0.2">
      <c r="A84">
        <v>78</v>
      </c>
      <c r="B84" s="7" t="s">
        <v>352</v>
      </c>
      <c r="C84" s="1">
        <v>45568</v>
      </c>
      <c r="D84" s="7" t="s">
        <v>352</v>
      </c>
      <c r="E84">
        <v>0.15653910249819</v>
      </c>
      <c r="F84">
        <v>0.15653910249819</v>
      </c>
    </row>
    <row r="85" spans="1:6" x14ac:dyDescent="0.2">
      <c r="A85">
        <v>79</v>
      </c>
      <c r="B85" s="7" t="s">
        <v>353</v>
      </c>
      <c r="C85" s="1">
        <v>45539</v>
      </c>
      <c r="D85" s="7" t="s">
        <v>353</v>
      </c>
      <c r="E85">
        <v>0.13039070358205601</v>
      </c>
      <c r="F85">
        <v>0.13039070358205601</v>
      </c>
    </row>
    <row r="86" spans="1:6" x14ac:dyDescent="0.2">
      <c r="A86">
        <v>80</v>
      </c>
      <c r="B86" s="7" t="s">
        <v>295</v>
      </c>
      <c r="C86" s="1">
        <v>45376</v>
      </c>
      <c r="D86" s="7" t="s">
        <v>295</v>
      </c>
      <c r="E86">
        <v>7.9908681222880196E-2</v>
      </c>
      <c r="F86">
        <v>7.9908681222880196E-2</v>
      </c>
    </row>
    <row r="87" spans="1:6" x14ac:dyDescent="0.2">
      <c r="A87">
        <v>80</v>
      </c>
      <c r="B87" s="7" t="s">
        <v>296</v>
      </c>
      <c r="C87" s="1">
        <v>45621</v>
      </c>
      <c r="D87" s="7" t="s">
        <v>296</v>
      </c>
      <c r="E87">
        <v>9.43035327447352E-2</v>
      </c>
      <c r="F87">
        <v>9.43035327447352E-2</v>
      </c>
    </row>
    <row r="88" spans="1:6" x14ac:dyDescent="0.2">
      <c r="A88">
        <v>81</v>
      </c>
      <c r="B88" s="7" t="s">
        <v>172</v>
      </c>
      <c r="C88" s="1">
        <v>45389</v>
      </c>
      <c r="D88" s="7" t="s">
        <v>172</v>
      </c>
      <c r="E88">
        <v>0.15736213790036599</v>
      </c>
      <c r="F88">
        <v>0.15736213790036599</v>
      </c>
    </row>
    <row r="89" spans="1:6" x14ac:dyDescent="0.2">
      <c r="A89">
        <v>81</v>
      </c>
      <c r="B89" s="7" t="s">
        <v>173</v>
      </c>
      <c r="C89" s="1">
        <v>45349</v>
      </c>
      <c r="D89" s="7" t="s">
        <v>173</v>
      </c>
      <c r="E89">
        <v>0.15533464868299199</v>
      </c>
      <c r="F89">
        <v>0.15533464868299199</v>
      </c>
    </row>
    <row r="90" spans="1:6" x14ac:dyDescent="0.2">
      <c r="A90">
        <v>82</v>
      </c>
      <c r="B90" s="7" t="s">
        <v>297</v>
      </c>
      <c r="C90" s="1">
        <v>45304</v>
      </c>
      <c r="D90" s="7" t="s">
        <v>297</v>
      </c>
      <c r="E90">
        <v>0.20477016945738599</v>
      </c>
      <c r="F90">
        <v>0.20477016945738599</v>
      </c>
    </row>
    <row r="91" spans="1:6" x14ac:dyDescent="0.2">
      <c r="A91">
        <v>83</v>
      </c>
      <c r="B91" s="7" t="s">
        <v>354</v>
      </c>
      <c r="C91" s="1">
        <v>45414</v>
      </c>
      <c r="D91" s="7" t="s">
        <v>354</v>
      </c>
      <c r="E91">
        <v>0.16408938955420199</v>
      </c>
      <c r="F91">
        <v>0.16408938955420199</v>
      </c>
    </row>
    <row r="92" spans="1:6" x14ac:dyDescent="0.2">
      <c r="A92">
        <v>84</v>
      </c>
      <c r="B92" s="7" t="s">
        <v>450</v>
      </c>
      <c r="C92" s="1">
        <v>45308</v>
      </c>
      <c r="D92" s="7" t="s">
        <v>450</v>
      </c>
      <c r="E92">
        <v>0.27464741993581399</v>
      </c>
      <c r="F92">
        <v>0.27464741993581399</v>
      </c>
    </row>
    <row r="93" spans="1:6" x14ac:dyDescent="0.2">
      <c r="A93">
        <v>85</v>
      </c>
      <c r="B93" s="7" t="s">
        <v>451</v>
      </c>
      <c r="C93" s="1">
        <v>45525</v>
      </c>
      <c r="D93" s="7" t="s">
        <v>451</v>
      </c>
      <c r="E93">
        <v>8.3068828874144504E-2</v>
      </c>
      <c r="F93">
        <v>8.3068828874144504E-2</v>
      </c>
    </row>
    <row r="94" spans="1:6" x14ac:dyDescent="0.2">
      <c r="A94">
        <v>85</v>
      </c>
      <c r="B94" s="7" t="s">
        <v>452</v>
      </c>
      <c r="C94" s="1">
        <v>45308</v>
      </c>
      <c r="D94" s="7" t="s">
        <v>452</v>
      </c>
      <c r="E94">
        <v>0.12597562789973901</v>
      </c>
      <c r="F94">
        <v>0.12597562789973901</v>
      </c>
    </row>
    <row r="95" spans="1:6" x14ac:dyDescent="0.2">
      <c r="A95">
        <v>86</v>
      </c>
      <c r="B95" s="7" t="s">
        <v>355</v>
      </c>
      <c r="C95" s="1">
        <v>45310</v>
      </c>
      <c r="D95" s="7" t="s">
        <v>355</v>
      </c>
      <c r="E95">
        <v>0.15359026129202699</v>
      </c>
      <c r="F95">
        <v>0.15359026129202699</v>
      </c>
    </row>
    <row r="96" spans="1:6" x14ac:dyDescent="0.2">
      <c r="A96">
        <v>90</v>
      </c>
      <c r="B96" s="7" t="s">
        <v>174</v>
      </c>
      <c r="C96" s="1">
        <v>45509</v>
      </c>
      <c r="D96" s="7" t="s">
        <v>174</v>
      </c>
      <c r="E96">
        <v>0.24234451462002299</v>
      </c>
      <c r="F96">
        <v>0.24234451462002299</v>
      </c>
    </row>
    <row r="97" spans="1:6" x14ac:dyDescent="0.2">
      <c r="A97">
        <v>90</v>
      </c>
      <c r="B97" s="7" t="s">
        <v>175</v>
      </c>
      <c r="C97" s="1">
        <v>45446</v>
      </c>
      <c r="D97" s="7" t="s">
        <v>175</v>
      </c>
      <c r="E97">
        <v>0.10826223293467301</v>
      </c>
      <c r="F97">
        <v>0.10826223293467301</v>
      </c>
    </row>
    <row r="98" spans="1:6" x14ac:dyDescent="0.2">
      <c r="A98">
        <v>91</v>
      </c>
      <c r="B98" s="7" t="s">
        <v>453</v>
      </c>
      <c r="C98" s="1">
        <v>45638</v>
      </c>
      <c r="D98" s="7" t="s">
        <v>453</v>
      </c>
      <c r="E98">
        <v>7.6365604544863103E-2</v>
      </c>
      <c r="F98">
        <v>7.6365604544863103E-2</v>
      </c>
    </row>
    <row r="99" spans="1:6" x14ac:dyDescent="0.2">
      <c r="A99">
        <v>91</v>
      </c>
      <c r="B99" s="7" t="s">
        <v>176</v>
      </c>
      <c r="C99" s="1">
        <v>45589</v>
      </c>
      <c r="D99" s="7" t="s">
        <v>176</v>
      </c>
      <c r="E99">
        <v>0.14872113595533701</v>
      </c>
      <c r="F99">
        <v>0.14872113595533701</v>
      </c>
    </row>
    <row r="100" spans="1:6" x14ac:dyDescent="0.2">
      <c r="A100">
        <v>92</v>
      </c>
      <c r="B100" s="7" t="s">
        <v>454</v>
      </c>
      <c r="C100" s="1">
        <v>45610</v>
      </c>
      <c r="D100" s="7" t="s">
        <v>454</v>
      </c>
      <c r="E100">
        <v>0.150121320569233</v>
      </c>
      <c r="F100">
        <v>0.150121320569233</v>
      </c>
    </row>
    <row r="101" spans="1:6" x14ac:dyDescent="0.2">
      <c r="A101">
        <v>93</v>
      </c>
      <c r="B101" s="7" t="s">
        <v>298</v>
      </c>
      <c r="C101" s="1">
        <v>45346</v>
      </c>
      <c r="D101" s="7" t="s">
        <v>298</v>
      </c>
      <c r="E101">
        <v>0.11661464526516301</v>
      </c>
      <c r="F101">
        <v>0.11661464526516301</v>
      </c>
    </row>
    <row r="102" spans="1:6" x14ac:dyDescent="0.2">
      <c r="A102">
        <v>94</v>
      </c>
      <c r="B102" s="7" t="s">
        <v>177</v>
      </c>
      <c r="C102" s="1">
        <v>45655</v>
      </c>
      <c r="D102" s="7" t="s">
        <v>177</v>
      </c>
      <c r="E102">
        <v>0.12457415073874401</v>
      </c>
      <c r="F102">
        <v>0.12457415073874401</v>
      </c>
    </row>
    <row r="103" spans="1:6" x14ac:dyDescent="0.2">
      <c r="A103">
        <v>95</v>
      </c>
      <c r="B103" s="7" t="s">
        <v>455</v>
      </c>
      <c r="C103" s="1">
        <v>45320</v>
      </c>
      <c r="D103" s="7" t="s">
        <v>455</v>
      </c>
      <c r="E103">
        <v>0.107370364016353</v>
      </c>
      <c r="F103">
        <v>0.107370364016353</v>
      </c>
    </row>
    <row r="104" spans="1:6" x14ac:dyDescent="0.2">
      <c r="A104">
        <v>96</v>
      </c>
      <c r="B104" s="7" t="s">
        <v>178</v>
      </c>
      <c r="C104" s="1">
        <v>45333</v>
      </c>
      <c r="D104" s="7" t="s">
        <v>178</v>
      </c>
      <c r="E104">
        <v>0.20448187366854201</v>
      </c>
      <c r="F104">
        <v>0.20448187366854201</v>
      </c>
    </row>
    <row r="105" spans="1:6" x14ac:dyDescent="0.2">
      <c r="A105">
        <v>96</v>
      </c>
      <c r="B105" s="7" t="s">
        <v>179</v>
      </c>
      <c r="C105" s="1">
        <v>45488</v>
      </c>
      <c r="D105" s="7" t="s">
        <v>179</v>
      </c>
      <c r="E105">
        <v>0.30881400930462799</v>
      </c>
      <c r="F105">
        <v>0.30881400930462799</v>
      </c>
    </row>
    <row r="106" spans="1:6" x14ac:dyDescent="0.2">
      <c r="A106">
        <v>97</v>
      </c>
      <c r="B106" s="7" t="s">
        <v>456</v>
      </c>
      <c r="C106" s="1">
        <v>45609</v>
      </c>
      <c r="D106" s="7" t="s">
        <v>456</v>
      </c>
      <c r="E106">
        <v>0.185869430362399</v>
      </c>
      <c r="F106">
        <v>0.185869430362399</v>
      </c>
    </row>
    <row r="107" spans="1:6" x14ac:dyDescent="0.2">
      <c r="A107">
        <v>98</v>
      </c>
      <c r="B107" s="7" t="s">
        <v>457</v>
      </c>
      <c r="C107" s="1">
        <v>45437</v>
      </c>
      <c r="D107" s="7" t="s">
        <v>457</v>
      </c>
      <c r="E107">
        <v>0.21209482125123699</v>
      </c>
      <c r="F107">
        <v>0.21209482125123699</v>
      </c>
    </row>
    <row r="108" spans="1:6" x14ac:dyDescent="0.2">
      <c r="A108">
        <v>98</v>
      </c>
      <c r="B108" s="7" t="s">
        <v>458</v>
      </c>
      <c r="C108" s="1">
        <v>45557</v>
      </c>
      <c r="D108" s="7" t="s">
        <v>458</v>
      </c>
      <c r="E108">
        <v>8.5814909543333401E-2</v>
      </c>
      <c r="F108">
        <v>8.5814909543333401E-2</v>
      </c>
    </row>
    <row r="109" spans="1:6" x14ac:dyDescent="0.2">
      <c r="A109">
        <v>99</v>
      </c>
      <c r="B109" s="7" t="s">
        <v>459</v>
      </c>
      <c r="C109" s="1">
        <v>45630</v>
      </c>
      <c r="D109" s="7" t="s">
        <v>459</v>
      </c>
      <c r="E109">
        <v>4.1445267045987097E-2</v>
      </c>
      <c r="F109">
        <v>4.1445267045987097E-2</v>
      </c>
    </row>
    <row r="110" spans="1:6" x14ac:dyDescent="0.2">
      <c r="A110">
        <v>100</v>
      </c>
      <c r="B110" s="7" t="s">
        <v>180</v>
      </c>
      <c r="C110" s="1">
        <v>45549</v>
      </c>
      <c r="D110" s="7" t="s">
        <v>180</v>
      </c>
      <c r="E110">
        <v>0.29696290717306001</v>
      </c>
      <c r="F110">
        <v>0.29696290717306001</v>
      </c>
    </row>
    <row r="111" spans="1:6" x14ac:dyDescent="0.2">
      <c r="A111">
        <v>101</v>
      </c>
      <c r="B111" s="7" t="s">
        <v>356</v>
      </c>
      <c r="C111" s="1">
        <v>45545</v>
      </c>
      <c r="D111" s="7" t="s">
        <v>356</v>
      </c>
      <c r="E111">
        <v>7.70234706117017E-2</v>
      </c>
      <c r="F111">
        <v>7.70234706117017E-2</v>
      </c>
    </row>
    <row r="112" spans="1:6" x14ac:dyDescent="0.2">
      <c r="A112">
        <v>102</v>
      </c>
      <c r="B112" s="7" t="s">
        <v>460</v>
      </c>
      <c r="C112" s="1">
        <v>45391</v>
      </c>
      <c r="D112" s="7" t="s">
        <v>460</v>
      </c>
      <c r="E112">
        <v>0.107636992230337</v>
      </c>
      <c r="F112">
        <v>0.107636992230337</v>
      </c>
    </row>
    <row r="113" spans="1:6" x14ac:dyDescent="0.2">
      <c r="A113">
        <v>103</v>
      </c>
      <c r="B113" s="7" t="s">
        <v>461</v>
      </c>
      <c r="C113" s="1">
        <v>45434</v>
      </c>
      <c r="D113" s="7" t="s">
        <v>461</v>
      </c>
      <c r="E113">
        <v>7.7144930376835702E-2</v>
      </c>
      <c r="F113">
        <v>7.7144930376835702E-2</v>
      </c>
    </row>
    <row r="114" spans="1:6" x14ac:dyDescent="0.2">
      <c r="A114">
        <v>105</v>
      </c>
      <c r="B114" s="7" t="s">
        <v>299</v>
      </c>
      <c r="C114" s="1">
        <v>45581</v>
      </c>
      <c r="D114" s="7" t="s">
        <v>299</v>
      </c>
      <c r="E114">
        <v>0.13087129270335801</v>
      </c>
      <c r="F114">
        <v>0.13087129270335801</v>
      </c>
    </row>
    <row r="115" spans="1:6" x14ac:dyDescent="0.2">
      <c r="A115">
        <v>108</v>
      </c>
      <c r="B115" s="7" t="s">
        <v>181</v>
      </c>
      <c r="C115" s="1">
        <v>45309</v>
      </c>
      <c r="D115" s="7" t="s">
        <v>181</v>
      </c>
      <c r="E115">
        <v>0.21685927714266801</v>
      </c>
      <c r="F115">
        <v>0.21685927714266801</v>
      </c>
    </row>
    <row r="116" spans="1:6" x14ac:dyDescent="0.2">
      <c r="A116">
        <v>109</v>
      </c>
      <c r="B116" s="7" t="s">
        <v>182</v>
      </c>
      <c r="C116" s="1">
        <v>45593</v>
      </c>
      <c r="D116" s="7" t="s">
        <v>182</v>
      </c>
      <c r="E116">
        <v>0.17400033854712699</v>
      </c>
      <c r="F116">
        <v>0.17400033854712699</v>
      </c>
    </row>
    <row r="117" spans="1:6" x14ac:dyDescent="0.2">
      <c r="A117">
        <v>110</v>
      </c>
      <c r="B117" s="7" t="s">
        <v>183</v>
      </c>
      <c r="C117" s="1">
        <v>45612</v>
      </c>
      <c r="D117" s="7" t="s">
        <v>183</v>
      </c>
      <c r="E117">
        <v>0.24665981188807901</v>
      </c>
      <c r="F117">
        <v>0.24665981188807901</v>
      </c>
    </row>
    <row r="118" spans="1:6" x14ac:dyDescent="0.2">
      <c r="A118">
        <v>110</v>
      </c>
      <c r="B118" s="7" t="s">
        <v>462</v>
      </c>
      <c r="C118" s="1">
        <v>45300</v>
      </c>
      <c r="D118" s="7" t="s">
        <v>462</v>
      </c>
      <c r="E118">
        <v>6.3178384818836406E-2</v>
      </c>
      <c r="F118">
        <v>6.3178384818836406E-2</v>
      </c>
    </row>
    <row r="119" spans="1:6" x14ac:dyDescent="0.2">
      <c r="A119">
        <v>112</v>
      </c>
      <c r="B119" s="7" t="s">
        <v>357</v>
      </c>
      <c r="C119" s="1">
        <v>45421</v>
      </c>
      <c r="D119" s="7" t="s">
        <v>357</v>
      </c>
      <c r="E119">
        <v>0.38230736537578902</v>
      </c>
      <c r="F119">
        <v>0.38230736537578902</v>
      </c>
    </row>
    <row r="120" spans="1:6" x14ac:dyDescent="0.2">
      <c r="A120">
        <v>113</v>
      </c>
      <c r="B120" s="7" t="s">
        <v>463</v>
      </c>
      <c r="C120" s="1">
        <v>45309</v>
      </c>
      <c r="D120" s="7" t="s">
        <v>463</v>
      </c>
      <c r="E120">
        <v>0.26106965023080803</v>
      </c>
      <c r="F120">
        <v>0.26106965023080803</v>
      </c>
    </row>
    <row r="121" spans="1:6" x14ac:dyDescent="0.2">
      <c r="A121">
        <v>113</v>
      </c>
      <c r="B121" s="7" t="s">
        <v>300</v>
      </c>
      <c r="C121" s="1">
        <v>45639</v>
      </c>
      <c r="D121" s="7" t="s">
        <v>300</v>
      </c>
      <c r="E121">
        <v>0.107353305945828</v>
      </c>
      <c r="F121">
        <v>0.107353305945828</v>
      </c>
    </row>
    <row r="122" spans="1:6" x14ac:dyDescent="0.2">
      <c r="A122">
        <v>115</v>
      </c>
      <c r="B122" s="7" t="s">
        <v>464</v>
      </c>
      <c r="C122" s="1">
        <v>45657</v>
      </c>
      <c r="D122" s="7" t="s">
        <v>464</v>
      </c>
      <c r="E122">
        <v>0.208410650635589</v>
      </c>
      <c r="F122">
        <v>0.208410650635589</v>
      </c>
    </row>
    <row r="123" spans="1:6" x14ac:dyDescent="0.2">
      <c r="A123">
        <v>116</v>
      </c>
      <c r="B123" s="7" t="s">
        <v>465</v>
      </c>
      <c r="C123" s="1">
        <v>45635</v>
      </c>
      <c r="D123" s="7" t="s">
        <v>465</v>
      </c>
      <c r="E123">
        <v>1.7518795833281E-2</v>
      </c>
      <c r="F123">
        <v>1.7518795833281E-2</v>
      </c>
    </row>
    <row r="124" spans="1:6" x14ac:dyDescent="0.2">
      <c r="A124">
        <v>116</v>
      </c>
      <c r="B124" s="7" t="s">
        <v>466</v>
      </c>
      <c r="C124" s="1">
        <v>45459</v>
      </c>
      <c r="D124" s="7" t="s">
        <v>466</v>
      </c>
      <c r="E124">
        <v>3.6270098544225603E-2</v>
      </c>
      <c r="F124">
        <v>3.6270098544225603E-2</v>
      </c>
    </row>
    <row r="125" spans="1:6" x14ac:dyDescent="0.2">
      <c r="A125">
        <v>117</v>
      </c>
      <c r="B125" s="7" t="s">
        <v>184</v>
      </c>
      <c r="C125" s="1">
        <v>45320</v>
      </c>
      <c r="D125" s="7" t="s">
        <v>184</v>
      </c>
      <c r="E125">
        <v>0.22289749356091801</v>
      </c>
      <c r="F125">
        <v>0.22289749356091801</v>
      </c>
    </row>
    <row r="126" spans="1:6" x14ac:dyDescent="0.2">
      <c r="A126">
        <v>119</v>
      </c>
      <c r="B126" s="7" t="s">
        <v>358</v>
      </c>
      <c r="C126" s="1">
        <v>45444</v>
      </c>
      <c r="D126" s="7" t="s">
        <v>358</v>
      </c>
      <c r="E126">
        <v>7.4050355837289E-2</v>
      </c>
      <c r="F126">
        <v>7.4050355837289E-2</v>
      </c>
    </row>
    <row r="127" spans="1:6" x14ac:dyDescent="0.2">
      <c r="A127">
        <v>120</v>
      </c>
      <c r="B127" s="7" t="s">
        <v>467</v>
      </c>
      <c r="C127" s="1">
        <v>45335</v>
      </c>
      <c r="D127" s="7" t="s">
        <v>467</v>
      </c>
      <c r="E127">
        <v>0.388019936906847</v>
      </c>
      <c r="F127">
        <v>0.388019936906847</v>
      </c>
    </row>
    <row r="128" spans="1:6" x14ac:dyDescent="0.2">
      <c r="A128">
        <v>121</v>
      </c>
      <c r="B128" s="7" t="s">
        <v>185</v>
      </c>
      <c r="C128" s="1">
        <v>45330</v>
      </c>
      <c r="D128" s="7" t="s">
        <v>185</v>
      </c>
      <c r="E128">
        <v>0.17528185828339601</v>
      </c>
      <c r="F128">
        <v>0.17528185828339601</v>
      </c>
    </row>
    <row r="129" spans="1:6" x14ac:dyDescent="0.2">
      <c r="A129">
        <v>122</v>
      </c>
      <c r="B129" s="7" t="s">
        <v>468</v>
      </c>
      <c r="C129" s="1">
        <v>45612</v>
      </c>
      <c r="D129" s="7" t="s">
        <v>468</v>
      </c>
      <c r="E129">
        <v>0.16574923834984001</v>
      </c>
      <c r="F129">
        <v>0.16574923834984001</v>
      </c>
    </row>
    <row r="130" spans="1:6" x14ac:dyDescent="0.2">
      <c r="A130">
        <v>123</v>
      </c>
      <c r="B130" s="7" t="s">
        <v>301</v>
      </c>
      <c r="C130" s="1">
        <v>45508</v>
      </c>
      <c r="D130" s="7" t="s">
        <v>301</v>
      </c>
      <c r="E130">
        <v>0.14451707908577099</v>
      </c>
      <c r="F130">
        <v>0.14451707908577099</v>
      </c>
    </row>
    <row r="131" spans="1:6" x14ac:dyDescent="0.2">
      <c r="A131">
        <v>124</v>
      </c>
      <c r="B131" s="7" t="s">
        <v>359</v>
      </c>
      <c r="C131" s="1">
        <v>45390</v>
      </c>
      <c r="D131" s="7" t="s">
        <v>359</v>
      </c>
      <c r="E131">
        <v>0.279181372033032</v>
      </c>
      <c r="F131">
        <v>0.279181372033032</v>
      </c>
    </row>
    <row r="132" spans="1:6" x14ac:dyDescent="0.2">
      <c r="A132">
        <v>124</v>
      </c>
      <c r="B132" s="7" t="s">
        <v>186</v>
      </c>
      <c r="C132" s="1">
        <v>45433</v>
      </c>
      <c r="D132" s="7" t="s">
        <v>186</v>
      </c>
      <c r="E132">
        <v>6.1355726161185301E-2</v>
      </c>
      <c r="F132">
        <v>6.1355726161185301E-2</v>
      </c>
    </row>
    <row r="133" spans="1:6" x14ac:dyDescent="0.2">
      <c r="A133">
        <v>125</v>
      </c>
      <c r="B133" s="7" t="s">
        <v>469</v>
      </c>
      <c r="C133" s="1">
        <v>45355</v>
      </c>
      <c r="D133" s="7" t="s">
        <v>469</v>
      </c>
      <c r="E133">
        <v>0.197535803902539</v>
      </c>
      <c r="F133">
        <v>0.197535803902539</v>
      </c>
    </row>
    <row r="134" spans="1:6" x14ac:dyDescent="0.2">
      <c r="A134">
        <v>127</v>
      </c>
      <c r="B134" s="7" t="s">
        <v>302</v>
      </c>
      <c r="C134" s="1">
        <v>45365</v>
      </c>
      <c r="D134" s="7" t="s">
        <v>302</v>
      </c>
      <c r="E134">
        <v>0.43348287110524802</v>
      </c>
      <c r="F134">
        <v>0.43348287110524802</v>
      </c>
    </row>
    <row r="135" spans="1:6" x14ac:dyDescent="0.2">
      <c r="A135">
        <v>127</v>
      </c>
      <c r="B135" s="7" t="s">
        <v>303</v>
      </c>
      <c r="C135" s="1">
        <v>45377</v>
      </c>
      <c r="D135" s="7" t="s">
        <v>303</v>
      </c>
      <c r="E135">
        <v>0.11008349642911899</v>
      </c>
      <c r="F135">
        <v>0.11008349642911899</v>
      </c>
    </row>
    <row r="136" spans="1:6" x14ac:dyDescent="0.2">
      <c r="A136">
        <v>128</v>
      </c>
      <c r="B136" s="7" t="s">
        <v>92</v>
      </c>
      <c r="C136" s="1">
        <v>45646</v>
      </c>
      <c r="D136" s="7" t="s">
        <v>92</v>
      </c>
      <c r="E136">
        <v>0.108903521642087</v>
      </c>
      <c r="F136">
        <v>0.108903521642087</v>
      </c>
    </row>
    <row r="137" spans="1:6" x14ac:dyDescent="0.2">
      <c r="A137">
        <v>128</v>
      </c>
      <c r="B137" s="7" t="s">
        <v>93</v>
      </c>
      <c r="C137" s="1">
        <v>45326</v>
      </c>
      <c r="D137" s="7" t="s">
        <v>93</v>
      </c>
      <c r="E137">
        <v>0.418016223096777</v>
      </c>
      <c r="F137">
        <v>0.418016223096777</v>
      </c>
    </row>
    <row r="138" spans="1:6" x14ac:dyDescent="0.2">
      <c r="A138">
        <v>129</v>
      </c>
      <c r="B138" s="7" t="s">
        <v>470</v>
      </c>
      <c r="C138" s="1">
        <v>45319</v>
      </c>
      <c r="D138" s="7" t="s">
        <v>470</v>
      </c>
      <c r="E138">
        <v>3.80302652170331E-2</v>
      </c>
      <c r="F138">
        <v>3.80302652170331E-2</v>
      </c>
    </row>
    <row r="139" spans="1:6" x14ac:dyDescent="0.2">
      <c r="A139">
        <v>129</v>
      </c>
      <c r="B139" s="7" t="s">
        <v>94</v>
      </c>
      <c r="C139" s="1">
        <v>45448</v>
      </c>
      <c r="D139" s="7" t="s">
        <v>94</v>
      </c>
      <c r="E139">
        <v>0.229216258344907</v>
      </c>
      <c r="F139">
        <v>0.229216258344907</v>
      </c>
    </row>
    <row r="140" spans="1:6" x14ac:dyDescent="0.2">
      <c r="A140">
        <v>130</v>
      </c>
      <c r="B140" s="7" t="s">
        <v>187</v>
      </c>
      <c r="C140" s="1">
        <v>45601</v>
      </c>
      <c r="D140" s="7" t="s">
        <v>187</v>
      </c>
      <c r="E140">
        <v>0.28216059921827802</v>
      </c>
      <c r="F140">
        <v>0.28216059921827802</v>
      </c>
    </row>
    <row r="141" spans="1:6" x14ac:dyDescent="0.2">
      <c r="A141">
        <v>131</v>
      </c>
      <c r="B141" s="7" t="s">
        <v>471</v>
      </c>
      <c r="C141" s="1">
        <v>45576</v>
      </c>
      <c r="D141" s="7" t="s">
        <v>471</v>
      </c>
      <c r="E141">
        <v>0.208198706472737</v>
      </c>
      <c r="F141">
        <v>0.208198706472737</v>
      </c>
    </row>
    <row r="142" spans="1:6" x14ac:dyDescent="0.2">
      <c r="A142">
        <v>133</v>
      </c>
      <c r="B142" s="7" t="s">
        <v>472</v>
      </c>
      <c r="C142" s="1">
        <v>45496</v>
      </c>
      <c r="D142" s="7" t="s">
        <v>472</v>
      </c>
      <c r="E142">
        <v>1.9801746668600999E-2</v>
      </c>
      <c r="F142">
        <v>1.9801746668600999E-2</v>
      </c>
    </row>
    <row r="143" spans="1:6" x14ac:dyDescent="0.2">
      <c r="A143">
        <v>134</v>
      </c>
      <c r="B143" s="7" t="s">
        <v>95</v>
      </c>
      <c r="C143" s="1">
        <v>45296</v>
      </c>
      <c r="D143" s="7" t="s">
        <v>95</v>
      </c>
      <c r="E143">
        <v>0.11390969242716301</v>
      </c>
      <c r="F143">
        <v>0.11390969242716301</v>
      </c>
    </row>
    <row r="144" spans="1:6" x14ac:dyDescent="0.2">
      <c r="A144">
        <v>135</v>
      </c>
      <c r="B144" s="7" t="s">
        <v>188</v>
      </c>
      <c r="C144" s="1">
        <v>45639</v>
      </c>
      <c r="D144" s="7" t="s">
        <v>188</v>
      </c>
      <c r="E144">
        <v>2.4462078359288601E-2</v>
      </c>
      <c r="F144">
        <v>2.4462078359288601E-2</v>
      </c>
    </row>
    <row r="145" spans="1:6" x14ac:dyDescent="0.2">
      <c r="A145">
        <v>136</v>
      </c>
      <c r="B145" s="7" t="s">
        <v>360</v>
      </c>
      <c r="C145" s="1">
        <v>45443</v>
      </c>
      <c r="D145" s="7" t="s">
        <v>360</v>
      </c>
      <c r="E145">
        <v>5.82129938308482E-2</v>
      </c>
      <c r="F145">
        <v>5.82129938308482E-2</v>
      </c>
    </row>
    <row r="146" spans="1:6" x14ac:dyDescent="0.2">
      <c r="A146">
        <v>138</v>
      </c>
      <c r="B146" s="7" t="s">
        <v>96</v>
      </c>
      <c r="C146" s="1">
        <v>45378</v>
      </c>
      <c r="D146" s="7" t="s">
        <v>96</v>
      </c>
      <c r="E146">
        <v>0.303595296925044</v>
      </c>
      <c r="F146">
        <v>0.303595296925044</v>
      </c>
    </row>
    <row r="147" spans="1:6" x14ac:dyDescent="0.2">
      <c r="A147">
        <v>140</v>
      </c>
      <c r="B147" s="7" t="s">
        <v>473</v>
      </c>
      <c r="C147" s="1">
        <v>45595</v>
      </c>
      <c r="D147" s="7" t="s">
        <v>473</v>
      </c>
      <c r="E147">
        <v>0.13458772791745399</v>
      </c>
      <c r="F147">
        <v>0.13458772791745399</v>
      </c>
    </row>
    <row r="148" spans="1:6" x14ac:dyDescent="0.2">
      <c r="A148">
        <v>141</v>
      </c>
      <c r="B148" s="7" t="s">
        <v>474</v>
      </c>
      <c r="C148" s="1">
        <v>45557</v>
      </c>
      <c r="D148" s="7" t="s">
        <v>474</v>
      </c>
      <c r="E148">
        <v>7.8575251918691594E-2</v>
      </c>
      <c r="F148">
        <v>7.8575251918691594E-2</v>
      </c>
    </row>
    <row r="149" spans="1:6" x14ac:dyDescent="0.2">
      <c r="A149">
        <v>142</v>
      </c>
      <c r="B149" s="7" t="s">
        <v>475</v>
      </c>
      <c r="C149" s="1">
        <v>45316</v>
      </c>
      <c r="D149" s="7" t="s">
        <v>475</v>
      </c>
      <c r="E149">
        <v>3.4192231252337703E-2</v>
      </c>
      <c r="F149">
        <v>3.4192231252337703E-2</v>
      </c>
    </row>
    <row r="150" spans="1:6" x14ac:dyDescent="0.2">
      <c r="A150">
        <v>143</v>
      </c>
      <c r="B150" s="7" t="s">
        <v>361</v>
      </c>
      <c r="C150" s="1">
        <v>45318</v>
      </c>
      <c r="D150" s="7" t="s">
        <v>361</v>
      </c>
      <c r="E150">
        <v>8.97006307850306E-2</v>
      </c>
      <c r="F150">
        <v>8.97006307850306E-2</v>
      </c>
    </row>
    <row r="151" spans="1:6" x14ac:dyDescent="0.2">
      <c r="A151">
        <v>143</v>
      </c>
      <c r="B151" s="7" t="s">
        <v>362</v>
      </c>
      <c r="C151" s="1">
        <v>45492</v>
      </c>
      <c r="D151" s="7" t="s">
        <v>362</v>
      </c>
      <c r="E151">
        <v>0.246889281464542</v>
      </c>
      <c r="F151">
        <v>0.246889281464542</v>
      </c>
    </row>
    <row r="152" spans="1:6" x14ac:dyDescent="0.2">
      <c r="A152">
        <v>144</v>
      </c>
      <c r="B152" s="7" t="s">
        <v>189</v>
      </c>
      <c r="C152" s="1">
        <v>45367</v>
      </c>
      <c r="D152" s="7" t="s">
        <v>189</v>
      </c>
      <c r="E152">
        <v>5.6323034591040599E-2</v>
      </c>
      <c r="F152">
        <v>5.6323034591040599E-2</v>
      </c>
    </row>
    <row r="153" spans="1:6" x14ac:dyDescent="0.2">
      <c r="A153">
        <v>144</v>
      </c>
      <c r="B153" s="7" t="s">
        <v>190</v>
      </c>
      <c r="C153" s="1">
        <v>45498</v>
      </c>
      <c r="D153" s="7" t="s">
        <v>190</v>
      </c>
      <c r="E153">
        <v>0.139372549860033</v>
      </c>
      <c r="F153">
        <v>0.139372549860033</v>
      </c>
    </row>
    <row r="154" spans="1:6" x14ac:dyDescent="0.2">
      <c r="A154">
        <v>146</v>
      </c>
      <c r="B154" s="7" t="s">
        <v>363</v>
      </c>
      <c r="C154" s="1">
        <v>45657</v>
      </c>
      <c r="D154" s="7" t="s">
        <v>363</v>
      </c>
      <c r="E154">
        <v>0.28755393539130902</v>
      </c>
      <c r="F154">
        <v>0.28755393539130902</v>
      </c>
    </row>
    <row r="155" spans="1:6" x14ac:dyDescent="0.2">
      <c r="A155">
        <v>146</v>
      </c>
      <c r="B155" s="7" t="s">
        <v>191</v>
      </c>
      <c r="C155" s="1">
        <v>45325</v>
      </c>
      <c r="D155" s="7" t="s">
        <v>191</v>
      </c>
      <c r="E155">
        <v>7.0225278323272897E-2</v>
      </c>
      <c r="F155">
        <v>7.0225278323272897E-2</v>
      </c>
    </row>
    <row r="156" spans="1:6" x14ac:dyDescent="0.2">
      <c r="A156">
        <v>147</v>
      </c>
      <c r="B156" s="7" t="s">
        <v>97</v>
      </c>
      <c r="C156" s="1">
        <v>45394</v>
      </c>
      <c r="D156" s="7" t="s">
        <v>97</v>
      </c>
      <c r="E156">
        <v>0.75009966930289496</v>
      </c>
      <c r="F156">
        <v>0.75009966930289496</v>
      </c>
    </row>
    <row r="157" spans="1:6" x14ac:dyDescent="0.2">
      <c r="A157">
        <v>147</v>
      </c>
      <c r="B157" s="7" t="s">
        <v>98</v>
      </c>
      <c r="C157" s="1">
        <v>45371</v>
      </c>
      <c r="D157" s="7" t="s">
        <v>98</v>
      </c>
      <c r="E157">
        <v>0.216386645153851</v>
      </c>
      <c r="F157">
        <v>0.216386645153851</v>
      </c>
    </row>
    <row r="158" spans="1:6" x14ac:dyDescent="0.2">
      <c r="A158">
        <v>148</v>
      </c>
      <c r="B158" s="7" t="s">
        <v>192</v>
      </c>
      <c r="C158" s="1">
        <v>45369</v>
      </c>
      <c r="D158" s="7" t="s">
        <v>192</v>
      </c>
      <c r="E158">
        <v>0.168214265162618</v>
      </c>
      <c r="F158">
        <v>0.168214265162618</v>
      </c>
    </row>
    <row r="159" spans="1:6" x14ac:dyDescent="0.2">
      <c r="A159">
        <v>148</v>
      </c>
      <c r="B159" s="7" t="s">
        <v>193</v>
      </c>
      <c r="C159" s="1">
        <v>45449</v>
      </c>
      <c r="D159" s="7" t="s">
        <v>193</v>
      </c>
      <c r="E159">
        <v>0.154446156724484</v>
      </c>
      <c r="F159">
        <v>0.154446156724484</v>
      </c>
    </row>
    <row r="160" spans="1:6" x14ac:dyDescent="0.2">
      <c r="A160">
        <v>149</v>
      </c>
      <c r="B160" s="7" t="s">
        <v>99</v>
      </c>
      <c r="C160" s="1">
        <v>45577</v>
      </c>
      <c r="D160" s="7" t="s">
        <v>99</v>
      </c>
      <c r="E160">
        <v>9.5855681330872106E-2</v>
      </c>
      <c r="F160">
        <v>9.5855681330872106E-2</v>
      </c>
    </row>
    <row r="161" spans="1:6" x14ac:dyDescent="0.2">
      <c r="A161">
        <v>149</v>
      </c>
      <c r="B161" s="7" t="s">
        <v>100</v>
      </c>
      <c r="C161" s="1">
        <v>45508</v>
      </c>
      <c r="D161" s="7" t="s">
        <v>100</v>
      </c>
      <c r="E161">
        <v>0.14380004140848099</v>
      </c>
      <c r="F161">
        <v>0.14380004140848099</v>
      </c>
    </row>
    <row r="162" spans="1:6" x14ac:dyDescent="0.2">
      <c r="A162">
        <v>150</v>
      </c>
      <c r="B162" s="7" t="s">
        <v>101</v>
      </c>
      <c r="C162" s="1">
        <v>45486</v>
      </c>
      <c r="D162" s="7" t="s">
        <v>101</v>
      </c>
      <c r="E162">
        <v>8.5063396468561397E-2</v>
      </c>
      <c r="F162">
        <v>8.5063396468561397E-2</v>
      </c>
    </row>
    <row r="163" spans="1:6" x14ac:dyDescent="0.2">
      <c r="A163">
        <v>152</v>
      </c>
      <c r="B163" s="7" t="s">
        <v>476</v>
      </c>
      <c r="C163" s="1">
        <v>45406</v>
      </c>
      <c r="D163" s="7" t="s">
        <v>476</v>
      </c>
      <c r="E163">
        <v>0.15641937081797599</v>
      </c>
      <c r="F163">
        <v>0.15641937081797599</v>
      </c>
    </row>
    <row r="164" spans="1:6" x14ac:dyDescent="0.2">
      <c r="A164">
        <v>153</v>
      </c>
      <c r="B164" s="7" t="s">
        <v>477</v>
      </c>
      <c r="C164" s="1">
        <v>45429</v>
      </c>
      <c r="D164" s="7" t="s">
        <v>477</v>
      </c>
      <c r="E164">
        <v>0.14855939519040701</v>
      </c>
      <c r="F164">
        <v>0.14855939519040701</v>
      </c>
    </row>
    <row r="165" spans="1:6" x14ac:dyDescent="0.2">
      <c r="A165">
        <v>154</v>
      </c>
      <c r="B165" s="7" t="s">
        <v>478</v>
      </c>
      <c r="C165" s="1">
        <v>45452</v>
      </c>
      <c r="D165" s="7" t="s">
        <v>478</v>
      </c>
      <c r="E165">
        <v>0.152231095363354</v>
      </c>
      <c r="F165">
        <v>0.152231095363354</v>
      </c>
    </row>
    <row r="166" spans="1:6" x14ac:dyDescent="0.2">
      <c r="A166">
        <v>154</v>
      </c>
      <c r="B166" s="7" t="s">
        <v>479</v>
      </c>
      <c r="C166" s="1">
        <v>45455</v>
      </c>
      <c r="D166" s="7" t="s">
        <v>479</v>
      </c>
      <c r="E166">
        <v>8.32378025223207E-2</v>
      </c>
      <c r="F166">
        <v>8.32378025223207E-2</v>
      </c>
    </row>
    <row r="167" spans="1:6" x14ac:dyDescent="0.2">
      <c r="A167">
        <v>155</v>
      </c>
      <c r="B167" s="7" t="s">
        <v>194</v>
      </c>
      <c r="C167" s="1">
        <v>45368</v>
      </c>
      <c r="D167" s="7" t="s">
        <v>194</v>
      </c>
      <c r="E167">
        <v>0.20290853017078</v>
      </c>
      <c r="F167">
        <v>0.20290853017078</v>
      </c>
    </row>
    <row r="168" spans="1:6" x14ac:dyDescent="0.2">
      <c r="A168">
        <v>155</v>
      </c>
      <c r="B168" s="7" t="s">
        <v>195</v>
      </c>
      <c r="C168" s="1">
        <v>45465</v>
      </c>
      <c r="D168" s="7" t="s">
        <v>195</v>
      </c>
      <c r="E168">
        <v>0.235432110203392</v>
      </c>
      <c r="F168">
        <v>0.235432110203392</v>
      </c>
    </row>
    <row r="169" spans="1:6" x14ac:dyDescent="0.2">
      <c r="A169">
        <v>156</v>
      </c>
      <c r="B169" s="7" t="s">
        <v>196</v>
      </c>
      <c r="C169" s="1">
        <v>45437</v>
      </c>
      <c r="D169" s="7" t="s">
        <v>196</v>
      </c>
      <c r="E169">
        <v>0.24947464953417001</v>
      </c>
      <c r="F169">
        <v>0.24947464953417001</v>
      </c>
    </row>
    <row r="170" spans="1:6" x14ac:dyDescent="0.2">
      <c r="A170">
        <v>157</v>
      </c>
      <c r="B170" s="7" t="s">
        <v>480</v>
      </c>
      <c r="C170" s="1">
        <v>45573</v>
      </c>
      <c r="D170" s="7" t="s">
        <v>480</v>
      </c>
      <c r="E170">
        <v>9.8638169089498795E-2</v>
      </c>
      <c r="F170">
        <v>9.8638169089498795E-2</v>
      </c>
    </row>
    <row r="171" spans="1:6" x14ac:dyDescent="0.2">
      <c r="A171">
        <v>158</v>
      </c>
      <c r="B171" s="7" t="s">
        <v>364</v>
      </c>
      <c r="C171" s="1">
        <v>45508</v>
      </c>
      <c r="D171" s="7" t="s">
        <v>364</v>
      </c>
      <c r="E171">
        <v>0.13380130344778701</v>
      </c>
      <c r="F171">
        <v>0.13380130344778701</v>
      </c>
    </row>
    <row r="172" spans="1:6" x14ac:dyDescent="0.2">
      <c r="A172">
        <v>158</v>
      </c>
      <c r="B172" s="7" t="s">
        <v>197</v>
      </c>
      <c r="C172" s="1">
        <v>45302</v>
      </c>
      <c r="D172" s="7" t="s">
        <v>197</v>
      </c>
      <c r="E172">
        <v>0.13989634406212501</v>
      </c>
      <c r="F172">
        <v>0.13989634406212501</v>
      </c>
    </row>
    <row r="173" spans="1:6" x14ac:dyDescent="0.2">
      <c r="A173">
        <v>159</v>
      </c>
      <c r="B173" s="7" t="s">
        <v>481</v>
      </c>
      <c r="C173" s="1">
        <v>45302</v>
      </c>
      <c r="D173" s="7" t="s">
        <v>481</v>
      </c>
      <c r="E173">
        <v>0.119615875182746</v>
      </c>
      <c r="F173">
        <v>0.119615875182746</v>
      </c>
    </row>
    <row r="174" spans="1:6" x14ac:dyDescent="0.2">
      <c r="A174">
        <v>160</v>
      </c>
      <c r="B174" s="7" t="s">
        <v>365</v>
      </c>
      <c r="C174" s="1">
        <v>45436</v>
      </c>
      <c r="D174" s="7" t="s">
        <v>365</v>
      </c>
      <c r="E174">
        <v>0.14624978129557201</v>
      </c>
      <c r="F174">
        <v>0.14624978129557201</v>
      </c>
    </row>
    <row r="175" spans="1:6" x14ac:dyDescent="0.2">
      <c r="A175">
        <v>160</v>
      </c>
      <c r="B175" s="7" t="s">
        <v>482</v>
      </c>
      <c r="C175" s="1">
        <v>45424</v>
      </c>
      <c r="D175" s="7" t="s">
        <v>482</v>
      </c>
      <c r="E175">
        <v>0.124475269550402</v>
      </c>
      <c r="F175">
        <v>0.124475269550402</v>
      </c>
    </row>
    <row r="176" spans="1:6" x14ac:dyDescent="0.2">
      <c r="A176">
        <v>161</v>
      </c>
      <c r="B176" s="7" t="s">
        <v>102</v>
      </c>
      <c r="C176" s="1">
        <v>45534</v>
      </c>
      <c r="D176" s="7" t="s">
        <v>102</v>
      </c>
      <c r="E176">
        <v>0.18270553924785901</v>
      </c>
      <c r="F176">
        <v>0.18270553924785901</v>
      </c>
    </row>
    <row r="177" spans="1:6" x14ac:dyDescent="0.2">
      <c r="A177">
        <v>162</v>
      </c>
      <c r="B177" s="7" t="s">
        <v>198</v>
      </c>
      <c r="C177" s="1">
        <v>45421</v>
      </c>
      <c r="D177" s="7" t="s">
        <v>198</v>
      </c>
      <c r="E177">
        <v>0.26463638384661198</v>
      </c>
      <c r="F177">
        <v>0.26463638384661198</v>
      </c>
    </row>
    <row r="178" spans="1:6" x14ac:dyDescent="0.2">
      <c r="A178">
        <v>163</v>
      </c>
      <c r="B178" s="7" t="s">
        <v>199</v>
      </c>
      <c r="C178" s="1">
        <v>45507</v>
      </c>
      <c r="D178" s="7" t="s">
        <v>199</v>
      </c>
      <c r="E178">
        <v>4.7958959811493798E-2</v>
      </c>
      <c r="F178">
        <v>4.7958959811493798E-2</v>
      </c>
    </row>
    <row r="179" spans="1:6" x14ac:dyDescent="0.2">
      <c r="A179">
        <v>164</v>
      </c>
      <c r="B179" s="7" t="s">
        <v>34</v>
      </c>
      <c r="C179" s="1">
        <v>45502</v>
      </c>
      <c r="D179" s="7" t="s">
        <v>34</v>
      </c>
      <c r="E179">
        <v>5.4524454404450202E-2</v>
      </c>
      <c r="F179">
        <v>5.4524454404450202E-2</v>
      </c>
    </row>
    <row r="180" spans="1:6" x14ac:dyDescent="0.2">
      <c r="A180">
        <v>165</v>
      </c>
      <c r="B180" s="7" t="s">
        <v>35</v>
      </c>
      <c r="C180" s="1">
        <v>45488</v>
      </c>
      <c r="D180" s="7" t="s">
        <v>35</v>
      </c>
      <c r="E180">
        <v>0.102933769186563</v>
      </c>
      <c r="F180">
        <v>0.102933769186563</v>
      </c>
    </row>
    <row r="181" spans="1:6" x14ac:dyDescent="0.2">
      <c r="A181">
        <v>166</v>
      </c>
      <c r="B181" s="7" t="s">
        <v>200</v>
      </c>
      <c r="C181" s="1">
        <v>45651</v>
      </c>
      <c r="D181" s="7" t="s">
        <v>200</v>
      </c>
      <c r="E181">
        <v>0.126373308785173</v>
      </c>
      <c r="F181">
        <v>0.126373308785173</v>
      </c>
    </row>
    <row r="182" spans="1:6" x14ac:dyDescent="0.2">
      <c r="A182">
        <v>167</v>
      </c>
      <c r="B182" s="7" t="s">
        <v>36</v>
      </c>
      <c r="C182" s="1">
        <v>45562</v>
      </c>
      <c r="D182" s="7" t="s">
        <v>36</v>
      </c>
      <c r="E182">
        <v>0.30130781255732603</v>
      </c>
      <c r="F182">
        <v>0.30130781255732603</v>
      </c>
    </row>
    <row r="183" spans="1:6" x14ac:dyDescent="0.2">
      <c r="A183">
        <v>168</v>
      </c>
      <c r="B183" s="7" t="s">
        <v>366</v>
      </c>
      <c r="C183" s="1">
        <v>45443</v>
      </c>
      <c r="D183" s="7" t="s">
        <v>366</v>
      </c>
      <c r="E183">
        <v>0.29025310115462999</v>
      </c>
      <c r="F183">
        <v>0.29025310115462999</v>
      </c>
    </row>
    <row r="184" spans="1:6" x14ac:dyDescent="0.2">
      <c r="A184">
        <v>168</v>
      </c>
      <c r="B184" s="7" t="s">
        <v>367</v>
      </c>
      <c r="C184" s="1">
        <v>45308</v>
      </c>
      <c r="D184" s="7" t="s">
        <v>367</v>
      </c>
      <c r="E184">
        <v>6.77599420440754E-2</v>
      </c>
      <c r="F184">
        <v>6.77599420440754E-2</v>
      </c>
    </row>
    <row r="185" spans="1:6" x14ac:dyDescent="0.2">
      <c r="A185">
        <v>169</v>
      </c>
      <c r="B185" s="7" t="s">
        <v>368</v>
      </c>
      <c r="C185" s="1">
        <v>45624</v>
      </c>
      <c r="D185" s="7" t="s">
        <v>368</v>
      </c>
      <c r="E185">
        <v>0.24716175163210399</v>
      </c>
      <c r="F185">
        <v>0.24716175163210399</v>
      </c>
    </row>
    <row r="186" spans="1:6" x14ac:dyDescent="0.2">
      <c r="A186">
        <v>170</v>
      </c>
      <c r="B186" s="7" t="s">
        <v>201</v>
      </c>
      <c r="C186" s="1">
        <v>45460</v>
      </c>
      <c r="D186" s="7" t="s">
        <v>201</v>
      </c>
      <c r="E186">
        <v>0.57775656815271303</v>
      </c>
      <c r="F186">
        <v>0.57775656815271303</v>
      </c>
    </row>
    <row r="187" spans="1:6" x14ac:dyDescent="0.2">
      <c r="A187">
        <v>170</v>
      </c>
      <c r="B187" s="7" t="s">
        <v>103</v>
      </c>
      <c r="C187" s="1">
        <v>45531</v>
      </c>
      <c r="D187" s="7" t="s">
        <v>103</v>
      </c>
      <c r="E187">
        <v>0.37756397258900198</v>
      </c>
      <c r="F187">
        <v>0.37756397258900198</v>
      </c>
    </row>
    <row r="188" spans="1:6" x14ac:dyDescent="0.2">
      <c r="A188">
        <v>171</v>
      </c>
      <c r="B188" s="7" t="s">
        <v>37</v>
      </c>
      <c r="C188" s="1">
        <v>45601</v>
      </c>
      <c r="D188" s="7" t="s">
        <v>37</v>
      </c>
      <c r="E188">
        <v>0.34006313979795999</v>
      </c>
      <c r="F188">
        <v>0.34006313979795999</v>
      </c>
    </row>
    <row r="189" spans="1:6" x14ac:dyDescent="0.2">
      <c r="A189">
        <v>172</v>
      </c>
      <c r="B189" s="7" t="s">
        <v>202</v>
      </c>
      <c r="C189" s="1">
        <v>45561</v>
      </c>
      <c r="D189" s="7" t="s">
        <v>202</v>
      </c>
      <c r="E189">
        <v>5.4269862534130998E-2</v>
      </c>
      <c r="F189">
        <v>5.4269862534130998E-2</v>
      </c>
    </row>
    <row r="190" spans="1:6" x14ac:dyDescent="0.2">
      <c r="A190">
        <v>172</v>
      </c>
      <c r="B190" s="7" t="s">
        <v>203</v>
      </c>
      <c r="C190" s="1">
        <v>45449</v>
      </c>
      <c r="D190" s="7" t="s">
        <v>203</v>
      </c>
      <c r="E190">
        <v>8.73682137872651E-2</v>
      </c>
      <c r="F190">
        <v>8.73682137872651E-2</v>
      </c>
    </row>
    <row r="191" spans="1:6" x14ac:dyDescent="0.2">
      <c r="A191">
        <v>174</v>
      </c>
      <c r="B191" s="7" t="s">
        <v>38</v>
      </c>
      <c r="C191" s="1">
        <v>45587</v>
      </c>
      <c r="D191" s="7" t="s">
        <v>38</v>
      </c>
      <c r="E191">
        <v>0.11369465997944</v>
      </c>
      <c r="F191">
        <v>0.11369465997944</v>
      </c>
    </row>
    <row r="192" spans="1:6" x14ac:dyDescent="0.2">
      <c r="A192">
        <v>175</v>
      </c>
      <c r="B192" s="7" t="s">
        <v>304</v>
      </c>
      <c r="C192" s="1">
        <v>45458</v>
      </c>
      <c r="D192" s="7" t="s">
        <v>304</v>
      </c>
      <c r="E192">
        <v>0.48007312347245801</v>
      </c>
      <c r="F192">
        <v>0.48007312347245801</v>
      </c>
    </row>
    <row r="193" spans="1:6" x14ac:dyDescent="0.2">
      <c r="A193">
        <v>176</v>
      </c>
      <c r="B193" s="7" t="s">
        <v>483</v>
      </c>
      <c r="C193" s="1">
        <v>45561</v>
      </c>
      <c r="D193" s="7" t="s">
        <v>483</v>
      </c>
      <c r="E193">
        <v>8.4315692771114004E-2</v>
      </c>
      <c r="F193">
        <v>8.4315692771114004E-2</v>
      </c>
    </row>
    <row r="194" spans="1:6" x14ac:dyDescent="0.2">
      <c r="A194">
        <v>177</v>
      </c>
      <c r="B194" s="7" t="s">
        <v>369</v>
      </c>
      <c r="C194" s="1">
        <v>45317</v>
      </c>
      <c r="D194" s="7" t="s">
        <v>369</v>
      </c>
      <c r="E194">
        <v>0.104879167374598</v>
      </c>
      <c r="F194">
        <v>0.104879167374598</v>
      </c>
    </row>
    <row r="195" spans="1:6" x14ac:dyDescent="0.2">
      <c r="A195">
        <v>178</v>
      </c>
      <c r="B195" s="7" t="s">
        <v>305</v>
      </c>
      <c r="C195" s="1">
        <v>45514</v>
      </c>
      <c r="D195" s="7" t="s">
        <v>305</v>
      </c>
      <c r="E195">
        <v>0.14095942055435301</v>
      </c>
      <c r="F195">
        <v>0.14095942055435301</v>
      </c>
    </row>
    <row r="196" spans="1:6" x14ac:dyDescent="0.2">
      <c r="A196">
        <v>180</v>
      </c>
      <c r="B196" s="7" t="s">
        <v>484</v>
      </c>
      <c r="C196" s="1">
        <v>45547</v>
      </c>
      <c r="D196" s="7" t="s">
        <v>484</v>
      </c>
      <c r="E196">
        <v>1.18206393706828E-2</v>
      </c>
      <c r="F196">
        <v>1.18206393706828E-2</v>
      </c>
    </row>
    <row r="197" spans="1:6" x14ac:dyDescent="0.2">
      <c r="A197">
        <v>182</v>
      </c>
      <c r="B197" s="7" t="s">
        <v>204</v>
      </c>
      <c r="C197" s="1">
        <v>45594</v>
      </c>
      <c r="D197" s="7" t="s">
        <v>204</v>
      </c>
      <c r="E197">
        <v>1.9243858669678902E-2</v>
      </c>
      <c r="F197">
        <v>1.9243858669678902E-2</v>
      </c>
    </row>
    <row r="198" spans="1:6" x14ac:dyDescent="0.2">
      <c r="A198">
        <v>183</v>
      </c>
      <c r="B198" s="7" t="s">
        <v>306</v>
      </c>
      <c r="C198" s="1">
        <v>45465</v>
      </c>
      <c r="D198" s="7" t="s">
        <v>306</v>
      </c>
      <c r="E198">
        <v>0.16564961170869799</v>
      </c>
      <c r="F198">
        <v>0.16564961170869799</v>
      </c>
    </row>
    <row r="199" spans="1:6" x14ac:dyDescent="0.2">
      <c r="A199">
        <v>184</v>
      </c>
      <c r="B199" s="7" t="s">
        <v>370</v>
      </c>
      <c r="C199" s="1">
        <v>45400</v>
      </c>
      <c r="D199" s="7" t="s">
        <v>370</v>
      </c>
      <c r="E199">
        <v>3.5898045232595002E-2</v>
      </c>
      <c r="F199">
        <v>3.5898045232595002E-2</v>
      </c>
    </row>
    <row r="200" spans="1:6" x14ac:dyDescent="0.2">
      <c r="A200">
        <v>184</v>
      </c>
      <c r="B200" s="7" t="s">
        <v>39</v>
      </c>
      <c r="C200" s="1">
        <v>45657</v>
      </c>
      <c r="D200" s="7" t="s">
        <v>39</v>
      </c>
      <c r="E200">
        <v>6.6973612237166996E-2</v>
      </c>
      <c r="F200">
        <v>6.6973612237166996E-2</v>
      </c>
    </row>
    <row r="201" spans="1:6" x14ac:dyDescent="0.2">
      <c r="A201">
        <v>185</v>
      </c>
      <c r="B201" s="7" t="s">
        <v>40</v>
      </c>
      <c r="C201" s="1">
        <v>45457</v>
      </c>
      <c r="D201" s="7" t="s">
        <v>40</v>
      </c>
      <c r="E201">
        <v>0.25212165912138201</v>
      </c>
      <c r="F201">
        <v>0.25212165912138201</v>
      </c>
    </row>
    <row r="202" spans="1:6" x14ac:dyDescent="0.2">
      <c r="A202">
        <v>186</v>
      </c>
      <c r="B202" s="7" t="s">
        <v>485</v>
      </c>
      <c r="C202" s="1">
        <v>45607</v>
      </c>
      <c r="D202" s="7" t="s">
        <v>485</v>
      </c>
      <c r="E202">
        <v>0.28593028984899799</v>
      </c>
      <c r="F202">
        <v>0.28593028984899799</v>
      </c>
    </row>
    <row r="203" spans="1:6" x14ac:dyDescent="0.2">
      <c r="A203">
        <v>187</v>
      </c>
      <c r="B203" s="7" t="s">
        <v>371</v>
      </c>
      <c r="C203" s="1">
        <v>45328</v>
      </c>
      <c r="D203" s="7" t="s">
        <v>371</v>
      </c>
      <c r="E203">
        <v>0.13019375769755201</v>
      </c>
      <c r="F203">
        <v>0.13019375769755201</v>
      </c>
    </row>
    <row r="204" spans="1:6" x14ac:dyDescent="0.2">
      <c r="A204">
        <v>187</v>
      </c>
      <c r="B204" s="7" t="s">
        <v>307</v>
      </c>
      <c r="C204" s="1">
        <v>45374</v>
      </c>
      <c r="D204" s="7" t="s">
        <v>307</v>
      </c>
      <c r="E204">
        <v>2.0077825000480401E-2</v>
      </c>
      <c r="F204">
        <v>2.0077825000480401E-2</v>
      </c>
    </row>
    <row r="205" spans="1:6" x14ac:dyDescent="0.2">
      <c r="A205">
        <v>188</v>
      </c>
      <c r="B205" s="7" t="s">
        <v>41</v>
      </c>
      <c r="C205" s="1">
        <v>45297</v>
      </c>
      <c r="D205" s="7" t="s">
        <v>41</v>
      </c>
      <c r="E205">
        <v>0.75241908729899998</v>
      </c>
      <c r="F205">
        <v>0.75241908729899998</v>
      </c>
    </row>
    <row r="206" spans="1:6" x14ac:dyDescent="0.2">
      <c r="A206">
        <v>191</v>
      </c>
      <c r="B206" s="7" t="s">
        <v>486</v>
      </c>
      <c r="C206" s="1">
        <v>45386</v>
      </c>
      <c r="D206" s="7" t="s">
        <v>486</v>
      </c>
      <c r="E206">
        <v>0.22710228445990499</v>
      </c>
      <c r="F206">
        <v>0.22710228445990499</v>
      </c>
    </row>
    <row r="207" spans="1:6" x14ac:dyDescent="0.2">
      <c r="A207">
        <v>191</v>
      </c>
      <c r="B207" s="7" t="s">
        <v>487</v>
      </c>
      <c r="C207" s="1">
        <v>45593</v>
      </c>
      <c r="D207" s="7" t="s">
        <v>487</v>
      </c>
      <c r="E207">
        <v>0.268906676014594</v>
      </c>
      <c r="F207">
        <v>0.268906676014594</v>
      </c>
    </row>
    <row r="208" spans="1:6" x14ac:dyDescent="0.2">
      <c r="A208">
        <v>192</v>
      </c>
      <c r="B208" s="7" t="s">
        <v>205</v>
      </c>
      <c r="C208" s="1">
        <v>45535</v>
      </c>
      <c r="D208" s="7" t="s">
        <v>205</v>
      </c>
      <c r="E208">
        <v>0.114631734814273</v>
      </c>
      <c r="F208">
        <v>0.114631734814273</v>
      </c>
    </row>
    <row r="209" spans="1:6" x14ac:dyDescent="0.2">
      <c r="A209">
        <v>194</v>
      </c>
      <c r="B209" s="7" t="s">
        <v>206</v>
      </c>
      <c r="C209" s="1">
        <v>45433</v>
      </c>
      <c r="D209" s="7" t="s">
        <v>206</v>
      </c>
      <c r="E209">
        <v>0.60072672632240098</v>
      </c>
      <c r="F209">
        <v>0.60072672632240098</v>
      </c>
    </row>
    <row r="210" spans="1:6" x14ac:dyDescent="0.2">
      <c r="A210">
        <v>196</v>
      </c>
      <c r="B210" s="7" t="s">
        <v>488</v>
      </c>
      <c r="C210" s="1">
        <v>45648</v>
      </c>
      <c r="D210" s="7" t="s">
        <v>488</v>
      </c>
      <c r="E210">
        <v>0.25275112668659699</v>
      </c>
      <c r="F210">
        <v>0.25275112668659699</v>
      </c>
    </row>
    <row r="211" spans="1:6" x14ac:dyDescent="0.2">
      <c r="A211">
        <v>197</v>
      </c>
      <c r="B211" s="7" t="s">
        <v>489</v>
      </c>
      <c r="C211" s="1">
        <v>45326</v>
      </c>
      <c r="D211" s="7" t="s">
        <v>489</v>
      </c>
      <c r="E211">
        <v>0.18126656720689399</v>
      </c>
      <c r="F211">
        <v>0.18126656720689399</v>
      </c>
    </row>
    <row r="212" spans="1:6" x14ac:dyDescent="0.2">
      <c r="A212">
        <v>198</v>
      </c>
      <c r="B212" s="7" t="s">
        <v>490</v>
      </c>
      <c r="C212" s="1">
        <v>45557</v>
      </c>
      <c r="D212" s="7" t="s">
        <v>490</v>
      </c>
      <c r="E212">
        <v>0.50348312704361198</v>
      </c>
      <c r="F212">
        <v>0.50348312704361198</v>
      </c>
    </row>
    <row r="213" spans="1:6" x14ac:dyDescent="0.2">
      <c r="A213">
        <v>199</v>
      </c>
      <c r="B213" s="7" t="s">
        <v>491</v>
      </c>
      <c r="C213" s="1">
        <v>45573</v>
      </c>
      <c r="D213" s="7" t="s">
        <v>491</v>
      </c>
      <c r="E213">
        <v>0.19925652426465301</v>
      </c>
      <c r="F213">
        <v>0.19925652426465301</v>
      </c>
    </row>
    <row r="214" spans="1:6" x14ac:dyDescent="0.2">
      <c r="A214">
        <v>199</v>
      </c>
      <c r="B214" s="7" t="s">
        <v>104</v>
      </c>
      <c r="C214" s="1">
        <v>45495</v>
      </c>
      <c r="D214" s="7" t="s">
        <v>104</v>
      </c>
      <c r="E214">
        <v>0.161226222047574</v>
      </c>
      <c r="F214">
        <v>0.161226222047574</v>
      </c>
    </row>
    <row r="215" spans="1:6" x14ac:dyDescent="0.2">
      <c r="A215">
        <v>200</v>
      </c>
      <c r="B215" s="7" t="s">
        <v>492</v>
      </c>
      <c r="C215" s="1">
        <v>45555</v>
      </c>
      <c r="D215" s="7" t="s">
        <v>492</v>
      </c>
      <c r="E215">
        <v>0.12328835899983499</v>
      </c>
      <c r="F215">
        <v>0.12328835899983499</v>
      </c>
    </row>
    <row r="216" spans="1:6" x14ac:dyDescent="0.2">
      <c r="A216">
        <v>201</v>
      </c>
      <c r="B216" s="7" t="s">
        <v>308</v>
      </c>
      <c r="C216" s="1">
        <v>45436</v>
      </c>
      <c r="D216" s="7" t="s">
        <v>308</v>
      </c>
      <c r="E216">
        <v>0.114855592176536</v>
      </c>
      <c r="F216">
        <v>0.114855592176536</v>
      </c>
    </row>
    <row r="217" spans="1:6" x14ac:dyDescent="0.2">
      <c r="A217">
        <v>201</v>
      </c>
      <c r="B217" s="7" t="s">
        <v>309</v>
      </c>
      <c r="C217" s="1">
        <v>45596</v>
      </c>
      <c r="D217" s="7" t="s">
        <v>309</v>
      </c>
      <c r="E217">
        <v>0.104586815388059</v>
      </c>
      <c r="F217">
        <v>0.104586815388059</v>
      </c>
    </row>
    <row r="218" spans="1:6" x14ac:dyDescent="0.2">
      <c r="A218">
        <v>203</v>
      </c>
      <c r="B218" s="7" t="s">
        <v>493</v>
      </c>
      <c r="C218" s="1">
        <v>45577</v>
      </c>
      <c r="D218" s="7" t="s">
        <v>493</v>
      </c>
      <c r="E218">
        <v>0.118150298756105</v>
      </c>
      <c r="F218">
        <v>0.118150298756105</v>
      </c>
    </row>
    <row r="219" spans="1:6" x14ac:dyDescent="0.2">
      <c r="A219">
        <v>204</v>
      </c>
      <c r="B219" s="7" t="s">
        <v>494</v>
      </c>
      <c r="C219" s="1">
        <v>45640</v>
      </c>
      <c r="D219" s="7" t="s">
        <v>494</v>
      </c>
      <c r="E219">
        <v>0.18050978370474299</v>
      </c>
      <c r="F219">
        <v>0.18050978370474299</v>
      </c>
    </row>
    <row r="220" spans="1:6" x14ac:dyDescent="0.2">
      <c r="A220">
        <v>205</v>
      </c>
      <c r="B220" s="7" t="s">
        <v>495</v>
      </c>
      <c r="C220" s="1">
        <v>45303</v>
      </c>
      <c r="D220" s="7" t="s">
        <v>495</v>
      </c>
      <c r="E220">
        <v>0.19897917048161801</v>
      </c>
      <c r="F220">
        <v>0.19897917048161801</v>
      </c>
    </row>
    <row r="221" spans="1:6" x14ac:dyDescent="0.2">
      <c r="A221">
        <v>207</v>
      </c>
      <c r="B221" s="7" t="s">
        <v>496</v>
      </c>
      <c r="C221" s="1">
        <v>45641</v>
      </c>
      <c r="D221" s="7" t="s">
        <v>496</v>
      </c>
      <c r="E221">
        <v>0.112466520944948</v>
      </c>
      <c r="F221">
        <v>0.112466520944948</v>
      </c>
    </row>
    <row r="222" spans="1:6" x14ac:dyDescent="0.2">
      <c r="A222">
        <v>208</v>
      </c>
      <c r="B222" s="7" t="s">
        <v>42</v>
      </c>
      <c r="C222" s="1">
        <v>45481</v>
      </c>
      <c r="D222" s="7" t="s">
        <v>42</v>
      </c>
      <c r="E222">
        <v>0.35233064614062698</v>
      </c>
      <c r="F222">
        <v>0.35233064614062698</v>
      </c>
    </row>
    <row r="223" spans="1:6" x14ac:dyDescent="0.2">
      <c r="A223">
        <v>208</v>
      </c>
      <c r="B223" s="7" t="s">
        <v>43</v>
      </c>
      <c r="C223" s="1">
        <v>45512</v>
      </c>
      <c r="D223" s="7" t="s">
        <v>43</v>
      </c>
      <c r="E223">
        <v>0.18182657007741801</v>
      </c>
      <c r="F223">
        <v>0.18182657007741801</v>
      </c>
    </row>
    <row r="224" spans="1:6" x14ac:dyDescent="0.2">
      <c r="A224">
        <v>209</v>
      </c>
      <c r="B224" s="7" t="s">
        <v>44</v>
      </c>
      <c r="C224" s="1">
        <v>45362</v>
      </c>
      <c r="D224" s="7" t="s">
        <v>44</v>
      </c>
      <c r="E224">
        <v>0.107061646291556</v>
      </c>
      <c r="F224">
        <v>0.107061646291556</v>
      </c>
    </row>
    <row r="225" spans="1:6" x14ac:dyDescent="0.2">
      <c r="A225">
        <v>209</v>
      </c>
      <c r="B225" s="7" t="s">
        <v>207</v>
      </c>
      <c r="C225" s="1">
        <v>45482</v>
      </c>
      <c r="D225" s="7" t="s">
        <v>207</v>
      </c>
      <c r="E225">
        <v>8.7348776724163302E-2</v>
      </c>
      <c r="F225">
        <v>8.7348776724163302E-2</v>
      </c>
    </row>
    <row r="226" spans="1:6" x14ac:dyDescent="0.2">
      <c r="A226">
        <v>210</v>
      </c>
      <c r="B226" s="7" t="s">
        <v>208</v>
      </c>
      <c r="C226" s="1">
        <v>45468</v>
      </c>
      <c r="D226" s="7" t="s">
        <v>208</v>
      </c>
      <c r="E226">
        <v>0.18488764022069401</v>
      </c>
      <c r="F226">
        <v>0.18488764022069401</v>
      </c>
    </row>
    <row r="227" spans="1:6" x14ac:dyDescent="0.2">
      <c r="A227">
        <v>210</v>
      </c>
      <c r="B227" s="7" t="s">
        <v>209</v>
      </c>
      <c r="C227" s="1">
        <v>45644</v>
      </c>
      <c r="D227" s="7" t="s">
        <v>209</v>
      </c>
      <c r="E227">
        <v>9.6490287093305094E-2</v>
      </c>
      <c r="F227">
        <v>9.6490287093305094E-2</v>
      </c>
    </row>
    <row r="228" spans="1:6" x14ac:dyDescent="0.2">
      <c r="A228">
        <v>211</v>
      </c>
      <c r="B228" s="7" t="s">
        <v>497</v>
      </c>
      <c r="C228" s="1">
        <v>45607</v>
      </c>
      <c r="D228" s="7" t="s">
        <v>497</v>
      </c>
      <c r="E228">
        <v>0.163310032623493</v>
      </c>
      <c r="F228">
        <v>0.163310032623493</v>
      </c>
    </row>
    <row r="229" spans="1:6" x14ac:dyDescent="0.2">
      <c r="A229">
        <v>212</v>
      </c>
      <c r="B229" s="7" t="s">
        <v>310</v>
      </c>
      <c r="C229" s="1">
        <v>45326</v>
      </c>
      <c r="D229" s="7" t="s">
        <v>310</v>
      </c>
      <c r="E229">
        <v>0.17891733225805001</v>
      </c>
      <c r="F229">
        <v>0.17891733225805001</v>
      </c>
    </row>
    <row r="230" spans="1:6" x14ac:dyDescent="0.2">
      <c r="A230">
        <v>212</v>
      </c>
      <c r="B230" s="7" t="s">
        <v>311</v>
      </c>
      <c r="C230" s="1">
        <v>45489</v>
      </c>
      <c r="D230" s="7" t="s">
        <v>311</v>
      </c>
      <c r="E230">
        <v>7.2940884630181099E-2</v>
      </c>
      <c r="F230">
        <v>7.2940884630181099E-2</v>
      </c>
    </row>
    <row r="231" spans="1:6" x14ac:dyDescent="0.2">
      <c r="A231">
        <v>213</v>
      </c>
      <c r="B231" s="7" t="s">
        <v>372</v>
      </c>
      <c r="C231" s="1">
        <v>45364</v>
      </c>
      <c r="D231" s="7" t="s">
        <v>372</v>
      </c>
      <c r="E231">
        <v>0.16885888671552199</v>
      </c>
      <c r="F231">
        <v>0.16885888671552199</v>
      </c>
    </row>
    <row r="232" spans="1:6" x14ac:dyDescent="0.2">
      <c r="A232">
        <v>213</v>
      </c>
      <c r="B232" s="7" t="s">
        <v>498</v>
      </c>
      <c r="C232" s="1">
        <v>45569</v>
      </c>
      <c r="D232" s="7" t="s">
        <v>498</v>
      </c>
      <c r="E232">
        <v>0.15288027133909199</v>
      </c>
      <c r="F232">
        <v>0.15288027133909199</v>
      </c>
    </row>
    <row r="233" spans="1:6" x14ac:dyDescent="0.2">
      <c r="A233">
        <v>214</v>
      </c>
      <c r="B233" s="7" t="s">
        <v>312</v>
      </c>
      <c r="C233" s="1">
        <v>45405</v>
      </c>
      <c r="D233" s="7" t="s">
        <v>312</v>
      </c>
      <c r="E233">
        <v>0.48319205344236799</v>
      </c>
      <c r="F233">
        <v>0.48319205344236799</v>
      </c>
    </row>
    <row r="234" spans="1:6" x14ac:dyDescent="0.2">
      <c r="A234">
        <v>215</v>
      </c>
      <c r="B234" s="7" t="s">
        <v>45</v>
      </c>
      <c r="C234" s="1">
        <v>45367</v>
      </c>
      <c r="D234" s="7" t="s">
        <v>45</v>
      </c>
      <c r="E234">
        <v>0.11930858636894</v>
      </c>
      <c r="F234">
        <v>0.11930858636894</v>
      </c>
    </row>
    <row r="235" spans="1:6" x14ac:dyDescent="0.2">
      <c r="A235">
        <v>215</v>
      </c>
      <c r="B235" s="7" t="s">
        <v>46</v>
      </c>
      <c r="C235" s="1">
        <v>45614</v>
      </c>
      <c r="D235" s="7" t="s">
        <v>46</v>
      </c>
      <c r="E235">
        <v>0.59839305569434897</v>
      </c>
      <c r="F235">
        <v>0.59839305569434897</v>
      </c>
    </row>
    <row r="236" spans="1:6" x14ac:dyDescent="0.2">
      <c r="A236">
        <v>216</v>
      </c>
      <c r="B236" s="7" t="s">
        <v>373</v>
      </c>
      <c r="C236" s="1">
        <v>45558</v>
      </c>
      <c r="D236" s="7" t="s">
        <v>373</v>
      </c>
      <c r="E236">
        <v>0.30892252047166302</v>
      </c>
      <c r="F236">
        <v>0.30892252047166302</v>
      </c>
    </row>
    <row r="237" spans="1:6" x14ac:dyDescent="0.2">
      <c r="A237">
        <v>217</v>
      </c>
      <c r="B237" s="7" t="s">
        <v>210</v>
      </c>
      <c r="C237" s="1">
        <v>45354</v>
      </c>
      <c r="D237" s="7" t="s">
        <v>210</v>
      </c>
      <c r="E237">
        <v>0.24465908953593099</v>
      </c>
      <c r="F237">
        <v>0.24465908953593099</v>
      </c>
    </row>
    <row r="238" spans="1:6" x14ac:dyDescent="0.2">
      <c r="A238">
        <v>218</v>
      </c>
      <c r="B238" s="7" t="s">
        <v>499</v>
      </c>
      <c r="C238" s="1">
        <v>45446</v>
      </c>
      <c r="D238" s="7" t="s">
        <v>499</v>
      </c>
      <c r="E238">
        <v>0.23153415376824699</v>
      </c>
      <c r="F238">
        <v>0.23153415376824699</v>
      </c>
    </row>
    <row r="239" spans="1:6" x14ac:dyDescent="0.2">
      <c r="A239">
        <v>221</v>
      </c>
      <c r="B239" s="7" t="s">
        <v>500</v>
      </c>
      <c r="C239" s="1">
        <v>45519</v>
      </c>
      <c r="D239" s="7" t="s">
        <v>500</v>
      </c>
      <c r="E239">
        <v>0.23847986695363901</v>
      </c>
      <c r="F239">
        <v>0.23847986695363901</v>
      </c>
    </row>
    <row r="240" spans="1:6" x14ac:dyDescent="0.2">
      <c r="A240">
        <v>221</v>
      </c>
      <c r="B240" s="7" t="s">
        <v>501</v>
      </c>
      <c r="C240" s="1">
        <v>45602</v>
      </c>
      <c r="D240" s="7" t="s">
        <v>501</v>
      </c>
      <c r="E240">
        <v>0.108185874108645</v>
      </c>
      <c r="F240">
        <v>0.108185874108645</v>
      </c>
    </row>
    <row r="241" spans="1:6" x14ac:dyDescent="0.2">
      <c r="A241">
        <v>223</v>
      </c>
      <c r="B241" s="7" t="s">
        <v>211</v>
      </c>
      <c r="C241" s="1">
        <v>45546</v>
      </c>
      <c r="D241" s="7" t="s">
        <v>211</v>
      </c>
      <c r="E241">
        <v>0.105166657501407</v>
      </c>
      <c r="F241">
        <v>0.105166657501407</v>
      </c>
    </row>
    <row r="242" spans="1:6" x14ac:dyDescent="0.2">
      <c r="A242">
        <v>224</v>
      </c>
      <c r="B242" s="7" t="s">
        <v>47</v>
      </c>
      <c r="C242" s="1">
        <v>45487</v>
      </c>
      <c r="D242" s="7" t="s">
        <v>47</v>
      </c>
      <c r="E242">
        <v>0.30291650179358398</v>
      </c>
      <c r="F242">
        <v>0.30291650179358398</v>
      </c>
    </row>
    <row r="243" spans="1:6" x14ac:dyDescent="0.2">
      <c r="A243">
        <v>225</v>
      </c>
      <c r="B243" s="7" t="s">
        <v>502</v>
      </c>
      <c r="C243" s="1">
        <v>45398</v>
      </c>
      <c r="D243" s="7" t="s">
        <v>502</v>
      </c>
      <c r="E243">
        <v>0.27901587806286798</v>
      </c>
      <c r="F243">
        <v>0.27901587806286798</v>
      </c>
    </row>
    <row r="244" spans="1:6" x14ac:dyDescent="0.2">
      <c r="A244">
        <v>225</v>
      </c>
      <c r="B244" s="7" t="s">
        <v>503</v>
      </c>
      <c r="C244" s="1">
        <v>45428</v>
      </c>
      <c r="D244" s="7" t="s">
        <v>503</v>
      </c>
      <c r="E244">
        <v>7.7965803962492197E-2</v>
      </c>
      <c r="F244">
        <v>7.7965803962492197E-2</v>
      </c>
    </row>
    <row r="245" spans="1:6" x14ac:dyDescent="0.2">
      <c r="A245">
        <v>226</v>
      </c>
      <c r="B245" s="7" t="s">
        <v>313</v>
      </c>
      <c r="C245" s="1">
        <v>45351</v>
      </c>
      <c r="D245" s="7" t="s">
        <v>313</v>
      </c>
      <c r="E245">
        <v>8.0808322370647806E-2</v>
      </c>
      <c r="F245">
        <v>8.0808322370647806E-2</v>
      </c>
    </row>
    <row r="246" spans="1:6" x14ac:dyDescent="0.2">
      <c r="A246">
        <v>227</v>
      </c>
      <c r="B246" s="7" t="s">
        <v>212</v>
      </c>
      <c r="C246" s="1">
        <v>45308</v>
      </c>
      <c r="D246" s="7" t="s">
        <v>212</v>
      </c>
      <c r="E246">
        <v>0.219708186385217</v>
      </c>
      <c r="F246">
        <v>0.219708186385217</v>
      </c>
    </row>
    <row r="247" spans="1:6" x14ac:dyDescent="0.2">
      <c r="A247">
        <v>228</v>
      </c>
      <c r="B247" s="7" t="s">
        <v>504</v>
      </c>
      <c r="C247" s="1">
        <v>45316</v>
      </c>
      <c r="D247" s="7" t="s">
        <v>504</v>
      </c>
      <c r="E247">
        <v>0.14269444325458799</v>
      </c>
      <c r="F247">
        <v>0.14269444325458799</v>
      </c>
    </row>
    <row r="248" spans="1:6" x14ac:dyDescent="0.2">
      <c r="A248">
        <v>229</v>
      </c>
      <c r="B248" s="7" t="s">
        <v>314</v>
      </c>
      <c r="C248" s="1">
        <v>45566</v>
      </c>
      <c r="D248" s="7" t="s">
        <v>314</v>
      </c>
      <c r="E248">
        <v>8.0423912839763897E-2</v>
      </c>
      <c r="F248">
        <v>8.0423912839763897E-2</v>
      </c>
    </row>
    <row r="249" spans="1:6" x14ac:dyDescent="0.2">
      <c r="A249">
        <v>231</v>
      </c>
      <c r="B249" s="7" t="s">
        <v>213</v>
      </c>
      <c r="C249" s="1">
        <v>45434</v>
      </c>
      <c r="D249" s="7" t="s">
        <v>213</v>
      </c>
      <c r="E249">
        <v>9.1508515772285901E-2</v>
      </c>
      <c r="F249">
        <v>9.1508515772285901E-2</v>
      </c>
    </row>
    <row r="250" spans="1:6" x14ac:dyDescent="0.2">
      <c r="A250">
        <v>232</v>
      </c>
      <c r="B250" s="7" t="s">
        <v>374</v>
      </c>
      <c r="C250" s="1">
        <v>45635</v>
      </c>
      <c r="D250" s="7" t="s">
        <v>374</v>
      </c>
      <c r="E250">
        <v>0.165017364881582</v>
      </c>
      <c r="F250">
        <v>0.165017364881582</v>
      </c>
    </row>
    <row r="251" spans="1:6" x14ac:dyDescent="0.2">
      <c r="A251">
        <v>233</v>
      </c>
      <c r="B251" s="7" t="s">
        <v>375</v>
      </c>
      <c r="C251" s="1">
        <v>45324</v>
      </c>
      <c r="D251" s="7" t="s">
        <v>375</v>
      </c>
      <c r="E251">
        <v>2.5835750892507101E-2</v>
      </c>
      <c r="F251">
        <v>2.5835750892507101E-2</v>
      </c>
    </row>
    <row r="252" spans="1:6" x14ac:dyDescent="0.2">
      <c r="A252">
        <v>234</v>
      </c>
      <c r="B252" s="7" t="s">
        <v>105</v>
      </c>
      <c r="C252" s="1">
        <v>45308</v>
      </c>
      <c r="D252" s="7" t="s">
        <v>105</v>
      </c>
      <c r="E252">
        <v>0.27144640065078202</v>
      </c>
      <c r="F252">
        <v>0.27144640065078202</v>
      </c>
    </row>
    <row r="253" spans="1:6" x14ac:dyDescent="0.2">
      <c r="A253">
        <v>234</v>
      </c>
      <c r="B253" s="7" t="s">
        <v>106</v>
      </c>
      <c r="C253" s="1">
        <v>45429</v>
      </c>
      <c r="D253" s="7" t="s">
        <v>106</v>
      </c>
      <c r="E253">
        <v>0.18357514710469899</v>
      </c>
      <c r="F253">
        <v>0.18357514710469899</v>
      </c>
    </row>
    <row r="254" spans="1:6" x14ac:dyDescent="0.2">
      <c r="A254">
        <v>235</v>
      </c>
      <c r="B254" s="7" t="s">
        <v>214</v>
      </c>
      <c r="C254" s="1">
        <v>45362</v>
      </c>
      <c r="D254" s="7" t="s">
        <v>214</v>
      </c>
      <c r="E254">
        <v>2.6398039421871199E-2</v>
      </c>
      <c r="F254">
        <v>2.6398039421871199E-2</v>
      </c>
    </row>
    <row r="255" spans="1:6" x14ac:dyDescent="0.2">
      <c r="A255">
        <v>235</v>
      </c>
      <c r="B255" s="7" t="s">
        <v>215</v>
      </c>
      <c r="C255" s="1">
        <v>45650</v>
      </c>
      <c r="D255" s="7" t="s">
        <v>215</v>
      </c>
      <c r="E255">
        <v>0.27301760157076599</v>
      </c>
      <c r="F255">
        <v>0.27301760157076599</v>
      </c>
    </row>
    <row r="256" spans="1:6" x14ac:dyDescent="0.2">
      <c r="A256">
        <v>236</v>
      </c>
      <c r="B256" s="7" t="s">
        <v>107</v>
      </c>
      <c r="C256" s="1">
        <v>45371</v>
      </c>
      <c r="D256" s="7" t="s">
        <v>107</v>
      </c>
      <c r="E256">
        <v>0.17099281629590901</v>
      </c>
      <c r="F256">
        <v>0.17099281629590901</v>
      </c>
    </row>
    <row r="257" spans="1:6" x14ac:dyDescent="0.2">
      <c r="A257">
        <v>237</v>
      </c>
      <c r="B257" s="7" t="s">
        <v>376</v>
      </c>
      <c r="C257" s="1">
        <v>45609</v>
      </c>
      <c r="D257" s="7" t="s">
        <v>376</v>
      </c>
      <c r="E257">
        <v>2.2303824094174099E-2</v>
      </c>
      <c r="F257">
        <v>2.2303824094174099E-2</v>
      </c>
    </row>
    <row r="258" spans="1:6" x14ac:dyDescent="0.2">
      <c r="A258">
        <v>237</v>
      </c>
      <c r="B258" s="7" t="s">
        <v>377</v>
      </c>
      <c r="C258" s="1">
        <v>45453</v>
      </c>
      <c r="D258" s="7" t="s">
        <v>377</v>
      </c>
      <c r="E258">
        <v>0.373391991767554</v>
      </c>
      <c r="F258">
        <v>0.373391991767554</v>
      </c>
    </row>
    <row r="259" spans="1:6" x14ac:dyDescent="0.2">
      <c r="A259">
        <v>239</v>
      </c>
      <c r="B259" s="7" t="s">
        <v>216</v>
      </c>
      <c r="C259" s="1">
        <v>45568</v>
      </c>
      <c r="D259" s="7" t="s">
        <v>216</v>
      </c>
      <c r="E259">
        <v>3.3933040618754698E-2</v>
      </c>
      <c r="F259">
        <v>3.3933040618754698E-2</v>
      </c>
    </row>
    <row r="260" spans="1:6" x14ac:dyDescent="0.2">
      <c r="A260">
        <v>239</v>
      </c>
      <c r="B260" s="7" t="s">
        <v>217</v>
      </c>
      <c r="C260" s="1">
        <v>45649</v>
      </c>
      <c r="D260" s="7" t="s">
        <v>217</v>
      </c>
      <c r="E260">
        <v>0.15268625774998201</v>
      </c>
      <c r="F260">
        <v>0.15268625774998201</v>
      </c>
    </row>
    <row r="261" spans="1:6" x14ac:dyDescent="0.2">
      <c r="A261">
        <v>241</v>
      </c>
      <c r="B261" s="7" t="s">
        <v>108</v>
      </c>
      <c r="C261" s="1">
        <v>45303</v>
      </c>
      <c r="D261" s="7" t="s">
        <v>108</v>
      </c>
      <c r="E261">
        <v>5.8010199441356602E-2</v>
      </c>
      <c r="F261">
        <v>5.8010199441356602E-2</v>
      </c>
    </row>
    <row r="262" spans="1:6" x14ac:dyDescent="0.2">
      <c r="A262">
        <v>242</v>
      </c>
      <c r="B262" s="7" t="s">
        <v>218</v>
      </c>
      <c r="C262" s="1">
        <v>45432</v>
      </c>
      <c r="D262" s="7" t="s">
        <v>218</v>
      </c>
      <c r="E262">
        <v>0.359953222596198</v>
      </c>
      <c r="F262">
        <v>0.359953222596198</v>
      </c>
    </row>
    <row r="263" spans="1:6" x14ac:dyDescent="0.2">
      <c r="A263">
        <v>243</v>
      </c>
      <c r="B263" s="7" t="s">
        <v>109</v>
      </c>
      <c r="C263" s="1">
        <v>45300</v>
      </c>
      <c r="D263" s="7" t="s">
        <v>109</v>
      </c>
      <c r="E263">
        <v>0.251261118008413</v>
      </c>
      <c r="F263">
        <v>0.251261118008413</v>
      </c>
    </row>
    <row r="264" spans="1:6" x14ac:dyDescent="0.2">
      <c r="A264">
        <v>243</v>
      </c>
      <c r="B264" s="7" t="s">
        <v>110</v>
      </c>
      <c r="C264" s="1">
        <v>45450</v>
      </c>
      <c r="D264" s="7" t="s">
        <v>110</v>
      </c>
      <c r="E264">
        <v>0.27757814902231298</v>
      </c>
      <c r="F264">
        <v>0.27757814902231298</v>
      </c>
    </row>
    <row r="265" spans="1:6" x14ac:dyDescent="0.2">
      <c r="A265">
        <v>244</v>
      </c>
      <c r="B265" s="7" t="s">
        <v>111</v>
      </c>
      <c r="C265" s="1">
        <v>45530</v>
      </c>
      <c r="D265" s="7" t="s">
        <v>111</v>
      </c>
      <c r="E265">
        <v>0.37479833806122398</v>
      </c>
      <c r="F265">
        <v>0.37479833806122398</v>
      </c>
    </row>
    <row r="266" spans="1:6" x14ac:dyDescent="0.2">
      <c r="A266">
        <v>245</v>
      </c>
      <c r="B266" s="7" t="s">
        <v>112</v>
      </c>
      <c r="C266" s="1">
        <v>45470</v>
      </c>
      <c r="D266" s="7" t="s">
        <v>112</v>
      </c>
      <c r="E266">
        <v>0.17655947315892101</v>
      </c>
      <c r="F266">
        <v>0.17655947315892101</v>
      </c>
    </row>
    <row r="267" spans="1:6" x14ac:dyDescent="0.2">
      <c r="A267">
        <v>246</v>
      </c>
      <c r="B267" s="7" t="s">
        <v>378</v>
      </c>
      <c r="C267" s="1">
        <v>45368</v>
      </c>
      <c r="D267" s="7" t="s">
        <v>378</v>
      </c>
      <c r="E267">
        <v>0.32515442531356598</v>
      </c>
      <c r="F267">
        <v>0.32515442531356598</v>
      </c>
    </row>
    <row r="268" spans="1:6" x14ac:dyDescent="0.2">
      <c r="A268">
        <v>247</v>
      </c>
      <c r="B268" s="7" t="s">
        <v>505</v>
      </c>
      <c r="C268" s="1">
        <v>45601</v>
      </c>
      <c r="D268" s="7" t="s">
        <v>505</v>
      </c>
      <c r="E268">
        <v>0.16638835745984301</v>
      </c>
      <c r="F268">
        <v>0.16638835745984301</v>
      </c>
    </row>
    <row r="269" spans="1:6" x14ac:dyDescent="0.2">
      <c r="A269">
        <v>250</v>
      </c>
      <c r="B269" s="7" t="s">
        <v>506</v>
      </c>
      <c r="C269" s="1">
        <v>45504</v>
      </c>
      <c r="D269" s="7" t="s">
        <v>506</v>
      </c>
      <c r="E269">
        <v>6.4518935917016407E-2</v>
      </c>
      <c r="F269">
        <v>6.4518935917016407E-2</v>
      </c>
    </row>
    <row r="270" spans="1:6" x14ac:dyDescent="0.2">
      <c r="A270">
        <v>251</v>
      </c>
      <c r="B270" s="7" t="s">
        <v>219</v>
      </c>
      <c r="C270" s="1">
        <v>45641</v>
      </c>
      <c r="D270" s="7" t="s">
        <v>219</v>
      </c>
      <c r="E270">
        <v>4.8377927364996902E-2</v>
      </c>
      <c r="F270">
        <v>4.8377927364996902E-2</v>
      </c>
    </row>
    <row r="271" spans="1:6" x14ac:dyDescent="0.2">
      <c r="A271">
        <v>251</v>
      </c>
      <c r="B271" s="7" t="s">
        <v>379</v>
      </c>
      <c r="C271" s="1">
        <v>45362</v>
      </c>
      <c r="D271" s="7" t="s">
        <v>379</v>
      </c>
      <c r="E271">
        <v>0.170323558722065</v>
      </c>
      <c r="F271">
        <v>0.170323558722065</v>
      </c>
    </row>
    <row r="272" spans="1:6" x14ac:dyDescent="0.2">
      <c r="A272">
        <v>252</v>
      </c>
      <c r="B272" s="7" t="s">
        <v>315</v>
      </c>
      <c r="C272" s="1">
        <v>45308</v>
      </c>
      <c r="D272" s="7" t="s">
        <v>315</v>
      </c>
      <c r="E272">
        <v>0.19246754462583199</v>
      </c>
      <c r="F272">
        <v>0.19246754462583199</v>
      </c>
    </row>
    <row r="273" spans="1:9" x14ac:dyDescent="0.2">
      <c r="A273">
        <v>252</v>
      </c>
      <c r="B273" s="7" t="s">
        <v>113</v>
      </c>
      <c r="C273" s="1">
        <v>45480</v>
      </c>
      <c r="D273" s="7" t="s">
        <v>113</v>
      </c>
      <c r="E273">
        <v>6.9481903378532994E-2</v>
      </c>
      <c r="F273">
        <v>6.9481903378532994E-2</v>
      </c>
    </row>
    <row r="274" spans="1:9" x14ac:dyDescent="0.2">
      <c r="A274">
        <v>253</v>
      </c>
      <c r="B274" s="7" t="s">
        <v>114</v>
      </c>
      <c r="C274" s="1">
        <v>45452</v>
      </c>
      <c r="D274" s="7" t="s">
        <v>114</v>
      </c>
      <c r="E274">
        <v>9.2333884137743003E-2</v>
      </c>
      <c r="F274">
        <v>9.2333884137743003E-2</v>
      </c>
    </row>
    <row r="275" spans="1:9" x14ac:dyDescent="0.2">
      <c r="A275">
        <v>254</v>
      </c>
      <c r="B275" s="7" t="s">
        <v>220</v>
      </c>
      <c r="C275" s="1">
        <v>45329</v>
      </c>
      <c r="D275" s="7" t="s">
        <v>220</v>
      </c>
      <c r="E275">
        <v>0.13924808811192599</v>
      </c>
      <c r="F275">
        <v>0.13924808811192599</v>
      </c>
      <c r="I275" s="2"/>
    </row>
    <row r="276" spans="1:9" x14ac:dyDescent="0.2">
      <c r="A276">
        <v>254</v>
      </c>
      <c r="B276" s="7" t="s">
        <v>380</v>
      </c>
      <c r="C276" s="1">
        <v>45496</v>
      </c>
      <c r="D276" s="7" t="s">
        <v>380</v>
      </c>
      <c r="E276">
        <v>0.27338710959478701</v>
      </c>
      <c r="F276">
        <v>0.27338710959478701</v>
      </c>
    </row>
    <row r="277" spans="1:9" x14ac:dyDescent="0.2">
      <c r="A277">
        <v>255</v>
      </c>
      <c r="B277" s="7" t="s">
        <v>221</v>
      </c>
      <c r="C277" s="1">
        <v>45395</v>
      </c>
      <c r="D277" s="7" t="s">
        <v>221</v>
      </c>
      <c r="E277">
        <v>0.37991301900759999</v>
      </c>
      <c r="F277">
        <v>0.37991301900759999</v>
      </c>
    </row>
    <row r="278" spans="1:9" x14ac:dyDescent="0.2">
      <c r="A278">
        <v>256</v>
      </c>
      <c r="B278" s="7" t="s">
        <v>222</v>
      </c>
      <c r="C278" s="1">
        <v>45529</v>
      </c>
      <c r="D278" s="7" t="s">
        <v>222</v>
      </c>
      <c r="E278">
        <v>0.141568221614669</v>
      </c>
      <c r="F278">
        <v>0.141568221614669</v>
      </c>
    </row>
    <row r="279" spans="1:9" x14ac:dyDescent="0.2">
      <c r="A279">
        <v>257</v>
      </c>
      <c r="B279" s="7" t="s">
        <v>223</v>
      </c>
      <c r="C279" s="1">
        <v>45551</v>
      </c>
      <c r="D279" s="7" t="s">
        <v>223</v>
      </c>
      <c r="E279">
        <v>0.243825636165826</v>
      </c>
      <c r="F279">
        <v>0.243825636165826</v>
      </c>
    </row>
    <row r="280" spans="1:9" x14ac:dyDescent="0.2">
      <c r="A280">
        <v>257</v>
      </c>
      <c r="B280" s="7" t="s">
        <v>224</v>
      </c>
      <c r="C280" s="1">
        <v>45367</v>
      </c>
      <c r="D280" s="7" t="s">
        <v>224</v>
      </c>
      <c r="E280">
        <v>0.13100962547928799</v>
      </c>
      <c r="F280">
        <v>0.13100962547928799</v>
      </c>
    </row>
    <row r="281" spans="1:9" x14ac:dyDescent="0.2">
      <c r="A281">
        <v>258</v>
      </c>
      <c r="B281" s="7" t="s">
        <v>507</v>
      </c>
      <c r="C281" s="1">
        <v>45418</v>
      </c>
      <c r="D281" s="7" t="s">
        <v>507</v>
      </c>
      <c r="E281">
        <v>0.38459710308848399</v>
      </c>
      <c r="F281">
        <v>0.38459710308848399</v>
      </c>
    </row>
    <row r="282" spans="1:9" x14ac:dyDescent="0.2">
      <c r="A282">
        <v>259</v>
      </c>
      <c r="B282" s="7" t="s">
        <v>508</v>
      </c>
      <c r="C282" s="1">
        <v>45411</v>
      </c>
      <c r="D282" s="7" t="s">
        <v>508</v>
      </c>
      <c r="E282">
        <v>0.234090705129675</v>
      </c>
      <c r="F282">
        <v>0.234090705129675</v>
      </c>
    </row>
    <row r="283" spans="1:9" x14ac:dyDescent="0.2">
      <c r="A283">
        <v>263</v>
      </c>
      <c r="B283" s="7" t="s">
        <v>225</v>
      </c>
      <c r="C283" s="1">
        <v>45407</v>
      </c>
      <c r="D283" s="7" t="s">
        <v>225</v>
      </c>
      <c r="E283">
        <v>6.77421582973146E-2</v>
      </c>
      <c r="F283">
        <v>6.77421582973146E-2</v>
      </c>
    </row>
    <row r="284" spans="1:9" x14ac:dyDescent="0.2">
      <c r="A284">
        <v>265</v>
      </c>
      <c r="B284" s="7" t="s">
        <v>115</v>
      </c>
      <c r="C284" s="1">
        <v>45387</v>
      </c>
      <c r="D284" s="7" t="s">
        <v>115</v>
      </c>
      <c r="E284">
        <v>0.125939230300291</v>
      </c>
      <c r="F284">
        <v>0.125939230300291</v>
      </c>
    </row>
    <row r="285" spans="1:9" x14ac:dyDescent="0.2">
      <c r="A285">
        <v>266</v>
      </c>
      <c r="B285" s="7" t="s">
        <v>316</v>
      </c>
      <c r="C285" s="1">
        <v>45471</v>
      </c>
      <c r="D285" s="7" t="s">
        <v>316</v>
      </c>
      <c r="E285">
        <v>0.55406327267497901</v>
      </c>
      <c r="F285">
        <v>0.55406327267497901</v>
      </c>
    </row>
    <row r="286" spans="1:9" x14ac:dyDescent="0.2">
      <c r="A286">
        <v>267</v>
      </c>
      <c r="B286" s="7" t="s">
        <v>226</v>
      </c>
      <c r="C286" s="1">
        <v>45567</v>
      </c>
      <c r="D286" s="7" t="s">
        <v>226</v>
      </c>
      <c r="E286">
        <v>0.36222935949295398</v>
      </c>
      <c r="F286">
        <v>0.36222935949295398</v>
      </c>
    </row>
    <row r="287" spans="1:9" x14ac:dyDescent="0.2">
      <c r="A287">
        <v>268</v>
      </c>
      <c r="B287" s="7" t="s">
        <v>48</v>
      </c>
      <c r="C287" s="1">
        <v>45587</v>
      </c>
      <c r="D287" s="7" t="s">
        <v>48</v>
      </c>
      <c r="E287">
        <v>2.7863524362831599E-2</v>
      </c>
      <c r="F287">
        <v>2.7863524362831599E-2</v>
      </c>
    </row>
    <row r="288" spans="1:9" x14ac:dyDescent="0.2">
      <c r="A288">
        <v>269</v>
      </c>
      <c r="B288" s="7" t="s">
        <v>227</v>
      </c>
      <c r="C288" s="1">
        <v>45590</v>
      </c>
      <c r="D288" s="7" t="s">
        <v>227</v>
      </c>
      <c r="E288">
        <v>0.11283438595663101</v>
      </c>
      <c r="F288">
        <v>0.11283438595663101</v>
      </c>
    </row>
    <row r="289" spans="1:6" x14ac:dyDescent="0.2">
      <c r="A289">
        <v>269</v>
      </c>
      <c r="B289" s="7" t="s">
        <v>228</v>
      </c>
      <c r="C289" s="1">
        <v>45548</v>
      </c>
      <c r="D289" s="7" t="s">
        <v>228</v>
      </c>
      <c r="E289">
        <v>0.190743691388361</v>
      </c>
      <c r="F289">
        <v>0.190743691388361</v>
      </c>
    </row>
    <row r="290" spans="1:6" x14ac:dyDescent="0.2">
      <c r="A290">
        <v>270</v>
      </c>
      <c r="B290" s="7" t="s">
        <v>49</v>
      </c>
      <c r="C290" s="1">
        <v>45358</v>
      </c>
      <c r="D290" s="7" t="s">
        <v>49</v>
      </c>
      <c r="E290">
        <v>0.10182762369765</v>
      </c>
      <c r="F290">
        <v>0.10182762369765</v>
      </c>
    </row>
    <row r="291" spans="1:6" x14ac:dyDescent="0.2">
      <c r="A291">
        <v>272</v>
      </c>
      <c r="B291" s="7" t="s">
        <v>509</v>
      </c>
      <c r="C291" s="1">
        <v>45295</v>
      </c>
      <c r="D291" s="7" t="s">
        <v>509</v>
      </c>
      <c r="E291">
        <v>4.1890551585991899E-2</v>
      </c>
      <c r="F291">
        <v>4.1890551585991899E-2</v>
      </c>
    </row>
    <row r="292" spans="1:6" x14ac:dyDescent="0.2">
      <c r="A292">
        <v>272</v>
      </c>
      <c r="B292" s="7" t="s">
        <v>229</v>
      </c>
      <c r="C292" s="1">
        <v>45509</v>
      </c>
      <c r="D292" s="7" t="s">
        <v>229</v>
      </c>
      <c r="E292">
        <v>0.27818265027549499</v>
      </c>
      <c r="F292">
        <v>0.27818265027549499</v>
      </c>
    </row>
    <row r="293" spans="1:6" x14ac:dyDescent="0.2">
      <c r="A293">
        <v>273</v>
      </c>
      <c r="B293" s="7" t="s">
        <v>381</v>
      </c>
      <c r="C293" s="1">
        <v>45540</v>
      </c>
      <c r="D293" s="7" t="s">
        <v>381</v>
      </c>
      <c r="E293">
        <v>0.18427306838955501</v>
      </c>
      <c r="F293">
        <v>0.18427306838955501</v>
      </c>
    </row>
    <row r="294" spans="1:6" x14ac:dyDescent="0.2">
      <c r="A294">
        <v>273</v>
      </c>
      <c r="B294" s="7" t="s">
        <v>382</v>
      </c>
      <c r="C294" s="1">
        <v>45350</v>
      </c>
      <c r="D294" s="7" t="s">
        <v>382</v>
      </c>
      <c r="E294">
        <v>0.166700975651247</v>
      </c>
      <c r="F294">
        <v>0.166700975651247</v>
      </c>
    </row>
    <row r="295" spans="1:6" x14ac:dyDescent="0.2">
      <c r="A295">
        <v>274</v>
      </c>
      <c r="B295" s="7" t="s">
        <v>317</v>
      </c>
      <c r="C295" s="1">
        <v>45588</v>
      </c>
      <c r="D295" s="7" t="s">
        <v>317</v>
      </c>
      <c r="E295">
        <v>0.45130579394148002</v>
      </c>
      <c r="F295">
        <v>0.45130579394148002</v>
      </c>
    </row>
    <row r="296" spans="1:6" x14ac:dyDescent="0.2">
      <c r="A296">
        <v>274</v>
      </c>
      <c r="B296" s="7" t="s">
        <v>318</v>
      </c>
      <c r="C296" s="1">
        <v>45326</v>
      </c>
      <c r="D296" s="7" t="s">
        <v>318</v>
      </c>
      <c r="E296">
        <v>0.10773401237720499</v>
      </c>
      <c r="F296">
        <v>0.10773401237720499</v>
      </c>
    </row>
    <row r="297" spans="1:6" x14ac:dyDescent="0.2">
      <c r="A297">
        <v>275</v>
      </c>
      <c r="B297" s="7" t="s">
        <v>383</v>
      </c>
      <c r="C297" s="1">
        <v>45542</v>
      </c>
      <c r="D297" s="7" t="s">
        <v>383</v>
      </c>
      <c r="E297">
        <v>4.7396816684003903E-2</v>
      </c>
      <c r="F297">
        <v>4.7396816684003903E-2</v>
      </c>
    </row>
    <row r="298" spans="1:6" x14ac:dyDescent="0.2">
      <c r="A298">
        <v>276</v>
      </c>
      <c r="B298" s="7" t="s">
        <v>319</v>
      </c>
      <c r="C298" s="1">
        <v>45624</v>
      </c>
      <c r="D298" s="7" t="s">
        <v>319</v>
      </c>
      <c r="E298">
        <v>0.16361706700449299</v>
      </c>
      <c r="F298">
        <v>0.16361706700449299</v>
      </c>
    </row>
    <row r="299" spans="1:6" x14ac:dyDescent="0.2">
      <c r="A299">
        <v>278</v>
      </c>
      <c r="B299" s="7" t="s">
        <v>50</v>
      </c>
      <c r="C299" s="1">
        <v>45525</v>
      </c>
      <c r="D299" s="7" t="s">
        <v>50</v>
      </c>
      <c r="E299">
        <v>1.5567588016898601E-2</v>
      </c>
      <c r="F299">
        <v>1.5567588016898601E-2</v>
      </c>
    </row>
    <row r="300" spans="1:6" x14ac:dyDescent="0.2">
      <c r="A300">
        <v>279</v>
      </c>
      <c r="B300" s="7" t="s">
        <v>510</v>
      </c>
      <c r="C300" s="1">
        <v>45638</v>
      </c>
      <c r="D300" s="7" t="s">
        <v>510</v>
      </c>
      <c r="E300">
        <v>0.17311972337214199</v>
      </c>
      <c r="F300">
        <v>0.17311972337214199</v>
      </c>
    </row>
    <row r="301" spans="1:6" x14ac:dyDescent="0.2">
      <c r="A301">
        <v>279</v>
      </c>
      <c r="B301" s="7" t="s">
        <v>511</v>
      </c>
      <c r="C301" s="1">
        <v>45441</v>
      </c>
      <c r="D301" s="7" t="s">
        <v>511</v>
      </c>
      <c r="E301">
        <v>2.40356383745245E-2</v>
      </c>
      <c r="F301">
        <v>2.40356383745245E-2</v>
      </c>
    </row>
    <row r="302" spans="1:6" x14ac:dyDescent="0.2">
      <c r="A302">
        <v>280</v>
      </c>
      <c r="B302" s="7" t="s">
        <v>512</v>
      </c>
      <c r="C302" s="1">
        <v>45505</v>
      </c>
      <c r="D302" s="7" t="s">
        <v>512</v>
      </c>
      <c r="E302">
        <v>0.13260750309296801</v>
      </c>
      <c r="F302">
        <v>0.13260750309296801</v>
      </c>
    </row>
    <row r="303" spans="1:6" x14ac:dyDescent="0.2">
      <c r="A303">
        <v>281</v>
      </c>
      <c r="B303" s="7" t="s">
        <v>51</v>
      </c>
      <c r="C303" s="1">
        <v>45300</v>
      </c>
      <c r="D303" s="7" t="s">
        <v>51</v>
      </c>
      <c r="E303">
        <v>0.14161660489075301</v>
      </c>
      <c r="F303">
        <v>0.14161660489075301</v>
      </c>
    </row>
    <row r="304" spans="1:6" x14ac:dyDescent="0.2">
      <c r="A304">
        <v>282</v>
      </c>
      <c r="B304" s="7" t="s">
        <v>52</v>
      </c>
      <c r="C304" s="1">
        <v>45373</v>
      </c>
      <c r="D304" s="7" t="s">
        <v>52</v>
      </c>
      <c r="E304">
        <v>0.14424206047590701</v>
      </c>
      <c r="F304">
        <v>0.14424206047590701</v>
      </c>
    </row>
    <row r="305" spans="1:6" x14ac:dyDescent="0.2">
      <c r="A305">
        <v>282</v>
      </c>
      <c r="B305" s="7" t="s">
        <v>53</v>
      </c>
      <c r="C305" s="1">
        <v>45605</v>
      </c>
      <c r="D305" s="7" t="s">
        <v>53</v>
      </c>
      <c r="E305">
        <v>0.124114437985264</v>
      </c>
      <c r="F305">
        <v>0.124114437985264</v>
      </c>
    </row>
    <row r="306" spans="1:6" x14ac:dyDescent="0.2">
      <c r="A306">
        <v>283</v>
      </c>
      <c r="B306" s="7" t="s">
        <v>384</v>
      </c>
      <c r="C306" s="1">
        <v>45406</v>
      </c>
      <c r="D306" s="7" t="s">
        <v>384</v>
      </c>
      <c r="E306">
        <v>0.142526118194156</v>
      </c>
      <c r="F306">
        <v>0.142526118194156</v>
      </c>
    </row>
    <row r="307" spans="1:6" x14ac:dyDescent="0.2">
      <c r="A307">
        <v>284</v>
      </c>
      <c r="B307" s="7" t="s">
        <v>230</v>
      </c>
      <c r="C307" s="1">
        <v>45423</v>
      </c>
      <c r="D307" s="7" t="s">
        <v>230</v>
      </c>
      <c r="E307">
        <v>0.18914453600637299</v>
      </c>
      <c r="F307">
        <v>0.18914453600637299</v>
      </c>
    </row>
    <row r="308" spans="1:6" x14ac:dyDescent="0.2">
      <c r="A308">
        <v>284</v>
      </c>
      <c r="B308" s="7" t="s">
        <v>231</v>
      </c>
      <c r="C308" s="1">
        <v>45500</v>
      </c>
      <c r="D308" s="7" t="s">
        <v>231</v>
      </c>
      <c r="E308">
        <v>0.26726001055896098</v>
      </c>
      <c r="F308">
        <v>0.26726001055896098</v>
      </c>
    </row>
    <row r="309" spans="1:6" x14ac:dyDescent="0.2">
      <c r="A309">
        <v>285</v>
      </c>
      <c r="B309" s="7" t="s">
        <v>385</v>
      </c>
      <c r="C309" s="1">
        <v>45417</v>
      </c>
      <c r="D309" s="7" t="s">
        <v>385</v>
      </c>
      <c r="E309">
        <v>0.22796045681975699</v>
      </c>
      <c r="F309">
        <v>0.22796045681975699</v>
      </c>
    </row>
    <row r="310" spans="1:6" x14ac:dyDescent="0.2">
      <c r="A310">
        <v>285</v>
      </c>
      <c r="B310" s="7" t="s">
        <v>513</v>
      </c>
      <c r="C310" s="1">
        <v>45522</v>
      </c>
      <c r="D310" s="7" t="s">
        <v>513</v>
      </c>
      <c r="E310">
        <v>7.6154990970517103E-2</v>
      </c>
      <c r="F310">
        <v>7.6154990970517103E-2</v>
      </c>
    </row>
    <row r="311" spans="1:6" x14ac:dyDescent="0.2">
      <c r="A311">
        <v>286</v>
      </c>
      <c r="B311" s="7" t="s">
        <v>116</v>
      </c>
      <c r="C311" s="1">
        <v>45644</v>
      </c>
      <c r="D311" s="7" t="s">
        <v>116</v>
      </c>
      <c r="E311">
        <v>4.6817543681079002E-2</v>
      </c>
      <c r="F311">
        <v>4.6817543681079002E-2</v>
      </c>
    </row>
    <row r="312" spans="1:6" x14ac:dyDescent="0.2">
      <c r="A312">
        <v>287</v>
      </c>
      <c r="B312" s="7" t="s">
        <v>514</v>
      </c>
      <c r="C312" s="1">
        <v>45426</v>
      </c>
      <c r="D312" s="7" t="s">
        <v>514</v>
      </c>
      <c r="E312">
        <v>6.2050390969015899E-2</v>
      </c>
      <c r="F312">
        <v>6.2050390969015899E-2</v>
      </c>
    </row>
    <row r="313" spans="1:6" x14ac:dyDescent="0.2">
      <c r="A313">
        <v>287</v>
      </c>
      <c r="B313" s="7" t="s">
        <v>320</v>
      </c>
      <c r="C313" s="1">
        <v>45486</v>
      </c>
      <c r="D313" s="7" t="s">
        <v>320</v>
      </c>
      <c r="E313">
        <v>8.4896508764371298E-2</v>
      </c>
      <c r="F313">
        <v>8.4896508764371298E-2</v>
      </c>
    </row>
    <row r="314" spans="1:6" x14ac:dyDescent="0.2">
      <c r="A314">
        <v>288</v>
      </c>
      <c r="B314" s="7" t="s">
        <v>386</v>
      </c>
      <c r="C314" s="1">
        <v>45378</v>
      </c>
      <c r="D314" s="7" t="s">
        <v>386</v>
      </c>
      <c r="E314">
        <v>0.12737718641228599</v>
      </c>
      <c r="F314">
        <v>0.12737718641228599</v>
      </c>
    </row>
    <row r="315" spans="1:6" x14ac:dyDescent="0.2">
      <c r="A315">
        <v>288</v>
      </c>
      <c r="B315" s="7" t="s">
        <v>54</v>
      </c>
      <c r="C315" s="1">
        <v>45337</v>
      </c>
      <c r="D315" s="7" t="s">
        <v>54</v>
      </c>
      <c r="E315">
        <v>0.18190042067043699</v>
      </c>
      <c r="F315">
        <v>0.18190042067043699</v>
      </c>
    </row>
    <row r="316" spans="1:6" x14ac:dyDescent="0.2">
      <c r="A316">
        <v>289</v>
      </c>
      <c r="B316" s="7" t="s">
        <v>55</v>
      </c>
      <c r="C316" s="1">
        <v>45633</v>
      </c>
      <c r="D316" s="7" t="s">
        <v>55</v>
      </c>
      <c r="E316">
        <v>0.22198184210665201</v>
      </c>
      <c r="F316">
        <v>0.22198184210665201</v>
      </c>
    </row>
    <row r="317" spans="1:6" x14ac:dyDescent="0.2">
      <c r="A317">
        <v>289</v>
      </c>
      <c r="B317" s="7" t="s">
        <v>387</v>
      </c>
      <c r="C317" s="1">
        <v>45389</v>
      </c>
      <c r="D317" s="7" t="s">
        <v>387</v>
      </c>
      <c r="E317">
        <v>4.29864476502205E-2</v>
      </c>
      <c r="F317">
        <v>4.29864476502205E-2</v>
      </c>
    </row>
    <row r="318" spans="1:6" x14ac:dyDescent="0.2">
      <c r="A318">
        <v>290</v>
      </c>
      <c r="B318" s="7" t="s">
        <v>321</v>
      </c>
      <c r="C318" s="1">
        <v>45502</v>
      </c>
      <c r="D318" s="7" t="s">
        <v>321</v>
      </c>
      <c r="E318">
        <v>0.123064284019373</v>
      </c>
      <c r="F318">
        <v>0.123064284019373</v>
      </c>
    </row>
    <row r="319" spans="1:6" x14ac:dyDescent="0.2">
      <c r="A319">
        <v>291</v>
      </c>
      <c r="B319" s="7" t="s">
        <v>117</v>
      </c>
      <c r="C319" s="1">
        <v>45448</v>
      </c>
      <c r="D319" s="7" t="s">
        <v>117</v>
      </c>
      <c r="E319">
        <v>4.9608757785879899E-2</v>
      </c>
      <c r="F319">
        <v>4.9608757785879899E-2</v>
      </c>
    </row>
    <row r="320" spans="1:6" x14ac:dyDescent="0.2">
      <c r="A320">
        <v>292</v>
      </c>
      <c r="B320" s="7" t="s">
        <v>322</v>
      </c>
      <c r="C320" s="1">
        <v>45504</v>
      </c>
      <c r="D320" s="7" t="s">
        <v>322</v>
      </c>
      <c r="E320">
        <v>0.31019538650107698</v>
      </c>
      <c r="F320">
        <v>0.31019538650107698</v>
      </c>
    </row>
    <row r="321" spans="1:6" x14ac:dyDescent="0.2">
      <c r="A321">
        <v>292</v>
      </c>
      <c r="B321" s="7" t="s">
        <v>118</v>
      </c>
      <c r="C321" s="1">
        <v>45516</v>
      </c>
      <c r="D321" s="7" t="s">
        <v>118</v>
      </c>
      <c r="E321">
        <v>0.22273658356082399</v>
      </c>
      <c r="F321">
        <v>0.22273658356082399</v>
      </c>
    </row>
    <row r="322" spans="1:6" x14ac:dyDescent="0.2">
      <c r="A322">
        <v>293</v>
      </c>
      <c r="B322" s="7" t="s">
        <v>388</v>
      </c>
      <c r="C322" s="1">
        <v>45356</v>
      </c>
      <c r="D322" s="7" t="s">
        <v>388</v>
      </c>
      <c r="E322">
        <v>4.38634564580156E-2</v>
      </c>
      <c r="F322">
        <v>4.38634564580156E-2</v>
      </c>
    </row>
    <row r="323" spans="1:6" x14ac:dyDescent="0.2">
      <c r="A323">
        <v>293</v>
      </c>
      <c r="B323" s="7" t="s">
        <v>389</v>
      </c>
      <c r="C323" s="1">
        <v>45645</v>
      </c>
      <c r="D323" s="7" t="s">
        <v>389</v>
      </c>
      <c r="E323">
        <v>0.134369055893649</v>
      </c>
      <c r="F323">
        <v>0.134369055893649</v>
      </c>
    </row>
    <row r="324" spans="1:6" x14ac:dyDescent="0.2">
      <c r="A324">
        <v>295</v>
      </c>
      <c r="B324" s="7" t="s">
        <v>515</v>
      </c>
      <c r="C324" s="1">
        <v>45609</v>
      </c>
      <c r="D324" s="7" t="s">
        <v>515</v>
      </c>
      <c r="E324">
        <v>6.4411205530750804E-2</v>
      </c>
      <c r="F324">
        <v>6.4411205530750804E-2</v>
      </c>
    </row>
    <row r="325" spans="1:6" x14ac:dyDescent="0.2">
      <c r="A325">
        <v>298</v>
      </c>
      <c r="B325" s="7" t="s">
        <v>516</v>
      </c>
      <c r="C325" s="1">
        <v>45523</v>
      </c>
      <c r="D325" s="7" t="s">
        <v>516</v>
      </c>
      <c r="E325">
        <v>0.16878414296371799</v>
      </c>
      <c r="F325">
        <v>0.16878414296371799</v>
      </c>
    </row>
    <row r="326" spans="1:6" x14ac:dyDescent="0.2">
      <c r="A326">
        <v>298</v>
      </c>
      <c r="B326" s="7" t="s">
        <v>517</v>
      </c>
      <c r="C326" s="1">
        <v>45635</v>
      </c>
      <c r="D326" s="7" t="s">
        <v>517</v>
      </c>
      <c r="E326">
        <v>5.6447316063462399E-2</v>
      </c>
      <c r="F326">
        <v>5.6447316063462399E-2</v>
      </c>
    </row>
    <row r="327" spans="1:6" x14ac:dyDescent="0.2">
      <c r="A327">
        <v>299</v>
      </c>
      <c r="B327" s="7" t="s">
        <v>56</v>
      </c>
      <c r="C327" s="1">
        <v>45441</v>
      </c>
      <c r="D327" s="7" t="s">
        <v>56</v>
      </c>
      <c r="E327">
        <v>0.11955899197698699</v>
      </c>
      <c r="F327">
        <v>0.11955899197698699</v>
      </c>
    </row>
    <row r="328" spans="1:6" x14ac:dyDescent="0.2">
      <c r="A328">
        <v>299</v>
      </c>
      <c r="B328" s="7" t="s">
        <v>57</v>
      </c>
      <c r="C328" s="1">
        <v>45463</v>
      </c>
      <c r="D328" s="7" t="s">
        <v>57</v>
      </c>
      <c r="E328">
        <v>3.4427597825963802E-2</v>
      </c>
      <c r="F328">
        <v>3.4427597825963802E-2</v>
      </c>
    </row>
    <row r="329" spans="1:6" x14ac:dyDescent="0.2">
      <c r="A329">
        <v>301</v>
      </c>
      <c r="B329" s="7" t="s">
        <v>390</v>
      </c>
      <c r="C329" s="1">
        <v>45558</v>
      </c>
      <c r="D329" s="7" t="s">
        <v>390</v>
      </c>
      <c r="E329">
        <v>0.157985178662431</v>
      </c>
      <c r="F329">
        <v>0.157985178662431</v>
      </c>
    </row>
    <row r="330" spans="1:6" x14ac:dyDescent="0.2">
      <c r="A330">
        <v>302</v>
      </c>
      <c r="B330" s="7" t="s">
        <v>58</v>
      </c>
      <c r="C330" s="1">
        <v>45465</v>
      </c>
      <c r="D330" s="7" t="s">
        <v>58</v>
      </c>
      <c r="E330">
        <v>6.4692541525284003E-2</v>
      </c>
      <c r="F330">
        <v>6.4692541525284003E-2</v>
      </c>
    </row>
    <row r="331" spans="1:6" x14ac:dyDescent="0.2">
      <c r="A331">
        <v>302</v>
      </c>
      <c r="B331" s="7" t="s">
        <v>232</v>
      </c>
      <c r="C331" s="1">
        <v>45629</v>
      </c>
      <c r="D331" s="7" t="s">
        <v>232</v>
      </c>
      <c r="E331">
        <v>0.170014975073703</v>
      </c>
      <c r="F331">
        <v>0.170014975073703</v>
      </c>
    </row>
    <row r="332" spans="1:6" x14ac:dyDescent="0.2">
      <c r="A332">
        <v>303</v>
      </c>
      <c r="B332" s="7" t="s">
        <v>391</v>
      </c>
      <c r="C332" s="1">
        <v>45617</v>
      </c>
      <c r="D332" s="7" t="s">
        <v>391</v>
      </c>
      <c r="E332">
        <v>5.2097274284924902E-2</v>
      </c>
      <c r="F332">
        <v>5.2097274284924902E-2</v>
      </c>
    </row>
    <row r="333" spans="1:6" x14ac:dyDescent="0.2">
      <c r="A333">
        <v>304</v>
      </c>
      <c r="B333" s="7" t="s">
        <v>233</v>
      </c>
      <c r="C333" s="1">
        <v>45583</v>
      </c>
      <c r="D333" s="7" t="s">
        <v>233</v>
      </c>
      <c r="E333">
        <v>0.32305121523611802</v>
      </c>
      <c r="F333">
        <v>0.32305121523611802</v>
      </c>
    </row>
    <row r="334" spans="1:6" x14ac:dyDescent="0.2">
      <c r="A334">
        <v>305</v>
      </c>
      <c r="B334" s="7" t="s">
        <v>323</v>
      </c>
      <c r="C334" s="1">
        <v>45480</v>
      </c>
      <c r="D334" s="7" t="s">
        <v>323</v>
      </c>
      <c r="E334">
        <v>1.45816561117635E-2</v>
      </c>
      <c r="F334">
        <v>1.45816561117635E-2</v>
      </c>
    </row>
    <row r="335" spans="1:6" x14ac:dyDescent="0.2">
      <c r="A335">
        <v>306</v>
      </c>
      <c r="B335" s="7" t="s">
        <v>59</v>
      </c>
      <c r="C335" s="1">
        <v>45473</v>
      </c>
      <c r="D335" s="7" t="s">
        <v>59</v>
      </c>
      <c r="E335">
        <v>0.38261164632753603</v>
      </c>
      <c r="F335">
        <v>0.38261164632753603</v>
      </c>
    </row>
    <row r="336" spans="1:6" x14ac:dyDescent="0.2">
      <c r="A336">
        <v>307</v>
      </c>
      <c r="B336" s="7" t="s">
        <v>60</v>
      </c>
      <c r="C336" s="1">
        <v>45342</v>
      </c>
      <c r="D336" s="7" t="s">
        <v>60</v>
      </c>
      <c r="E336">
        <v>0.187129400944608</v>
      </c>
      <c r="F336">
        <v>0.187129400944608</v>
      </c>
    </row>
    <row r="337" spans="1:6" x14ac:dyDescent="0.2">
      <c r="A337">
        <v>307</v>
      </c>
      <c r="B337" s="7" t="s">
        <v>61</v>
      </c>
      <c r="C337" s="1">
        <v>45323</v>
      </c>
      <c r="D337" s="7" t="s">
        <v>61</v>
      </c>
      <c r="E337">
        <v>0.22848648616414199</v>
      </c>
      <c r="F337">
        <v>0.22848648616414199</v>
      </c>
    </row>
    <row r="338" spans="1:6" x14ac:dyDescent="0.2">
      <c r="A338">
        <v>308</v>
      </c>
      <c r="B338" s="7" t="s">
        <v>392</v>
      </c>
      <c r="C338" s="1">
        <v>45474</v>
      </c>
      <c r="D338" s="7" t="s">
        <v>392</v>
      </c>
      <c r="E338">
        <v>5.0798795826712997E-2</v>
      </c>
      <c r="F338">
        <v>5.0798795826712997E-2</v>
      </c>
    </row>
    <row r="339" spans="1:6" x14ac:dyDescent="0.2">
      <c r="A339">
        <v>308</v>
      </c>
      <c r="B339" s="7" t="s">
        <v>393</v>
      </c>
      <c r="C339" s="1">
        <v>45532</v>
      </c>
      <c r="D339" s="7" t="s">
        <v>393</v>
      </c>
      <c r="E339">
        <v>7.6587649518391296E-2</v>
      </c>
      <c r="F339">
        <v>7.6587649518391296E-2</v>
      </c>
    </row>
    <row r="340" spans="1:6" x14ac:dyDescent="0.2">
      <c r="A340">
        <v>309</v>
      </c>
      <c r="B340" s="7" t="s">
        <v>119</v>
      </c>
      <c r="C340" s="1">
        <v>45546</v>
      </c>
      <c r="D340" s="7" t="s">
        <v>119</v>
      </c>
      <c r="E340">
        <v>0.109688290168286</v>
      </c>
      <c r="F340">
        <v>0.109688290168286</v>
      </c>
    </row>
    <row r="341" spans="1:6" x14ac:dyDescent="0.2">
      <c r="A341">
        <v>310</v>
      </c>
      <c r="B341" s="7" t="s">
        <v>62</v>
      </c>
      <c r="C341" s="1">
        <v>45611</v>
      </c>
      <c r="D341" s="7" t="s">
        <v>62</v>
      </c>
      <c r="E341">
        <v>0.41470994907777198</v>
      </c>
      <c r="F341">
        <v>0.41470994907777198</v>
      </c>
    </row>
    <row r="342" spans="1:6" x14ac:dyDescent="0.2">
      <c r="A342">
        <v>311</v>
      </c>
      <c r="B342" s="7" t="s">
        <v>518</v>
      </c>
      <c r="C342" s="1">
        <v>45529</v>
      </c>
      <c r="D342" s="7" t="s">
        <v>518</v>
      </c>
      <c r="E342">
        <v>0.19977638669063599</v>
      </c>
      <c r="F342">
        <v>0.19977638669063599</v>
      </c>
    </row>
    <row r="343" spans="1:6" x14ac:dyDescent="0.2">
      <c r="A343">
        <v>312</v>
      </c>
      <c r="B343" s="7" t="s">
        <v>519</v>
      </c>
      <c r="C343" s="1">
        <v>45476</v>
      </c>
      <c r="D343" s="7" t="s">
        <v>519</v>
      </c>
      <c r="E343">
        <v>0.179921512107793</v>
      </c>
      <c r="F343">
        <v>0.179921512107793</v>
      </c>
    </row>
    <row r="344" spans="1:6" x14ac:dyDescent="0.2">
      <c r="A344">
        <v>313</v>
      </c>
      <c r="B344" s="7" t="s">
        <v>234</v>
      </c>
      <c r="C344" s="1">
        <v>45517</v>
      </c>
      <c r="D344" s="7" t="s">
        <v>234</v>
      </c>
      <c r="E344">
        <v>4.6415813741994202E-2</v>
      </c>
      <c r="F344">
        <v>4.6415813741994202E-2</v>
      </c>
    </row>
    <row r="345" spans="1:6" x14ac:dyDescent="0.2">
      <c r="A345">
        <v>314</v>
      </c>
      <c r="B345" s="7" t="s">
        <v>394</v>
      </c>
      <c r="C345" s="1">
        <v>45609</v>
      </c>
      <c r="D345" s="7" t="s">
        <v>394</v>
      </c>
      <c r="E345">
        <v>8.6864992527742504E-2</v>
      </c>
      <c r="F345">
        <v>8.6864992527742504E-2</v>
      </c>
    </row>
    <row r="346" spans="1:6" x14ac:dyDescent="0.2">
      <c r="A346">
        <v>314</v>
      </c>
      <c r="B346" s="7" t="s">
        <v>324</v>
      </c>
      <c r="C346" s="1">
        <v>45413</v>
      </c>
      <c r="D346" s="7" t="s">
        <v>324</v>
      </c>
      <c r="E346">
        <v>0.11371551685023</v>
      </c>
      <c r="F346">
        <v>0.11371551685023</v>
      </c>
    </row>
    <row r="347" spans="1:6" x14ac:dyDescent="0.2">
      <c r="A347">
        <v>315</v>
      </c>
      <c r="B347" s="7" t="s">
        <v>63</v>
      </c>
      <c r="C347" s="1">
        <v>45323</v>
      </c>
      <c r="D347" s="7" t="s">
        <v>63</v>
      </c>
      <c r="E347">
        <v>0.116045158237533</v>
      </c>
      <c r="F347">
        <v>0.116045158237533</v>
      </c>
    </row>
    <row r="348" spans="1:6" x14ac:dyDescent="0.2">
      <c r="A348">
        <v>318</v>
      </c>
      <c r="B348" s="7" t="s">
        <v>520</v>
      </c>
      <c r="C348" s="1">
        <v>45420</v>
      </c>
      <c r="D348" s="7" t="s">
        <v>520</v>
      </c>
      <c r="E348">
        <v>0.29575764250980802</v>
      </c>
      <c r="F348">
        <v>0.29575764250980802</v>
      </c>
    </row>
    <row r="349" spans="1:6" x14ac:dyDescent="0.2">
      <c r="A349">
        <v>318</v>
      </c>
      <c r="B349" s="7" t="s">
        <v>521</v>
      </c>
      <c r="C349" s="1">
        <v>45362</v>
      </c>
      <c r="D349" s="7" t="s">
        <v>521</v>
      </c>
      <c r="E349">
        <v>0.20923498446316</v>
      </c>
      <c r="F349">
        <v>0.20923498446316</v>
      </c>
    </row>
    <row r="350" spans="1:6" x14ac:dyDescent="0.2">
      <c r="A350">
        <v>319</v>
      </c>
      <c r="B350" s="7" t="s">
        <v>395</v>
      </c>
      <c r="C350" s="1">
        <v>45327</v>
      </c>
      <c r="D350" s="7" t="s">
        <v>395</v>
      </c>
      <c r="E350">
        <v>0.22778238404279499</v>
      </c>
      <c r="F350">
        <v>0.22778238404279499</v>
      </c>
    </row>
    <row r="351" spans="1:6" x14ac:dyDescent="0.2">
      <c r="A351">
        <v>322</v>
      </c>
      <c r="B351" s="7" t="s">
        <v>396</v>
      </c>
      <c r="C351" s="1">
        <v>45574</v>
      </c>
      <c r="D351" s="7" t="s">
        <v>396</v>
      </c>
      <c r="E351">
        <v>0.27013548905218498</v>
      </c>
      <c r="F351">
        <v>0.27013548905218498</v>
      </c>
    </row>
    <row r="352" spans="1:6" x14ac:dyDescent="0.2">
      <c r="A352">
        <v>323</v>
      </c>
      <c r="B352" s="7" t="s">
        <v>397</v>
      </c>
      <c r="C352" s="1">
        <v>45397</v>
      </c>
      <c r="D352" s="7" t="s">
        <v>397</v>
      </c>
      <c r="E352">
        <v>6.3484069988255495E-2</v>
      </c>
      <c r="F352">
        <v>6.3484069988255495E-2</v>
      </c>
    </row>
    <row r="353" spans="1:6" x14ac:dyDescent="0.2">
      <c r="A353">
        <v>323</v>
      </c>
      <c r="B353" s="7" t="s">
        <v>522</v>
      </c>
      <c r="C353" s="1">
        <v>45323</v>
      </c>
      <c r="D353" s="7" t="s">
        <v>522</v>
      </c>
      <c r="E353">
        <v>0.27619225485044901</v>
      </c>
      <c r="F353">
        <v>0.27619225485044901</v>
      </c>
    </row>
    <row r="354" spans="1:6" x14ac:dyDescent="0.2">
      <c r="A354">
        <v>324</v>
      </c>
      <c r="B354" s="7" t="s">
        <v>398</v>
      </c>
      <c r="C354" s="1">
        <v>45591</v>
      </c>
      <c r="D354" s="7" t="s">
        <v>398</v>
      </c>
      <c r="E354">
        <v>0.104162111072632</v>
      </c>
      <c r="F354">
        <v>0.104162111072632</v>
      </c>
    </row>
    <row r="355" spans="1:6" x14ac:dyDescent="0.2">
      <c r="A355">
        <v>325</v>
      </c>
      <c r="B355" s="7" t="s">
        <v>120</v>
      </c>
      <c r="C355" s="1">
        <v>45331</v>
      </c>
      <c r="D355" s="7" t="s">
        <v>120</v>
      </c>
      <c r="E355">
        <v>0.15432570630515699</v>
      </c>
      <c r="F355">
        <v>0.15432570630515699</v>
      </c>
    </row>
    <row r="356" spans="1:6" x14ac:dyDescent="0.2">
      <c r="A356">
        <v>325</v>
      </c>
      <c r="B356" s="7" t="s">
        <v>325</v>
      </c>
      <c r="C356" s="1">
        <v>45370</v>
      </c>
      <c r="D356" s="7" t="s">
        <v>325</v>
      </c>
      <c r="E356">
        <v>0.25223959850202898</v>
      </c>
      <c r="F356">
        <v>0.25223959850202898</v>
      </c>
    </row>
    <row r="357" spans="1:6" x14ac:dyDescent="0.2">
      <c r="A357">
        <v>326</v>
      </c>
      <c r="B357" s="7" t="s">
        <v>235</v>
      </c>
      <c r="C357" s="1">
        <v>45380</v>
      </c>
      <c r="D357" s="7" t="s">
        <v>235</v>
      </c>
      <c r="E357">
        <v>9.8095288113020096E-2</v>
      </c>
      <c r="F357">
        <v>9.8095288113020096E-2</v>
      </c>
    </row>
    <row r="358" spans="1:6" x14ac:dyDescent="0.2">
      <c r="A358">
        <v>326</v>
      </c>
      <c r="B358" s="7" t="s">
        <v>121</v>
      </c>
      <c r="C358" s="1">
        <v>45550</v>
      </c>
      <c r="D358" s="7" t="s">
        <v>121</v>
      </c>
      <c r="E358">
        <v>3.0781308643271599E-2</v>
      </c>
      <c r="F358">
        <v>3.0781308643271599E-2</v>
      </c>
    </row>
    <row r="359" spans="1:6" x14ac:dyDescent="0.2">
      <c r="A359">
        <v>328</v>
      </c>
      <c r="B359" s="7" t="s">
        <v>122</v>
      </c>
      <c r="C359" s="1">
        <v>45609</v>
      </c>
      <c r="D359" s="7" t="s">
        <v>122</v>
      </c>
      <c r="E359">
        <v>9.0777783423965197E-2</v>
      </c>
      <c r="F359">
        <v>9.0777783423965197E-2</v>
      </c>
    </row>
    <row r="360" spans="1:6" x14ac:dyDescent="0.2">
      <c r="A360">
        <v>328</v>
      </c>
      <c r="B360" s="7" t="s">
        <v>123</v>
      </c>
      <c r="C360" s="1">
        <v>45486</v>
      </c>
      <c r="D360" s="7" t="s">
        <v>123</v>
      </c>
      <c r="E360">
        <v>4.8409191640657399E-2</v>
      </c>
      <c r="F360">
        <v>4.8409191640657399E-2</v>
      </c>
    </row>
    <row r="361" spans="1:6" x14ac:dyDescent="0.2">
      <c r="A361">
        <v>329</v>
      </c>
      <c r="B361" s="7" t="s">
        <v>523</v>
      </c>
      <c r="C361" s="1">
        <v>45638</v>
      </c>
      <c r="D361" s="7" t="s">
        <v>523</v>
      </c>
      <c r="E361">
        <v>6.7156647294828606E-2</v>
      </c>
      <c r="F361">
        <v>6.7156647294828606E-2</v>
      </c>
    </row>
    <row r="362" spans="1:6" x14ac:dyDescent="0.2">
      <c r="A362">
        <v>331</v>
      </c>
      <c r="B362" s="7" t="s">
        <v>399</v>
      </c>
      <c r="C362" s="1">
        <v>45575</v>
      </c>
      <c r="D362" s="7" t="s">
        <v>399</v>
      </c>
      <c r="E362">
        <v>0.20251121424479801</v>
      </c>
      <c r="F362">
        <v>0.20251121424479801</v>
      </c>
    </row>
    <row r="363" spans="1:6" x14ac:dyDescent="0.2">
      <c r="A363">
        <v>332</v>
      </c>
      <c r="B363" s="7" t="s">
        <v>524</v>
      </c>
      <c r="C363" s="1">
        <v>45598</v>
      </c>
      <c r="D363" s="7" t="s">
        <v>524</v>
      </c>
      <c r="E363">
        <v>1.30454356358988E-2</v>
      </c>
      <c r="F363">
        <v>1.30454356358988E-2</v>
      </c>
    </row>
    <row r="364" spans="1:6" x14ac:dyDescent="0.2">
      <c r="A364">
        <v>332</v>
      </c>
      <c r="B364" s="7" t="s">
        <v>236</v>
      </c>
      <c r="C364" s="1">
        <v>45322</v>
      </c>
      <c r="D364" s="7" t="s">
        <v>236</v>
      </c>
      <c r="E364">
        <v>0.11921265131618999</v>
      </c>
      <c r="F364">
        <v>0.11921265131618999</v>
      </c>
    </row>
    <row r="365" spans="1:6" x14ac:dyDescent="0.2">
      <c r="A365">
        <v>333</v>
      </c>
      <c r="B365" s="7" t="s">
        <v>237</v>
      </c>
      <c r="C365" s="1">
        <v>45366</v>
      </c>
      <c r="D365" s="7" t="s">
        <v>237</v>
      </c>
      <c r="E365">
        <v>1.48488017568041E-2</v>
      </c>
      <c r="F365">
        <v>1.48488017568041E-2</v>
      </c>
    </row>
    <row r="366" spans="1:6" x14ac:dyDescent="0.2">
      <c r="A366">
        <v>335</v>
      </c>
      <c r="B366" s="7" t="s">
        <v>124</v>
      </c>
      <c r="C366" s="1">
        <v>45598</v>
      </c>
      <c r="D366" s="7" t="s">
        <v>124</v>
      </c>
      <c r="E366">
        <v>0.24189612394257401</v>
      </c>
      <c r="F366">
        <v>0.24189612394257401</v>
      </c>
    </row>
    <row r="367" spans="1:6" x14ac:dyDescent="0.2">
      <c r="A367">
        <v>336</v>
      </c>
      <c r="B367" s="7" t="s">
        <v>525</v>
      </c>
      <c r="C367" s="1">
        <v>45511</v>
      </c>
      <c r="D367" s="7" t="s">
        <v>525</v>
      </c>
      <c r="E367">
        <v>0.39682510001383098</v>
      </c>
      <c r="F367">
        <v>0.39682510001383098</v>
      </c>
    </row>
    <row r="368" spans="1:6" x14ac:dyDescent="0.2">
      <c r="A368">
        <v>337</v>
      </c>
      <c r="B368" s="7" t="s">
        <v>238</v>
      </c>
      <c r="C368" s="1">
        <v>45468</v>
      </c>
      <c r="D368" s="7" t="s">
        <v>238</v>
      </c>
      <c r="E368">
        <v>0.25741972161364401</v>
      </c>
      <c r="F368">
        <v>0.25741972161364401</v>
      </c>
    </row>
    <row r="369" spans="1:6" x14ac:dyDescent="0.2">
      <c r="A369">
        <v>338</v>
      </c>
      <c r="B369" s="7" t="s">
        <v>526</v>
      </c>
      <c r="C369" s="1">
        <v>45566</v>
      </c>
      <c r="D369" s="7" t="s">
        <v>526</v>
      </c>
      <c r="E369">
        <v>5.2021115242138802E-2</v>
      </c>
      <c r="F369">
        <v>5.2021115242138802E-2</v>
      </c>
    </row>
    <row r="370" spans="1:6" x14ac:dyDescent="0.2">
      <c r="A370">
        <v>339</v>
      </c>
      <c r="B370" s="7" t="s">
        <v>400</v>
      </c>
      <c r="C370" s="1">
        <v>45385</v>
      </c>
      <c r="D370" s="7" t="s">
        <v>400</v>
      </c>
      <c r="E370">
        <v>0.154792847051134</v>
      </c>
      <c r="F370">
        <v>0.154792847051134</v>
      </c>
    </row>
    <row r="371" spans="1:6" x14ac:dyDescent="0.2">
      <c r="A371">
        <v>341</v>
      </c>
      <c r="B371" s="7" t="s">
        <v>401</v>
      </c>
      <c r="C371" s="1">
        <v>45435</v>
      </c>
      <c r="D371" s="7" t="s">
        <v>401</v>
      </c>
      <c r="E371">
        <v>0.19073436750445499</v>
      </c>
      <c r="F371">
        <v>0.19073436750445499</v>
      </c>
    </row>
    <row r="372" spans="1:6" x14ac:dyDescent="0.2">
      <c r="A372">
        <v>342</v>
      </c>
      <c r="B372" s="7" t="s">
        <v>125</v>
      </c>
      <c r="C372" s="1">
        <v>45317</v>
      </c>
      <c r="D372" s="7" t="s">
        <v>125</v>
      </c>
      <c r="E372">
        <v>3.1965833391207898E-2</v>
      </c>
      <c r="F372">
        <v>3.1965833391207898E-2</v>
      </c>
    </row>
    <row r="373" spans="1:6" x14ac:dyDescent="0.2">
      <c r="A373">
        <v>342</v>
      </c>
      <c r="B373" s="7" t="s">
        <v>126</v>
      </c>
      <c r="C373" s="1">
        <v>45464</v>
      </c>
      <c r="D373" s="7" t="s">
        <v>126</v>
      </c>
      <c r="E373">
        <v>0.15490542100094801</v>
      </c>
      <c r="F373">
        <v>0.15490542100094801</v>
      </c>
    </row>
    <row r="374" spans="1:6" x14ac:dyDescent="0.2">
      <c r="A374">
        <v>343</v>
      </c>
      <c r="B374" s="7" t="s">
        <v>239</v>
      </c>
      <c r="C374" s="1">
        <v>45510</v>
      </c>
      <c r="D374" s="7" t="s">
        <v>239</v>
      </c>
      <c r="E374">
        <v>0.105091304511717</v>
      </c>
      <c r="F374">
        <v>0.105091304511717</v>
      </c>
    </row>
    <row r="375" spans="1:6" x14ac:dyDescent="0.2">
      <c r="A375">
        <v>344</v>
      </c>
      <c r="B375" s="7" t="s">
        <v>527</v>
      </c>
      <c r="C375" s="1">
        <v>45632</v>
      </c>
      <c r="D375" s="7" t="s">
        <v>527</v>
      </c>
      <c r="E375">
        <v>5.4645776272890099E-2</v>
      </c>
      <c r="F375">
        <v>5.4645776272890099E-2</v>
      </c>
    </row>
    <row r="376" spans="1:6" x14ac:dyDescent="0.2">
      <c r="A376">
        <v>344</v>
      </c>
      <c r="B376" s="7" t="s">
        <v>127</v>
      </c>
      <c r="C376" s="1">
        <v>45613</v>
      </c>
      <c r="D376" s="7" t="s">
        <v>127</v>
      </c>
      <c r="E376">
        <v>0.128660162823833</v>
      </c>
      <c r="F376">
        <v>0.128660162823833</v>
      </c>
    </row>
    <row r="377" spans="1:6" x14ac:dyDescent="0.2">
      <c r="A377">
        <v>345</v>
      </c>
      <c r="B377" s="7" t="s">
        <v>528</v>
      </c>
      <c r="C377" s="1">
        <v>45438</v>
      </c>
      <c r="D377" s="7" t="s">
        <v>528</v>
      </c>
      <c r="E377">
        <v>7.0452577761015295E-2</v>
      </c>
      <c r="F377">
        <v>7.0452577761015295E-2</v>
      </c>
    </row>
    <row r="378" spans="1:6" x14ac:dyDescent="0.2">
      <c r="A378">
        <v>346</v>
      </c>
      <c r="B378" s="7" t="s">
        <v>529</v>
      </c>
      <c r="C378" s="1">
        <v>45324</v>
      </c>
      <c r="D378" s="7" t="s">
        <v>529</v>
      </c>
      <c r="E378">
        <v>0.18407446965122701</v>
      </c>
      <c r="F378">
        <v>0.18407446965122701</v>
      </c>
    </row>
    <row r="379" spans="1:6" x14ac:dyDescent="0.2">
      <c r="A379">
        <v>348</v>
      </c>
      <c r="B379" s="7" t="s">
        <v>530</v>
      </c>
      <c r="C379" s="1">
        <v>45456</v>
      </c>
      <c r="D379" s="7" t="s">
        <v>530</v>
      </c>
      <c r="E379">
        <v>0.335966170596259</v>
      </c>
      <c r="F379">
        <v>0.335966170596259</v>
      </c>
    </row>
    <row r="380" spans="1:6" x14ac:dyDescent="0.2">
      <c r="A380">
        <v>349</v>
      </c>
      <c r="B380" s="7" t="s">
        <v>531</v>
      </c>
      <c r="C380" s="1">
        <v>45520</v>
      </c>
      <c r="D380" s="7" t="s">
        <v>531</v>
      </c>
      <c r="E380">
        <v>0.23640319678382099</v>
      </c>
      <c r="F380">
        <v>0.23640319678382099</v>
      </c>
    </row>
    <row r="381" spans="1:6" x14ac:dyDescent="0.2">
      <c r="A381">
        <v>349</v>
      </c>
      <c r="B381" s="7" t="s">
        <v>532</v>
      </c>
      <c r="C381" s="1">
        <v>45584</v>
      </c>
      <c r="D381" s="7" t="s">
        <v>532</v>
      </c>
      <c r="E381">
        <v>8.1571633807755506E-2</v>
      </c>
      <c r="F381">
        <v>8.1571633807755506E-2</v>
      </c>
    </row>
    <row r="382" spans="1:6" x14ac:dyDescent="0.2">
      <c r="A382">
        <v>350</v>
      </c>
      <c r="B382" s="7" t="s">
        <v>533</v>
      </c>
      <c r="C382" s="1">
        <v>45587</v>
      </c>
      <c r="D382" s="7" t="s">
        <v>533</v>
      </c>
      <c r="E382">
        <v>9.1431697186675598E-2</v>
      </c>
      <c r="F382">
        <v>9.1431697186675598E-2</v>
      </c>
    </row>
    <row r="383" spans="1:6" x14ac:dyDescent="0.2">
      <c r="A383">
        <v>351</v>
      </c>
      <c r="B383" s="7" t="s">
        <v>534</v>
      </c>
      <c r="C383" s="1">
        <v>45359</v>
      </c>
      <c r="D383" s="7" t="s">
        <v>534</v>
      </c>
      <c r="E383">
        <v>1.7642630664876899E-2</v>
      </c>
      <c r="F383">
        <v>1.7642630664876899E-2</v>
      </c>
    </row>
    <row r="384" spans="1:6" x14ac:dyDescent="0.2">
      <c r="A384">
        <v>351</v>
      </c>
      <c r="B384" s="7" t="s">
        <v>535</v>
      </c>
      <c r="C384" s="1">
        <v>45331</v>
      </c>
      <c r="D384" s="7" t="s">
        <v>535</v>
      </c>
      <c r="E384">
        <v>0.28475533027801597</v>
      </c>
      <c r="F384">
        <v>0.28475533027801597</v>
      </c>
    </row>
    <row r="385" spans="1:6" x14ac:dyDescent="0.2">
      <c r="A385">
        <v>353</v>
      </c>
      <c r="B385" s="7" t="s">
        <v>536</v>
      </c>
      <c r="C385" s="1">
        <v>45601</v>
      </c>
      <c r="D385" s="7" t="s">
        <v>536</v>
      </c>
      <c r="E385">
        <v>3.54031277641409E-3</v>
      </c>
      <c r="F385">
        <v>3.54031277641409E-3</v>
      </c>
    </row>
    <row r="386" spans="1:6" x14ac:dyDescent="0.2">
      <c r="A386">
        <v>354</v>
      </c>
      <c r="B386" s="7" t="s">
        <v>537</v>
      </c>
      <c r="C386" s="1">
        <v>45642</v>
      </c>
      <c r="D386" s="7" t="s">
        <v>537</v>
      </c>
      <c r="E386">
        <v>7.3796059877097794E-2</v>
      </c>
      <c r="F386">
        <v>7.3796059877097794E-2</v>
      </c>
    </row>
    <row r="387" spans="1:6" x14ac:dyDescent="0.2">
      <c r="A387">
        <v>354</v>
      </c>
      <c r="B387" s="7" t="s">
        <v>538</v>
      </c>
      <c r="C387" s="1">
        <v>45303</v>
      </c>
      <c r="D387" s="7" t="s">
        <v>538</v>
      </c>
      <c r="E387">
        <v>6.4260064106109793E-2</v>
      </c>
      <c r="F387">
        <v>6.4260064106109793E-2</v>
      </c>
    </row>
    <row r="388" spans="1:6" x14ac:dyDescent="0.2">
      <c r="A388">
        <v>355</v>
      </c>
      <c r="B388" s="7" t="s">
        <v>64</v>
      </c>
      <c r="C388" s="1">
        <v>45545</v>
      </c>
      <c r="D388" s="7" t="s">
        <v>64</v>
      </c>
      <c r="E388">
        <v>0.11945465058044499</v>
      </c>
      <c r="F388">
        <v>0.11945465058044499</v>
      </c>
    </row>
    <row r="389" spans="1:6" x14ac:dyDescent="0.2">
      <c r="A389">
        <v>357</v>
      </c>
      <c r="B389" s="7" t="s">
        <v>65</v>
      </c>
      <c r="C389" s="1">
        <v>45365</v>
      </c>
      <c r="D389" s="7" t="s">
        <v>65</v>
      </c>
      <c r="E389">
        <v>0.13728199813692199</v>
      </c>
      <c r="F389">
        <v>0.13728199813692199</v>
      </c>
    </row>
    <row r="390" spans="1:6" x14ac:dyDescent="0.2">
      <c r="A390">
        <v>358</v>
      </c>
      <c r="B390" s="7" t="s">
        <v>240</v>
      </c>
      <c r="C390" s="1">
        <v>45361</v>
      </c>
      <c r="D390" s="7" t="s">
        <v>240</v>
      </c>
      <c r="E390">
        <v>0.17056801049679299</v>
      </c>
      <c r="F390">
        <v>0.17056801049679299</v>
      </c>
    </row>
    <row r="391" spans="1:6" x14ac:dyDescent="0.2">
      <c r="A391">
        <v>359</v>
      </c>
      <c r="B391" s="7" t="s">
        <v>539</v>
      </c>
      <c r="C391" s="1">
        <v>45393</v>
      </c>
      <c r="D391" s="7" t="s">
        <v>539</v>
      </c>
      <c r="E391">
        <v>0.31784653979517102</v>
      </c>
      <c r="F391">
        <v>0.31784653979517102</v>
      </c>
    </row>
    <row r="392" spans="1:6" x14ac:dyDescent="0.2">
      <c r="A392">
        <v>361</v>
      </c>
      <c r="B392" s="7" t="s">
        <v>540</v>
      </c>
      <c r="C392" s="1">
        <v>45339</v>
      </c>
      <c r="D392" s="7" t="s">
        <v>540</v>
      </c>
      <c r="E392">
        <v>6.8602649779769098E-2</v>
      </c>
      <c r="F392">
        <v>6.8602649779769098E-2</v>
      </c>
    </row>
    <row r="393" spans="1:6" x14ac:dyDescent="0.2">
      <c r="A393">
        <v>361</v>
      </c>
      <c r="B393" s="7" t="s">
        <v>541</v>
      </c>
      <c r="C393" s="1">
        <v>45528</v>
      </c>
      <c r="D393" s="7" t="s">
        <v>541</v>
      </c>
      <c r="E393">
        <v>0.17219207585212201</v>
      </c>
      <c r="F393">
        <v>0.17219207585212201</v>
      </c>
    </row>
    <row r="394" spans="1:6" x14ac:dyDescent="0.2">
      <c r="A394">
        <v>362</v>
      </c>
      <c r="B394" s="7" t="s">
        <v>542</v>
      </c>
      <c r="C394" s="1">
        <v>45629</v>
      </c>
      <c r="D394" s="7" t="s">
        <v>542</v>
      </c>
      <c r="E394">
        <v>5.0567975809887998E-2</v>
      </c>
      <c r="F394">
        <v>5.0567975809887998E-2</v>
      </c>
    </row>
    <row r="395" spans="1:6" x14ac:dyDescent="0.2">
      <c r="A395">
        <v>362</v>
      </c>
      <c r="B395" s="7" t="s">
        <v>66</v>
      </c>
      <c r="C395" s="1">
        <v>45635</v>
      </c>
      <c r="D395" s="7" t="s">
        <v>66</v>
      </c>
      <c r="E395">
        <v>5.6191125914629103E-2</v>
      </c>
      <c r="F395">
        <v>5.6191125914629103E-2</v>
      </c>
    </row>
    <row r="396" spans="1:6" x14ac:dyDescent="0.2">
      <c r="A396">
        <v>364</v>
      </c>
      <c r="B396" s="7" t="s">
        <v>67</v>
      </c>
      <c r="C396" s="1">
        <v>45483</v>
      </c>
      <c r="D396" s="7" t="s">
        <v>67</v>
      </c>
      <c r="E396">
        <v>0.149755201124807</v>
      </c>
      <c r="F396">
        <v>0.149755201124807</v>
      </c>
    </row>
    <row r="397" spans="1:6" x14ac:dyDescent="0.2">
      <c r="A397">
        <v>365</v>
      </c>
      <c r="B397" s="7" t="s">
        <v>402</v>
      </c>
      <c r="C397" s="1">
        <v>45338</v>
      </c>
      <c r="D397" s="7" t="s">
        <v>402</v>
      </c>
      <c r="E397">
        <v>0.17838524452836299</v>
      </c>
      <c r="F397">
        <v>0.17838524452836299</v>
      </c>
    </row>
    <row r="398" spans="1:6" x14ac:dyDescent="0.2">
      <c r="A398">
        <v>366</v>
      </c>
      <c r="B398" s="7" t="s">
        <v>68</v>
      </c>
      <c r="C398" s="1">
        <v>45352</v>
      </c>
      <c r="D398" s="7" t="s">
        <v>68</v>
      </c>
      <c r="E398">
        <v>0.18735024376918599</v>
      </c>
      <c r="F398">
        <v>0.18735024376918599</v>
      </c>
    </row>
    <row r="399" spans="1:6" x14ac:dyDescent="0.2">
      <c r="A399">
        <v>367</v>
      </c>
      <c r="B399" s="7" t="s">
        <v>543</v>
      </c>
      <c r="C399" s="1">
        <v>45570</v>
      </c>
      <c r="D399" s="7" t="s">
        <v>543</v>
      </c>
      <c r="E399">
        <v>0.19909538591349399</v>
      </c>
      <c r="F399">
        <v>0.19909538591349399</v>
      </c>
    </row>
    <row r="400" spans="1:6" x14ac:dyDescent="0.2">
      <c r="A400">
        <v>367</v>
      </c>
      <c r="B400" s="7" t="s">
        <v>403</v>
      </c>
      <c r="C400" s="1">
        <v>45358</v>
      </c>
      <c r="D400" s="7" t="s">
        <v>403</v>
      </c>
      <c r="E400">
        <v>0.101795842580063</v>
      </c>
      <c r="F400">
        <v>0.101795842580063</v>
      </c>
    </row>
    <row r="401" spans="1:6" x14ac:dyDescent="0.2">
      <c r="A401">
        <v>368</v>
      </c>
      <c r="B401" s="7" t="s">
        <v>544</v>
      </c>
      <c r="C401" s="1">
        <v>45540</v>
      </c>
      <c r="D401" s="7" t="s">
        <v>544</v>
      </c>
      <c r="E401">
        <v>2.4532761518724799E-2</v>
      </c>
      <c r="F401">
        <v>2.4532761518724799E-2</v>
      </c>
    </row>
    <row r="402" spans="1:6" x14ac:dyDescent="0.2">
      <c r="A402">
        <v>368</v>
      </c>
      <c r="B402" s="7" t="s">
        <v>545</v>
      </c>
      <c r="C402" s="1">
        <v>45650</v>
      </c>
      <c r="D402" s="7" t="s">
        <v>545</v>
      </c>
      <c r="E402">
        <v>0.45351009054643499</v>
      </c>
      <c r="F402">
        <v>0.45351009054643499</v>
      </c>
    </row>
    <row r="403" spans="1:6" x14ac:dyDescent="0.2">
      <c r="A403">
        <v>369</v>
      </c>
      <c r="B403" s="7" t="s">
        <v>128</v>
      </c>
      <c r="C403" s="1">
        <v>45515</v>
      </c>
      <c r="D403" s="7" t="s">
        <v>128</v>
      </c>
      <c r="E403">
        <v>0.25947922774422</v>
      </c>
      <c r="F403">
        <v>0.25947922774422</v>
      </c>
    </row>
    <row r="404" spans="1:6" x14ac:dyDescent="0.2">
      <c r="A404">
        <v>370</v>
      </c>
      <c r="B404" s="7" t="s">
        <v>546</v>
      </c>
      <c r="C404" s="1">
        <v>45502</v>
      </c>
      <c r="D404" s="7" t="s">
        <v>546</v>
      </c>
      <c r="E404">
        <v>0.13524167443708601</v>
      </c>
      <c r="F404">
        <v>0.13524167443708601</v>
      </c>
    </row>
    <row r="405" spans="1:6" x14ac:dyDescent="0.2">
      <c r="A405">
        <v>371</v>
      </c>
      <c r="B405" s="7" t="s">
        <v>241</v>
      </c>
      <c r="C405" s="1">
        <v>45475</v>
      </c>
      <c r="D405" s="7" t="s">
        <v>241</v>
      </c>
      <c r="E405">
        <v>6.3525991187566105E-2</v>
      </c>
      <c r="F405">
        <v>6.3525991187566105E-2</v>
      </c>
    </row>
    <row r="406" spans="1:6" x14ac:dyDescent="0.2">
      <c r="A406">
        <v>372</v>
      </c>
      <c r="B406" s="7" t="s">
        <v>547</v>
      </c>
      <c r="C406" s="1">
        <v>45621</v>
      </c>
      <c r="D406" s="7" t="s">
        <v>547</v>
      </c>
      <c r="E406">
        <v>6.9059898845113807E-2</v>
      </c>
      <c r="F406">
        <v>6.9059898845113807E-2</v>
      </c>
    </row>
    <row r="407" spans="1:6" x14ac:dyDescent="0.2">
      <c r="A407">
        <v>374</v>
      </c>
      <c r="B407" s="7" t="s">
        <v>69</v>
      </c>
      <c r="C407" s="1">
        <v>45365</v>
      </c>
      <c r="D407" s="7" t="s">
        <v>69</v>
      </c>
      <c r="E407">
        <v>8.9240794773876295E-2</v>
      </c>
      <c r="F407">
        <v>8.9240794773876295E-2</v>
      </c>
    </row>
    <row r="408" spans="1:6" x14ac:dyDescent="0.2">
      <c r="A408">
        <v>375</v>
      </c>
      <c r="B408" s="7" t="s">
        <v>548</v>
      </c>
      <c r="C408" s="1">
        <v>45440</v>
      </c>
      <c r="D408" s="7" t="s">
        <v>548</v>
      </c>
      <c r="E408">
        <v>0.29749466321301499</v>
      </c>
      <c r="F408">
        <v>0.29749466321301499</v>
      </c>
    </row>
    <row r="409" spans="1:6" x14ac:dyDescent="0.2">
      <c r="A409">
        <v>377</v>
      </c>
      <c r="B409" s="7" t="s">
        <v>549</v>
      </c>
      <c r="C409" s="1">
        <v>45498</v>
      </c>
      <c r="D409" s="7" t="s">
        <v>549</v>
      </c>
      <c r="E409">
        <v>0.12833446115462899</v>
      </c>
      <c r="F409">
        <v>0.12833446115462899</v>
      </c>
    </row>
    <row r="410" spans="1:6" x14ac:dyDescent="0.2">
      <c r="A410">
        <v>378</v>
      </c>
      <c r="B410" s="7" t="s">
        <v>70</v>
      </c>
      <c r="C410" s="1">
        <v>45458</v>
      </c>
      <c r="D410" s="7" t="s">
        <v>70</v>
      </c>
      <c r="E410">
        <v>0.12707580129454199</v>
      </c>
      <c r="F410">
        <v>0.12707580129454199</v>
      </c>
    </row>
    <row r="411" spans="1:6" x14ac:dyDescent="0.2">
      <c r="A411">
        <v>378</v>
      </c>
      <c r="B411" s="7" t="s">
        <v>71</v>
      </c>
      <c r="C411" s="1">
        <v>45389</v>
      </c>
      <c r="D411" s="7" t="s">
        <v>71</v>
      </c>
      <c r="E411">
        <v>0.103077668922247</v>
      </c>
      <c r="F411">
        <v>0.103077668922247</v>
      </c>
    </row>
    <row r="412" spans="1:6" x14ac:dyDescent="0.2">
      <c r="A412">
        <v>379</v>
      </c>
      <c r="B412" s="7" t="s">
        <v>550</v>
      </c>
      <c r="C412" s="1">
        <v>45502</v>
      </c>
      <c r="D412" s="7" t="s">
        <v>550</v>
      </c>
      <c r="E412">
        <v>4.2497878109347603E-2</v>
      </c>
      <c r="F412">
        <v>4.2497878109347603E-2</v>
      </c>
    </row>
    <row r="413" spans="1:6" x14ac:dyDescent="0.2">
      <c r="A413">
        <v>381</v>
      </c>
      <c r="B413" s="7" t="s">
        <v>242</v>
      </c>
      <c r="C413" s="1">
        <v>45604</v>
      </c>
      <c r="D413" s="7" t="s">
        <v>242</v>
      </c>
      <c r="E413">
        <v>0.47756678415107501</v>
      </c>
      <c r="F413">
        <v>0.47756678415107501</v>
      </c>
    </row>
    <row r="414" spans="1:6" x14ac:dyDescent="0.2">
      <c r="A414">
        <v>382</v>
      </c>
      <c r="B414" s="7" t="s">
        <v>551</v>
      </c>
      <c r="C414" s="1">
        <v>45314</v>
      </c>
      <c r="D414" s="7" t="s">
        <v>551</v>
      </c>
      <c r="E414">
        <v>0.31745481799855202</v>
      </c>
      <c r="F414">
        <v>0.31745481799855202</v>
      </c>
    </row>
    <row r="415" spans="1:6" x14ac:dyDescent="0.2">
      <c r="A415">
        <v>383</v>
      </c>
      <c r="B415" s="7" t="s">
        <v>552</v>
      </c>
      <c r="C415" s="1">
        <v>45337</v>
      </c>
      <c r="D415" s="7" t="s">
        <v>552</v>
      </c>
      <c r="E415">
        <v>6.50635205954639E-2</v>
      </c>
      <c r="F415">
        <v>6.50635205954639E-2</v>
      </c>
    </row>
    <row r="416" spans="1:6" x14ac:dyDescent="0.2">
      <c r="A416">
        <v>384</v>
      </c>
      <c r="B416" s="7" t="s">
        <v>553</v>
      </c>
      <c r="C416" s="1">
        <v>45564</v>
      </c>
      <c r="D416" s="7" t="s">
        <v>553</v>
      </c>
      <c r="E416">
        <v>0.185302296636253</v>
      </c>
      <c r="F416">
        <v>0.185302296636253</v>
      </c>
    </row>
    <row r="417" spans="1:6" x14ac:dyDescent="0.2">
      <c r="A417">
        <v>385</v>
      </c>
      <c r="B417" s="7" t="s">
        <v>72</v>
      </c>
      <c r="C417" s="1">
        <v>45633</v>
      </c>
      <c r="D417" s="7" t="s">
        <v>72</v>
      </c>
      <c r="E417">
        <v>0.28579976319780298</v>
      </c>
      <c r="F417">
        <v>0.28579976319780298</v>
      </c>
    </row>
    <row r="418" spans="1:6" x14ac:dyDescent="0.2">
      <c r="A418">
        <v>387</v>
      </c>
      <c r="B418" s="7" t="s">
        <v>554</v>
      </c>
      <c r="C418" s="1">
        <v>45413</v>
      </c>
      <c r="D418" s="7" t="s">
        <v>554</v>
      </c>
      <c r="E418">
        <v>0.23869531388694701</v>
      </c>
      <c r="F418">
        <v>0.23869531388694701</v>
      </c>
    </row>
    <row r="419" spans="1:6" x14ac:dyDescent="0.2">
      <c r="A419">
        <v>387</v>
      </c>
      <c r="B419" s="7" t="s">
        <v>73</v>
      </c>
      <c r="C419" s="1">
        <v>45393</v>
      </c>
      <c r="D419" s="7" t="s">
        <v>73</v>
      </c>
      <c r="E419">
        <v>0.17110625292599899</v>
      </c>
      <c r="F419">
        <v>0.17110625292599899</v>
      </c>
    </row>
    <row r="420" spans="1:6" x14ac:dyDescent="0.2">
      <c r="A420">
        <v>388</v>
      </c>
      <c r="B420" s="7" t="s">
        <v>74</v>
      </c>
      <c r="C420" s="1">
        <v>45327</v>
      </c>
      <c r="D420" s="7" t="s">
        <v>74</v>
      </c>
      <c r="E420">
        <v>9.29470549891247E-2</v>
      </c>
      <c r="F420">
        <v>9.29470549891247E-2</v>
      </c>
    </row>
    <row r="421" spans="1:6" x14ac:dyDescent="0.2">
      <c r="A421">
        <v>388</v>
      </c>
      <c r="B421" s="7" t="s">
        <v>75</v>
      </c>
      <c r="C421" s="1">
        <v>45316</v>
      </c>
      <c r="D421" s="7" t="s">
        <v>75</v>
      </c>
      <c r="E421">
        <v>0.13517614419392501</v>
      </c>
      <c r="F421">
        <v>0.13517614419392501</v>
      </c>
    </row>
    <row r="422" spans="1:6" x14ac:dyDescent="0.2">
      <c r="A422">
        <v>389</v>
      </c>
      <c r="B422" s="7" t="s">
        <v>555</v>
      </c>
      <c r="C422" s="1">
        <v>45425</v>
      </c>
      <c r="D422" s="7" t="s">
        <v>555</v>
      </c>
      <c r="E422">
        <v>0.24380597366724299</v>
      </c>
      <c r="F422">
        <v>0.24380597366724299</v>
      </c>
    </row>
    <row r="423" spans="1:6" x14ac:dyDescent="0.2">
      <c r="A423">
        <v>389</v>
      </c>
      <c r="B423" s="7" t="s">
        <v>76</v>
      </c>
      <c r="C423" s="1">
        <v>45303</v>
      </c>
      <c r="D423" s="7" t="s">
        <v>76</v>
      </c>
      <c r="E423">
        <v>0.30325138366186</v>
      </c>
      <c r="F423">
        <v>0.30325138366186</v>
      </c>
    </row>
    <row r="424" spans="1:6" x14ac:dyDescent="0.2">
      <c r="A424">
        <v>390</v>
      </c>
      <c r="B424" s="7" t="s">
        <v>556</v>
      </c>
      <c r="C424" s="1">
        <v>45346</v>
      </c>
      <c r="D424" s="7" t="s">
        <v>556</v>
      </c>
      <c r="E424">
        <v>0.29631193127651401</v>
      </c>
      <c r="F424">
        <v>0.29631193127651401</v>
      </c>
    </row>
    <row r="425" spans="1:6" x14ac:dyDescent="0.2">
      <c r="A425">
        <v>390</v>
      </c>
      <c r="B425" s="7" t="s">
        <v>557</v>
      </c>
      <c r="C425" s="1">
        <v>45639</v>
      </c>
      <c r="D425" s="7" t="s">
        <v>557</v>
      </c>
      <c r="E425">
        <v>0.18432417329277401</v>
      </c>
      <c r="F425">
        <v>0.18432417329277401</v>
      </c>
    </row>
    <row r="426" spans="1:6" x14ac:dyDescent="0.2">
      <c r="A426">
        <v>392</v>
      </c>
      <c r="B426" s="7" t="s">
        <v>326</v>
      </c>
      <c r="C426" s="1">
        <v>45545</v>
      </c>
      <c r="D426" s="7" t="s">
        <v>326</v>
      </c>
      <c r="E426">
        <v>5.7961232926266801E-2</v>
      </c>
      <c r="F426">
        <v>5.7961232926266801E-2</v>
      </c>
    </row>
    <row r="427" spans="1:6" x14ac:dyDescent="0.2">
      <c r="A427">
        <v>393</v>
      </c>
      <c r="B427" s="7" t="s">
        <v>243</v>
      </c>
      <c r="C427" s="1">
        <v>45649</v>
      </c>
      <c r="D427" s="7" t="s">
        <v>243</v>
      </c>
      <c r="E427">
        <v>0.118686942494478</v>
      </c>
      <c r="F427">
        <v>0.118686942494478</v>
      </c>
    </row>
    <row r="428" spans="1:6" x14ac:dyDescent="0.2">
      <c r="A428">
        <v>394</v>
      </c>
      <c r="B428" s="7" t="s">
        <v>327</v>
      </c>
      <c r="C428" s="1">
        <v>45399</v>
      </c>
      <c r="D428" s="7" t="s">
        <v>327</v>
      </c>
      <c r="E428">
        <v>0.114610654308564</v>
      </c>
      <c r="F428">
        <v>0.114610654308564</v>
      </c>
    </row>
    <row r="429" spans="1:6" x14ac:dyDescent="0.2">
      <c r="A429">
        <v>395</v>
      </c>
      <c r="B429" s="7" t="s">
        <v>558</v>
      </c>
      <c r="C429" s="1">
        <v>45639</v>
      </c>
      <c r="D429" s="7" t="s">
        <v>558</v>
      </c>
      <c r="E429">
        <v>0.10398258737968399</v>
      </c>
      <c r="F429">
        <v>0.10398258737968399</v>
      </c>
    </row>
    <row r="430" spans="1:6" x14ac:dyDescent="0.2">
      <c r="A430">
        <v>395</v>
      </c>
      <c r="B430" s="7" t="s">
        <v>559</v>
      </c>
      <c r="C430" s="1">
        <v>45347</v>
      </c>
      <c r="D430" s="7" t="s">
        <v>559</v>
      </c>
      <c r="E430">
        <v>0.13484632034577301</v>
      </c>
      <c r="F430">
        <v>0.13484632034577301</v>
      </c>
    </row>
    <row r="431" spans="1:6" x14ac:dyDescent="0.2">
      <c r="A431">
        <v>396</v>
      </c>
      <c r="B431" s="7" t="s">
        <v>77</v>
      </c>
      <c r="C431" s="1">
        <v>45557</v>
      </c>
      <c r="D431" s="7" t="s">
        <v>77</v>
      </c>
      <c r="E431">
        <v>7.2748734645795704E-2</v>
      </c>
      <c r="F431">
        <v>7.2748734645795704E-2</v>
      </c>
    </row>
    <row r="432" spans="1:6" x14ac:dyDescent="0.2">
      <c r="A432">
        <v>396</v>
      </c>
      <c r="B432" s="7" t="s">
        <v>78</v>
      </c>
      <c r="C432" s="1">
        <v>45306</v>
      </c>
      <c r="D432" s="7" t="s">
        <v>78</v>
      </c>
      <c r="E432">
        <v>6.3031282429015803E-2</v>
      </c>
      <c r="F432">
        <v>6.3031282429015803E-2</v>
      </c>
    </row>
    <row r="433" spans="1:6" x14ac:dyDescent="0.2">
      <c r="A433">
        <v>397</v>
      </c>
      <c r="B433" s="7" t="s">
        <v>79</v>
      </c>
      <c r="C433" s="1">
        <v>45657</v>
      </c>
      <c r="D433" s="7" t="s">
        <v>79</v>
      </c>
      <c r="E433">
        <v>7.4736158624186505E-2</v>
      </c>
      <c r="F433">
        <v>7.4736158624186505E-2</v>
      </c>
    </row>
    <row r="434" spans="1:6" x14ac:dyDescent="0.2">
      <c r="A434">
        <v>397</v>
      </c>
      <c r="B434" s="7" t="s">
        <v>80</v>
      </c>
      <c r="C434" s="1">
        <v>45437</v>
      </c>
      <c r="D434" s="7" t="s">
        <v>80</v>
      </c>
      <c r="E434">
        <v>0.20430889160499199</v>
      </c>
      <c r="F434">
        <v>0.20430889160499199</v>
      </c>
    </row>
    <row r="435" spans="1:6" x14ac:dyDescent="0.2">
      <c r="A435">
        <v>398</v>
      </c>
      <c r="B435" s="7" t="s">
        <v>404</v>
      </c>
      <c r="C435" s="1">
        <v>45531</v>
      </c>
      <c r="D435" s="7" t="s">
        <v>404</v>
      </c>
      <c r="E435">
        <v>4.3098338748726199E-2</v>
      </c>
      <c r="F435">
        <v>4.3098338748726199E-2</v>
      </c>
    </row>
    <row r="436" spans="1:6" x14ac:dyDescent="0.2">
      <c r="A436">
        <v>398</v>
      </c>
      <c r="B436" s="7" t="s">
        <v>244</v>
      </c>
      <c r="C436" s="1">
        <v>45485</v>
      </c>
      <c r="D436" s="7" t="s">
        <v>244</v>
      </c>
      <c r="E436">
        <v>0.21453664310105999</v>
      </c>
      <c r="F436">
        <v>0.21453664310105999</v>
      </c>
    </row>
    <row r="437" spans="1:6" x14ac:dyDescent="0.2">
      <c r="A437">
        <v>399</v>
      </c>
      <c r="B437" s="7" t="s">
        <v>245</v>
      </c>
      <c r="C437" s="1">
        <v>45413</v>
      </c>
      <c r="D437" s="7" t="s">
        <v>245</v>
      </c>
      <c r="E437">
        <v>0.182738203085682</v>
      </c>
      <c r="F437">
        <v>0.182738203085682</v>
      </c>
    </row>
    <row r="438" spans="1:6" x14ac:dyDescent="0.2">
      <c r="A438">
        <v>399</v>
      </c>
      <c r="B438" s="7" t="s">
        <v>246</v>
      </c>
      <c r="C438" s="1">
        <v>45553</v>
      </c>
      <c r="D438" s="7" t="s">
        <v>246</v>
      </c>
      <c r="E438">
        <v>0.31803823305478202</v>
      </c>
      <c r="F438">
        <v>0.31803823305478202</v>
      </c>
    </row>
    <row r="439" spans="1:6" x14ac:dyDescent="0.2">
      <c r="A439">
        <v>402</v>
      </c>
      <c r="B439" s="7" t="s">
        <v>129</v>
      </c>
      <c r="C439" s="1">
        <v>45389</v>
      </c>
      <c r="D439" s="7" t="s">
        <v>129</v>
      </c>
      <c r="E439">
        <v>4.1071848792800097E-2</v>
      </c>
      <c r="F439">
        <v>4.1071848792800097E-2</v>
      </c>
    </row>
    <row r="440" spans="1:6" x14ac:dyDescent="0.2">
      <c r="A440">
        <v>402</v>
      </c>
      <c r="B440" s="7" t="s">
        <v>130</v>
      </c>
      <c r="C440" s="1">
        <v>45421</v>
      </c>
      <c r="D440" s="7" t="s">
        <v>130</v>
      </c>
      <c r="E440">
        <v>0.174855215018698</v>
      </c>
      <c r="F440">
        <v>0.174855215018698</v>
      </c>
    </row>
    <row r="441" spans="1:6" x14ac:dyDescent="0.2">
      <c r="A441">
        <v>404</v>
      </c>
      <c r="B441" s="7" t="s">
        <v>560</v>
      </c>
      <c r="C441" s="1">
        <v>45352</v>
      </c>
      <c r="D441" s="7" t="s">
        <v>560</v>
      </c>
      <c r="E441">
        <v>0.23138624576780101</v>
      </c>
      <c r="F441">
        <v>0.23138624576780101</v>
      </c>
    </row>
    <row r="442" spans="1:6" x14ac:dyDescent="0.2">
      <c r="A442">
        <v>405</v>
      </c>
      <c r="B442" s="7" t="s">
        <v>561</v>
      </c>
      <c r="C442" s="1">
        <v>45443</v>
      </c>
      <c r="D442" s="7" t="s">
        <v>561</v>
      </c>
      <c r="E442">
        <v>5.3183497418120403E-2</v>
      </c>
      <c r="F442">
        <v>5.3183497418120403E-2</v>
      </c>
    </row>
    <row r="443" spans="1:6" x14ac:dyDescent="0.2">
      <c r="A443">
        <v>406</v>
      </c>
      <c r="B443" s="7" t="s">
        <v>81</v>
      </c>
      <c r="C443" s="1">
        <v>45590</v>
      </c>
      <c r="D443" s="7" t="s">
        <v>81</v>
      </c>
      <c r="E443">
        <v>2.4007438671223E-2</v>
      </c>
      <c r="F443">
        <v>2.4007438671223E-2</v>
      </c>
    </row>
    <row r="444" spans="1:6" x14ac:dyDescent="0.2">
      <c r="A444">
        <v>407</v>
      </c>
      <c r="B444" s="7" t="s">
        <v>405</v>
      </c>
      <c r="C444" s="1">
        <v>45321</v>
      </c>
      <c r="D444" s="7" t="s">
        <v>405</v>
      </c>
      <c r="E444">
        <v>0.15054701752117899</v>
      </c>
      <c r="F444">
        <v>0.15054701752117899</v>
      </c>
    </row>
    <row r="445" spans="1:6" x14ac:dyDescent="0.2">
      <c r="A445">
        <v>408</v>
      </c>
      <c r="B445" s="7" t="s">
        <v>328</v>
      </c>
      <c r="C445" s="1">
        <v>45496</v>
      </c>
      <c r="D445" s="7" t="s">
        <v>328</v>
      </c>
      <c r="E445">
        <v>0.342586021005932</v>
      </c>
      <c r="F445">
        <v>0.342586021005932</v>
      </c>
    </row>
    <row r="446" spans="1:6" x14ac:dyDescent="0.2">
      <c r="A446">
        <v>408</v>
      </c>
      <c r="B446" s="7" t="s">
        <v>329</v>
      </c>
      <c r="C446" s="1">
        <v>45638</v>
      </c>
      <c r="D446" s="7" t="s">
        <v>329</v>
      </c>
      <c r="E446">
        <v>0.13551466932428299</v>
      </c>
      <c r="F446">
        <v>0.13551466932428299</v>
      </c>
    </row>
    <row r="447" spans="1:6" x14ac:dyDescent="0.2">
      <c r="A447">
        <v>409</v>
      </c>
      <c r="B447" s="7" t="s">
        <v>562</v>
      </c>
      <c r="C447" s="1">
        <v>45591</v>
      </c>
      <c r="D447" s="7" t="s">
        <v>562</v>
      </c>
      <c r="E447">
        <v>0.213027965488893</v>
      </c>
      <c r="F447">
        <v>0.213027965488893</v>
      </c>
    </row>
    <row r="448" spans="1:6" x14ac:dyDescent="0.2">
      <c r="A448">
        <v>410</v>
      </c>
      <c r="B448" s="7" t="s">
        <v>131</v>
      </c>
      <c r="C448" s="1">
        <v>45544</v>
      </c>
      <c r="D448" s="7" t="s">
        <v>131</v>
      </c>
      <c r="E448">
        <v>0.32443432188320898</v>
      </c>
      <c r="F448">
        <v>0.32443432188320898</v>
      </c>
    </row>
    <row r="449" spans="1:6" x14ac:dyDescent="0.2">
      <c r="A449">
        <v>411</v>
      </c>
      <c r="B449" s="7" t="s">
        <v>330</v>
      </c>
      <c r="C449" s="1">
        <v>45545</v>
      </c>
      <c r="D449" s="7" t="s">
        <v>330</v>
      </c>
      <c r="E449">
        <v>0.12449356040519299</v>
      </c>
      <c r="F449">
        <v>0.12449356040519299</v>
      </c>
    </row>
    <row r="450" spans="1:6" x14ac:dyDescent="0.2">
      <c r="A450">
        <v>413</v>
      </c>
      <c r="B450" s="7" t="s">
        <v>406</v>
      </c>
      <c r="C450" s="1">
        <v>45395</v>
      </c>
      <c r="D450" s="7" t="s">
        <v>406</v>
      </c>
      <c r="E450">
        <v>0.112943786595968</v>
      </c>
      <c r="F450">
        <v>0.112943786595968</v>
      </c>
    </row>
    <row r="451" spans="1:6" x14ac:dyDescent="0.2">
      <c r="A451">
        <v>413</v>
      </c>
      <c r="B451" s="7" t="s">
        <v>82</v>
      </c>
      <c r="C451" s="1">
        <v>45569</v>
      </c>
      <c r="D451" s="7" t="s">
        <v>82</v>
      </c>
      <c r="E451">
        <v>0.124463815670689</v>
      </c>
      <c r="F451">
        <v>0.124463815670689</v>
      </c>
    </row>
    <row r="452" spans="1:6" x14ac:dyDescent="0.2">
      <c r="A452">
        <v>414</v>
      </c>
      <c r="B452" s="7" t="s">
        <v>247</v>
      </c>
      <c r="C452" s="1">
        <v>45583</v>
      </c>
      <c r="D452" s="7" t="s">
        <v>247</v>
      </c>
      <c r="E452">
        <v>0.12881471005916201</v>
      </c>
      <c r="F452">
        <v>0.12881471005916201</v>
      </c>
    </row>
    <row r="453" spans="1:6" x14ac:dyDescent="0.2">
      <c r="A453">
        <v>415</v>
      </c>
      <c r="B453" s="7" t="s">
        <v>563</v>
      </c>
      <c r="C453" s="1">
        <v>45377</v>
      </c>
      <c r="D453" s="7" t="s">
        <v>563</v>
      </c>
      <c r="E453">
        <v>2.67382517231196E-2</v>
      </c>
      <c r="F453">
        <v>2.67382517231196E-2</v>
      </c>
    </row>
    <row r="454" spans="1:6" x14ac:dyDescent="0.2">
      <c r="A454">
        <v>415</v>
      </c>
      <c r="B454" s="7" t="s">
        <v>564</v>
      </c>
      <c r="C454" s="1">
        <v>45654</v>
      </c>
      <c r="D454" s="7" t="s">
        <v>564</v>
      </c>
      <c r="E454">
        <v>0.14554778601721199</v>
      </c>
      <c r="F454">
        <v>0.14554778601721199</v>
      </c>
    </row>
    <row r="455" spans="1:6" x14ac:dyDescent="0.2">
      <c r="A455">
        <v>416</v>
      </c>
      <c r="B455" s="7" t="s">
        <v>248</v>
      </c>
      <c r="C455" s="1">
        <v>45412</v>
      </c>
      <c r="D455" s="7" t="s">
        <v>248</v>
      </c>
      <c r="E455">
        <v>0.46573012043344297</v>
      </c>
      <c r="F455">
        <v>0.46573012043344297</v>
      </c>
    </row>
    <row r="456" spans="1:6" x14ac:dyDescent="0.2">
      <c r="A456">
        <v>416</v>
      </c>
      <c r="B456" s="7" t="s">
        <v>249</v>
      </c>
      <c r="C456" s="1">
        <v>45400</v>
      </c>
      <c r="D456" s="7" t="s">
        <v>249</v>
      </c>
      <c r="E456">
        <v>0.35328824706077899</v>
      </c>
      <c r="F456">
        <v>0.35328824706077899</v>
      </c>
    </row>
    <row r="457" spans="1:6" x14ac:dyDescent="0.2">
      <c r="A457">
        <v>418</v>
      </c>
      <c r="B457" s="7" t="s">
        <v>331</v>
      </c>
      <c r="C457" s="1">
        <v>45445</v>
      </c>
      <c r="D457" s="7" t="s">
        <v>331</v>
      </c>
      <c r="E457">
        <v>0.14953038808651201</v>
      </c>
      <c r="F457">
        <v>0.14953038808651201</v>
      </c>
    </row>
    <row r="458" spans="1:6" x14ac:dyDescent="0.2">
      <c r="A458">
        <v>419</v>
      </c>
      <c r="B458" s="7" t="s">
        <v>250</v>
      </c>
      <c r="C458" s="1">
        <v>45476</v>
      </c>
      <c r="D458" s="7" t="s">
        <v>250</v>
      </c>
      <c r="E458">
        <v>3.2193157060950897E-2</v>
      </c>
      <c r="F458">
        <v>3.2193157060950897E-2</v>
      </c>
    </row>
    <row r="459" spans="1:6" x14ac:dyDescent="0.2">
      <c r="A459">
        <v>420</v>
      </c>
      <c r="B459" s="7" t="s">
        <v>132</v>
      </c>
      <c r="C459" s="1">
        <v>45499</v>
      </c>
      <c r="D459" s="7" t="s">
        <v>132</v>
      </c>
      <c r="E459">
        <v>0.23454373271985901</v>
      </c>
      <c r="F459">
        <v>0.23454373271985901</v>
      </c>
    </row>
    <row r="460" spans="1:6" x14ac:dyDescent="0.2">
      <c r="A460">
        <v>420</v>
      </c>
      <c r="B460" s="7" t="s">
        <v>133</v>
      </c>
      <c r="C460" s="1">
        <v>45326</v>
      </c>
      <c r="D460" s="7" t="s">
        <v>133</v>
      </c>
      <c r="E460">
        <v>8.3454895006607799E-2</v>
      </c>
      <c r="F460">
        <v>8.3454895006607799E-2</v>
      </c>
    </row>
    <row r="461" spans="1:6" x14ac:dyDescent="0.2">
      <c r="A461">
        <v>421</v>
      </c>
      <c r="B461" s="7" t="s">
        <v>251</v>
      </c>
      <c r="C461" s="1">
        <v>45321</v>
      </c>
      <c r="D461" s="7" t="s">
        <v>251</v>
      </c>
      <c r="E461">
        <v>4.7571044183350598E-2</v>
      </c>
      <c r="F461">
        <v>4.7571044183350598E-2</v>
      </c>
    </row>
    <row r="462" spans="1:6" x14ac:dyDescent="0.2">
      <c r="A462">
        <v>422</v>
      </c>
      <c r="B462" s="7" t="s">
        <v>407</v>
      </c>
      <c r="C462" s="1">
        <v>45329</v>
      </c>
      <c r="D462" s="7" t="s">
        <v>407</v>
      </c>
      <c r="E462">
        <v>0.139741087606466</v>
      </c>
      <c r="F462">
        <v>0.139741087606466</v>
      </c>
    </row>
    <row r="463" spans="1:6" x14ac:dyDescent="0.2">
      <c r="A463">
        <v>423</v>
      </c>
      <c r="B463" s="7" t="s">
        <v>565</v>
      </c>
      <c r="C463" s="1">
        <v>45337</v>
      </c>
      <c r="D463" s="7" t="s">
        <v>565</v>
      </c>
      <c r="E463">
        <v>3.43661861886344E-2</v>
      </c>
      <c r="F463">
        <v>3.43661861886344E-2</v>
      </c>
    </row>
    <row r="464" spans="1:6" x14ac:dyDescent="0.2">
      <c r="A464">
        <v>424</v>
      </c>
      <c r="B464" s="7" t="s">
        <v>134</v>
      </c>
      <c r="C464" s="1">
        <v>45557</v>
      </c>
      <c r="D464" s="7" t="s">
        <v>134</v>
      </c>
      <c r="E464">
        <v>0.16177819505434701</v>
      </c>
      <c r="F464">
        <v>0.16177819505434701</v>
      </c>
    </row>
    <row r="465" spans="1:6" x14ac:dyDescent="0.2">
      <c r="A465">
        <v>426</v>
      </c>
      <c r="B465" s="7" t="s">
        <v>135</v>
      </c>
      <c r="C465" s="1">
        <v>45646</v>
      </c>
      <c r="D465" s="7" t="s">
        <v>135</v>
      </c>
      <c r="E465">
        <v>4.6179269064626799E-2</v>
      </c>
      <c r="F465">
        <v>4.6179269064626799E-2</v>
      </c>
    </row>
    <row r="466" spans="1:6" x14ac:dyDescent="0.2">
      <c r="A466">
        <v>427</v>
      </c>
      <c r="B466" s="7" t="s">
        <v>332</v>
      </c>
      <c r="C466" s="1">
        <v>45409</v>
      </c>
      <c r="D466" s="7" t="s">
        <v>332</v>
      </c>
      <c r="E466">
        <v>0.13913234259287999</v>
      </c>
      <c r="F466">
        <v>0.13913234259287999</v>
      </c>
    </row>
    <row r="467" spans="1:6" x14ac:dyDescent="0.2">
      <c r="A467">
        <v>428</v>
      </c>
      <c r="B467" s="7" t="s">
        <v>252</v>
      </c>
      <c r="C467" s="1">
        <v>45560</v>
      </c>
      <c r="D467" s="7" t="s">
        <v>252</v>
      </c>
      <c r="E467">
        <v>8.8288394589453298E-2</v>
      </c>
      <c r="F467">
        <v>8.8288394589453298E-2</v>
      </c>
    </row>
    <row r="468" spans="1:6" x14ac:dyDescent="0.2">
      <c r="A468">
        <v>429</v>
      </c>
      <c r="B468" s="7" t="s">
        <v>136</v>
      </c>
      <c r="C468" s="1">
        <v>45297</v>
      </c>
      <c r="D468" s="7" t="s">
        <v>136</v>
      </c>
      <c r="E468">
        <v>7.1232645329930802E-2</v>
      </c>
      <c r="F468">
        <v>7.1232645329930802E-2</v>
      </c>
    </row>
    <row r="469" spans="1:6" x14ac:dyDescent="0.2">
      <c r="A469">
        <v>429</v>
      </c>
      <c r="B469" s="7" t="s">
        <v>253</v>
      </c>
      <c r="C469" s="1">
        <v>45296</v>
      </c>
      <c r="D469" s="7" t="s">
        <v>253</v>
      </c>
      <c r="E469">
        <v>3.0476134247787601E-2</v>
      </c>
      <c r="F469">
        <v>3.0476134247787601E-2</v>
      </c>
    </row>
    <row r="470" spans="1:6" x14ac:dyDescent="0.2">
      <c r="A470">
        <v>432</v>
      </c>
      <c r="B470" s="7" t="s">
        <v>254</v>
      </c>
      <c r="C470" s="1">
        <v>45648</v>
      </c>
      <c r="D470" s="7" t="s">
        <v>254</v>
      </c>
      <c r="E470">
        <v>7.9122667052408904E-2</v>
      </c>
      <c r="F470">
        <v>7.9122667052408904E-2</v>
      </c>
    </row>
    <row r="471" spans="1:6" x14ac:dyDescent="0.2">
      <c r="A471">
        <v>433</v>
      </c>
      <c r="B471" s="7" t="s">
        <v>566</v>
      </c>
      <c r="C471" s="1">
        <v>45484</v>
      </c>
      <c r="D471" s="7" t="s">
        <v>566</v>
      </c>
      <c r="E471">
        <v>0.43039292413036501</v>
      </c>
      <c r="F471">
        <v>0.43039292413036501</v>
      </c>
    </row>
    <row r="472" spans="1:6" x14ac:dyDescent="0.2">
      <c r="A472">
        <v>435</v>
      </c>
      <c r="B472" s="7" t="s">
        <v>137</v>
      </c>
      <c r="C472" s="1">
        <v>45522</v>
      </c>
      <c r="D472" s="7" t="s">
        <v>137</v>
      </c>
      <c r="E472">
        <v>0.16044296315290299</v>
      </c>
      <c r="F472">
        <v>0.16044296315290299</v>
      </c>
    </row>
    <row r="473" spans="1:6" x14ac:dyDescent="0.2">
      <c r="A473">
        <v>435</v>
      </c>
      <c r="B473" s="7" t="s">
        <v>138</v>
      </c>
      <c r="C473" s="1">
        <v>45511</v>
      </c>
      <c r="D473" s="7" t="s">
        <v>138</v>
      </c>
      <c r="E473">
        <v>0.24739446979566901</v>
      </c>
      <c r="F473">
        <v>0.24739446979566901</v>
      </c>
    </row>
    <row r="474" spans="1:6" x14ac:dyDescent="0.2">
      <c r="A474">
        <v>436</v>
      </c>
      <c r="B474" s="7" t="s">
        <v>139</v>
      </c>
      <c r="C474" s="1">
        <v>45352</v>
      </c>
      <c r="D474" s="7" t="s">
        <v>139</v>
      </c>
      <c r="E474">
        <v>0.20462238616769901</v>
      </c>
      <c r="F474">
        <v>0.20462238616769901</v>
      </c>
    </row>
    <row r="475" spans="1:6" x14ac:dyDescent="0.2">
      <c r="A475">
        <v>437</v>
      </c>
      <c r="B475" s="7" t="s">
        <v>408</v>
      </c>
      <c r="C475" s="1">
        <v>45365</v>
      </c>
      <c r="D475" s="7" t="s">
        <v>408</v>
      </c>
      <c r="E475">
        <v>6.6683314610048297E-2</v>
      </c>
      <c r="F475">
        <v>6.6683314610048297E-2</v>
      </c>
    </row>
    <row r="476" spans="1:6" x14ac:dyDescent="0.2">
      <c r="A476">
        <v>437</v>
      </c>
      <c r="B476" s="7" t="s">
        <v>567</v>
      </c>
      <c r="C476" s="1">
        <v>45495</v>
      </c>
      <c r="D476" s="7" t="s">
        <v>567</v>
      </c>
      <c r="E476">
        <v>5.3025686254408698E-2</v>
      </c>
      <c r="F476">
        <v>5.3025686254408698E-2</v>
      </c>
    </row>
    <row r="477" spans="1:6" x14ac:dyDescent="0.2">
      <c r="A477">
        <v>438</v>
      </c>
      <c r="B477" s="7" t="s">
        <v>409</v>
      </c>
      <c r="C477" s="1">
        <v>45396</v>
      </c>
      <c r="D477" s="7" t="s">
        <v>409</v>
      </c>
      <c r="E477">
        <v>0.124119152702706</v>
      </c>
      <c r="F477">
        <v>0.124119152702706</v>
      </c>
    </row>
    <row r="478" spans="1:6" x14ac:dyDescent="0.2">
      <c r="A478">
        <v>439</v>
      </c>
      <c r="B478" s="7" t="s">
        <v>140</v>
      </c>
      <c r="C478" s="1">
        <v>45453</v>
      </c>
      <c r="D478" s="7" t="s">
        <v>140</v>
      </c>
      <c r="E478">
        <v>0.24557172206859501</v>
      </c>
      <c r="F478">
        <v>0.24557172206859501</v>
      </c>
    </row>
    <row r="479" spans="1:6" x14ac:dyDescent="0.2">
      <c r="A479">
        <v>439</v>
      </c>
      <c r="B479" s="7" t="s">
        <v>141</v>
      </c>
      <c r="C479" s="1">
        <v>45446</v>
      </c>
      <c r="D479" s="7" t="s">
        <v>141</v>
      </c>
      <c r="E479">
        <v>2.3000674317081499E-2</v>
      </c>
      <c r="F479">
        <v>2.3000674317081499E-2</v>
      </c>
    </row>
    <row r="480" spans="1:6" x14ac:dyDescent="0.2">
      <c r="A480">
        <v>440</v>
      </c>
      <c r="B480" s="7" t="s">
        <v>255</v>
      </c>
      <c r="C480" s="1">
        <v>45472</v>
      </c>
      <c r="D480" s="7" t="s">
        <v>255</v>
      </c>
      <c r="E480">
        <v>0.12124973571436699</v>
      </c>
      <c r="F480">
        <v>0.12124973571436699</v>
      </c>
    </row>
    <row r="481" spans="1:6" x14ac:dyDescent="0.2">
      <c r="A481">
        <v>440</v>
      </c>
      <c r="B481" s="7" t="s">
        <v>256</v>
      </c>
      <c r="C481" s="1">
        <v>45472</v>
      </c>
      <c r="D481" s="7" t="s">
        <v>256</v>
      </c>
      <c r="E481">
        <v>0.34736008574259902</v>
      </c>
      <c r="F481">
        <v>0.34736008574259902</v>
      </c>
    </row>
    <row r="482" spans="1:6" x14ac:dyDescent="0.2">
      <c r="A482">
        <v>441</v>
      </c>
      <c r="B482" s="7" t="s">
        <v>257</v>
      </c>
      <c r="C482" s="1">
        <v>45642</v>
      </c>
      <c r="D482" s="7" t="s">
        <v>257</v>
      </c>
      <c r="E482">
        <v>0.40821680518264503</v>
      </c>
      <c r="F482">
        <v>0.40821680518264503</v>
      </c>
    </row>
    <row r="483" spans="1:6" x14ac:dyDescent="0.2">
      <c r="A483">
        <v>441</v>
      </c>
      <c r="B483" s="7" t="s">
        <v>258</v>
      </c>
      <c r="C483" s="1">
        <v>45531</v>
      </c>
      <c r="D483" s="7" t="s">
        <v>258</v>
      </c>
      <c r="E483">
        <v>0.210701515123602</v>
      </c>
      <c r="F483">
        <v>0.210701515123602</v>
      </c>
    </row>
    <row r="484" spans="1:6" x14ac:dyDescent="0.2">
      <c r="A484">
        <v>442</v>
      </c>
      <c r="B484" s="7" t="s">
        <v>142</v>
      </c>
      <c r="C484" s="1">
        <v>45590</v>
      </c>
      <c r="D484" s="7" t="s">
        <v>142</v>
      </c>
      <c r="E484">
        <v>0.33665048317262503</v>
      </c>
      <c r="F484">
        <v>0.33665048317262503</v>
      </c>
    </row>
    <row r="485" spans="1:6" x14ac:dyDescent="0.2">
      <c r="A485">
        <v>443</v>
      </c>
      <c r="B485" s="7" t="s">
        <v>410</v>
      </c>
      <c r="C485" s="1">
        <v>45356</v>
      </c>
      <c r="D485" s="7" t="s">
        <v>410</v>
      </c>
      <c r="E485">
        <v>0.25544767354590903</v>
      </c>
      <c r="F485">
        <v>0.25544767354590903</v>
      </c>
    </row>
    <row r="486" spans="1:6" x14ac:dyDescent="0.2">
      <c r="A486">
        <v>444</v>
      </c>
      <c r="B486" s="7" t="s">
        <v>411</v>
      </c>
      <c r="C486" s="1">
        <v>45617</v>
      </c>
      <c r="D486" s="7" t="s">
        <v>411</v>
      </c>
      <c r="E486">
        <v>0.136186097737371</v>
      </c>
      <c r="F486">
        <v>0.136186097737371</v>
      </c>
    </row>
    <row r="487" spans="1:6" x14ac:dyDescent="0.2">
      <c r="A487">
        <v>444</v>
      </c>
      <c r="B487" s="7" t="s">
        <v>412</v>
      </c>
      <c r="C487" s="1">
        <v>45542</v>
      </c>
      <c r="D487" s="7" t="s">
        <v>412</v>
      </c>
      <c r="E487">
        <v>0.203386088622377</v>
      </c>
      <c r="F487">
        <v>0.203386088622377</v>
      </c>
    </row>
    <row r="488" spans="1:6" x14ac:dyDescent="0.2">
      <c r="A488">
        <v>446</v>
      </c>
      <c r="B488" s="7" t="s">
        <v>259</v>
      </c>
      <c r="C488" s="1">
        <v>45313</v>
      </c>
      <c r="D488" s="7" t="s">
        <v>259</v>
      </c>
      <c r="E488">
        <v>0.22898476020757899</v>
      </c>
      <c r="F488">
        <v>0.22898476020757899</v>
      </c>
    </row>
    <row r="489" spans="1:6" x14ac:dyDescent="0.2">
      <c r="A489">
        <v>447</v>
      </c>
      <c r="B489" s="7" t="s">
        <v>260</v>
      </c>
      <c r="C489" s="1">
        <v>45348</v>
      </c>
      <c r="D489" s="7" t="s">
        <v>260</v>
      </c>
      <c r="E489">
        <v>8.6690028115251894E-2</v>
      </c>
      <c r="F489">
        <v>8.6690028115251894E-2</v>
      </c>
    </row>
    <row r="490" spans="1:6" x14ac:dyDescent="0.2">
      <c r="A490">
        <v>448</v>
      </c>
      <c r="B490" s="7" t="s">
        <v>568</v>
      </c>
      <c r="C490" s="1">
        <v>45392</v>
      </c>
      <c r="D490" s="7" t="s">
        <v>568</v>
      </c>
      <c r="E490">
        <v>0.45117309627436097</v>
      </c>
      <c r="F490">
        <v>0.45117309627436097</v>
      </c>
    </row>
    <row r="491" spans="1:6" x14ac:dyDescent="0.2">
      <c r="A491">
        <v>448</v>
      </c>
      <c r="B491" s="7" t="s">
        <v>261</v>
      </c>
      <c r="C491" s="1">
        <v>45508</v>
      </c>
      <c r="D491" s="7" t="s">
        <v>261</v>
      </c>
      <c r="E491">
        <v>0.160982209684571</v>
      </c>
      <c r="F491">
        <v>0.160982209684571</v>
      </c>
    </row>
    <row r="492" spans="1:6" x14ac:dyDescent="0.2">
      <c r="A492">
        <v>449</v>
      </c>
      <c r="B492" s="7" t="s">
        <v>569</v>
      </c>
      <c r="C492" s="1">
        <v>45612</v>
      </c>
      <c r="D492" s="7" t="s">
        <v>569</v>
      </c>
      <c r="E492">
        <v>0.32419145983855802</v>
      </c>
      <c r="F492">
        <v>0.32419145983855802</v>
      </c>
    </row>
    <row r="493" spans="1:6" x14ac:dyDescent="0.2">
      <c r="A493">
        <v>450</v>
      </c>
      <c r="B493" s="7" t="s">
        <v>570</v>
      </c>
      <c r="C493" s="1">
        <v>45293</v>
      </c>
      <c r="D493" s="7" t="s">
        <v>570</v>
      </c>
      <c r="E493">
        <v>0.19132647418577001</v>
      </c>
      <c r="F493">
        <v>0.19132647418577001</v>
      </c>
    </row>
    <row r="494" spans="1:6" x14ac:dyDescent="0.2">
      <c r="A494">
        <v>451</v>
      </c>
      <c r="B494" s="7" t="s">
        <v>571</v>
      </c>
      <c r="C494" s="1">
        <v>45580</v>
      </c>
      <c r="D494" s="7" t="s">
        <v>571</v>
      </c>
      <c r="E494">
        <v>0.10989516733746001</v>
      </c>
      <c r="F494">
        <v>0.10989516733746001</v>
      </c>
    </row>
    <row r="495" spans="1:6" x14ac:dyDescent="0.2">
      <c r="A495">
        <v>452</v>
      </c>
      <c r="B495" s="7" t="s">
        <v>413</v>
      </c>
      <c r="C495" s="1">
        <v>45456</v>
      </c>
      <c r="D495" s="7" t="s">
        <v>413</v>
      </c>
      <c r="E495">
        <v>0.30885785260446502</v>
      </c>
      <c r="F495">
        <v>0.30885785260446502</v>
      </c>
    </row>
    <row r="496" spans="1:6" x14ac:dyDescent="0.2">
      <c r="A496">
        <v>453</v>
      </c>
      <c r="B496" s="7" t="s">
        <v>572</v>
      </c>
      <c r="C496" s="1">
        <v>45515</v>
      </c>
      <c r="D496" s="7" t="s">
        <v>572</v>
      </c>
      <c r="E496">
        <v>7.2348251423659193E-2</v>
      </c>
      <c r="F496">
        <v>7.2348251423659193E-2</v>
      </c>
    </row>
    <row r="497" spans="1:6" x14ac:dyDescent="0.2">
      <c r="A497">
        <v>453</v>
      </c>
      <c r="B497" s="7" t="s">
        <v>573</v>
      </c>
      <c r="C497" s="1">
        <v>45560</v>
      </c>
      <c r="D497" s="7" t="s">
        <v>573</v>
      </c>
      <c r="E497">
        <v>0.168065954216713</v>
      </c>
      <c r="F497">
        <v>0.168065954216713</v>
      </c>
    </row>
    <row r="498" spans="1:6" x14ac:dyDescent="0.2">
      <c r="A498">
        <v>454</v>
      </c>
      <c r="B498" s="7" t="s">
        <v>414</v>
      </c>
      <c r="C498" s="1">
        <v>45642</v>
      </c>
      <c r="D498" s="7" t="s">
        <v>414</v>
      </c>
      <c r="E498">
        <v>0.37474407573291102</v>
      </c>
      <c r="F498">
        <v>0.37474407573291102</v>
      </c>
    </row>
    <row r="499" spans="1:6" x14ac:dyDescent="0.2">
      <c r="A499">
        <v>454</v>
      </c>
      <c r="B499" s="7" t="s">
        <v>262</v>
      </c>
      <c r="C499" s="1">
        <v>45544</v>
      </c>
      <c r="D499" s="7" t="s">
        <v>262</v>
      </c>
      <c r="E499">
        <v>0.106258326960359</v>
      </c>
      <c r="F499">
        <v>0.106258326960359</v>
      </c>
    </row>
    <row r="500" spans="1:6" x14ac:dyDescent="0.2">
      <c r="A500">
        <v>455</v>
      </c>
      <c r="B500" s="7" t="s">
        <v>263</v>
      </c>
      <c r="C500" s="1">
        <v>45552</v>
      </c>
      <c r="D500" s="7" t="s">
        <v>263</v>
      </c>
      <c r="E500">
        <v>0.106903450854341</v>
      </c>
      <c r="F500">
        <v>0.106903450854341</v>
      </c>
    </row>
    <row r="501" spans="1:6" x14ac:dyDescent="0.2">
      <c r="A501">
        <v>455</v>
      </c>
      <c r="B501" s="7" t="s">
        <v>574</v>
      </c>
      <c r="C501" s="1">
        <v>45348</v>
      </c>
      <c r="D501" s="7" t="s">
        <v>574</v>
      </c>
      <c r="E501">
        <v>0.106241188118552</v>
      </c>
      <c r="F501">
        <v>0.106241188118552</v>
      </c>
    </row>
    <row r="502" spans="1:6" x14ac:dyDescent="0.2">
      <c r="A502">
        <v>458</v>
      </c>
      <c r="B502" s="7" t="s">
        <v>333</v>
      </c>
      <c r="C502" s="1">
        <v>45454</v>
      </c>
      <c r="D502" s="7" t="s">
        <v>333</v>
      </c>
      <c r="E502">
        <v>6.2804768355944299E-2</v>
      </c>
      <c r="F502">
        <v>6.2804768355944299E-2</v>
      </c>
    </row>
    <row r="503" spans="1:6" x14ac:dyDescent="0.2">
      <c r="A503">
        <v>459</v>
      </c>
      <c r="B503" s="7" t="s">
        <v>575</v>
      </c>
      <c r="C503" s="1">
        <v>45474</v>
      </c>
      <c r="D503" s="7" t="s">
        <v>575</v>
      </c>
      <c r="E503">
        <v>0.15504886091130901</v>
      </c>
      <c r="F503">
        <v>0.15504886091130901</v>
      </c>
    </row>
    <row r="504" spans="1:6" x14ac:dyDescent="0.2">
      <c r="A504">
        <v>459</v>
      </c>
      <c r="B504" s="7" t="s">
        <v>576</v>
      </c>
      <c r="C504" s="1">
        <v>45445</v>
      </c>
      <c r="D504" s="7" t="s">
        <v>576</v>
      </c>
      <c r="E504">
        <v>0.25395550631556102</v>
      </c>
      <c r="F504">
        <v>0.25395550631556102</v>
      </c>
    </row>
    <row r="505" spans="1:6" x14ac:dyDescent="0.2">
      <c r="A505">
        <v>460</v>
      </c>
      <c r="B505" s="7" t="s">
        <v>264</v>
      </c>
      <c r="C505" s="1">
        <v>45322</v>
      </c>
      <c r="D505" s="7" t="s">
        <v>264</v>
      </c>
      <c r="E505">
        <v>0.13991028856901999</v>
      </c>
      <c r="F505">
        <v>0.13991028856901999</v>
      </c>
    </row>
    <row r="506" spans="1:6" x14ac:dyDescent="0.2">
      <c r="A506">
        <v>460</v>
      </c>
      <c r="B506" s="7" t="s">
        <v>265</v>
      </c>
      <c r="C506" s="1">
        <v>45599</v>
      </c>
      <c r="D506" s="7" t="s">
        <v>265</v>
      </c>
      <c r="E506">
        <v>0.27572537242217898</v>
      </c>
      <c r="F506">
        <v>0.27572537242217898</v>
      </c>
    </row>
    <row r="507" spans="1:6" x14ac:dyDescent="0.2">
      <c r="A507">
        <v>462</v>
      </c>
      <c r="B507" s="7" t="s">
        <v>334</v>
      </c>
      <c r="C507" s="1">
        <v>45472</v>
      </c>
      <c r="D507" s="7" t="s">
        <v>334</v>
      </c>
      <c r="E507">
        <v>0.22098699593295401</v>
      </c>
      <c r="F507">
        <v>0.22098699593295401</v>
      </c>
    </row>
    <row r="508" spans="1:6" x14ac:dyDescent="0.2">
      <c r="A508">
        <v>463</v>
      </c>
      <c r="B508" s="7" t="s">
        <v>577</v>
      </c>
      <c r="C508" s="1">
        <v>45648</v>
      </c>
      <c r="D508" s="7" t="s">
        <v>577</v>
      </c>
      <c r="E508">
        <v>5.86154682651992E-2</v>
      </c>
      <c r="F508">
        <v>5.86154682651992E-2</v>
      </c>
    </row>
    <row r="509" spans="1:6" x14ac:dyDescent="0.2">
      <c r="A509">
        <v>464</v>
      </c>
      <c r="B509" s="7" t="s">
        <v>578</v>
      </c>
      <c r="C509" s="1">
        <v>45529</v>
      </c>
      <c r="D509" s="7" t="s">
        <v>578</v>
      </c>
      <c r="E509">
        <v>0.24710003846726999</v>
      </c>
      <c r="F509">
        <v>0.24710003846726999</v>
      </c>
    </row>
    <row r="510" spans="1:6" x14ac:dyDescent="0.2">
      <c r="A510">
        <v>464</v>
      </c>
      <c r="B510" s="7" t="s">
        <v>579</v>
      </c>
      <c r="C510" s="1">
        <v>45446</v>
      </c>
      <c r="D510" s="7" t="s">
        <v>579</v>
      </c>
      <c r="E510">
        <v>0.125444420732781</v>
      </c>
      <c r="F510">
        <v>0.125444420732781</v>
      </c>
    </row>
    <row r="511" spans="1:6" x14ac:dyDescent="0.2">
      <c r="A511">
        <v>465</v>
      </c>
      <c r="B511" s="7" t="s">
        <v>266</v>
      </c>
      <c r="C511" s="1">
        <v>45561</v>
      </c>
      <c r="D511" s="7" t="s">
        <v>266</v>
      </c>
      <c r="E511">
        <v>6.0696454287813097E-2</v>
      </c>
      <c r="F511">
        <v>6.0696454287813097E-2</v>
      </c>
    </row>
    <row r="512" spans="1:6" x14ac:dyDescent="0.2">
      <c r="A512">
        <v>466</v>
      </c>
      <c r="B512" s="7" t="s">
        <v>143</v>
      </c>
      <c r="C512" s="1">
        <v>45514</v>
      </c>
      <c r="D512" s="7" t="s">
        <v>143</v>
      </c>
      <c r="E512">
        <v>0.229975647532567</v>
      </c>
      <c r="F512">
        <v>0.229975647532567</v>
      </c>
    </row>
    <row r="513" spans="1:6" x14ac:dyDescent="0.2">
      <c r="A513">
        <v>466</v>
      </c>
      <c r="B513" s="7" t="s">
        <v>144</v>
      </c>
      <c r="C513" s="1">
        <v>45493</v>
      </c>
      <c r="D513" s="7" t="s">
        <v>144</v>
      </c>
      <c r="E513">
        <v>0.355361352838172</v>
      </c>
      <c r="F513">
        <v>0.355361352838172</v>
      </c>
    </row>
    <row r="514" spans="1:6" x14ac:dyDescent="0.2">
      <c r="A514">
        <v>467</v>
      </c>
      <c r="B514" s="7" t="s">
        <v>83</v>
      </c>
      <c r="C514" s="1">
        <v>45434</v>
      </c>
      <c r="D514" s="7" t="s">
        <v>83</v>
      </c>
      <c r="E514">
        <v>0.36719382497089798</v>
      </c>
      <c r="F514">
        <v>0.36719382497089798</v>
      </c>
    </row>
    <row r="515" spans="1:6" x14ac:dyDescent="0.2">
      <c r="A515">
        <v>467</v>
      </c>
      <c r="B515" s="7" t="s">
        <v>84</v>
      </c>
      <c r="C515" s="1">
        <v>45644</v>
      </c>
      <c r="D515" s="7" t="s">
        <v>84</v>
      </c>
      <c r="E515">
        <v>2.5021799304639498E-2</v>
      </c>
      <c r="F515">
        <v>2.5021799304639498E-2</v>
      </c>
    </row>
    <row r="516" spans="1:6" x14ac:dyDescent="0.2">
      <c r="A516">
        <v>468</v>
      </c>
      <c r="B516" s="7" t="s">
        <v>580</v>
      </c>
      <c r="C516" s="1">
        <v>45652</v>
      </c>
      <c r="D516" s="7" t="s">
        <v>580</v>
      </c>
      <c r="E516">
        <v>0.17555401129989601</v>
      </c>
      <c r="F516">
        <v>0.17555401129989601</v>
      </c>
    </row>
    <row r="517" spans="1:6" x14ac:dyDescent="0.2">
      <c r="A517">
        <v>469</v>
      </c>
      <c r="B517" s="7" t="s">
        <v>335</v>
      </c>
      <c r="C517" s="1">
        <v>45324</v>
      </c>
      <c r="D517" s="7" t="s">
        <v>335</v>
      </c>
      <c r="E517">
        <v>8.6311523320571806E-2</v>
      </c>
      <c r="F517">
        <v>8.6311523320571806E-2</v>
      </c>
    </row>
    <row r="518" spans="1:6" x14ac:dyDescent="0.2">
      <c r="A518">
        <v>469</v>
      </c>
      <c r="B518" s="7" t="s">
        <v>336</v>
      </c>
      <c r="C518" s="1">
        <v>45608</v>
      </c>
      <c r="D518" s="7" t="s">
        <v>336</v>
      </c>
      <c r="E518">
        <v>0.118829796778779</v>
      </c>
      <c r="F518">
        <v>0.118829796778779</v>
      </c>
    </row>
    <row r="519" spans="1:6" x14ac:dyDescent="0.2">
      <c r="A519">
        <v>471</v>
      </c>
      <c r="B519" s="7" t="s">
        <v>581</v>
      </c>
      <c r="C519" s="1">
        <v>45628</v>
      </c>
      <c r="D519" s="7" t="s">
        <v>581</v>
      </c>
      <c r="E519">
        <v>0.234496570261124</v>
      </c>
      <c r="F519">
        <v>0.234496570261124</v>
      </c>
    </row>
    <row r="520" spans="1:6" x14ac:dyDescent="0.2">
      <c r="A520">
        <v>471</v>
      </c>
      <c r="B520" s="7" t="s">
        <v>582</v>
      </c>
      <c r="C520" s="1">
        <v>45575</v>
      </c>
      <c r="D520" s="7" t="s">
        <v>582</v>
      </c>
      <c r="E520">
        <v>0.187285370510716</v>
      </c>
      <c r="F520">
        <v>0.187285370510716</v>
      </c>
    </row>
    <row r="521" spans="1:6" x14ac:dyDescent="0.2">
      <c r="A521">
        <v>473</v>
      </c>
      <c r="B521" s="7" t="s">
        <v>583</v>
      </c>
      <c r="C521" s="1">
        <v>45557</v>
      </c>
      <c r="D521" s="7" t="s">
        <v>583</v>
      </c>
      <c r="E521">
        <v>0.22968999004761001</v>
      </c>
      <c r="F521">
        <v>0.22968999004761001</v>
      </c>
    </row>
    <row r="522" spans="1:6" x14ac:dyDescent="0.2">
      <c r="A522">
        <v>474</v>
      </c>
      <c r="B522" s="7" t="s">
        <v>584</v>
      </c>
      <c r="C522" s="1">
        <v>45293</v>
      </c>
      <c r="D522" s="7" t="s">
        <v>584</v>
      </c>
      <c r="E522">
        <v>2.8631274353765199E-2</v>
      </c>
      <c r="F522">
        <v>2.8631274353765199E-2</v>
      </c>
    </row>
    <row r="523" spans="1:6" x14ac:dyDescent="0.2">
      <c r="A523">
        <v>475</v>
      </c>
      <c r="B523" s="7" t="s">
        <v>585</v>
      </c>
      <c r="C523" s="1">
        <v>45629</v>
      </c>
      <c r="D523" s="7" t="s">
        <v>585</v>
      </c>
      <c r="E523">
        <v>0.18880737642926601</v>
      </c>
      <c r="F523">
        <v>0.18880737642926601</v>
      </c>
    </row>
    <row r="524" spans="1:6" x14ac:dyDescent="0.2">
      <c r="A524">
        <v>476</v>
      </c>
      <c r="B524" s="7" t="s">
        <v>586</v>
      </c>
      <c r="C524" s="1">
        <v>45305</v>
      </c>
      <c r="D524" s="7" t="s">
        <v>586</v>
      </c>
      <c r="E524">
        <v>0.12793963424486801</v>
      </c>
      <c r="F524">
        <v>0.12793963424486801</v>
      </c>
    </row>
    <row r="525" spans="1:6" x14ac:dyDescent="0.2">
      <c r="A525">
        <v>477</v>
      </c>
      <c r="B525" s="7" t="s">
        <v>85</v>
      </c>
      <c r="C525" s="1">
        <v>45482</v>
      </c>
      <c r="D525" s="7" t="s">
        <v>85</v>
      </c>
      <c r="E525">
        <v>5.9599894744330299E-2</v>
      </c>
      <c r="F525">
        <v>5.9599894744330299E-2</v>
      </c>
    </row>
    <row r="526" spans="1:6" x14ac:dyDescent="0.2">
      <c r="A526">
        <v>478</v>
      </c>
      <c r="B526" s="7" t="s">
        <v>267</v>
      </c>
      <c r="C526" s="1">
        <v>45364</v>
      </c>
      <c r="D526" s="7" t="s">
        <v>267</v>
      </c>
      <c r="E526">
        <v>9.0180897883157099E-2</v>
      </c>
      <c r="F526">
        <v>9.0180897883157099E-2</v>
      </c>
    </row>
    <row r="527" spans="1:6" x14ac:dyDescent="0.2">
      <c r="A527">
        <v>478</v>
      </c>
      <c r="B527" s="7" t="s">
        <v>268</v>
      </c>
      <c r="C527" s="1">
        <v>45419</v>
      </c>
      <c r="D527" s="7" t="s">
        <v>268</v>
      </c>
      <c r="E527">
        <v>0.28697167751144298</v>
      </c>
      <c r="F527">
        <v>0.28697167751144298</v>
      </c>
    </row>
    <row r="528" spans="1:6" x14ac:dyDescent="0.2">
      <c r="A528">
        <v>479</v>
      </c>
      <c r="B528" s="7" t="s">
        <v>269</v>
      </c>
      <c r="C528" s="1">
        <v>45422</v>
      </c>
      <c r="D528" s="7" t="s">
        <v>269</v>
      </c>
      <c r="E528">
        <v>0.32755646700727298</v>
      </c>
      <c r="F528">
        <v>0.32755646700727298</v>
      </c>
    </row>
    <row r="529" spans="1:6" x14ac:dyDescent="0.2">
      <c r="A529">
        <v>479</v>
      </c>
      <c r="B529" s="7" t="s">
        <v>270</v>
      </c>
      <c r="C529" s="1">
        <v>45387</v>
      </c>
      <c r="D529" s="7" t="s">
        <v>270</v>
      </c>
      <c r="E529">
        <v>0.18993514458629601</v>
      </c>
      <c r="F529">
        <v>0.18993514458629601</v>
      </c>
    </row>
    <row r="530" spans="1:6" x14ac:dyDescent="0.2">
      <c r="A530">
        <v>480</v>
      </c>
      <c r="B530" s="7" t="s">
        <v>587</v>
      </c>
      <c r="C530" s="1">
        <v>45628</v>
      </c>
      <c r="D530" s="7" t="s">
        <v>587</v>
      </c>
      <c r="E530">
        <v>7.4595530042164307E-2</v>
      </c>
      <c r="F530">
        <v>7.4595530042164307E-2</v>
      </c>
    </row>
    <row r="531" spans="1:6" x14ac:dyDescent="0.2">
      <c r="A531">
        <v>481</v>
      </c>
      <c r="B531" s="7" t="s">
        <v>588</v>
      </c>
      <c r="C531" s="1">
        <v>45640</v>
      </c>
      <c r="D531" s="7" t="s">
        <v>588</v>
      </c>
      <c r="E531">
        <v>2.4026919624070699E-2</v>
      </c>
      <c r="F531">
        <v>2.4026919624070699E-2</v>
      </c>
    </row>
    <row r="532" spans="1:6" x14ac:dyDescent="0.2">
      <c r="A532">
        <v>481</v>
      </c>
      <c r="B532" s="7" t="s">
        <v>589</v>
      </c>
      <c r="C532" s="1">
        <v>45430</v>
      </c>
      <c r="D532" s="7" t="s">
        <v>589</v>
      </c>
      <c r="E532">
        <v>0.494374473216036</v>
      </c>
      <c r="F532">
        <v>0.494374473216036</v>
      </c>
    </row>
    <row r="533" spans="1:6" x14ac:dyDescent="0.2">
      <c r="A533">
        <v>483</v>
      </c>
      <c r="B533" s="7" t="s">
        <v>86</v>
      </c>
      <c r="C533" s="1">
        <v>45585</v>
      </c>
      <c r="D533" s="7" t="s">
        <v>86</v>
      </c>
      <c r="E533">
        <v>4.0879887655396401E-2</v>
      </c>
      <c r="F533">
        <v>4.0879887655396401E-2</v>
      </c>
    </row>
    <row r="534" spans="1:6" x14ac:dyDescent="0.2">
      <c r="A534">
        <v>484</v>
      </c>
      <c r="B534" s="7" t="s">
        <v>590</v>
      </c>
      <c r="C534" s="1">
        <v>45575</v>
      </c>
      <c r="D534" s="7" t="s">
        <v>590</v>
      </c>
      <c r="E534">
        <v>0.50925063351927902</v>
      </c>
      <c r="F534">
        <v>0.50925063351927902</v>
      </c>
    </row>
    <row r="535" spans="1:6" x14ac:dyDescent="0.2">
      <c r="A535">
        <v>486</v>
      </c>
      <c r="B535" s="7" t="s">
        <v>271</v>
      </c>
      <c r="C535" s="1">
        <v>45429</v>
      </c>
      <c r="D535" s="7" t="s">
        <v>271</v>
      </c>
      <c r="E535">
        <v>0.18650431712342599</v>
      </c>
      <c r="F535">
        <v>0.18650431712342599</v>
      </c>
    </row>
    <row r="536" spans="1:6" x14ac:dyDescent="0.2">
      <c r="A536">
        <v>486</v>
      </c>
      <c r="B536" s="7" t="s">
        <v>272</v>
      </c>
      <c r="C536" s="1">
        <v>45567</v>
      </c>
      <c r="D536" s="7" t="s">
        <v>272</v>
      </c>
      <c r="E536">
        <v>9.5334080767733503E-2</v>
      </c>
      <c r="F536">
        <v>9.5334080767733503E-2</v>
      </c>
    </row>
    <row r="537" spans="1:6" x14ac:dyDescent="0.2">
      <c r="A537">
        <v>487</v>
      </c>
      <c r="B537" s="7" t="s">
        <v>87</v>
      </c>
      <c r="C537" s="1">
        <v>45622</v>
      </c>
      <c r="D537" s="7" t="s">
        <v>87</v>
      </c>
      <c r="E537">
        <v>0.28458414480240501</v>
      </c>
      <c r="F537">
        <v>0.28458414480240501</v>
      </c>
    </row>
    <row r="538" spans="1:6" x14ac:dyDescent="0.2">
      <c r="A538">
        <v>487</v>
      </c>
      <c r="B538" s="7" t="s">
        <v>591</v>
      </c>
      <c r="C538" s="1">
        <v>45575</v>
      </c>
      <c r="D538" s="7" t="s">
        <v>591</v>
      </c>
      <c r="E538">
        <v>0.118805579372549</v>
      </c>
      <c r="F538">
        <v>0.118805579372549</v>
      </c>
    </row>
    <row r="539" spans="1:6" x14ac:dyDescent="0.2">
      <c r="A539">
        <v>488</v>
      </c>
      <c r="B539" s="7" t="s">
        <v>592</v>
      </c>
      <c r="C539" s="1">
        <v>45485</v>
      </c>
      <c r="D539" s="7" t="s">
        <v>592</v>
      </c>
      <c r="E539">
        <v>0.17456056673878501</v>
      </c>
      <c r="F539">
        <v>0.17456056673878501</v>
      </c>
    </row>
    <row r="540" spans="1:6" x14ac:dyDescent="0.2">
      <c r="A540">
        <v>489</v>
      </c>
      <c r="B540" s="7" t="s">
        <v>593</v>
      </c>
      <c r="C540" s="1">
        <v>45392</v>
      </c>
      <c r="D540" s="7" t="s">
        <v>593</v>
      </c>
      <c r="E540">
        <v>0.21511845720799999</v>
      </c>
      <c r="F540">
        <v>0.21511845720799999</v>
      </c>
    </row>
    <row r="541" spans="1:6" x14ac:dyDescent="0.2">
      <c r="A541">
        <v>492</v>
      </c>
      <c r="B541" s="7" t="s">
        <v>594</v>
      </c>
      <c r="C541" s="1">
        <v>45511</v>
      </c>
      <c r="D541" s="7" t="s">
        <v>594</v>
      </c>
      <c r="E541">
        <v>0.26442124887375401</v>
      </c>
      <c r="F541">
        <v>0.26442124887375401</v>
      </c>
    </row>
    <row r="542" spans="1:6" x14ac:dyDescent="0.2">
      <c r="A542">
        <v>492</v>
      </c>
      <c r="B542" s="7" t="s">
        <v>595</v>
      </c>
      <c r="C542" s="1">
        <v>45379</v>
      </c>
      <c r="D542" s="7" t="s">
        <v>595</v>
      </c>
      <c r="E542">
        <v>0.18860361178882401</v>
      </c>
      <c r="F542">
        <v>0.18860361178882401</v>
      </c>
    </row>
    <row r="543" spans="1:6" x14ac:dyDescent="0.2">
      <c r="A543">
        <v>493</v>
      </c>
      <c r="B543" s="7" t="s">
        <v>596</v>
      </c>
      <c r="C543" s="1">
        <v>45600</v>
      </c>
      <c r="D543" s="7" t="s">
        <v>596</v>
      </c>
      <c r="E543">
        <v>0.27428250186789099</v>
      </c>
      <c r="F543">
        <v>0.27428250186789099</v>
      </c>
    </row>
    <row r="544" spans="1:6" x14ac:dyDescent="0.2">
      <c r="A544">
        <v>494</v>
      </c>
      <c r="B544" s="7" t="s">
        <v>337</v>
      </c>
      <c r="C544" s="1">
        <v>45616</v>
      </c>
      <c r="D544" s="7" t="s">
        <v>337</v>
      </c>
      <c r="E544">
        <v>4.58369451488315E-2</v>
      </c>
      <c r="F544">
        <v>4.58369451488315E-2</v>
      </c>
    </row>
    <row r="545" spans="1:6" x14ac:dyDescent="0.2">
      <c r="A545">
        <v>495</v>
      </c>
      <c r="B545" s="7" t="s">
        <v>88</v>
      </c>
      <c r="C545" s="1">
        <v>45366</v>
      </c>
      <c r="D545" s="7" t="s">
        <v>88</v>
      </c>
      <c r="E545">
        <v>9.1869860939217299E-2</v>
      </c>
      <c r="F545">
        <v>9.1869860939217299E-2</v>
      </c>
    </row>
    <row r="546" spans="1:6" x14ac:dyDescent="0.2">
      <c r="A546">
        <v>495</v>
      </c>
      <c r="B546" s="7" t="s">
        <v>89</v>
      </c>
      <c r="C546" s="1">
        <v>45640</v>
      </c>
      <c r="D546" s="7" t="s">
        <v>89</v>
      </c>
      <c r="E546">
        <v>0.29105959765226003</v>
      </c>
      <c r="F546">
        <v>0.29105959765226003</v>
      </c>
    </row>
    <row r="547" spans="1:6" x14ac:dyDescent="0.2">
      <c r="A547">
        <v>497</v>
      </c>
      <c r="B547" s="7" t="s">
        <v>597</v>
      </c>
      <c r="C547" s="1">
        <v>45304</v>
      </c>
      <c r="D547" s="7" t="s">
        <v>597</v>
      </c>
      <c r="E547">
        <v>0.20260452106042801</v>
      </c>
      <c r="F547">
        <v>0.20260452106042801</v>
      </c>
    </row>
    <row r="548" spans="1:6" x14ac:dyDescent="0.2">
      <c r="A548">
        <v>497</v>
      </c>
      <c r="B548" s="7" t="s">
        <v>273</v>
      </c>
      <c r="C548" s="1">
        <v>45627</v>
      </c>
      <c r="D548" s="7" t="s">
        <v>273</v>
      </c>
      <c r="E548">
        <v>0.10737576768164001</v>
      </c>
      <c r="F548">
        <v>0.10737576768164001</v>
      </c>
    </row>
    <row r="549" spans="1:6" x14ac:dyDescent="0.2">
      <c r="A549">
        <v>498</v>
      </c>
      <c r="B549" s="7" t="s">
        <v>598</v>
      </c>
      <c r="C549" s="1">
        <v>45374</v>
      </c>
      <c r="D549" s="7" t="s">
        <v>598</v>
      </c>
      <c r="E549">
        <v>0.100687306014882</v>
      </c>
      <c r="F549">
        <v>0.100687306014882</v>
      </c>
    </row>
    <row r="550" spans="1:6" x14ac:dyDescent="0.2">
      <c r="A550">
        <v>498</v>
      </c>
      <c r="B550" s="7" t="s">
        <v>90</v>
      </c>
      <c r="C550" s="1">
        <v>45458</v>
      </c>
      <c r="D550" s="7" t="s">
        <v>90</v>
      </c>
      <c r="E550">
        <v>0.18581500950524499</v>
      </c>
      <c r="F550">
        <v>0.18581500950524499</v>
      </c>
    </row>
    <row r="551" spans="1:6" x14ac:dyDescent="0.2">
      <c r="A551">
        <v>499</v>
      </c>
      <c r="B551" s="7" t="s">
        <v>599</v>
      </c>
      <c r="C551" s="1">
        <v>45586</v>
      </c>
      <c r="D551" s="7" t="s">
        <v>599</v>
      </c>
      <c r="E551">
        <v>0.28406105138922599</v>
      </c>
      <c r="F551">
        <v>0.28406105138922599</v>
      </c>
    </row>
    <row r="552" spans="1:6" x14ac:dyDescent="0.2">
      <c r="A552">
        <v>500</v>
      </c>
      <c r="B552" s="7" t="s">
        <v>91</v>
      </c>
      <c r="C552" s="1">
        <v>45354</v>
      </c>
      <c r="D552" s="7" t="s">
        <v>91</v>
      </c>
      <c r="E552">
        <v>0.22964913720531599</v>
      </c>
      <c r="F552">
        <v>0.22964913720531599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554"/>
  <sheetViews>
    <sheetView workbookViewId="0">
      <selection activeCell="G19" sqref="G19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33</v>
      </c>
    </row>
    <row r="3" spans="2:7" x14ac:dyDescent="0.2">
      <c r="B3" t="s">
        <v>32</v>
      </c>
      <c r="C3" t="s">
        <v>279</v>
      </c>
    </row>
    <row r="4" spans="2:7" x14ac:dyDescent="0.2">
      <c r="B4" cm="1">
        <f t="array" ref="B4:B554">_xlfn._xlws.SORT(_xlfn.UNIQUE(claimSimResults[ValidClaimAmount]), 1, -1)</f>
        <v>0.75241908729899998</v>
      </c>
      <c r="C4" cm="1">
        <f t="array" ref="C4:C554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0.75009966930289496</v>
      </c>
      <c r="C5">
        <v>0.99818511796733211</v>
      </c>
      <c r="G5" s="4"/>
    </row>
    <row r="6" spans="2:7" x14ac:dyDescent="0.2">
      <c r="B6">
        <v>0.60072672632240098</v>
      </c>
      <c r="C6">
        <v>0.99637023593466423</v>
      </c>
    </row>
    <row r="7" spans="2:7" x14ac:dyDescent="0.2">
      <c r="B7">
        <v>0.59839305569434897</v>
      </c>
      <c r="C7">
        <v>0.99455535390199634</v>
      </c>
    </row>
    <row r="8" spans="2:7" x14ac:dyDescent="0.2">
      <c r="B8">
        <v>0.57775656815271303</v>
      </c>
      <c r="C8">
        <v>0.99274047186932846</v>
      </c>
    </row>
    <row r="9" spans="2:7" x14ac:dyDescent="0.2">
      <c r="B9">
        <v>0.55406327267497901</v>
      </c>
      <c r="C9">
        <v>0.99092558983666057</v>
      </c>
    </row>
    <row r="10" spans="2:7" x14ac:dyDescent="0.2">
      <c r="B10">
        <v>0.50925063351927902</v>
      </c>
      <c r="C10">
        <v>0.98911070780399279</v>
      </c>
    </row>
    <row r="11" spans="2:7" x14ac:dyDescent="0.2">
      <c r="B11">
        <v>0.50348312704361198</v>
      </c>
      <c r="C11">
        <v>0.98729582577132491</v>
      </c>
    </row>
    <row r="12" spans="2:7" x14ac:dyDescent="0.2">
      <c r="B12">
        <v>0.494374473216036</v>
      </c>
      <c r="C12">
        <v>0.98548094373865702</v>
      </c>
    </row>
    <row r="13" spans="2:7" x14ac:dyDescent="0.2">
      <c r="B13">
        <v>0.48319205344236799</v>
      </c>
      <c r="C13">
        <v>0.98366606170598914</v>
      </c>
    </row>
    <row r="14" spans="2:7" x14ac:dyDescent="0.2">
      <c r="B14">
        <v>0.48007312347245801</v>
      </c>
      <c r="C14">
        <v>0.98185117967332125</v>
      </c>
    </row>
    <row r="15" spans="2:7" x14ac:dyDescent="0.2">
      <c r="B15">
        <v>0.47756678415107501</v>
      </c>
      <c r="C15">
        <v>0.98003629764065336</v>
      </c>
    </row>
    <row r="16" spans="2:7" x14ac:dyDescent="0.2">
      <c r="B16">
        <v>0.46573012043344297</v>
      </c>
      <c r="C16">
        <v>0.97822141560798548</v>
      </c>
    </row>
    <row r="17" spans="2:3" x14ac:dyDescent="0.2">
      <c r="B17">
        <v>0.458855245396317</v>
      </c>
      <c r="C17">
        <v>0.97640653357531759</v>
      </c>
    </row>
    <row r="18" spans="2:3" x14ac:dyDescent="0.2">
      <c r="B18">
        <v>0.45351009054643499</v>
      </c>
      <c r="C18">
        <v>0.97459165154264971</v>
      </c>
    </row>
    <row r="19" spans="2:3" x14ac:dyDescent="0.2">
      <c r="B19">
        <v>0.45130579394148002</v>
      </c>
      <c r="C19">
        <v>0.97277676950998182</v>
      </c>
    </row>
    <row r="20" spans="2:3" x14ac:dyDescent="0.2">
      <c r="B20">
        <v>0.45117309627436097</v>
      </c>
      <c r="C20">
        <v>0.97096188747731393</v>
      </c>
    </row>
    <row r="21" spans="2:3" x14ac:dyDescent="0.2">
      <c r="B21">
        <v>0.43348287110524802</v>
      </c>
      <c r="C21">
        <v>0.96914700544464605</v>
      </c>
    </row>
    <row r="22" spans="2:3" x14ac:dyDescent="0.2">
      <c r="B22">
        <v>0.43039292413036501</v>
      </c>
      <c r="C22">
        <v>0.96733212341197827</v>
      </c>
    </row>
    <row r="23" spans="2:3" x14ac:dyDescent="0.2">
      <c r="B23">
        <v>0.42231682666848802</v>
      </c>
      <c r="C23">
        <v>0.96551724137931039</v>
      </c>
    </row>
    <row r="24" spans="2:3" x14ac:dyDescent="0.2">
      <c r="B24">
        <v>0.418016223096777</v>
      </c>
      <c r="C24">
        <v>0.9637023593466425</v>
      </c>
    </row>
    <row r="25" spans="2:3" x14ac:dyDescent="0.2">
      <c r="B25">
        <v>0.41470994907777198</v>
      </c>
      <c r="C25">
        <v>0.96188747731397461</v>
      </c>
    </row>
    <row r="26" spans="2:3" x14ac:dyDescent="0.2">
      <c r="B26">
        <v>0.40821680518264503</v>
      </c>
      <c r="C26">
        <v>0.96007259528130673</v>
      </c>
    </row>
    <row r="27" spans="2:3" x14ac:dyDescent="0.2">
      <c r="B27">
        <v>0.39682510001383098</v>
      </c>
      <c r="C27">
        <v>0.95825771324863884</v>
      </c>
    </row>
    <row r="28" spans="2:3" x14ac:dyDescent="0.2">
      <c r="B28">
        <v>0.388019936906847</v>
      </c>
      <c r="C28">
        <v>0.95644283121597096</v>
      </c>
    </row>
    <row r="29" spans="2:3" x14ac:dyDescent="0.2">
      <c r="B29">
        <v>0.38588380833914299</v>
      </c>
      <c r="C29">
        <v>0.95462794918330307</v>
      </c>
    </row>
    <row r="30" spans="2:3" x14ac:dyDescent="0.2">
      <c r="B30">
        <v>0.38459710308848399</v>
      </c>
      <c r="C30">
        <v>0.95281306715063518</v>
      </c>
    </row>
    <row r="31" spans="2:3" x14ac:dyDescent="0.2">
      <c r="B31">
        <v>0.38261164632753603</v>
      </c>
      <c r="C31">
        <v>0.9509981851179673</v>
      </c>
    </row>
    <row r="32" spans="2:3" x14ac:dyDescent="0.2">
      <c r="B32">
        <v>0.38230736537578902</v>
      </c>
      <c r="C32">
        <v>0.94918330308529941</v>
      </c>
    </row>
    <row r="33" spans="2:3" x14ac:dyDescent="0.2">
      <c r="B33">
        <v>0.37991301900759999</v>
      </c>
      <c r="C33">
        <v>0.94736842105263153</v>
      </c>
    </row>
    <row r="34" spans="2:3" x14ac:dyDescent="0.2">
      <c r="B34">
        <v>0.37756397258900198</v>
      </c>
      <c r="C34">
        <v>0.94555353901996375</v>
      </c>
    </row>
    <row r="35" spans="2:3" x14ac:dyDescent="0.2">
      <c r="B35">
        <v>0.37479833806122398</v>
      </c>
      <c r="C35">
        <v>0.94373865698729587</v>
      </c>
    </row>
    <row r="36" spans="2:3" x14ac:dyDescent="0.2">
      <c r="B36">
        <v>0.37474407573291102</v>
      </c>
      <c r="C36">
        <v>0.94192377495462798</v>
      </c>
    </row>
    <row r="37" spans="2:3" x14ac:dyDescent="0.2">
      <c r="B37">
        <v>0.373391991767554</v>
      </c>
      <c r="C37">
        <v>0.94010889292196009</v>
      </c>
    </row>
    <row r="38" spans="2:3" x14ac:dyDescent="0.2">
      <c r="B38">
        <v>0.36719382497089798</v>
      </c>
      <c r="C38">
        <v>0.93829401088929221</v>
      </c>
    </row>
    <row r="39" spans="2:3" x14ac:dyDescent="0.2">
      <c r="B39">
        <v>0.36222935949295398</v>
      </c>
      <c r="C39">
        <v>0.93647912885662432</v>
      </c>
    </row>
    <row r="40" spans="2:3" x14ac:dyDescent="0.2">
      <c r="B40">
        <v>0.359953222596198</v>
      </c>
      <c r="C40">
        <v>0.93466424682395643</v>
      </c>
    </row>
    <row r="41" spans="2:3" x14ac:dyDescent="0.2">
      <c r="B41">
        <v>0.35796906492716601</v>
      </c>
      <c r="C41">
        <v>0.93284936479128855</v>
      </c>
    </row>
    <row r="42" spans="2:3" x14ac:dyDescent="0.2">
      <c r="B42">
        <v>0.355361352838172</v>
      </c>
      <c r="C42">
        <v>0.93103448275862066</v>
      </c>
    </row>
    <row r="43" spans="2:3" x14ac:dyDescent="0.2">
      <c r="B43">
        <v>0.35521125621836802</v>
      </c>
      <c r="C43">
        <v>0.92921960072595278</v>
      </c>
    </row>
    <row r="44" spans="2:3" x14ac:dyDescent="0.2">
      <c r="B44">
        <v>0.35448175121283299</v>
      </c>
      <c r="C44">
        <v>0.92740471869328489</v>
      </c>
    </row>
    <row r="45" spans="2:3" x14ac:dyDescent="0.2">
      <c r="B45">
        <v>0.35328824706077899</v>
      </c>
      <c r="C45">
        <v>0.925589836660617</v>
      </c>
    </row>
    <row r="46" spans="2:3" x14ac:dyDescent="0.2">
      <c r="B46">
        <v>0.35233064614062698</v>
      </c>
      <c r="C46">
        <v>0.92377495462794923</v>
      </c>
    </row>
    <row r="47" spans="2:3" x14ac:dyDescent="0.2">
      <c r="B47">
        <v>0.34736008574259902</v>
      </c>
      <c r="C47">
        <v>0.92196007259528134</v>
      </c>
    </row>
    <row r="48" spans="2:3" x14ac:dyDescent="0.2">
      <c r="B48">
        <v>0.34308970179369702</v>
      </c>
      <c r="C48">
        <v>0.92014519056261346</v>
      </c>
    </row>
    <row r="49" spans="2:3" x14ac:dyDescent="0.2">
      <c r="B49">
        <v>0.342586021005932</v>
      </c>
      <c r="C49">
        <v>0.91833030852994557</v>
      </c>
    </row>
    <row r="50" spans="2:3" x14ac:dyDescent="0.2">
      <c r="B50">
        <v>0.34006313979795999</v>
      </c>
      <c r="C50">
        <v>0.91651542649727769</v>
      </c>
    </row>
    <row r="51" spans="2:3" x14ac:dyDescent="0.2">
      <c r="B51">
        <v>0.33665048317262503</v>
      </c>
      <c r="C51">
        <v>0.9147005444646098</v>
      </c>
    </row>
    <row r="52" spans="2:3" x14ac:dyDescent="0.2">
      <c r="B52">
        <v>0.335966170596259</v>
      </c>
      <c r="C52">
        <v>0.91288566243194191</v>
      </c>
    </row>
    <row r="53" spans="2:3" x14ac:dyDescent="0.2">
      <c r="B53">
        <v>0.32755646700727298</v>
      </c>
      <c r="C53">
        <v>0.91107078039927403</v>
      </c>
    </row>
    <row r="54" spans="2:3" x14ac:dyDescent="0.2">
      <c r="B54">
        <v>0.32515442531356598</v>
      </c>
      <c r="C54">
        <v>0.90925589836660614</v>
      </c>
    </row>
    <row r="55" spans="2:3" x14ac:dyDescent="0.2">
      <c r="B55">
        <v>0.32443432188320898</v>
      </c>
      <c r="C55">
        <v>0.90744101633393826</v>
      </c>
    </row>
    <row r="56" spans="2:3" x14ac:dyDescent="0.2">
      <c r="B56">
        <v>0.32419145983855802</v>
      </c>
      <c r="C56">
        <v>0.90562613430127037</v>
      </c>
    </row>
    <row r="57" spans="2:3" x14ac:dyDescent="0.2">
      <c r="B57">
        <v>0.32305121523611802</v>
      </c>
      <c r="C57">
        <v>0.90381125226860259</v>
      </c>
    </row>
    <row r="58" spans="2:3" x14ac:dyDescent="0.2">
      <c r="B58">
        <v>0.31803823305478202</v>
      </c>
      <c r="C58">
        <v>0.90199637023593471</v>
      </c>
    </row>
    <row r="59" spans="2:3" x14ac:dyDescent="0.2">
      <c r="B59">
        <v>0.31784653979517102</v>
      </c>
      <c r="C59">
        <v>0.90018148820326682</v>
      </c>
    </row>
    <row r="60" spans="2:3" x14ac:dyDescent="0.2">
      <c r="B60">
        <v>0.31745481799855202</v>
      </c>
      <c r="C60">
        <v>0.89836660617059894</v>
      </c>
    </row>
    <row r="61" spans="2:3" x14ac:dyDescent="0.2">
      <c r="B61">
        <v>0.31019538650107698</v>
      </c>
      <c r="C61">
        <v>0.89655172413793105</v>
      </c>
    </row>
    <row r="62" spans="2:3" x14ac:dyDescent="0.2">
      <c r="B62">
        <v>0.30892252047166302</v>
      </c>
      <c r="C62">
        <v>0.89473684210526316</v>
      </c>
    </row>
    <row r="63" spans="2:3" x14ac:dyDescent="0.2">
      <c r="B63">
        <v>0.30885785260446502</v>
      </c>
      <c r="C63">
        <v>0.89292196007259528</v>
      </c>
    </row>
    <row r="64" spans="2:3" x14ac:dyDescent="0.2">
      <c r="B64">
        <v>0.30881400930462799</v>
      </c>
      <c r="C64">
        <v>0.89110707803992739</v>
      </c>
    </row>
    <row r="65" spans="2:3" x14ac:dyDescent="0.2">
      <c r="B65">
        <v>0.30881388302581902</v>
      </c>
      <c r="C65">
        <v>0.88929219600725951</v>
      </c>
    </row>
    <row r="66" spans="2:3" x14ac:dyDescent="0.2">
      <c r="B66">
        <v>0.30406397220303399</v>
      </c>
      <c r="C66">
        <v>0.88747731397459162</v>
      </c>
    </row>
    <row r="67" spans="2:3" x14ac:dyDescent="0.2">
      <c r="B67">
        <v>0.303595296925044</v>
      </c>
      <c r="C67">
        <v>0.88566243194192373</v>
      </c>
    </row>
    <row r="68" spans="2:3" x14ac:dyDescent="0.2">
      <c r="B68">
        <v>0.30325138366186</v>
      </c>
      <c r="C68">
        <v>0.88384754990925585</v>
      </c>
    </row>
    <row r="69" spans="2:3" x14ac:dyDescent="0.2">
      <c r="B69">
        <v>0.30291650179358398</v>
      </c>
      <c r="C69">
        <v>0.88203266787658807</v>
      </c>
    </row>
    <row r="70" spans="2:3" x14ac:dyDescent="0.2">
      <c r="B70">
        <v>0.302020883837891</v>
      </c>
      <c r="C70">
        <v>0.88021778584392019</v>
      </c>
    </row>
    <row r="71" spans="2:3" x14ac:dyDescent="0.2">
      <c r="B71">
        <v>0.30130781255732603</v>
      </c>
      <c r="C71">
        <v>0.8784029038112523</v>
      </c>
    </row>
    <row r="72" spans="2:3" x14ac:dyDescent="0.2">
      <c r="B72">
        <v>0.29749466321301499</v>
      </c>
      <c r="C72">
        <v>0.87658802177858441</v>
      </c>
    </row>
    <row r="73" spans="2:3" x14ac:dyDescent="0.2">
      <c r="B73">
        <v>0.29747748864272699</v>
      </c>
      <c r="C73">
        <v>0.87477313974591653</v>
      </c>
    </row>
    <row r="74" spans="2:3" x14ac:dyDescent="0.2">
      <c r="B74">
        <v>0.29696290717306001</v>
      </c>
      <c r="C74">
        <v>0.87295825771324864</v>
      </c>
    </row>
    <row r="75" spans="2:3" x14ac:dyDescent="0.2">
      <c r="B75">
        <v>0.29631193127651401</v>
      </c>
      <c r="C75">
        <v>0.87114337568058076</v>
      </c>
    </row>
    <row r="76" spans="2:3" x14ac:dyDescent="0.2">
      <c r="B76">
        <v>0.29575764250980802</v>
      </c>
      <c r="C76">
        <v>0.86932849364791287</v>
      </c>
    </row>
    <row r="77" spans="2:3" x14ac:dyDescent="0.2">
      <c r="B77">
        <v>0.29442568196550001</v>
      </c>
      <c r="C77">
        <v>0.86751361161524498</v>
      </c>
    </row>
    <row r="78" spans="2:3" x14ac:dyDescent="0.2">
      <c r="B78">
        <v>0.29368745625744003</v>
      </c>
      <c r="C78">
        <v>0.8656987295825771</v>
      </c>
    </row>
    <row r="79" spans="2:3" x14ac:dyDescent="0.2">
      <c r="B79">
        <v>0.29215800278999399</v>
      </c>
      <c r="C79">
        <v>0.86388384754990921</v>
      </c>
    </row>
    <row r="80" spans="2:3" x14ac:dyDescent="0.2">
      <c r="B80">
        <v>0.29105959765226003</v>
      </c>
      <c r="C80">
        <v>0.86206896551724133</v>
      </c>
    </row>
    <row r="81" spans="2:3" x14ac:dyDescent="0.2">
      <c r="B81">
        <v>0.29038628525315902</v>
      </c>
      <c r="C81">
        <v>0.86025408348457355</v>
      </c>
    </row>
    <row r="82" spans="2:3" x14ac:dyDescent="0.2">
      <c r="B82">
        <v>0.29025310115462999</v>
      </c>
      <c r="C82">
        <v>0.85843920145190566</v>
      </c>
    </row>
    <row r="83" spans="2:3" x14ac:dyDescent="0.2">
      <c r="B83">
        <v>0.28755393539130902</v>
      </c>
      <c r="C83">
        <v>0.85662431941923778</v>
      </c>
    </row>
    <row r="84" spans="2:3" x14ac:dyDescent="0.2">
      <c r="B84">
        <v>0.28697167751144298</v>
      </c>
      <c r="C84">
        <v>0.85480943738656989</v>
      </c>
    </row>
    <row r="85" spans="2:3" x14ac:dyDescent="0.2">
      <c r="B85">
        <v>0.28593028984899799</v>
      </c>
      <c r="C85">
        <v>0.85299455535390201</v>
      </c>
    </row>
    <row r="86" spans="2:3" x14ac:dyDescent="0.2">
      <c r="B86">
        <v>0.28579976319780298</v>
      </c>
      <c r="C86">
        <v>0.85117967332123412</v>
      </c>
    </row>
    <row r="87" spans="2:3" x14ac:dyDescent="0.2">
      <c r="B87">
        <v>0.28550977972983499</v>
      </c>
      <c r="C87">
        <v>0.84936479128856623</v>
      </c>
    </row>
    <row r="88" spans="2:3" x14ac:dyDescent="0.2">
      <c r="B88">
        <v>0.28475533027801597</v>
      </c>
      <c r="C88">
        <v>0.84754990925589835</v>
      </c>
    </row>
    <row r="89" spans="2:3" x14ac:dyDescent="0.2">
      <c r="B89">
        <v>0.28458414480240501</v>
      </c>
      <c r="C89">
        <v>0.84573502722323046</v>
      </c>
    </row>
    <row r="90" spans="2:3" x14ac:dyDescent="0.2">
      <c r="B90">
        <v>0.28406105138922599</v>
      </c>
      <c r="C90">
        <v>0.84392014519056258</v>
      </c>
    </row>
    <row r="91" spans="2:3" x14ac:dyDescent="0.2">
      <c r="B91">
        <v>0.28216059921827802</v>
      </c>
      <c r="C91">
        <v>0.84210526315789469</v>
      </c>
    </row>
    <row r="92" spans="2:3" x14ac:dyDescent="0.2">
      <c r="B92">
        <v>0.281345821695966</v>
      </c>
      <c r="C92">
        <v>0.84029038112522692</v>
      </c>
    </row>
    <row r="93" spans="2:3" x14ac:dyDescent="0.2">
      <c r="B93">
        <v>0.279181372033032</v>
      </c>
      <c r="C93">
        <v>0.83847549909255903</v>
      </c>
    </row>
    <row r="94" spans="2:3" x14ac:dyDescent="0.2">
      <c r="B94">
        <v>0.27901587806286798</v>
      </c>
      <c r="C94">
        <v>0.83666061705989114</v>
      </c>
    </row>
    <row r="95" spans="2:3" x14ac:dyDescent="0.2">
      <c r="B95">
        <v>0.27818265027549499</v>
      </c>
      <c r="C95">
        <v>0.83484573502722326</v>
      </c>
    </row>
    <row r="96" spans="2:3" x14ac:dyDescent="0.2">
      <c r="B96">
        <v>0.27757814902231298</v>
      </c>
      <c r="C96">
        <v>0.83303085299455537</v>
      </c>
    </row>
    <row r="97" spans="2:3" x14ac:dyDescent="0.2">
      <c r="B97">
        <v>0.27649220954902098</v>
      </c>
      <c r="C97">
        <v>0.83121597096188748</v>
      </c>
    </row>
    <row r="98" spans="2:3" x14ac:dyDescent="0.2">
      <c r="B98">
        <v>0.27619225485044901</v>
      </c>
      <c r="C98">
        <v>0.8294010889292196</v>
      </c>
    </row>
    <row r="99" spans="2:3" x14ac:dyDescent="0.2">
      <c r="B99">
        <v>0.27572537242217898</v>
      </c>
      <c r="C99">
        <v>0.82758620689655171</v>
      </c>
    </row>
    <row r="100" spans="2:3" x14ac:dyDescent="0.2">
      <c r="B100">
        <v>0.27464741993581399</v>
      </c>
      <c r="C100">
        <v>0.82577132486388383</v>
      </c>
    </row>
    <row r="101" spans="2:3" x14ac:dyDescent="0.2">
      <c r="B101">
        <v>0.27428250186789099</v>
      </c>
      <c r="C101">
        <v>0.82395644283121594</v>
      </c>
    </row>
    <row r="102" spans="2:3" x14ac:dyDescent="0.2">
      <c r="B102">
        <v>0.27338710959478701</v>
      </c>
      <c r="C102">
        <v>0.82214156079854805</v>
      </c>
    </row>
    <row r="103" spans="2:3" x14ac:dyDescent="0.2">
      <c r="B103">
        <v>0.27301760157076599</v>
      </c>
      <c r="C103">
        <v>0.82032667876588017</v>
      </c>
    </row>
    <row r="104" spans="2:3" x14ac:dyDescent="0.2">
      <c r="B104">
        <v>0.27277944150422201</v>
      </c>
      <c r="C104">
        <v>0.81851179673321239</v>
      </c>
    </row>
    <row r="105" spans="2:3" x14ac:dyDescent="0.2">
      <c r="B105">
        <v>0.27271410573104499</v>
      </c>
      <c r="C105">
        <v>0.81669691470054451</v>
      </c>
    </row>
    <row r="106" spans="2:3" x14ac:dyDescent="0.2">
      <c r="B106">
        <v>0.27144640065078202</v>
      </c>
      <c r="C106">
        <v>0.81488203266787662</v>
      </c>
    </row>
    <row r="107" spans="2:3" x14ac:dyDescent="0.2">
      <c r="B107">
        <v>0.27013548905218498</v>
      </c>
      <c r="C107">
        <v>0.81306715063520874</v>
      </c>
    </row>
    <row r="108" spans="2:3" x14ac:dyDescent="0.2">
      <c r="B108">
        <v>0.268906676014594</v>
      </c>
      <c r="C108">
        <v>0.81125226860254085</v>
      </c>
    </row>
    <row r="109" spans="2:3" x14ac:dyDescent="0.2">
      <c r="B109">
        <v>0.26726001055896098</v>
      </c>
      <c r="C109">
        <v>0.80943738656987296</v>
      </c>
    </row>
    <row r="110" spans="2:3" x14ac:dyDescent="0.2">
      <c r="B110">
        <v>0.26463638384661198</v>
      </c>
      <c r="C110">
        <v>0.80762250453720508</v>
      </c>
    </row>
    <row r="111" spans="2:3" x14ac:dyDescent="0.2">
      <c r="B111">
        <v>0.26442124887375401</v>
      </c>
      <c r="C111">
        <v>0.80580762250453719</v>
      </c>
    </row>
    <row r="112" spans="2:3" x14ac:dyDescent="0.2">
      <c r="B112">
        <v>0.26106965023080803</v>
      </c>
      <c r="C112">
        <v>0.8039927404718693</v>
      </c>
    </row>
    <row r="113" spans="2:3" x14ac:dyDescent="0.2">
      <c r="B113">
        <v>0.25947922774422</v>
      </c>
      <c r="C113">
        <v>0.80217785843920142</v>
      </c>
    </row>
    <row r="114" spans="2:3" x14ac:dyDescent="0.2">
      <c r="B114">
        <v>0.25741972161364401</v>
      </c>
      <c r="C114">
        <v>0.80036297640653353</v>
      </c>
    </row>
    <row r="115" spans="2:3" x14ac:dyDescent="0.2">
      <c r="B115">
        <v>0.25544767354590903</v>
      </c>
      <c r="C115">
        <v>0.79854809437386565</v>
      </c>
    </row>
    <row r="116" spans="2:3" x14ac:dyDescent="0.2">
      <c r="B116">
        <v>0.25448892155688102</v>
      </c>
      <c r="C116">
        <v>0.79673321234119787</v>
      </c>
    </row>
    <row r="117" spans="2:3" x14ac:dyDescent="0.2">
      <c r="B117">
        <v>0.25395550631556102</v>
      </c>
      <c r="C117">
        <v>0.79491833030852999</v>
      </c>
    </row>
    <row r="118" spans="2:3" x14ac:dyDescent="0.2">
      <c r="B118">
        <v>0.25291602268996699</v>
      </c>
      <c r="C118">
        <v>0.7931034482758621</v>
      </c>
    </row>
    <row r="119" spans="2:3" x14ac:dyDescent="0.2">
      <c r="B119">
        <v>0.25275112668659699</v>
      </c>
      <c r="C119">
        <v>0.79128856624319421</v>
      </c>
    </row>
    <row r="120" spans="2:3" x14ac:dyDescent="0.2">
      <c r="B120">
        <v>0.25223959850202898</v>
      </c>
      <c r="C120">
        <v>0.78947368421052633</v>
      </c>
    </row>
    <row r="121" spans="2:3" x14ac:dyDescent="0.2">
      <c r="B121">
        <v>0.25212165912138201</v>
      </c>
      <c r="C121">
        <v>0.78765880217785844</v>
      </c>
    </row>
    <row r="122" spans="2:3" x14ac:dyDescent="0.2">
      <c r="B122">
        <v>0.251261118008413</v>
      </c>
      <c r="C122">
        <v>0.78584392014519056</v>
      </c>
    </row>
    <row r="123" spans="2:3" x14ac:dyDescent="0.2">
      <c r="B123">
        <v>0.24947464953417001</v>
      </c>
      <c r="C123">
        <v>0.78402903811252267</v>
      </c>
    </row>
    <row r="124" spans="2:3" x14ac:dyDescent="0.2">
      <c r="B124">
        <v>0.24739446979566901</v>
      </c>
      <c r="C124">
        <v>0.78221415607985478</v>
      </c>
    </row>
    <row r="125" spans="2:3" x14ac:dyDescent="0.2">
      <c r="B125">
        <v>0.24716175163210399</v>
      </c>
      <c r="C125">
        <v>0.7803992740471869</v>
      </c>
    </row>
    <row r="126" spans="2:3" x14ac:dyDescent="0.2">
      <c r="B126">
        <v>0.24710003846726999</v>
      </c>
      <c r="C126">
        <v>0.77858439201451901</v>
      </c>
    </row>
    <row r="127" spans="2:3" x14ac:dyDescent="0.2">
      <c r="B127">
        <v>0.246889281464542</v>
      </c>
      <c r="C127">
        <v>0.77676950998185113</v>
      </c>
    </row>
    <row r="128" spans="2:3" x14ac:dyDescent="0.2">
      <c r="B128">
        <v>0.24678371144897199</v>
      </c>
      <c r="C128">
        <v>0.77495462794918335</v>
      </c>
    </row>
    <row r="129" spans="2:3" x14ac:dyDescent="0.2">
      <c r="B129">
        <v>0.24665981188807901</v>
      </c>
      <c r="C129">
        <v>0.77313974591651546</v>
      </c>
    </row>
    <row r="130" spans="2:3" x14ac:dyDescent="0.2">
      <c r="B130">
        <v>0.24557172206859501</v>
      </c>
      <c r="C130">
        <v>0.77132486388384758</v>
      </c>
    </row>
    <row r="131" spans="2:3" x14ac:dyDescent="0.2">
      <c r="B131">
        <v>0.245541328066473</v>
      </c>
      <c r="C131">
        <v>0.76950998185117969</v>
      </c>
    </row>
    <row r="132" spans="2:3" x14ac:dyDescent="0.2">
      <c r="B132">
        <v>0.24465908953593099</v>
      </c>
      <c r="C132">
        <v>0.76769509981851181</v>
      </c>
    </row>
    <row r="133" spans="2:3" x14ac:dyDescent="0.2">
      <c r="B133">
        <v>0.243825636165826</v>
      </c>
      <c r="C133">
        <v>0.76588021778584392</v>
      </c>
    </row>
    <row r="134" spans="2:3" x14ac:dyDescent="0.2">
      <c r="B134">
        <v>0.24380597366724299</v>
      </c>
      <c r="C134">
        <v>0.76406533575317603</v>
      </c>
    </row>
    <row r="135" spans="2:3" x14ac:dyDescent="0.2">
      <c r="B135">
        <v>0.243744793938763</v>
      </c>
      <c r="C135">
        <v>0.76225045372050815</v>
      </c>
    </row>
    <row r="136" spans="2:3" x14ac:dyDescent="0.2">
      <c r="B136">
        <v>0.242596905095704</v>
      </c>
      <c r="C136">
        <v>0.76043557168784026</v>
      </c>
    </row>
    <row r="137" spans="2:3" x14ac:dyDescent="0.2">
      <c r="B137">
        <v>0.24234451462002299</v>
      </c>
      <c r="C137">
        <v>0.75862068965517238</v>
      </c>
    </row>
    <row r="138" spans="2:3" x14ac:dyDescent="0.2">
      <c r="B138">
        <v>0.24189612394257401</v>
      </c>
      <c r="C138">
        <v>0.75680580762250449</v>
      </c>
    </row>
    <row r="139" spans="2:3" x14ac:dyDescent="0.2">
      <c r="B139">
        <v>0.23869531388694701</v>
      </c>
      <c r="C139">
        <v>0.75499092558983671</v>
      </c>
    </row>
    <row r="140" spans="2:3" x14ac:dyDescent="0.2">
      <c r="B140">
        <v>0.23847986695363901</v>
      </c>
      <c r="C140">
        <v>0.75317604355716883</v>
      </c>
    </row>
    <row r="141" spans="2:3" x14ac:dyDescent="0.2">
      <c r="B141">
        <v>0.238353186852029</v>
      </c>
      <c r="C141">
        <v>0.75136116152450094</v>
      </c>
    </row>
    <row r="142" spans="2:3" x14ac:dyDescent="0.2">
      <c r="B142">
        <v>0.23640319678382099</v>
      </c>
      <c r="C142">
        <v>0.74954627949183306</v>
      </c>
    </row>
    <row r="143" spans="2:3" x14ac:dyDescent="0.2">
      <c r="B143">
        <v>0.235432110203392</v>
      </c>
      <c r="C143">
        <v>0.74773139745916517</v>
      </c>
    </row>
    <row r="144" spans="2:3" x14ac:dyDescent="0.2">
      <c r="B144">
        <v>0.23454373271985901</v>
      </c>
      <c r="C144">
        <v>0.74591651542649728</v>
      </c>
    </row>
    <row r="145" spans="2:3" x14ac:dyDescent="0.2">
      <c r="B145">
        <v>0.234496570261124</v>
      </c>
      <c r="C145">
        <v>0.7441016333938294</v>
      </c>
    </row>
    <row r="146" spans="2:3" x14ac:dyDescent="0.2">
      <c r="B146">
        <v>0.234090705129675</v>
      </c>
      <c r="C146">
        <v>0.74228675136116151</v>
      </c>
    </row>
    <row r="147" spans="2:3" x14ac:dyDescent="0.2">
      <c r="B147">
        <v>0.23153415376824699</v>
      </c>
      <c r="C147">
        <v>0.74047186932849363</v>
      </c>
    </row>
    <row r="148" spans="2:3" x14ac:dyDescent="0.2">
      <c r="B148">
        <v>0.23138624576780101</v>
      </c>
      <c r="C148">
        <v>0.73865698729582574</v>
      </c>
    </row>
    <row r="149" spans="2:3" x14ac:dyDescent="0.2">
      <c r="B149">
        <v>0.23133151779079</v>
      </c>
      <c r="C149">
        <v>0.73684210526315785</v>
      </c>
    </row>
    <row r="150" spans="2:3" x14ac:dyDescent="0.2">
      <c r="B150">
        <v>0.229975647532567</v>
      </c>
      <c r="C150">
        <v>0.73502722323048997</v>
      </c>
    </row>
    <row r="151" spans="2:3" x14ac:dyDescent="0.2">
      <c r="B151">
        <v>0.22968999004761001</v>
      </c>
      <c r="C151">
        <v>0.73321234119782219</v>
      </c>
    </row>
    <row r="152" spans="2:3" x14ac:dyDescent="0.2">
      <c r="B152">
        <v>0.22964913720531599</v>
      </c>
      <c r="C152">
        <v>0.73139745916515431</v>
      </c>
    </row>
    <row r="153" spans="2:3" x14ac:dyDescent="0.2">
      <c r="B153">
        <v>0.229216258344907</v>
      </c>
      <c r="C153">
        <v>0.72958257713248642</v>
      </c>
    </row>
    <row r="154" spans="2:3" x14ac:dyDescent="0.2">
      <c r="B154">
        <v>0.22898476020757899</v>
      </c>
      <c r="C154">
        <v>0.72776769509981853</v>
      </c>
    </row>
    <row r="155" spans="2:3" x14ac:dyDescent="0.2">
      <c r="B155">
        <v>0.22848648616414199</v>
      </c>
      <c r="C155">
        <v>0.72595281306715065</v>
      </c>
    </row>
    <row r="156" spans="2:3" x14ac:dyDescent="0.2">
      <c r="B156">
        <v>0.22796045681975699</v>
      </c>
      <c r="C156">
        <v>0.72413793103448276</v>
      </c>
    </row>
    <row r="157" spans="2:3" x14ac:dyDescent="0.2">
      <c r="B157">
        <v>0.22778238404279499</v>
      </c>
      <c r="C157">
        <v>0.72232304900181488</v>
      </c>
    </row>
    <row r="158" spans="2:3" x14ac:dyDescent="0.2">
      <c r="B158">
        <v>0.22710228445990499</v>
      </c>
      <c r="C158">
        <v>0.72050816696914699</v>
      </c>
    </row>
    <row r="159" spans="2:3" x14ac:dyDescent="0.2">
      <c r="B159">
        <v>0.22523490315536099</v>
      </c>
      <c r="C159">
        <v>0.7186932849364791</v>
      </c>
    </row>
    <row r="160" spans="2:3" x14ac:dyDescent="0.2">
      <c r="B160">
        <v>0.22289749356091801</v>
      </c>
      <c r="C160">
        <v>0.71687840290381122</v>
      </c>
    </row>
    <row r="161" spans="2:3" x14ac:dyDescent="0.2">
      <c r="B161">
        <v>0.22273658356082399</v>
      </c>
      <c r="C161">
        <v>0.71506352087114333</v>
      </c>
    </row>
    <row r="162" spans="2:3" x14ac:dyDescent="0.2">
      <c r="B162">
        <v>0.22271448863304999</v>
      </c>
      <c r="C162">
        <v>0.71324863883847545</v>
      </c>
    </row>
    <row r="163" spans="2:3" x14ac:dyDescent="0.2">
      <c r="B163">
        <v>0.22198184210665201</v>
      </c>
      <c r="C163">
        <v>0.71143375680580767</v>
      </c>
    </row>
    <row r="164" spans="2:3" x14ac:dyDescent="0.2">
      <c r="B164">
        <v>0.22098699593295401</v>
      </c>
      <c r="C164">
        <v>0.70961887477313979</v>
      </c>
    </row>
    <row r="165" spans="2:3" x14ac:dyDescent="0.2">
      <c r="B165">
        <v>0.219708186385217</v>
      </c>
      <c r="C165">
        <v>0.7078039927404719</v>
      </c>
    </row>
    <row r="166" spans="2:3" x14ac:dyDescent="0.2">
      <c r="B166">
        <v>0.21685927714266801</v>
      </c>
      <c r="C166">
        <v>0.70598911070780401</v>
      </c>
    </row>
    <row r="167" spans="2:3" x14ac:dyDescent="0.2">
      <c r="B167">
        <v>0.216386645153851</v>
      </c>
      <c r="C167">
        <v>0.70417422867513613</v>
      </c>
    </row>
    <row r="168" spans="2:3" x14ac:dyDescent="0.2">
      <c r="B168">
        <v>0.21511845720799999</v>
      </c>
      <c r="C168">
        <v>0.70235934664246824</v>
      </c>
    </row>
    <row r="169" spans="2:3" x14ac:dyDescent="0.2">
      <c r="B169">
        <v>0.21471571865464201</v>
      </c>
      <c r="C169">
        <v>0.70054446460980035</v>
      </c>
    </row>
    <row r="170" spans="2:3" x14ac:dyDescent="0.2">
      <c r="B170">
        <v>0.21453664310105999</v>
      </c>
      <c r="C170">
        <v>0.69872958257713247</v>
      </c>
    </row>
    <row r="171" spans="2:3" x14ac:dyDescent="0.2">
      <c r="B171">
        <v>0.213027965488893</v>
      </c>
      <c r="C171">
        <v>0.69691470054446458</v>
      </c>
    </row>
    <row r="172" spans="2:3" x14ac:dyDescent="0.2">
      <c r="B172">
        <v>0.21286070986789801</v>
      </c>
      <c r="C172">
        <v>0.6950998185117967</v>
      </c>
    </row>
    <row r="173" spans="2:3" x14ac:dyDescent="0.2">
      <c r="B173">
        <v>0.21209482125123699</v>
      </c>
      <c r="C173">
        <v>0.69328493647912881</v>
      </c>
    </row>
    <row r="174" spans="2:3" x14ac:dyDescent="0.2">
      <c r="B174">
        <v>0.210701515123602</v>
      </c>
      <c r="C174">
        <v>0.69147005444646104</v>
      </c>
    </row>
    <row r="175" spans="2:3" x14ac:dyDescent="0.2">
      <c r="B175">
        <v>0.20923498446316</v>
      </c>
      <c r="C175">
        <v>0.68965517241379315</v>
      </c>
    </row>
    <row r="176" spans="2:3" x14ac:dyDescent="0.2">
      <c r="B176">
        <v>0.208410650635589</v>
      </c>
      <c r="C176">
        <v>0.68784029038112526</v>
      </c>
    </row>
    <row r="177" spans="2:3" x14ac:dyDescent="0.2">
      <c r="B177">
        <v>0.208198706472737</v>
      </c>
      <c r="C177">
        <v>0.68602540834845738</v>
      </c>
    </row>
    <row r="178" spans="2:3" x14ac:dyDescent="0.2">
      <c r="B178">
        <v>0.20811429924838901</v>
      </c>
      <c r="C178">
        <v>0.68421052631578949</v>
      </c>
    </row>
    <row r="179" spans="2:3" x14ac:dyDescent="0.2">
      <c r="B179">
        <v>0.206012633015145</v>
      </c>
      <c r="C179">
        <v>0.68239564428312161</v>
      </c>
    </row>
    <row r="180" spans="2:3" x14ac:dyDescent="0.2">
      <c r="B180">
        <v>0.20477016945738599</v>
      </c>
      <c r="C180">
        <v>0.68058076225045372</v>
      </c>
    </row>
    <row r="181" spans="2:3" x14ac:dyDescent="0.2">
      <c r="B181">
        <v>0.20462238616769901</v>
      </c>
      <c r="C181">
        <v>0.67876588021778583</v>
      </c>
    </row>
    <row r="182" spans="2:3" x14ac:dyDescent="0.2">
      <c r="B182">
        <v>0.20448187366854201</v>
      </c>
      <c r="C182">
        <v>0.67695099818511795</v>
      </c>
    </row>
    <row r="183" spans="2:3" x14ac:dyDescent="0.2">
      <c r="B183">
        <v>0.20430889160499199</v>
      </c>
      <c r="C183">
        <v>0.67513611615245006</v>
      </c>
    </row>
    <row r="184" spans="2:3" x14ac:dyDescent="0.2">
      <c r="B184">
        <v>0.203386088622377</v>
      </c>
      <c r="C184">
        <v>0.67332123411978217</v>
      </c>
    </row>
    <row r="185" spans="2:3" x14ac:dyDescent="0.2">
      <c r="B185">
        <v>0.20290853017078</v>
      </c>
      <c r="C185">
        <v>0.67150635208711429</v>
      </c>
    </row>
    <row r="186" spans="2:3" x14ac:dyDescent="0.2">
      <c r="B186">
        <v>0.20260452106042801</v>
      </c>
      <c r="C186">
        <v>0.66969147005444651</v>
      </c>
    </row>
    <row r="187" spans="2:3" x14ac:dyDescent="0.2">
      <c r="B187">
        <v>0.20251121424479801</v>
      </c>
      <c r="C187">
        <v>0.66787658802177863</v>
      </c>
    </row>
    <row r="188" spans="2:3" x14ac:dyDescent="0.2">
      <c r="B188">
        <v>0.19977638669063599</v>
      </c>
      <c r="C188">
        <v>0.66606170598911074</v>
      </c>
    </row>
    <row r="189" spans="2:3" x14ac:dyDescent="0.2">
      <c r="B189">
        <v>0.19925652426465301</v>
      </c>
      <c r="C189">
        <v>0.66424682395644286</v>
      </c>
    </row>
    <row r="190" spans="2:3" x14ac:dyDescent="0.2">
      <c r="B190">
        <v>0.19909538591349399</v>
      </c>
      <c r="C190">
        <v>0.66243194192377497</v>
      </c>
    </row>
    <row r="191" spans="2:3" x14ac:dyDescent="0.2">
      <c r="B191">
        <v>0.19897917048161801</v>
      </c>
      <c r="C191">
        <v>0.66061705989110708</v>
      </c>
    </row>
    <row r="192" spans="2:3" x14ac:dyDescent="0.2">
      <c r="B192">
        <v>0.197535803902539</v>
      </c>
      <c r="C192">
        <v>0.6588021778584392</v>
      </c>
    </row>
    <row r="193" spans="2:3" x14ac:dyDescent="0.2">
      <c r="B193">
        <v>0.196675150730522</v>
      </c>
      <c r="C193">
        <v>0.65698729582577131</v>
      </c>
    </row>
    <row r="194" spans="2:3" x14ac:dyDescent="0.2">
      <c r="B194">
        <v>0.19508093395569501</v>
      </c>
      <c r="C194">
        <v>0.65517241379310343</v>
      </c>
    </row>
    <row r="195" spans="2:3" x14ac:dyDescent="0.2">
      <c r="B195">
        <v>0.19246754462583199</v>
      </c>
      <c r="C195">
        <v>0.65335753176043554</v>
      </c>
    </row>
    <row r="196" spans="2:3" x14ac:dyDescent="0.2">
      <c r="B196">
        <v>0.19132647418577001</v>
      </c>
      <c r="C196">
        <v>0.65154264972776765</v>
      </c>
    </row>
    <row r="197" spans="2:3" x14ac:dyDescent="0.2">
      <c r="B197">
        <v>0.190743691388361</v>
      </c>
      <c r="C197">
        <v>0.64972776769509977</v>
      </c>
    </row>
    <row r="198" spans="2:3" x14ac:dyDescent="0.2">
      <c r="B198">
        <v>0.19073436750445499</v>
      </c>
      <c r="C198">
        <v>0.64791288566243199</v>
      </c>
    </row>
    <row r="199" spans="2:3" x14ac:dyDescent="0.2">
      <c r="B199">
        <v>0.18993514458629601</v>
      </c>
      <c r="C199">
        <v>0.64609800362976411</v>
      </c>
    </row>
    <row r="200" spans="2:3" x14ac:dyDescent="0.2">
      <c r="B200">
        <v>0.18914453600637299</v>
      </c>
      <c r="C200">
        <v>0.64428312159709622</v>
      </c>
    </row>
    <row r="201" spans="2:3" x14ac:dyDescent="0.2">
      <c r="B201">
        <v>0.18880737642926601</v>
      </c>
      <c r="C201">
        <v>0.64246823956442833</v>
      </c>
    </row>
    <row r="202" spans="2:3" x14ac:dyDescent="0.2">
      <c r="B202">
        <v>0.18860361178882401</v>
      </c>
      <c r="C202">
        <v>0.64065335753176045</v>
      </c>
    </row>
    <row r="203" spans="2:3" x14ac:dyDescent="0.2">
      <c r="B203">
        <v>0.18820243128675301</v>
      </c>
      <c r="C203">
        <v>0.63883847549909256</v>
      </c>
    </row>
    <row r="204" spans="2:3" x14ac:dyDescent="0.2">
      <c r="B204">
        <v>0.18735024376918599</v>
      </c>
      <c r="C204">
        <v>0.63702359346642468</v>
      </c>
    </row>
    <row r="205" spans="2:3" x14ac:dyDescent="0.2">
      <c r="B205">
        <v>0.187285370510716</v>
      </c>
      <c r="C205">
        <v>0.63520871143375679</v>
      </c>
    </row>
    <row r="206" spans="2:3" x14ac:dyDescent="0.2">
      <c r="B206">
        <v>0.187129400944608</v>
      </c>
      <c r="C206">
        <v>0.6333938294010889</v>
      </c>
    </row>
    <row r="207" spans="2:3" x14ac:dyDescent="0.2">
      <c r="B207">
        <v>0.18650431712342599</v>
      </c>
      <c r="C207">
        <v>0.63157894736842102</v>
      </c>
    </row>
    <row r="208" spans="2:3" x14ac:dyDescent="0.2">
      <c r="B208">
        <v>0.185869430362399</v>
      </c>
      <c r="C208">
        <v>0.62976406533575313</v>
      </c>
    </row>
    <row r="209" spans="2:3" x14ac:dyDescent="0.2">
      <c r="B209">
        <v>0.18581500950524499</v>
      </c>
      <c r="C209">
        <v>0.62794918330308525</v>
      </c>
    </row>
    <row r="210" spans="2:3" x14ac:dyDescent="0.2">
      <c r="B210">
        <v>0.185302296636253</v>
      </c>
      <c r="C210">
        <v>0.62613430127041747</v>
      </c>
    </row>
    <row r="211" spans="2:3" x14ac:dyDescent="0.2">
      <c r="B211">
        <v>0.18488764022069401</v>
      </c>
      <c r="C211">
        <v>0.62431941923774958</v>
      </c>
    </row>
    <row r="212" spans="2:3" x14ac:dyDescent="0.2">
      <c r="B212">
        <v>0.18432417329277401</v>
      </c>
      <c r="C212">
        <v>0.6225045372050817</v>
      </c>
    </row>
    <row r="213" spans="2:3" x14ac:dyDescent="0.2">
      <c r="B213">
        <v>0.18427306838955501</v>
      </c>
      <c r="C213">
        <v>0.62068965517241381</v>
      </c>
    </row>
    <row r="214" spans="2:3" x14ac:dyDescent="0.2">
      <c r="B214">
        <v>0.18407446965122701</v>
      </c>
      <c r="C214">
        <v>0.61887477313974593</v>
      </c>
    </row>
    <row r="215" spans="2:3" x14ac:dyDescent="0.2">
      <c r="B215">
        <v>0.18357514710469899</v>
      </c>
      <c r="C215">
        <v>0.61705989110707804</v>
      </c>
    </row>
    <row r="216" spans="2:3" x14ac:dyDescent="0.2">
      <c r="B216">
        <v>0.182738203085682</v>
      </c>
      <c r="C216">
        <v>0.61524500907441015</v>
      </c>
    </row>
    <row r="217" spans="2:3" x14ac:dyDescent="0.2">
      <c r="B217">
        <v>0.18270553924785901</v>
      </c>
      <c r="C217">
        <v>0.61343012704174227</v>
      </c>
    </row>
    <row r="218" spans="2:3" x14ac:dyDescent="0.2">
      <c r="B218">
        <v>0.18190042067043699</v>
      </c>
      <c r="C218">
        <v>0.61161524500907438</v>
      </c>
    </row>
    <row r="219" spans="2:3" x14ac:dyDescent="0.2">
      <c r="B219">
        <v>0.18182657007741801</v>
      </c>
      <c r="C219">
        <v>0.6098003629764065</v>
      </c>
    </row>
    <row r="220" spans="2:3" x14ac:dyDescent="0.2">
      <c r="B220">
        <v>0.18161903682106401</v>
      </c>
      <c r="C220">
        <v>0.60798548094373861</v>
      </c>
    </row>
    <row r="221" spans="2:3" x14ac:dyDescent="0.2">
      <c r="B221">
        <v>0.18126656720689399</v>
      </c>
      <c r="C221">
        <v>0.60617059891107083</v>
      </c>
    </row>
    <row r="222" spans="2:3" x14ac:dyDescent="0.2">
      <c r="B222">
        <v>0.18105624159229899</v>
      </c>
      <c r="C222">
        <v>0.60435571687840295</v>
      </c>
    </row>
    <row r="223" spans="2:3" x14ac:dyDescent="0.2">
      <c r="B223">
        <v>0.18050978370474299</v>
      </c>
      <c r="C223">
        <v>0.60254083484573506</v>
      </c>
    </row>
    <row r="224" spans="2:3" x14ac:dyDescent="0.2">
      <c r="B224">
        <v>0.179921512107793</v>
      </c>
      <c r="C224">
        <v>0.60072595281306718</v>
      </c>
    </row>
    <row r="225" spans="2:3" x14ac:dyDescent="0.2">
      <c r="B225">
        <v>0.17891733225805001</v>
      </c>
      <c r="C225">
        <v>0.59891107078039929</v>
      </c>
    </row>
    <row r="226" spans="2:3" x14ac:dyDescent="0.2">
      <c r="B226">
        <v>0.17838524452836299</v>
      </c>
      <c r="C226">
        <v>0.5970961887477314</v>
      </c>
    </row>
    <row r="227" spans="2:3" x14ac:dyDescent="0.2">
      <c r="B227">
        <v>0.177621414716852</v>
      </c>
      <c r="C227">
        <v>0.59528130671506352</v>
      </c>
    </row>
    <row r="228" spans="2:3" x14ac:dyDescent="0.2">
      <c r="B228">
        <v>0.17655947315892101</v>
      </c>
      <c r="C228">
        <v>0.59346642468239563</v>
      </c>
    </row>
    <row r="229" spans="2:3" x14ac:dyDescent="0.2">
      <c r="B229">
        <v>0.17555401129989601</v>
      </c>
      <c r="C229">
        <v>0.59165154264972775</v>
      </c>
    </row>
    <row r="230" spans="2:3" x14ac:dyDescent="0.2">
      <c r="B230">
        <v>0.17528185828339601</v>
      </c>
      <c r="C230">
        <v>0.58983666061705986</v>
      </c>
    </row>
    <row r="231" spans="2:3" x14ac:dyDescent="0.2">
      <c r="B231">
        <v>0.174855215018698</v>
      </c>
      <c r="C231">
        <v>0.58802177858439197</v>
      </c>
    </row>
    <row r="232" spans="2:3" x14ac:dyDescent="0.2">
      <c r="B232">
        <v>0.17456056673878501</v>
      </c>
      <c r="C232">
        <v>0.58620689655172409</v>
      </c>
    </row>
    <row r="233" spans="2:3" x14ac:dyDescent="0.2">
      <c r="B233">
        <v>0.17400033854712699</v>
      </c>
      <c r="C233">
        <v>0.58439201451905631</v>
      </c>
    </row>
    <row r="234" spans="2:3" x14ac:dyDescent="0.2">
      <c r="B234">
        <v>0.17311972337214199</v>
      </c>
      <c r="C234">
        <v>0.58257713248638843</v>
      </c>
    </row>
    <row r="235" spans="2:3" x14ac:dyDescent="0.2">
      <c r="B235">
        <v>0.17219207585212201</v>
      </c>
      <c r="C235">
        <v>0.58076225045372054</v>
      </c>
    </row>
    <row r="236" spans="2:3" x14ac:dyDescent="0.2">
      <c r="B236">
        <v>0.17110625292599899</v>
      </c>
      <c r="C236">
        <v>0.57894736842105265</v>
      </c>
    </row>
    <row r="237" spans="2:3" x14ac:dyDescent="0.2">
      <c r="B237">
        <v>0.17099281629590901</v>
      </c>
      <c r="C237">
        <v>0.57713248638838477</v>
      </c>
    </row>
    <row r="238" spans="2:3" x14ac:dyDescent="0.2">
      <c r="B238">
        <v>0.17071688261944201</v>
      </c>
      <c r="C238">
        <v>0.57531760435571688</v>
      </c>
    </row>
    <row r="239" spans="2:3" x14ac:dyDescent="0.2">
      <c r="B239">
        <v>0.17056801049679299</v>
      </c>
      <c r="C239">
        <v>0.573502722323049</v>
      </c>
    </row>
    <row r="240" spans="2:3" x14ac:dyDescent="0.2">
      <c r="B240">
        <v>0.170323558722065</v>
      </c>
      <c r="C240">
        <v>0.57168784029038111</v>
      </c>
    </row>
    <row r="241" spans="2:3" x14ac:dyDescent="0.2">
      <c r="B241">
        <v>0.170014975073703</v>
      </c>
      <c r="C241">
        <v>0.56987295825771322</v>
      </c>
    </row>
    <row r="242" spans="2:3" x14ac:dyDescent="0.2">
      <c r="B242">
        <v>0.16885888671552199</v>
      </c>
      <c r="C242">
        <v>0.56805807622504534</v>
      </c>
    </row>
    <row r="243" spans="2:3" x14ac:dyDescent="0.2">
      <c r="B243">
        <v>0.16878414296371799</v>
      </c>
      <c r="C243">
        <v>0.56624319419237745</v>
      </c>
    </row>
    <row r="244" spans="2:3" x14ac:dyDescent="0.2">
      <c r="B244">
        <v>0.168214265162618</v>
      </c>
      <c r="C244">
        <v>0.56442831215970957</v>
      </c>
    </row>
    <row r="245" spans="2:3" x14ac:dyDescent="0.2">
      <c r="B245">
        <v>0.168065954216713</v>
      </c>
      <c r="C245">
        <v>0.56261343012704179</v>
      </c>
    </row>
    <row r="246" spans="2:3" x14ac:dyDescent="0.2">
      <c r="B246">
        <v>0.166700975651247</v>
      </c>
      <c r="C246">
        <v>0.56079854809437391</v>
      </c>
    </row>
    <row r="247" spans="2:3" x14ac:dyDescent="0.2">
      <c r="B247">
        <v>0.16638835745984301</v>
      </c>
      <c r="C247">
        <v>0.55898366606170602</v>
      </c>
    </row>
    <row r="248" spans="2:3" x14ac:dyDescent="0.2">
      <c r="B248">
        <v>0.16574923834984001</v>
      </c>
      <c r="C248">
        <v>0.55716878402903813</v>
      </c>
    </row>
    <row r="249" spans="2:3" x14ac:dyDescent="0.2">
      <c r="B249">
        <v>0.16564961170869799</v>
      </c>
      <c r="C249">
        <v>0.55535390199637025</v>
      </c>
    </row>
    <row r="250" spans="2:3" x14ac:dyDescent="0.2">
      <c r="B250">
        <v>0.165017364881582</v>
      </c>
      <c r="C250">
        <v>0.55353901996370236</v>
      </c>
    </row>
    <row r="251" spans="2:3" x14ac:dyDescent="0.2">
      <c r="B251">
        <v>0.16408938955420199</v>
      </c>
      <c r="C251">
        <v>0.55172413793103448</v>
      </c>
    </row>
    <row r="252" spans="2:3" x14ac:dyDescent="0.2">
      <c r="B252">
        <v>0.16361706700449299</v>
      </c>
      <c r="C252">
        <v>0.54990925589836659</v>
      </c>
    </row>
    <row r="253" spans="2:3" x14ac:dyDescent="0.2">
      <c r="B253">
        <v>0.163310032623493</v>
      </c>
      <c r="C253">
        <v>0.5480943738656987</v>
      </c>
    </row>
    <row r="254" spans="2:3" x14ac:dyDescent="0.2">
      <c r="B254">
        <v>0.16284454725382899</v>
      </c>
      <c r="C254">
        <v>0.54627949183303082</v>
      </c>
    </row>
    <row r="255" spans="2:3" x14ac:dyDescent="0.2">
      <c r="B255">
        <v>0.16208226017895699</v>
      </c>
      <c r="C255">
        <v>0.54446460980036293</v>
      </c>
    </row>
    <row r="256" spans="2:3" x14ac:dyDescent="0.2">
      <c r="B256">
        <v>0.16177819505434701</v>
      </c>
      <c r="C256">
        <v>0.54264972776769504</v>
      </c>
    </row>
    <row r="257" spans="2:3" x14ac:dyDescent="0.2">
      <c r="B257">
        <v>0.161226222047574</v>
      </c>
      <c r="C257">
        <v>0.54083484573502727</v>
      </c>
    </row>
    <row r="258" spans="2:3" x14ac:dyDescent="0.2">
      <c r="B258">
        <v>0.160982209684571</v>
      </c>
      <c r="C258">
        <v>0.53901996370235938</v>
      </c>
    </row>
    <row r="259" spans="2:3" x14ac:dyDescent="0.2">
      <c r="B259">
        <v>0.16044296315290299</v>
      </c>
      <c r="C259">
        <v>0.5372050816696915</v>
      </c>
    </row>
    <row r="260" spans="2:3" x14ac:dyDescent="0.2">
      <c r="B260">
        <v>0.157985178662431</v>
      </c>
      <c r="C260">
        <v>0.53539019963702361</v>
      </c>
    </row>
    <row r="261" spans="2:3" x14ac:dyDescent="0.2">
      <c r="B261">
        <v>0.15736213790036599</v>
      </c>
      <c r="C261">
        <v>0.53357531760435573</v>
      </c>
    </row>
    <row r="262" spans="2:3" x14ac:dyDescent="0.2">
      <c r="B262">
        <v>0.15653910249819</v>
      </c>
      <c r="C262">
        <v>0.53176043557168784</v>
      </c>
    </row>
    <row r="263" spans="2:3" x14ac:dyDescent="0.2">
      <c r="B263">
        <v>0.15652070059307399</v>
      </c>
      <c r="C263">
        <v>0.52994555353901995</v>
      </c>
    </row>
    <row r="264" spans="2:3" x14ac:dyDescent="0.2">
      <c r="B264">
        <v>0.15641937081797599</v>
      </c>
      <c r="C264">
        <v>0.52813067150635207</v>
      </c>
    </row>
    <row r="265" spans="2:3" x14ac:dyDescent="0.2">
      <c r="B265">
        <v>0.15571806457147899</v>
      </c>
      <c r="C265">
        <v>0.52631578947368418</v>
      </c>
    </row>
    <row r="266" spans="2:3" x14ac:dyDescent="0.2">
      <c r="B266">
        <v>0.15533464868299199</v>
      </c>
      <c r="C266">
        <v>0.5245009074410163</v>
      </c>
    </row>
    <row r="267" spans="2:3" x14ac:dyDescent="0.2">
      <c r="B267">
        <v>0.15504886091130901</v>
      </c>
      <c r="C267">
        <v>0.52268602540834841</v>
      </c>
    </row>
    <row r="268" spans="2:3" x14ac:dyDescent="0.2">
      <c r="B268">
        <v>0.15490542100094801</v>
      </c>
      <c r="C268">
        <v>0.52087114337568063</v>
      </c>
    </row>
    <row r="269" spans="2:3" x14ac:dyDescent="0.2">
      <c r="B269">
        <v>0.154792847051134</v>
      </c>
      <c r="C269">
        <v>0.51905626134301275</v>
      </c>
    </row>
    <row r="270" spans="2:3" x14ac:dyDescent="0.2">
      <c r="B270">
        <v>0.154446156724484</v>
      </c>
      <c r="C270">
        <v>0.51724137931034486</v>
      </c>
    </row>
    <row r="271" spans="2:3" x14ac:dyDescent="0.2">
      <c r="B271">
        <v>0.15432570630515699</v>
      </c>
      <c r="C271">
        <v>0.51542649727767698</v>
      </c>
    </row>
    <row r="272" spans="2:3" x14ac:dyDescent="0.2">
      <c r="B272">
        <v>0.15359026129202699</v>
      </c>
      <c r="C272">
        <v>0.51361161524500909</v>
      </c>
    </row>
    <row r="273" spans="2:3" x14ac:dyDescent="0.2">
      <c r="B273">
        <v>0.15288027133909199</v>
      </c>
      <c r="C273">
        <v>0.5117967332123412</v>
      </c>
    </row>
    <row r="274" spans="2:3" x14ac:dyDescent="0.2">
      <c r="B274">
        <v>0.15268625774998201</v>
      </c>
      <c r="C274">
        <v>0.50998185117967332</v>
      </c>
    </row>
    <row r="275" spans="2:3" x14ac:dyDescent="0.2">
      <c r="B275">
        <v>0.152231095363354</v>
      </c>
      <c r="C275">
        <v>0.50816696914700543</v>
      </c>
    </row>
    <row r="276" spans="2:3" x14ac:dyDescent="0.2">
      <c r="B276">
        <v>0.15169588482694099</v>
      </c>
      <c r="C276">
        <v>0.50635208711433755</v>
      </c>
    </row>
    <row r="277" spans="2:3" x14ac:dyDescent="0.2">
      <c r="B277">
        <v>0.15054701752117899</v>
      </c>
      <c r="C277">
        <v>0.50453720508166966</v>
      </c>
    </row>
    <row r="278" spans="2:3" x14ac:dyDescent="0.2">
      <c r="B278">
        <v>0.150121320569233</v>
      </c>
      <c r="C278">
        <v>0.50272232304900177</v>
      </c>
    </row>
    <row r="279" spans="2:3" x14ac:dyDescent="0.2">
      <c r="B279">
        <v>0.149755201124807</v>
      </c>
      <c r="C279">
        <v>0.50090744101633389</v>
      </c>
    </row>
    <row r="280" spans="2:3" x14ac:dyDescent="0.2">
      <c r="B280">
        <v>0.14953038808651201</v>
      </c>
      <c r="C280">
        <v>0.49909255898366606</v>
      </c>
    </row>
    <row r="281" spans="2:3" x14ac:dyDescent="0.2">
      <c r="B281">
        <v>0.14872113595533701</v>
      </c>
      <c r="C281">
        <v>0.49727767695099817</v>
      </c>
    </row>
    <row r="282" spans="2:3" x14ac:dyDescent="0.2">
      <c r="B282">
        <v>0.14855939519040701</v>
      </c>
      <c r="C282">
        <v>0.49546279491833028</v>
      </c>
    </row>
    <row r="283" spans="2:3" x14ac:dyDescent="0.2">
      <c r="B283">
        <v>0.14696667492530099</v>
      </c>
      <c r="C283">
        <v>0.49364791288566245</v>
      </c>
    </row>
    <row r="284" spans="2:3" x14ac:dyDescent="0.2">
      <c r="B284">
        <v>0.14624978129557201</v>
      </c>
      <c r="C284">
        <v>0.49183303085299457</v>
      </c>
    </row>
    <row r="285" spans="2:3" x14ac:dyDescent="0.2">
      <c r="B285">
        <v>0.14554778601721199</v>
      </c>
      <c r="C285">
        <v>0.49001814882032668</v>
      </c>
    </row>
    <row r="286" spans="2:3" x14ac:dyDescent="0.2">
      <c r="B286">
        <v>0.14451707908577099</v>
      </c>
      <c r="C286">
        <v>0.4882032667876588</v>
      </c>
    </row>
    <row r="287" spans="2:3" x14ac:dyDescent="0.2">
      <c r="B287">
        <v>0.14424206047590701</v>
      </c>
      <c r="C287">
        <v>0.48638838475499091</v>
      </c>
    </row>
    <row r="288" spans="2:3" x14ac:dyDescent="0.2">
      <c r="B288">
        <v>0.14380004140848099</v>
      </c>
      <c r="C288">
        <v>0.48457350272232302</v>
      </c>
    </row>
    <row r="289" spans="2:3" x14ac:dyDescent="0.2">
      <c r="B289">
        <v>0.14269444325458799</v>
      </c>
      <c r="C289">
        <v>0.48275862068965519</v>
      </c>
    </row>
    <row r="290" spans="2:3" x14ac:dyDescent="0.2">
      <c r="B290">
        <v>0.14267187958111999</v>
      </c>
      <c r="C290">
        <v>0.48094373865698731</v>
      </c>
    </row>
    <row r="291" spans="2:3" x14ac:dyDescent="0.2">
      <c r="B291">
        <v>0.142526118194156</v>
      </c>
      <c r="C291">
        <v>0.47912885662431942</v>
      </c>
    </row>
    <row r="292" spans="2:3" x14ac:dyDescent="0.2">
      <c r="B292">
        <v>0.14161660489075301</v>
      </c>
      <c r="C292">
        <v>0.47731397459165154</v>
      </c>
    </row>
    <row r="293" spans="2:3" x14ac:dyDescent="0.2">
      <c r="B293">
        <v>0.141568221614669</v>
      </c>
      <c r="C293">
        <v>0.47549909255898365</v>
      </c>
    </row>
    <row r="294" spans="2:3" x14ac:dyDescent="0.2">
      <c r="B294">
        <v>0.14095942055435301</v>
      </c>
      <c r="C294">
        <v>0.47368421052631576</v>
      </c>
    </row>
    <row r="295" spans="2:3" x14ac:dyDescent="0.2">
      <c r="B295">
        <v>0.13991028856901999</v>
      </c>
      <c r="C295">
        <v>0.47186932849364793</v>
      </c>
    </row>
    <row r="296" spans="2:3" x14ac:dyDescent="0.2">
      <c r="B296">
        <v>0.13989634406212501</v>
      </c>
      <c r="C296">
        <v>0.47005444646098005</v>
      </c>
    </row>
    <row r="297" spans="2:3" x14ac:dyDescent="0.2">
      <c r="B297">
        <v>0.139741087606466</v>
      </c>
      <c r="C297">
        <v>0.46823956442831216</v>
      </c>
    </row>
    <row r="298" spans="2:3" x14ac:dyDescent="0.2">
      <c r="B298">
        <v>0.139372549860033</v>
      </c>
      <c r="C298">
        <v>0.46642468239564427</v>
      </c>
    </row>
    <row r="299" spans="2:3" x14ac:dyDescent="0.2">
      <c r="B299">
        <v>0.13924808811192599</v>
      </c>
      <c r="C299">
        <v>0.46460980036297639</v>
      </c>
    </row>
    <row r="300" spans="2:3" x14ac:dyDescent="0.2">
      <c r="B300">
        <v>0.13913234259287999</v>
      </c>
      <c r="C300">
        <v>0.4627949183303085</v>
      </c>
    </row>
    <row r="301" spans="2:3" x14ac:dyDescent="0.2">
      <c r="B301">
        <v>0.13865013256837699</v>
      </c>
      <c r="C301">
        <v>0.46098003629764067</v>
      </c>
    </row>
    <row r="302" spans="2:3" x14ac:dyDescent="0.2">
      <c r="B302">
        <v>0.13728199813692199</v>
      </c>
      <c r="C302">
        <v>0.45916515426497279</v>
      </c>
    </row>
    <row r="303" spans="2:3" x14ac:dyDescent="0.2">
      <c r="B303">
        <v>0.136186097737371</v>
      </c>
      <c r="C303">
        <v>0.4573502722323049</v>
      </c>
    </row>
    <row r="304" spans="2:3" x14ac:dyDescent="0.2">
      <c r="B304">
        <v>0.13551466932428299</v>
      </c>
      <c r="C304">
        <v>0.45553539019963701</v>
      </c>
    </row>
    <row r="305" spans="2:3" x14ac:dyDescent="0.2">
      <c r="B305">
        <v>0.13524167443708601</v>
      </c>
      <c r="C305">
        <v>0.45372050816696913</v>
      </c>
    </row>
    <row r="306" spans="2:3" x14ac:dyDescent="0.2">
      <c r="B306">
        <v>0.13517614419392501</v>
      </c>
      <c r="C306">
        <v>0.4519056261343013</v>
      </c>
    </row>
    <row r="307" spans="2:3" x14ac:dyDescent="0.2">
      <c r="B307">
        <v>0.13484632034577301</v>
      </c>
      <c r="C307">
        <v>0.45009074410163341</v>
      </c>
    </row>
    <row r="308" spans="2:3" x14ac:dyDescent="0.2">
      <c r="B308">
        <v>0.13458772791745399</v>
      </c>
      <c r="C308">
        <v>0.44827586206896552</v>
      </c>
    </row>
    <row r="309" spans="2:3" x14ac:dyDescent="0.2">
      <c r="B309">
        <v>0.134369055893649</v>
      </c>
      <c r="C309">
        <v>0.44646098003629764</v>
      </c>
    </row>
    <row r="310" spans="2:3" x14ac:dyDescent="0.2">
      <c r="B310">
        <v>0.13380130344778701</v>
      </c>
      <c r="C310">
        <v>0.44464609800362975</v>
      </c>
    </row>
    <row r="311" spans="2:3" x14ac:dyDescent="0.2">
      <c r="B311">
        <v>0.13260750309296801</v>
      </c>
      <c r="C311">
        <v>0.44283121597096187</v>
      </c>
    </row>
    <row r="312" spans="2:3" x14ac:dyDescent="0.2">
      <c r="B312">
        <v>0.13100962547928799</v>
      </c>
      <c r="C312">
        <v>0.44101633393829404</v>
      </c>
    </row>
    <row r="313" spans="2:3" x14ac:dyDescent="0.2">
      <c r="B313">
        <v>0.13087129270335801</v>
      </c>
      <c r="C313">
        <v>0.43920145190562615</v>
      </c>
    </row>
    <row r="314" spans="2:3" x14ac:dyDescent="0.2">
      <c r="B314">
        <v>0.13039070358205601</v>
      </c>
      <c r="C314">
        <v>0.43738656987295826</v>
      </c>
    </row>
    <row r="315" spans="2:3" x14ac:dyDescent="0.2">
      <c r="B315">
        <v>0.13024112627682699</v>
      </c>
      <c r="C315">
        <v>0.43557168784029038</v>
      </c>
    </row>
    <row r="316" spans="2:3" x14ac:dyDescent="0.2">
      <c r="B316">
        <v>0.13019375769755201</v>
      </c>
      <c r="C316">
        <v>0.43375680580762249</v>
      </c>
    </row>
    <row r="317" spans="2:3" x14ac:dyDescent="0.2">
      <c r="B317">
        <v>0.129675768227657</v>
      </c>
      <c r="C317">
        <v>0.43194192377495461</v>
      </c>
    </row>
    <row r="318" spans="2:3" x14ac:dyDescent="0.2">
      <c r="B318">
        <v>0.12881471005916201</v>
      </c>
      <c r="C318">
        <v>0.43012704174228678</v>
      </c>
    </row>
    <row r="319" spans="2:3" x14ac:dyDescent="0.2">
      <c r="B319">
        <v>0.128660162823833</v>
      </c>
      <c r="C319">
        <v>0.42831215970961889</v>
      </c>
    </row>
    <row r="320" spans="2:3" x14ac:dyDescent="0.2">
      <c r="B320">
        <v>0.12833446115462899</v>
      </c>
      <c r="C320">
        <v>0.426497277676951</v>
      </c>
    </row>
    <row r="321" spans="2:3" x14ac:dyDescent="0.2">
      <c r="B321">
        <v>0.12793963424486801</v>
      </c>
      <c r="C321">
        <v>0.42468239564428312</v>
      </c>
    </row>
    <row r="322" spans="2:3" x14ac:dyDescent="0.2">
      <c r="B322">
        <v>0.12737718641228599</v>
      </c>
      <c r="C322">
        <v>0.42286751361161523</v>
      </c>
    </row>
    <row r="323" spans="2:3" x14ac:dyDescent="0.2">
      <c r="B323">
        <v>0.12707580129454199</v>
      </c>
      <c r="C323">
        <v>0.42105263157894735</v>
      </c>
    </row>
    <row r="324" spans="2:3" x14ac:dyDescent="0.2">
      <c r="B324">
        <v>0.126373308785173</v>
      </c>
      <c r="C324">
        <v>0.41923774954627951</v>
      </c>
    </row>
    <row r="325" spans="2:3" x14ac:dyDescent="0.2">
      <c r="B325">
        <v>0.12597562789973901</v>
      </c>
      <c r="C325">
        <v>0.41742286751361163</v>
      </c>
    </row>
    <row r="326" spans="2:3" x14ac:dyDescent="0.2">
      <c r="B326">
        <v>0.125939230300291</v>
      </c>
      <c r="C326">
        <v>0.41560798548094374</v>
      </c>
    </row>
    <row r="327" spans="2:3" x14ac:dyDescent="0.2">
      <c r="B327">
        <v>0.125444420732781</v>
      </c>
      <c r="C327">
        <v>0.41379310344827586</v>
      </c>
    </row>
    <row r="328" spans="2:3" x14ac:dyDescent="0.2">
      <c r="B328">
        <v>0.12457415073874401</v>
      </c>
      <c r="C328">
        <v>0.41197822141560797</v>
      </c>
    </row>
    <row r="329" spans="2:3" x14ac:dyDescent="0.2">
      <c r="B329">
        <v>0.12449356040519299</v>
      </c>
      <c r="C329">
        <v>0.41016333938294008</v>
      </c>
    </row>
    <row r="330" spans="2:3" x14ac:dyDescent="0.2">
      <c r="B330">
        <v>0.124475269550402</v>
      </c>
      <c r="C330">
        <v>0.40834845735027225</v>
      </c>
    </row>
    <row r="331" spans="2:3" x14ac:dyDescent="0.2">
      <c r="B331">
        <v>0.124463815670689</v>
      </c>
      <c r="C331">
        <v>0.40653357531760437</v>
      </c>
    </row>
    <row r="332" spans="2:3" x14ac:dyDescent="0.2">
      <c r="B332">
        <v>0.124119152702706</v>
      </c>
      <c r="C332">
        <v>0.40471869328493648</v>
      </c>
    </row>
    <row r="333" spans="2:3" x14ac:dyDescent="0.2">
      <c r="B333">
        <v>0.124114437985264</v>
      </c>
      <c r="C333">
        <v>0.4029038112522686</v>
      </c>
    </row>
    <row r="334" spans="2:3" x14ac:dyDescent="0.2">
      <c r="B334">
        <v>0.12328835899983499</v>
      </c>
      <c r="C334">
        <v>0.40108892921960071</v>
      </c>
    </row>
    <row r="335" spans="2:3" x14ac:dyDescent="0.2">
      <c r="B335">
        <v>0.123064284019373</v>
      </c>
      <c r="C335">
        <v>0.39927404718693282</v>
      </c>
    </row>
    <row r="336" spans="2:3" x14ac:dyDescent="0.2">
      <c r="B336">
        <v>0.12124973571436699</v>
      </c>
      <c r="C336">
        <v>0.39745916515426499</v>
      </c>
    </row>
    <row r="337" spans="2:3" x14ac:dyDescent="0.2">
      <c r="B337">
        <v>0.119615875182746</v>
      </c>
      <c r="C337">
        <v>0.39564428312159711</v>
      </c>
    </row>
    <row r="338" spans="2:3" x14ac:dyDescent="0.2">
      <c r="B338">
        <v>0.11955899197698699</v>
      </c>
      <c r="C338">
        <v>0.39382940108892922</v>
      </c>
    </row>
    <row r="339" spans="2:3" x14ac:dyDescent="0.2">
      <c r="B339">
        <v>0.11945465058044499</v>
      </c>
      <c r="C339">
        <v>0.39201451905626133</v>
      </c>
    </row>
    <row r="340" spans="2:3" x14ac:dyDescent="0.2">
      <c r="B340">
        <v>0.11930858636894</v>
      </c>
      <c r="C340">
        <v>0.39019963702359345</v>
      </c>
    </row>
    <row r="341" spans="2:3" x14ac:dyDescent="0.2">
      <c r="B341">
        <v>0.11921265131618999</v>
      </c>
      <c r="C341">
        <v>0.38838475499092556</v>
      </c>
    </row>
    <row r="342" spans="2:3" x14ac:dyDescent="0.2">
      <c r="B342">
        <v>0.118829796778779</v>
      </c>
      <c r="C342">
        <v>0.38656987295825773</v>
      </c>
    </row>
    <row r="343" spans="2:3" x14ac:dyDescent="0.2">
      <c r="B343">
        <v>0.118805579372549</v>
      </c>
      <c r="C343">
        <v>0.38475499092558985</v>
      </c>
    </row>
    <row r="344" spans="2:3" x14ac:dyDescent="0.2">
      <c r="B344">
        <v>0.118686942494478</v>
      </c>
      <c r="C344">
        <v>0.38294010889292196</v>
      </c>
    </row>
    <row r="345" spans="2:3" x14ac:dyDescent="0.2">
      <c r="B345">
        <v>0.118150298756105</v>
      </c>
      <c r="C345">
        <v>0.38112522686025407</v>
      </c>
    </row>
    <row r="346" spans="2:3" x14ac:dyDescent="0.2">
      <c r="B346">
        <v>0.11661464526516301</v>
      </c>
      <c r="C346">
        <v>0.37931034482758619</v>
      </c>
    </row>
    <row r="347" spans="2:3" x14ac:dyDescent="0.2">
      <c r="B347">
        <v>0.116045158237533</v>
      </c>
      <c r="C347">
        <v>0.37749546279491836</v>
      </c>
    </row>
    <row r="348" spans="2:3" x14ac:dyDescent="0.2">
      <c r="B348">
        <v>0.114855592176536</v>
      </c>
      <c r="C348">
        <v>0.37568058076225047</v>
      </c>
    </row>
    <row r="349" spans="2:3" x14ac:dyDescent="0.2">
      <c r="B349">
        <v>0.114631734814273</v>
      </c>
      <c r="C349">
        <v>0.37386569872958259</v>
      </c>
    </row>
    <row r="350" spans="2:3" x14ac:dyDescent="0.2">
      <c r="B350">
        <v>0.114610654308564</v>
      </c>
      <c r="C350">
        <v>0.3720508166969147</v>
      </c>
    </row>
    <row r="351" spans="2:3" x14ac:dyDescent="0.2">
      <c r="B351">
        <v>0.11390969242716301</v>
      </c>
      <c r="C351">
        <v>0.37023593466424681</v>
      </c>
    </row>
    <row r="352" spans="2:3" x14ac:dyDescent="0.2">
      <c r="B352">
        <v>0.11371551685023</v>
      </c>
      <c r="C352">
        <v>0.36842105263157893</v>
      </c>
    </row>
    <row r="353" spans="2:3" x14ac:dyDescent="0.2">
      <c r="B353">
        <v>0.11369465997944</v>
      </c>
      <c r="C353">
        <v>0.3666061705989111</v>
      </c>
    </row>
    <row r="354" spans="2:3" x14ac:dyDescent="0.2">
      <c r="B354">
        <v>0.112943786595968</v>
      </c>
      <c r="C354">
        <v>0.36479128856624321</v>
      </c>
    </row>
    <row r="355" spans="2:3" x14ac:dyDescent="0.2">
      <c r="B355">
        <v>0.11283438595663101</v>
      </c>
      <c r="C355">
        <v>0.36297640653357532</v>
      </c>
    </row>
    <row r="356" spans="2:3" x14ac:dyDescent="0.2">
      <c r="B356">
        <v>0.112466520944948</v>
      </c>
      <c r="C356">
        <v>0.36116152450090744</v>
      </c>
    </row>
    <row r="357" spans="2:3" x14ac:dyDescent="0.2">
      <c r="B357">
        <v>0.111016153532811</v>
      </c>
      <c r="C357">
        <v>0.35934664246823955</v>
      </c>
    </row>
    <row r="358" spans="2:3" x14ac:dyDescent="0.2">
      <c r="B358">
        <v>0.11008349642911899</v>
      </c>
      <c r="C358">
        <v>0.35753176043557167</v>
      </c>
    </row>
    <row r="359" spans="2:3" x14ac:dyDescent="0.2">
      <c r="B359">
        <v>0.10989516733746001</v>
      </c>
      <c r="C359">
        <v>0.35571687840290384</v>
      </c>
    </row>
    <row r="360" spans="2:3" x14ac:dyDescent="0.2">
      <c r="B360">
        <v>0.109688290168286</v>
      </c>
      <c r="C360">
        <v>0.35390199637023595</v>
      </c>
    </row>
    <row r="361" spans="2:3" x14ac:dyDescent="0.2">
      <c r="B361">
        <v>0.108903521642087</v>
      </c>
      <c r="C361">
        <v>0.35208711433756806</v>
      </c>
    </row>
    <row r="362" spans="2:3" x14ac:dyDescent="0.2">
      <c r="B362">
        <v>0.10826223293467301</v>
      </c>
      <c r="C362">
        <v>0.35027223230490018</v>
      </c>
    </row>
    <row r="363" spans="2:3" x14ac:dyDescent="0.2">
      <c r="B363">
        <v>0.108185874108645</v>
      </c>
      <c r="C363">
        <v>0.34845735027223229</v>
      </c>
    </row>
    <row r="364" spans="2:3" x14ac:dyDescent="0.2">
      <c r="B364">
        <v>0.10773401237720499</v>
      </c>
      <c r="C364">
        <v>0.34664246823956441</v>
      </c>
    </row>
    <row r="365" spans="2:3" x14ac:dyDescent="0.2">
      <c r="B365">
        <v>0.107636992230337</v>
      </c>
      <c r="C365">
        <v>0.34482758620689657</v>
      </c>
    </row>
    <row r="366" spans="2:3" x14ac:dyDescent="0.2">
      <c r="B366">
        <v>0.10737576768164001</v>
      </c>
      <c r="C366">
        <v>0.34301270417422869</v>
      </c>
    </row>
    <row r="367" spans="2:3" x14ac:dyDescent="0.2">
      <c r="B367">
        <v>0.107370364016353</v>
      </c>
      <c r="C367">
        <v>0.3411978221415608</v>
      </c>
    </row>
    <row r="368" spans="2:3" x14ac:dyDescent="0.2">
      <c r="B368">
        <v>0.107353305945828</v>
      </c>
      <c r="C368">
        <v>0.33938294010889292</v>
      </c>
    </row>
    <row r="369" spans="2:3" x14ac:dyDescent="0.2">
      <c r="B369">
        <v>0.107061646291556</v>
      </c>
      <c r="C369">
        <v>0.33756805807622503</v>
      </c>
    </row>
    <row r="370" spans="2:3" x14ac:dyDescent="0.2">
      <c r="B370">
        <v>0.106903450854341</v>
      </c>
      <c r="C370">
        <v>0.33575317604355714</v>
      </c>
    </row>
    <row r="371" spans="2:3" x14ac:dyDescent="0.2">
      <c r="B371">
        <v>0.106258326960359</v>
      </c>
      <c r="C371">
        <v>0.33393829401088931</v>
      </c>
    </row>
    <row r="372" spans="2:3" x14ac:dyDescent="0.2">
      <c r="B372">
        <v>0.106241188118552</v>
      </c>
      <c r="C372">
        <v>0.33212341197822143</v>
      </c>
    </row>
    <row r="373" spans="2:3" x14ac:dyDescent="0.2">
      <c r="B373">
        <v>0.105802429984982</v>
      </c>
      <c r="C373">
        <v>0.33030852994555354</v>
      </c>
    </row>
    <row r="374" spans="2:3" x14ac:dyDescent="0.2">
      <c r="B374">
        <v>0.10561391617423101</v>
      </c>
      <c r="C374">
        <v>0.32849364791288566</v>
      </c>
    </row>
    <row r="375" spans="2:3" x14ac:dyDescent="0.2">
      <c r="B375">
        <v>0.105166657501407</v>
      </c>
      <c r="C375">
        <v>0.32667876588021777</v>
      </c>
    </row>
    <row r="376" spans="2:3" x14ac:dyDescent="0.2">
      <c r="B376">
        <v>0.105091304511717</v>
      </c>
      <c r="C376">
        <v>0.32486388384754988</v>
      </c>
    </row>
    <row r="377" spans="2:3" x14ac:dyDescent="0.2">
      <c r="B377">
        <v>0.104879167374598</v>
      </c>
      <c r="C377">
        <v>0.32304900181488205</v>
      </c>
    </row>
    <row r="378" spans="2:3" x14ac:dyDescent="0.2">
      <c r="B378">
        <v>0.104586815388059</v>
      </c>
      <c r="C378">
        <v>0.32123411978221417</v>
      </c>
    </row>
    <row r="379" spans="2:3" x14ac:dyDescent="0.2">
      <c r="B379">
        <v>0.104162111072632</v>
      </c>
      <c r="C379">
        <v>0.31941923774954628</v>
      </c>
    </row>
    <row r="380" spans="2:3" x14ac:dyDescent="0.2">
      <c r="B380">
        <v>0.10398258737968399</v>
      </c>
      <c r="C380">
        <v>0.31760435571687839</v>
      </c>
    </row>
    <row r="381" spans="2:3" x14ac:dyDescent="0.2">
      <c r="B381">
        <v>0.10365784292392501</v>
      </c>
      <c r="C381">
        <v>0.31578947368421051</v>
      </c>
    </row>
    <row r="382" spans="2:3" x14ac:dyDescent="0.2">
      <c r="B382">
        <v>0.103562781039526</v>
      </c>
      <c r="C382">
        <v>0.31397459165154262</v>
      </c>
    </row>
    <row r="383" spans="2:3" x14ac:dyDescent="0.2">
      <c r="B383">
        <v>0.103077668922247</v>
      </c>
      <c r="C383">
        <v>0.31215970961887479</v>
      </c>
    </row>
    <row r="384" spans="2:3" x14ac:dyDescent="0.2">
      <c r="B384">
        <v>0.102933769186563</v>
      </c>
      <c r="C384">
        <v>0.31034482758620691</v>
      </c>
    </row>
    <row r="385" spans="2:3" x14ac:dyDescent="0.2">
      <c r="B385">
        <v>0.10182762369765</v>
      </c>
      <c r="C385">
        <v>0.30852994555353902</v>
      </c>
    </row>
    <row r="386" spans="2:3" x14ac:dyDescent="0.2">
      <c r="B386">
        <v>0.101795842580063</v>
      </c>
      <c r="C386">
        <v>0.30671506352087113</v>
      </c>
    </row>
    <row r="387" spans="2:3" x14ac:dyDescent="0.2">
      <c r="B387">
        <v>0.100859476501755</v>
      </c>
      <c r="C387">
        <v>0.30490018148820325</v>
      </c>
    </row>
    <row r="388" spans="2:3" x14ac:dyDescent="0.2">
      <c r="B388">
        <v>0.100687306014882</v>
      </c>
      <c r="C388">
        <v>0.30308529945553542</v>
      </c>
    </row>
    <row r="389" spans="2:3" x14ac:dyDescent="0.2">
      <c r="B389">
        <v>0.10056057649858501</v>
      </c>
      <c r="C389">
        <v>0.30127041742286753</v>
      </c>
    </row>
    <row r="390" spans="2:3" x14ac:dyDescent="0.2">
      <c r="B390">
        <v>9.8638169089498795E-2</v>
      </c>
      <c r="C390">
        <v>0.29945553539019965</v>
      </c>
    </row>
    <row r="391" spans="2:3" x14ac:dyDescent="0.2">
      <c r="B391">
        <v>9.8095288113020096E-2</v>
      </c>
      <c r="C391">
        <v>0.29764065335753176</v>
      </c>
    </row>
    <row r="392" spans="2:3" x14ac:dyDescent="0.2">
      <c r="B392">
        <v>9.7750153504012394E-2</v>
      </c>
      <c r="C392">
        <v>0.29582577132486387</v>
      </c>
    </row>
    <row r="393" spans="2:3" x14ac:dyDescent="0.2">
      <c r="B393">
        <v>9.6974253795365895E-2</v>
      </c>
      <c r="C393">
        <v>0.29401088929219599</v>
      </c>
    </row>
    <row r="394" spans="2:3" x14ac:dyDescent="0.2">
      <c r="B394">
        <v>9.6490287093305094E-2</v>
      </c>
      <c r="C394">
        <v>0.29219600725952816</v>
      </c>
    </row>
    <row r="395" spans="2:3" x14ac:dyDescent="0.2">
      <c r="B395">
        <v>9.5855681330872106E-2</v>
      </c>
      <c r="C395">
        <v>0.29038112522686027</v>
      </c>
    </row>
    <row r="396" spans="2:3" x14ac:dyDescent="0.2">
      <c r="B396">
        <v>9.5334080767733503E-2</v>
      </c>
      <c r="C396">
        <v>0.28856624319419238</v>
      </c>
    </row>
    <row r="397" spans="2:3" x14ac:dyDescent="0.2">
      <c r="B397">
        <v>9.43035327447352E-2</v>
      </c>
      <c r="C397">
        <v>0.2867513611615245</v>
      </c>
    </row>
    <row r="398" spans="2:3" x14ac:dyDescent="0.2">
      <c r="B398">
        <v>9.29470549891247E-2</v>
      </c>
      <c r="C398">
        <v>0.28493647912885661</v>
      </c>
    </row>
    <row r="399" spans="2:3" x14ac:dyDescent="0.2">
      <c r="B399">
        <v>9.2939434696544698E-2</v>
      </c>
      <c r="C399">
        <v>0.28312159709618873</v>
      </c>
    </row>
    <row r="400" spans="2:3" x14ac:dyDescent="0.2">
      <c r="B400">
        <v>9.2333884137743003E-2</v>
      </c>
      <c r="C400">
        <v>0.2813067150635209</v>
      </c>
    </row>
    <row r="401" spans="2:3" x14ac:dyDescent="0.2">
      <c r="B401">
        <v>9.1869860939217299E-2</v>
      </c>
      <c r="C401">
        <v>0.27949183303085301</v>
      </c>
    </row>
    <row r="402" spans="2:3" x14ac:dyDescent="0.2">
      <c r="B402">
        <v>9.1508515772285901E-2</v>
      </c>
      <c r="C402">
        <v>0.27767695099818512</v>
      </c>
    </row>
    <row r="403" spans="2:3" x14ac:dyDescent="0.2">
      <c r="B403">
        <v>9.1431697186675598E-2</v>
      </c>
      <c r="C403">
        <v>0.27586206896551724</v>
      </c>
    </row>
    <row r="404" spans="2:3" x14ac:dyDescent="0.2">
      <c r="B404">
        <v>9.0777783423965197E-2</v>
      </c>
      <c r="C404">
        <v>0.27404718693284935</v>
      </c>
    </row>
    <row r="405" spans="2:3" x14ac:dyDescent="0.2">
      <c r="B405">
        <v>9.0180897883157099E-2</v>
      </c>
      <c r="C405">
        <v>0.27223230490018147</v>
      </c>
    </row>
    <row r="406" spans="2:3" x14ac:dyDescent="0.2">
      <c r="B406">
        <v>8.9862249674254602E-2</v>
      </c>
      <c r="C406">
        <v>0.27041742286751363</v>
      </c>
    </row>
    <row r="407" spans="2:3" x14ac:dyDescent="0.2">
      <c r="B407">
        <v>8.97006307850306E-2</v>
      </c>
      <c r="C407">
        <v>0.26860254083484575</v>
      </c>
    </row>
    <row r="408" spans="2:3" x14ac:dyDescent="0.2">
      <c r="B408">
        <v>8.9240794773876295E-2</v>
      </c>
      <c r="C408">
        <v>0.26678765880217786</v>
      </c>
    </row>
    <row r="409" spans="2:3" x14ac:dyDescent="0.2">
      <c r="B409">
        <v>8.8288394589453298E-2</v>
      </c>
      <c r="C409">
        <v>0.26497277676950998</v>
      </c>
    </row>
    <row r="410" spans="2:3" x14ac:dyDescent="0.2">
      <c r="B410">
        <v>8.73682137872651E-2</v>
      </c>
      <c r="C410">
        <v>0.26315789473684209</v>
      </c>
    </row>
    <row r="411" spans="2:3" x14ac:dyDescent="0.2">
      <c r="B411">
        <v>8.7348776724163302E-2</v>
      </c>
      <c r="C411">
        <v>0.2613430127041742</v>
      </c>
    </row>
    <row r="412" spans="2:3" x14ac:dyDescent="0.2">
      <c r="B412">
        <v>8.6864992527742504E-2</v>
      </c>
      <c r="C412">
        <v>0.25952813067150637</v>
      </c>
    </row>
    <row r="413" spans="2:3" x14ac:dyDescent="0.2">
      <c r="B413">
        <v>8.6690028115251894E-2</v>
      </c>
      <c r="C413">
        <v>0.25771324863883849</v>
      </c>
    </row>
    <row r="414" spans="2:3" x14ac:dyDescent="0.2">
      <c r="B414">
        <v>8.6311523320571806E-2</v>
      </c>
      <c r="C414">
        <v>0.2558983666061706</v>
      </c>
    </row>
    <row r="415" spans="2:3" x14ac:dyDescent="0.2">
      <c r="B415">
        <v>8.5814909543333401E-2</v>
      </c>
      <c r="C415">
        <v>0.25408348457350272</v>
      </c>
    </row>
    <row r="416" spans="2:3" x14ac:dyDescent="0.2">
      <c r="B416">
        <v>8.5063396468561397E-2</v>
      </c>
      <c r="C416">
        <v>0.25226860254083483</v>
      </c>
    </row>
    <row r="417" spans="2:3" x14ac:dyDescent="0.2">
      <c r="B417">
        <v>8.4896508764371298E-2</v>
      </c>
      <c r="C417">
        <v>0.25045372050816694</v>
      </c>
    </row>
    <row r="418" spans="2:3" x14ac:dyDescent="0.2">
      <c r="B418">
        <v>8.4315692771114004E-2</v>
      </c>
      <c r="C418">
        <v>0.24863883847549909</v>
      </c>
    </row>
    <row r="419" spans="2:3" x14ac:dyDescent="0.2">
      <c r="B419">
        <v>8.3454895006607799E-2</v>
      </c>
      <c r="C419">
        <v>0.24682395644283123</v>
      </c>
    </row>
    <row r="420" spans="2:3" x14ac:dyDescent="0.2">
      <c r="B420">
        <v>8.32378025223207E-2</v>
      </c>
      <c r="C420">
        <v>0.24500907441016334</v>
      </c>
    </row>
    <row r="421" spans="2:3" x14ac:dyDescent="0.2">
      <c r="B421">
        <v>8.3068828874144504E-2</v>
      </c>
      <c r="C421">
        <v>0.24319419237749546</v>
      </c>
    </row>
    <row r="422" spans="2:3" x14ac:dyDescent="0.2">
      <c r="B422">
        <v>8.1571633807755506E-2</v>
      </c>
      <c r="C422">
        <v>0.2413793103448276</v>
      </c>
    </row>
    <row r="423" spans="2:3" x14ac:dyDescent="0.2">
      <c r="B423">
        <v>8.0808322370647806E-2</v>
      </c>
      <c r="C423">
        <v>0.23956442831215971</v>
      </c>
    </row>
    <row r="424" spans="2:3" x14ac:dyDescent="0.2">
      <c r="B424">
        <v>8.0423912839763897E-2</v>
      </c>
      <c r="C424">
        <v>0.23774954627949182</v>
      </c>
    </row>
    <row r="425" spans="2:3" x14ac:dyDescent="0.2">
      <c r="B425">
        <v>7.9946959613307306E-2</v>
      </c>
      <c r="C425">
        <v>0.23593466424682397</v>
      </c>
    </row>
    <row r="426" spans="2:3" x14ac:dyDescent="0.2">
      <c r="B426">
        <v>7.9908681222880196E-2</v>
      </c>
      <c r="C426">
        <v>0.23411978221415608</v>
      </c>
    </row>
    <row r="427" spans="2:3" x14ac:dyDescent="0.2">
      <c r="B427">
        <v>7.9646940942862302E-2</v>
      </c>
      <c r="C427">
        <v>0.23230490018148819</v>
      </c>
    </row>
    <row r="428" spans="2:3" x14ac:dyDescent="0.2">
      <c r="B428">
        <v>7.9332805058895506E-2</v>
      </c>
      <c r="C428">
        <v>0.23049001814882034</v>
      </c>
    </row>
    <row r="429" spans="2:3" x14ac:dyDescent="0.2">
      <c r="B429">
        <v>7.9122667052408904E-2</v>
      </c>
      <c r="C429">
        <v>0.22867513611615245</v>
      </c>
    </row>
    <row r="430" spans="2:3" x14ac:dyDescent="0.2">
      <c r="B430">
        <v>7.8628008635304197E-2</v>
      </c>
      <c r="C430">
        <v>0.22686025408348456</v>
      </c>
    </row>
    <row r="431" spans="2:3" x14ac:dyDescent="0.2">
      <c r="B431">
        <v>7.8575251918691594E-2</v>
      </c>
      <c r="C431">
        <v>0.22504537205081671</v>
      </c>
    </row>
    <row r="432" spans="2:3" x14ac:dyDescent="0.2">
      <c r="B432">
        <v>7.7965803962492197E-2</v>
      </c>
      <c r="C432">
        <v>0.22323049001814882</v>
      </c>
    </row>
    <row r="433" spans="2:3" x14ac:dyDescent="0.2">
      <c r="B433">
        <v>7.7144930376835702E-2</v>
      </c>
      <c r="C433">
        <v>0.22141560798548093</v>
      </c>
    </row>
    <row r="434" spans="2:3" x14ac:dyDescent="0.2">
      <c r="B434">
        <v>7.70234706117017E-2</v>
      </c>
      <c r="C434">
        <v>0.21960072595281308</v>
      </c>
    </row>
    <row r="435" spans="2:3" x14ac:dyDescent="0.2">
      <c r="B435">
        <v>7.6587649518391296E-2</v>
      </c>
      <c r="C435">
        <v>0.21778584392014519</v>
      </c>
    </row>
    <row r="436" spans="2:3" x14ac:dyDescent="0.2">
      <c r="B436">
        <v>7.6365604544863103E-2</v>
      </c>
      <c r="C436">
        <v>0.2159709618874773</v>
      </c>
    </row>
    <row r="437" spans="2:3" x14ac:dyDescent="0.2">
      <c r="B437">
        <v>7.6154990970517103E-2</v>
      </c>
      <c r="C437">
        <v>0.21415607985480944</v>
      </c>
    </row>
    <row r="438" spans="2:3" x14ac:dyDescent="0.2">
      <c r="B438">
        <v>7.4736158624186505E-2</v>
      </c>
      <c r="C438">
        <v>0.21234119782214156</v>
      </c>
    </row>
    <row r="439" spans="2:3" x14ac:dyDescent="0.2">
      <c r="B439">
        <v>7.4595530042164307E-2</v>
      </c>
      <c r="C439">
        <v>0.21052631578947367</v>
      </c>
    </row>
    <row r="440" spans="2:3" x14ac:dyDescent="0.2">
      <c r="B440">
        <v>7.4050355837289E-2</v>
      </c>
      <c r="C440">
        <v>0.20871143375680581</v>
      </c>
    </row>
    <row r="441" spans="2:3" x14ac:dyDescent="0.2">
      <c r="B441">
        <v>7.3836472158057401E-2</v>
      </c>
      <c r="C441">
        <v>0.20689655172413793</v>
      </c>
    </row>
    <row r="442" spans="2:3" x14ac:dyDescent="0.2">
      <c r="B442">
        <v>7.3796059877097794E-2</v>
      </c>
      <c r="C442">
        <v>0.20508166969147004</v>
      </c>
    </row>
    <row r="443" spans="2:3" x14ac:dyDescent="0.2">
      <c r="B443">
        <v>7.2940884630181099E-2</v>
      </c>
      <c r="C443">
        <v>0.20326678765880218</v>
      </c>
    </row>
    <row r="444" spans="2:3" x14ac:dyDescent="0.2">
      <c r="B444">
        <v>7.2748734645795704E-2</v>
      </c>
      <c r="C444">
        <v>0.2014519056261343</v>
      </c>
    </row>
    <row r="445" spans="2:3" x14ac:dyDescent="0.2">
      <c r="B445">
        <v>7.2348251423659193E-2</v>
      </c>
      <c r="C445">
        <v>0.19963702359346641</v>
      </c>
    </row>
    <row r="446" spans="2:3" x14ac:dyDescent="0.2">
      <c r="B446">
        <v>7.1232645329930802E-2</v>
      </c>
      <c r="C446">
        <v>0.19782214156079855</v>
      </c>
    </row>
    <row r="447" spans="2:3" x14ac:dyDescent="0.2">
      <c r="B447">
        <v>7.0452577761015295E-2</v>
      </c>
      <c r="C447">
        <v>0.19600725952813067</v>
      </c>
    </row>
    <row r="448" spans="2:3" x14ac:dyDescent="0.2">
      <c r="B448">
        <v>7.0225278323272897E-2</v>
      </c>
      <c r="C448">
        <v>0.19419237749546278</v>
      </c>
    </row>
    <row r="449" spans="2:3" x14ac:dyDescent="0.2">
      <c r="B449">
        <v>6.9481903378532994E-2</v>
      </c>
      <c r="C449">
        <v>0.19237749546279492</v>
      </c>
    </row>
    <row r="450" spans="2:3" x14ac:dyDescent="0.2">
      <c r="B450">
        <v>6.9059898845113807E-2</v>
      </c>
      <c r="C450">
        <v>0.19056261343012704</v>
      </c>
    </row>
    <row r="451" spans="2:3" x14ac:dyDescent="0.2">
      <c r="B451">
        <v>6.8602649779769098E-2</v>
      </c>
      <c r="C451">
        <v>0.18874773139745918</v>
      </c>
    </row>
    <row r="452" spans="2:3" x14ac:dyDescent="0.2">
      <c r="B452">
        <v>6.77599420440754E-2</v>
      </c>
      <c r="C452">
        <v>0.18693284936479129</v>
      </c>
    </row>
    <row r="453" spans="2:3" x14ac:dyDescent="0.2">
      <c r="B453">
        <v>6.77421582973146E-2</v>
      </c>
      <c r="C453">
        <v>0.18511796733212341</v>
      </c>
    </row>
    <row r="454" spans="2:3" x14ac:dyDescent="0.2">
      <c r="B454">
        <v>6.7156647294828606E-2</v>
      </c>
      <c r="C454">
        <v>0.18330308529945555</v>
      </c>
    </row>
    <row r="455" spans="2:3" x14ac:dyDescent="0.2">
      <c r="B455">
        <v>6.6973612237166996E-2</v>
      </c>
      <c r="C455">
        <v>0.18148820326678766</v>
      </c>
    </row>
    <row r="456" spans="2:3" x14ac:dyDescent="0.2">
      <c r="B456">
        <v>6.6683314610048297E-2</v>
      </c>
      <c r="C456">
        <v>0.17967332123411978</v>
      </c>
    </row>
    <row r="457" spans="2:3" x14ac:dyDescent="0.2">
      <c r="B457">
        <v>6.50635205954639E-2</v>
      </c>
      <c r="C457">
        <v>0.17785843920145192</v>
      </c>
    </row>
    <row r="458" spans="2:3" x14ac:dyDescent="0.2">
      <c r="B458">
        <v>6.4692541525284003E-2</v>
      </c>
      <c r="C458">
        <v>0.17604355716878403</v>
      </c>
    </row>
    <row r="459" spans="2:3" x14ac:dyDescent="0.2">
      <c r="B459">
        <v>6.4518935917016407E-2</v>
      </c>
      <c r="C459">
        <v>0.17422867513611615</v>
      </c>
    </row>
    <row r="460" spans="2:3" x14ac:dyDescent="0.2">
      <c r="B460">
        <v>6.4411205530750804E-2</v>
      </c>
      <c r="C460">
        <v>0.17241379310344829</v>
      </c>
    </row>
    <row r="461" spans="2:3" x14ac:dyDescent="0.2">
      <c r="B461">
        <v>6.4260064106109793E-2</v>
      </c>
      <c r="C461">
        <v>0.1705989110707804</v>
      </c>
    </row>
    <row r="462" spans="2:3" x14ac:dyDescent="0.2">
      <c r="B462">
        <v>6.3525991187566105E-2</v>
      </c>
      <c r="C462">
        <v>0.16878402903811252</v>
      </c>
    </row>
    <row r="463" spans="2:3" x14ac:dyDescent="0.2">
      <c r="B463">
        <v>6.3484069988255495E-2</v>
      </c>
      <c r="C463">
        <v>0.16696914700544466</v>
      </c>
    </row>
    <row r="464" spans="2:3" x14ac:dyDescent="0.2">
      <c r="B464">
        <v>6.3178384818836406E-2</v>
      </c>
      <c r="C464">
        <v>0.16515426497277677</v>
      </c>
    </row>
    <row r="465" spans="2:3" x14ac:dyDescent="0.2">
      <c r="B465">
        <v>6.3031282429015803E-2</v>
      </c>
      <c r="C465">
        <v>0.16333938294010888</v>
      </c>
    </row>
    <row r="466" spans="2:3" x14ac:dyDescent="0.2">
      <c r="B466">
        <v>6.2804768355944299E-2</v>
      </c>
      <c r="C466">
        <v>0.16152450090744103</v>
      </c>
    </row>
    <row r="467" spans="2:3" x14ac:dyDescent="0.2">
      <c r="B467">
        <v>6.2050390969015899E-2</v>
      </c>
      <c r="C467">
        <v>0.15970961887477314</v>
      </c>
    </row>
    <row r="468" spans="2:3" x14ac:dyDescent="0.2">
      <c r="B468">
        <v>6.1355726161185301E-2</v>
      </c>
      <c r="C468">
        <v>0.15789473684210525</v>
      </c>
    </row>
    <row r="469" spans="2:3" x14ac:dyDescent="0.2">
      <c r="B469">
        <v>6.0696454287813097E-2</v>
      </c>
      <c r="C469">
        <v>0.1560798548094374</v>
      </c>
    </row>
    <row r="470" spans="2:3" x14ac:dyDescent="0.2">
      <c r="B470">
        <v>5.9599894744330299E-2</v>
      </c>
      <c r="C470">
        <v>0.15426497277676951</v>
      </c>
    </row>
    <row r="471" spans="2:3" x14ac:dyDescent="0.2">
      <c r="B471">
        <v>5.9275932896998999E-2</v>
      </c>
      <c r="C471">
        <v>0.15245009074410162</v>
      </c>
    </row>
    <row r="472" spans="2:3" x14ac:dyDescent="0.2">
      <c r="B472">
        <v>5.9037460126752601E-2</v>
      </c>
      <c r="C472">
        <v>0.15063520871143377</v>
      </c>
    </row>
    <row r="473" spans="2:3" x14ac:dyDescent="0.2">
      <c r="B473">
        <v>5.86154682651992E-2</v>
      </c>
      <c r="C473">
        <v>0.14882032667876588</v>
      </c>
    </row>
    <row r="474" spans="2:3" x14ac:dyDescent="0.2">
      <c r="B474">
        <v>5.82129938308482E-2</v>
      </c>
      <c r="C474">
        <v>0.14700544464609799</v>
      </c>
    </row>
    <row r="475" spans="2:3" x14ac:dyDescent="0.2">
      <c r="B475">
        <v>5.8010199441356602E-2</v>
      </c>
      <c r="C475">
        <v>0.14519056261343014</v>
      </c>
    </row>
    <row r="476" spans="2:3" x14ac:dyDescent="0.2">
      <c r="B476">
        <v>5.7961232926266801E-2</v>
      </c>
      <c r="C476">
        <v>0.14337568058076225</v>
      </c>
    </row>
    <row r="477" spans="2:3" x14ac:dyDescent="0.2">
      <c r="B477">
        <v>5.6447316063462399E-2</v>
      </c>
      <c r="C477">
        <v>0.14156079854809436</v>
      </c>
    </row>
    <row r="478" spans="2:3" x14ac:dyDescent="0.2">
      <c r="B478">
        <v>5.6323034591040599E-2</v>
      </c>
      <c r="C478">
        <v>0.1397459165154265</v>
      </c>
    </row>
    <row r="479" spans="2:3" x14ac:dyDescent="0.2">
      <c r="B479">
        <v>5.6191125914629103E-2</v>
      </c>
      <c r="C479">
        <v>0.13793103448275862</v>
      </c>
    </row>
    <row r="480" spans="2:3" x14ac:dyDescent="0.2">
      <c r="B480">
        <v>5.4645776272890099E-2</v>
      </c>
      <c r="C480">
        <v>0.13611615245009073</v>
      </c>
    </row>
    <row r="481" spans="2:3" x14ac:dyDescent="0.2">
      <c r="B481">
        <v>5.4524454404450202E-2</v>
      </c>
      <c r="C481">
        <v>0.13430127041742287</v>
      </c>
    </row>
    <row r="482" spans="2:3" x14ac:dyDescent="0.2">
      <c r="B482">
        <v>5.4269862534130998E-2</v>
      </c>
      <c r="C482">
        <v>0.13248638838475499</v>
      </c>
    </row>
    <row r="483" spans="2:3" x14ac:dyDescent="0.2">
      <c r="B483">
        <v>5.3183497418120403E-2</v>
      </c>
      <c r="C483">
        <v>0.1306715063520871</v>
      </c>
    </row>
    <row r="484" spans="2:3" x14ac:dyDescent="0.2">
      <c r="B484">
        <v>5.3025686254408698E-2</v>
      </c>
      <c r="C484">
        <v>0.12885662431941924</v>
      </c>
    </row>
    <row r="485" spans="2:3" x14ac:dyDescent="0.2">
      <c r="B485">
        <v>5.2097274284924902E-2</v>
      </c>
      <c r="C485">
        <v>0.12704174228675136</v>
      </c>
    </row>
    <row r="486" spans="2:3" x14ac:dyDescent="0.2">
      <c r="B486">
        <v>5.2021115242138802E-2</v>
      </c>
      <c r="C486">
        <v>0.12522686025408347</v>
      </c>
    </row>
    <row r="487" spans="2:3" x14ac:dyDescent="0.2">
      <c r="B487">
        <v>5.1285890770752803E-2</v>
      </c>
      <c r="C487">
        <v>0.12341197822141561</v>
      </c>
    </row>
    <row r="488" spans="2:3" x14ac:dyDescent="0.2">
      <c r="B488">
        <v>5.0798795826712997E-2</v>
      </c>
      <c r="C488">
        <v>0.12159709618874773</v>
      </c>
    </row>
    <row r="489" spans="2:3" x14ac:dyDescent="0.2">
      <c r="B489">
        <v>5.0567975809887998E-2</v>
      </c>
      <c r="C489">
        <v>0.11978221415607986</v>
      </c>
    </row>
    <row r="490" spans="2:3" x14ac:dyDescent="0.2">
      <c r="B490">
        <v>4.9608757785879899E-2</v>
      </c>
      <c r="C490">
        <v>0.11796733212341198</v>
      </c>
    </row>
    <row r="491" spans="2:3" x14ac:dyDescent="0.2">
      <c r="B491">
        <v>4.9478220511179803E-2</v>
      </c>
      <c r="C491">
        <v>0.1161524500907441</v>
      </c>
    </row>
    <row r="492" spans="2:3" x14ac:dyDescent="0.2">
      <c r="B492">
        <v>4.8409191640657399E-2</v>
      </c>
      <c r="C492">
        <v>0.11433756805807622</v>
      </c>
    </row>
    <row r="493" spans="2:3" x14ac:dyDescent="0.2">
      <c r="B493">
        <v>4.8377927364996902E-2</v>
      </c>
      <c r="C493">
        <v>0.11252268602540835</v>
      </c>
    </row>
    <row r="494" spans="2:3" x14ac:dyDescent="0.2">
      <c r="B494">
        <v>4.7958959811493798E-2</v>
      </c>
      <c r="C494">
        <v>0.11070780399274047</v>
      </c>
    </row>
    <row r="495" spans="2:3" x14ac:dyDescent="0.2">
      <c r="B495">
        <v>4.7759491382392702E-2</v>
      </c>
      <c r="C495">
        <v>0.10889292196007259</v>
      </c>
    </row>
    <row r="496" spans="2:3" x14ac:dyDescent="0.2">
      <c r="B496">
        <v>4.7571044183350598E-2</v>
      </c>
      <c r="C496">
        <v>0.10707803992740472</v>
      </c>
    </row>
    <row r="497" spans="2:3" x14ac:dyDescent="0.2">
      <c r="B497">
        <v>4.7396816684003903E-2</v>
      </c>
      <c r="C497">
        <v>0.10526315789473684</v>
      </c>
    </row>
    <row r="498" spans="2:3" x14ac:dyDescent="0.2">
      <c r="B498">
        <v>4.6817543681079002E-2</v>
      </c>
      <c r="C498">
        <v>0.10344827586206896</v>
      </c>
    </row>
    <row r="499" spans="2:3" x14ac:dyDescent="0.2">
      <c r="B499">
        <v>4.6415813741994202E-2</v>
      </c>
      <c r="C499">
        <v>0.10163339382940109</v>
      </c>
    </row>
    <row r="500" spans="2:3" x14ac:dyDescent="0.2">
      <c r="B500">
        <v>4.6179269064626799E-2</v>
      </c>
      <c r="C500">
        <v>9.9818511796733206E-2</v>
      </c>
    </row>
    <row r="501" spans="2:3" x14ac:dyDescent="0.2">
      <c r="B501">
        <v>4.58369451488315E-2</v>
      </c>
      <c r="C501">
        <v>9.8003629764065334E-2</v>
      </c>
    </row>
    <row r="502" spans="2:3" x14ac:dyDescent="0.2">
      <c r="B502">
        <v>4.4925777138070402E-2</v>
      </c>
      <c r="C502">
        <v>9.6188747731397461E-2</v>
      </c>
    </row>
    <row r="503" spans="2:3" x14ac:dyDescent="0.2">
      <c r="B503">
        <v>4.38634564580156E-2</v>
      </c>
      <c r="C503">
        <v>9.4373865698729589E-2</v>
      </c>
    </row>
    <row r="504" spans="2:3" x14ac:dyDescent="0.2">
      <c r="B504">
        <v>4.3098338748726199E-2</v>
      </c>
      <c r="C504">
        <v>9.2558983666061703E-2</v>
      </c>
    </row>
    <row r="505" spans="2:3" x14ac:dyDescent="0.2">
      <c r="B505">
        <v>4.29864476502205E-2</v>
      </c>
      <c r="C505">
        <v>9.0744101633393831E-2</v>
      </c>
    </row>
    <row r="506" spans="2:3" x14ac:dyDescent="0.2">
      <c r="B506">
        <v>4.2497878109347603E-2</v>
      </c>
      <c r="C506">
        <v>8.8929219600725959E-2</v>
      </c>
    </row>
    <row r="507" spans="2:3" x14ac:dyDescent="0.2">
      <c r="B507">
        <v>4.1890551585991899E-2</v>
      </c>
      <c r="C507">
        <v>8.7114337568058073E-2</v>
      </c>
    </row>
    <row r="508" spans="2:3" x14ac:dyDescent="0.2">
      <c r="B508">
        <v>4.1445267045987097E-2</v>
      </c>
      <c r="C508">
        <v>8.5299455535390201E-2</v>
      </c>
    </row>
    <row r="509" spans="2:3" x14ac:dyDescent="0.2">
      <c r="B509">
        <v>4.1071848792800097E-2</v>
      </c>
      <c r="C509">
        <v>8.3484573502722328E-2</v>
      </c>
    </row>
    <row r="510" spans="2:3" x14ac:dyDescent="0.2">
      <c r="B510">
        <v>4.0879887655396401E-2</v>
      </c>
      <c r="C510">
        <v>8.1669691470054442E-2</v>
      </c>
    </row>
    <row r="511" spans="2:3" x14ac:dyDescent="0.2">
      <c r="B511">
        <v>3.80302652170331E-2</v>
      </c>
      <c r="C511">
        <v>7.985480943738657E-2</v>
      </c>
    </row>
    <row r="512" spans="2:3" x14ac:dyDescent="0.2">
      <c r="B512">
        <v>3.6270098544225603E-2</v>
      </c>
      <c r="C512">
        <v>7.8039927404718698E-2</v>
      </c>
    </row>
    <row r="513" spans="2:3" x14ac:dyDescent="0.2">
      <c r="B513">
        <v>3.5898045232595002E-2</v>
      </c>
      <c r="C513">
        <v>7.6225045372050812E-2</v>
      </c>
    </row>
    <row r="514" spans="2:3" x14ac:dyDescent="0.2">
      <c r="B514">
        <v>3.4427597825963802E-2</v>
      </c>
      <c r="C514">
        <v>7.441016333938294E-2</v>
      </c>
    </row>
    <row r="515" spans="2:3" x14ac:dyDescent="0.2">
      <c r="B515">
        <v>3.43661861886344E-2</v>
      </c>
      <c r="C515">
        <v>7.2595281306715068E-2</v>
      </c>
    </row>
    <row r="516" spans="2:3" x14ac:dyDescent="0.2">
      <c r="B516">
        <v>3.4192231252337703E-2</v>
      </c>
      <c r="C516">
        <v>7.0780399274047182E-2</v>
      </c>
    </row>
    <row r="517" spans="2:3" x14ac:dyDescent="0.2">
      <c r="B517">
        <v>3.3933040618754698E-2</v>
      </c>
      <c r="C517">
        <v>6.8965517241379309E-2</v>
      </c>
    </row>
    <row r="518" spans="2:3" x14ac:dyDescent="0.2">
      <c r="B518">
        <v>3.22296036480621E-2</v>
      </c>
      <c r="C518">
        <v>6.7150635208711437E-2</v>
      </c>
    </row>
    <row r="519" spans="2:3" x14ac:dyDescent="0.2">
      <c r="B519">
        <v>3.2193157060950897E-2</v>
      </c>
      <c r="C519">
        <v>6.5335753176043551E-2</v>
      </c>
    </row>
    <row r="520" spans="2:3" x14ac:dyDescent="0.2">
      <c r="B520">
        <v>3.1965833391207898E-2</v>
      </c>
      <c r="C520">
        <v>6.3520871143375679E-2</v>
      </c>
    </row>
    <row r="521" spans="2:3" x14ac:dyDescent="0.2">
      <c r="B521">
        <v>3.0781308643271599E-2</v>
      </c>
      <c r="C521">
        <v>6.1705989110707807E-2</v>
      </c>
    </row>
    <row r="522" spans="2:3" x14ac:dyDescent="0.2">
      <c r="B522">
        <v>3.0476134247787601E-2</v>
      </c>
      <c r="C522">
        <v>5.9891107078039928E-2</v>
      </c>
    </row>
    <row r="523" spans="2:3" x14ac:dyDescent="0.2">
      <c r="B523">
        <v>2.9979301203309799E-2</v>
      </c>
      <c r="C523">
        <v>5.8076225045372049E-2</v>
      </c>
    </row>
    <row r="524" spans="2:3" x14ac:dyDescent="0.2">
      <c r="B524">
        <v>2.8631274353765199E-2</v>
      </c>
      <c r="C524">
        <v>5.6261343012704176E-2</v>
      </c>
    </row>
    <row r="525" spans="2:3" x14ac:dyDescent="0.2">
      <c r="B525">
        <v>2.7863524362831599E-2</v>
      </c>
      <c r="C525">
        <v>5.4446460980036297E-2</v>
      </c>
    </row>
    <row r="526" spans="2:3" x14ac:dyDescent="0.2">
      <c r="B526">
        <v>2.67382517231196E-2</v>
      </c>
      <c r="C526">
        <v>5.2631578947368418E-2</v>
      </c>
    </row>
    <row r="527" spans="2:3" x14ac:dyDescent="0.2">
      <c r="B527">
        <v>2.6398039421871199E-2</v>
      </c>
      <c r="C527">
        <v>5.0816696914700546E-2</v>
      </c>
    </row>
    <row r="528" spans="2:3" x14ac:dyDescent="0.2">
      <c r="B528">
        <v>2.5835750892507101E-2</v>
      </c>
      <c r="C528">
        <v>4.9001814882032667E-2</v>
      </c>
    </row>
    <row r="529" spans="2:3" x14ac:dyDescent="0.2">
      <c r="B529">
        <v>2.5596358888877201E-2</v>
      </c>
      <c r="C529">
        <v>4.7186932849364795E-2</v>
      </c>
    </row>
    <row r="530" spans="2:3" x14ac:dyDescent="0.2">
      <c r="B530">
        <v>2.5021799304639498E-2</v>
      </c>
      <c r="C530">
        <v>4.5372050816696916E-2</v>
      </c>
    </row>
    <row r="531" spans="2:3" x14ac:dyDescent="0.2">
      <c r="B531">
        <v>2.4532761518724799E-2</v>
      </c>
      <c r="C531">
        <v>4.3557168784029036E-2</v>
      </c>
    </row>
    <row r="532" spans="2:3" x14ac:dyDescent="0.2">
      <c r="B532">
        <v>2.4462078359288601E-2</v>
      </c>
      <c r="C532">
        <v>4.1742286751361164E-2</v>
      </c>
    </row>
    <row r="533" spans="2:3" x14ac:dyDescent="0.2">
      <c r="B533">
        <v>2.40356383745245E-2</v>
      </c>
      <c r="C533">
        <v>3.9927404718693285E-2</v>
      </c>
    </row>
    <row r="534" spans="2:3" x14ac:dyDescent="0.2">
      <c r="B534">
        <v>2.4026919624070699E-2</v>
      </c>
      <c r="C534">
        <v>3.8112522686025406E-2</v>
      </c>
    </row>
    <row r="535" spans="2:3" x14ac:dyDescent="0.2">
      <c r="B535">
        <v>2.4007438671223E-2</v>
      </c>
      <c r="C535">
        <v>3.6297640653357534E-2</v>
      </c>
    </row>
    <row r="536" spans="2:3" x14ac:dyDescent="0.2">
      <c r="B536">
        <v>2.3000674317081499E-2</v>
      </c>
      <c r="C536">
        <v>3.4482758620689655E-2</v>
      </c>
    </row>
    <row r="537" spans="2:3" x14ac:dyDescent="0.2">
      <c r="B537">
        <v>2.2303824094174099E-2</v>
      </c>
      <c r="C537">
        <v>3.2667876588021776E-2</v>
      </c>
    </row>
    <row r="538" spans="2:3" x14ac:dyDescent="0.2">
      <c r="B538">
        <v>2.2083347864087999E-2</v>
      </c>
      <c r="C538">
        <v>3.0852994555353903E-2</v>
      </c>
    </row>
    <row r="539" spans="2:3" x14ac:dyDescent="0.2">
      <c r="B539">
        <v>2.0077825000480401E-2</v>
      </c>
      <c r="C539">
        <v>2.9038112522686024E-2</v>
      </c>
    </row>
    <row r="540" spans="2:3" x14ac:dyDescent="0.2">
      <c r="B540">
        <v>1.9801746668600999E-2</v>
      </c>
      <c r="C540">
        <v>2.7223230490018149E-2</v>
      </c>
    </row>
    <row r="541" spans="2:3" x14ac:dyDescent="0.2">
      <c r="B541">
        <v>1.9243858669678902E-2</v>
      </c>
      <c r="C541">
        <v>2.5408348457350273E-2</v>
      </c>
    </row>
    <row r="542" spans="2:3" x14ac:dyDescent="0.2">
      <c r="B542">
        <v>1.7642630664876899E-2</v>
      </c>
      <c r="C542">
        <v>2.3593466424682397E-2</v>
      </c>
    </row>
    <row r="543" spans="2:3" x14ac:dyDescent="0.2">
      <c r="B543">
        <v>1.7518795833281E-2</v>
      </c>
      <c r="C543">
        <v>2.1778584392014518E-2</v>
      </c>
    </row>
    <row r="544" spans="2:3" x14ac:dyDescent="0.2">
      <c r="B544">
        <v>1.5567588016898601E-2</v>
      </c>
      <c r="C544">
        <v>1.9963702359346643E-2</v>
      </c>
    </row>
    <row r="545" spans="2:3" x14ac:dyDescent="0.2">
      <c r="B545">
        <v>1.48488017568041E-2</v>
      </c>
      <c r="C545">
        <v>1.8148820326678767E-2</v>
      </c>
    </row>
    <row r="546" spans="2:3" x14ac:dyDescent="0.2">
      <c r="B546">
        <v>1.45816561117635E-2</v>
      </c>
      <c r="C546">
        <v>1.6333938294010888E-2</v>
      </c>
    </row>
    <row r="547" spans="2:3" x14ac:dyDescent="0.2">
      <c r="B547">
        <v>1.30454356358988E-2</v>
      </c>
      <c r="C547">
        <v>1.4519056261343012E-2</v>
      </c>
    </row>
    <row r="548" spans="2:3" x14ac:dyDescent="0.2">
      <c r="B548">
        <v>1.2615023854811599E-2</v>
      </c>
      <c r="C548">
        <v>1.2704174228675136E-2</v>
      </c>
    </row>
    <row r="549" spans="2:3" x14ac:dyDescent="0.2">
      <c r="B549">
        <v>1.25495297394771E-2</v>
      </c>
      <c r="C549">
        <v>1.0889292196007259E-2</v>
      </c>
    </row>
    <row r="550" spans="2:3" x14ac:dyDescent="0.2">
      <c r="B550">
        <v>1.18206393706828E-2</v>
      </c>
      <c r="C550">
        <v>9.0744101633393835E-3</v>
      </c>
    </row>
    <row r="551" spans="2:3" x14ac:dyDescent="0.2">
      <c r="B551">
        <v>1.1803321686785301E-2</v>
      </c>
      <c r="C551">
        <v>7.2595281306715061E-3</v>
      </c>
    </row>
    <row r="552" spans="2:3" x14ac:dyDescent="0.2">
      <c r="B552">
        <v>3.54031277641409E-3</v>
      </c>
      <c r="C552">
        <v>5.4446460980036296E-3</v>
      </c>
    </row>
    <row r="553" spans="2:3" x14ac:dyDescent="0.2">
      <c r="B553">
        <v>3.1047836650232199E-3</v>
      </c>
      <c r="C553">
        <v>3.629764065335753E-3</v>
      </c>
    </row>
    <row r="554" spans="2:3" x14ac:dyDescent="0.2">
      <c r="B554">
        <v>2.1710237067861901E-3</v>
      </c>
      <c r="C554">
        <v>1.8148820326678765E-3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9976-3870-CF42-92C2-85C908A6FFD5}">
  <sheetPr codeName="Sheet6"/>
  <dimension ref="B1:F404"/>
  <sheetViews>
    <sheetView workbookViewId="0">
      <selection activeCell="F3" sqref="F3"/>
    </sheetView>
  </sheetViews>
  <sheetFormatPr baseColWidth="10" defaultRowHeight="16" x14ac:dyDescent="0.2"/>
  <cols>
    <col min="2" max="2" width="18" customWidth="1"/>
    <col min="3" max="3" width="20.83203125" customWidth="1"/>
  </cols>
  <sheetData>
    <row r="1" spans="2:6" x14ac:dyDescent="0.2">
      <c r="B1" t="s">
        <v>277</v>
      </c>
      <c r="C1" t="s">
        <v>278</v>
      </c>
    </row>
    <row r="2" spans="2:6" x14ac:dyDescent="0.2">
      <c r="B2" cm="1">
        <f t="array" ref="B2:B404">_xlfn._xlws.SORT(_xlfn.UNIQUE(TblPolicyLevelAggregate[TotalClaimAmount]), 1, -1)</f>
        <v>0.96648631445674593</v>
      </c>
      <c r="C2" cm="1">
        <f t="array" ref="C2:C404">_xlfn.BYROW(_xlfn.ANCHORARRAY(B2), _xlfn.LAMBDA(_xlpm.x, COUNTIF(TblPolicyLevelAggregate[TotalClaimAmount], "&lt;=" &amp; _xlpm.x) / COUNT(TblPolicyLevelAggregate[PolicyID])))</f>
        <v>1</v>
      </c>
    </row>
    <row r="3" spans="2:6" x14ac:dyDescent="0.2">
      <c r="B3">
        <v>0.95532054074171502</v>
      </c>
      <c r="C3">
        <v>0.998</v>
      </c>
      <c r="F3" t="s">
        <v>276</v>
      </c>
    </row>
    <row r="4" spans="2:6" x14ac:dyDescent="0.2">
      <c r="B4">
        <v>0.81901836749422197</v>
      </c>
      <c r="C4">
        <v>0.996</v>
      </c>
    </row>
    <row r="5" spans="2:6" x14ac:dyDescent="0.2">
      <c r="B5">
        <v>0.75241908729899998</v>
      </c>
      <c r="C5">
        <v>0.99399999999999999</v>
      </c>
    </row>
    <row r="6" spans="2:6" x14ac:dyDescent="0.2">
      <c r="B6">
        <v>0.71770164206328901</v>
      </c>
      <c r="C6">
        <v>0.99199999999999999</v>
      </c>
    </row>
    <row r="7" spans="2:6" x14ac:dyDescent="0.2">
      <c r="B7">
        <v>0.63751538375919703</v>
      </c>
      <c r="C7">
        <v>0.99</v>
      </c>
    </row>
    <row r="8" spans="2:6" x14ac:dyDescent="0.2">
      <c r="B8">
        <v>0.61891832030624705</v>
      </c>
      <c r="C8">
        <v>0.98799999999999999</v>
      </c>
    </row>
    <row r="9" spans="2:6" x14ac:dyDescent="0.2">
      <c r="B9">
        <v>0.61215530595893197</v>
      </c>
      <c r="C9">
        <v>0.98599999999999999</v>
      </c>
    </row>
    <row r="10" spans="2:6" x14ac:dyDescent="0.2">
      <c r="B10">
        <v>0.60072672632240098</v>
      </c>
      <c r="C10">
        <v>0.98399999999999999</v>
      </c>
    </row>
    <row r="11" spans="2:6" x14ac:dyDescent="0.2">
      <c r="B11">
        <v>0.58533700037073899</v>
      </c>
      <c r="C11">
        <v>0.98199999999999998</v>
      </c>
    </row>
    <row r="12" spans="2:6" x14ac:dyDescent="0.2">
      <c r="B12">
        <v>0.559039806318685</v>
      </c>
      <c r="C12">
        <v>0.98</v>
      </c>
    </row>
    <row r="13" spans="2:6" x14ac:dyDescent="0.2">
      <c r="B13">
        <v>0.55660539890032945</v>
      </c>
      <c r="C13">
        <v>0.97799999999999998</v>
      </c>
    </row>
    <row r="14" spans="2:6" x14ac:dyDescent="0.2">
      <c r="B14">
        <v>0.55406327267497901</v>
      </c>
      <c r="C14">
        <v>0.97599999999999998</v>
      </c>
    </row>
    <row r="15" spans="2:6" x14ac:dyDescent="0.2">
      <c r="B15">
        <v>0.55255795294531507</v>
      </c>
      <c r="C15">
        <v>0.97399999999999998</v>
      </c>
    </row>
    <row r="16" spans="2:6" x14ac:dyDescent="0.2">
      <c r="B16">
        <v>0.54705735732910299</v>
      </c>
      <c r="C16">
        <v>0.97199999999999998</v>
      </c>
    </row>
    <row r="17" spans="2:3" x14ac:dyDescent="0.2">
      <c r="B17">
        <v>0.54356636753436705</v>
      </c>
      <c r="C17">
        <v>0.97</v>
      </c>
    </row>
    <row r="18" spans="2:3" x14ac:dyDescent="0.2">
      <c r="B18">
        <v>0.53958810174823002</v>
      </c>
      <c r="C18">
        <v>0.96799999999999997</v>
      </c>
    </row>
    <row r="19" spans="2:3" x14ac:dyDescent="0.2">
      <c r="B19">
        <v>0.53415721621804502</v>
      </c>
      <c r="C19">
        <v>0.96599999999999997</v>
      </c>
    </row>
    <row r="20" spans="2:3" x14ac:dyDescent="0.2">
      <c r="B20">
        <v>0.53293197006190096</v>
      </c>
      <c r="C20">
        <v>0.96399999999999997</v>
      </c>
    </row>
    <row r="21" spans="2:3" x14ac:dyDescent="0.2">
      <c r="B21">
        <v>0.52883926703072603</v>
      </c>
      <c r="C21">
        <v>0.96199999999999997</v>
      </c>
    </row>
    <row r="22" spans="2:3" x14ac:dyDescent="0.2">
      <c r="B22">
        <v>0.52855568792026297</v>
      </c>
      <c r="C22">
        <v>0.96</v>
      </c>
    </row>
    <row r="23" spans="2:3" x14ac:dyDescent="0.2">
      <c r="B23">
        <v>0.52691974473886405</v>
      </c>
      <c r="C23">
        <v>0.95799999999999996</v>
      </c>
    </row>
    <row r="24" spans="2:3" x14ac:dyDescent="0.2">
      <c r="B24">
        <v>0.51840139284010667</v>
      </c>
      <c r="C24">
        <v>0.95599999999999996</v>
      </c>
    </row>
    <row r="25" spans="2:3" x14ac:dyDescent="0.2">
      <c r="B25">
        <v>0.51749161159356905</v>
      </c>
      <c r="C25">
        <v>0.95399999999999996</v>
      </c>
    </row>
    <row r="26" spans="2:3" x14ac:dyDescent="0.2">
      <c r="B26">
        <v>0.51329588297316997</v>
      </c>
      <c r="C26">
        <v>0.95199999999999996</v>
      </c>
    </row>
    <row r="27" spans="2:3" x14ac:dyDescent="0.2">
      <c r="B27">
        <v>0.50925063351927902</v>
      </c>
      <c r="C27">
        <v>0.95</v>
      </c>
    </row>
    <row r="28" spans="2:3" x14ac:dyDescent="0.2">
      <c r="B28">
        <v>0.50499262697296798</v>
      </c>
      <c r="C28">
        <v>0.94799999999999995</v>
      </c>
    </row>
    <row r="29" spans="2:3" x14ac:dyDescent="0.2">
      <c r="B29">
        <v>0.50348312704361198</v>
      </c>
      <c r="C29">
        <v>0.94599999999999995</v>
      </c>
    </row>
    <row r="30" spans="2:3" x14ac:dyDescent="0.2">
      <c r="B30">
        <v>0.50077643614046408</v>
      </c>
      <c r="C30">
        <v>0.94399999999999995</v>
      </c>
    </row>
    <row r="31" spans="2:3" x14ac:dyDescent="0.2">
      <c r="B31">
        <v>0.50027230203838302</v>
      </c>
      <c r="C31">
        <v>0.94199999999999995</v>
      </c>
    </row>
    <row r="32" spans="2:3" x14ac:dyDescent="0.2">
      <c r="B32">
        <v>0.49600896047449899</v>
      </c>
      <c r="C32">
        <v>0.94</v>
      </c>
    </row>
    <row r="33" spans="2:3" x14ac:dyDescent="0.2">
      <c r="B33">
        <v>0.48319205344236799</v>
      </c>
      <c r="C33">
        <v>0.93799999999999994</v>
      </c>
    </row>
    <row r="34" spans="2:3" x14ac:dyDescent="0.2">
      <c r="B34">
        <v>0.48100240269326999</v>
      </c>
      <c r="C34">
        <v>0.93600000000000005</v>
      </c>
    </row>
    <row r="35" spans="2:3" x14ac:dyDescent="0.2">
      <c r="B35">
        <v>0.48063610456928801</v>
      </c>
      <c r="C35">
        <v>0.93400000000000005</v>
      </c>
    </row>
    <row r="36" spans="2:3" x14ac:dyDescent="0.2">
      <c r="B36">
        <v>0.48007312347245801</v>
      </c>
      <c r="C36">
        <v>0.93200000000000005</v>
      </c>
    </row>
    <row r="37" spans="2:3" x14ac:dyDescent="0.2">
      <c r="B37">
        <v>0.47810069033021496</v>
      </c>
      <c r="C37">
        <v>0.93</v>
      </c>
    </row>
    <row r="38" spans="2:3" x14ac:dyDescent="0.2">
      <c r="B38">
        <v>0.47804285206515978</v>
      </c>
      <c r="C38">
        <v>0.92800000000000005</v>
      </c>
    </row>
    <row r="39" spans="2:3" x14ac:dyDescent="0.2">
      <c r="B39">
        <v>0.47756678415107501</v>
      </c>
      <c r="C39">
        <v>0.92600000000000005</v>
      </c>
    </row>
    <row r="40" spans="2:3" x14ac:dyDescent="0.2">
      <c r="B40">
        <v>0.468609821456966</v>
      </c>
      <c r="C40">
        <v>0.92400000000000004</v>
      </c>
    </row>
    <row r="41" spans="2:3" x14ac:dyDescent="0.2">
      <c r="B41">
        <v>0.45640454656533397</v>
      </c>
      <c r="C41">
        <v>0.92200000000000004</v>
      </c>
    </row>
    <row r="42" spans="2:3" x14ac:dyDescent="0.2">
      <c r="B42">
        <v>0.45502154775548098</v>
      </c>
      <c r="C42">
        <v>0.92</v>
      </c>
    </row>
    <row r="43" spans="2:3" x14ac:dyDescent="0.2">
      <c r="B43">
        <v>0.45319555321420602</v>
      </c>
      <c r="C43">
        <v>0.91800000000000004</v>
      </c>
    </row>
    <row r="44" spans="2:3" x14ac:dyDescent="0.2">
      <c r="B44">
        <v>0.45302486066257802</v>
      </c>
      <c r="C44">
        <v>0.91600000000000004</v>
      </c>
    </row>
    <row r="45" spans="2:3" x14ac:dyDescent="0.2">
      <c r="B45">
        <v>0.43834064037417197</v>
      </c>
      <c r="C45">
        <v>0.91400000000000003</v>
      </c>
    </row>
    <row r="46" spans="2:3" x14ac:dyDescent="0.2">
      <c r="B46">
        <v>0.43039292413036501</v>
      </c>
      <c r="C46">
        <v>0.91200000000000003</v>
      </c>
    </row>
    <row r="47" spans="2:3" x14ac:dyDescent="0.2">
      <c r="B47">
        <v>0.42178194077184</v>
      </c>
      <c r="C47">
        <v>0.91</v>
      </c>
    </row>
    <row r="48" spans="2:3" x14ac:dyDescent="0.2">
      <c r="B48">
        <v>0.41563566099119897</v>
      </c>
      <c r="C48">
        <v>0.90800000000000003</v>
      </c>
    </row>
    <row r="49" spans="2:3" x14ac:dyDescent="0.2">
      <c r="B49">
        <v>0.41561588710874997</v>
      </c>
      <c r="C49">
        <v>0.90600000000000003</v>
      </c>
    </row>
    <row r="50" spans="2:3" x14ac:dyDescent="0.2">
      <c r="B50">
        <v>0.41470994907777198</v>
      </c>
      <c r="C50">
        <v>0.90400000000000003</v>
      </c>
    </row>
    <row r="51" spans="2:3" x14ac:dyDescent="0.2">
      <c r="B51">
        <v>0.41263519770671298</v>
      </c>
      <c r="C51">
        <v>0.90200000000000002</v>
      </c>
    </row>
    <row r="52" spans="2:3" x14ac:dyDescent="0.2">
      <c r="B52">
        <v>0.41102158992362303</v>
      </c>
      <c r="C52">
        <v>0.9</v>
      </c>
    </row>
    <row r="53" spans="2:3" x14ac:dyDescent="0.2">
      <c r="B53">
        <v>0.40980156681294599</v>
      </c>
      <c r="C53">
        <v>0.89800000000000002</v>
      </c>
    </row>
    <row r="54" spans="2:3" x14ac:dyDescent="0.2">
      <c r="B54">
        <v>0.40900436722687006</v>
      </c>
      <c r="C54">
        <v>0.89600000000000002</v>
      </c>
    </row>
    <row r="55" spans="2:3" x14ac:dyDescent="0.2">
      <c r="B55">
        <v>0.407837432948572</v>
      </c>
      <c r="C55">
        <v>0.89400000000000002</v>
      </c>
    </row>
    <row r="56" spans="2:3" x14ac:dyDescent="0.2">
      <c r="B56">
        <v>0.406565304807186</v>
      </c>
      <c r="C56">
        <v>0.89200000000000002</v>
      </c>
    </row>
    <row r="57" spans="2:3" x14ac:dyDescent="0.2">
      <c r="B57">
        <v>0.403389724174954</v>
      </c>
      <c r="C57">
        <v>0.89</v>
      </c>
    </row>
    <row r="58" spans="2:3" x14ac:dyDescent="0.2">
      <c r="B58">
        <v>0.39682510001383098</v>
      </c>
      <c r="C58">
        <v>0.88800000000000001</v>
      </c>
    </row>
    <row r="59" spans="2:3" x14ac:dyDescent="0.2">
      <c r="B59">
        <v>0.39569581586172808</v>
      </c>
      <c r="C59">
        <v>0.88600000000000001</v>
      </c>
    </row>
    <row r="60" spans="2:3" x14ac:dyDescent="0.2">
      <c r="B60">
        <v>0.39221562427553747</v>
      </c>
      <c r="C60">
        <v>0.88400000000000001</v>
      </c>
    </row>
    <row r="61" spans="2:3" x14ac:dyDescent="0.2">
      <c r="B61">
        <v>0.388019936906847</v>
      </c>
      <c r="C61">
        <v>0.88200000000000001</v>
      </c>
    </row>
    <row r="62" spans="2:3" x14ac:dyDescent="0.2">
      <c r="B62">
        <v>0.38459710308848399</v>
      </c>
      <c r="C62">
        <v>0.88</v>
      </c>
    </row>
    <row r="63" spans="2:3" x14ac:dyDescent="0.2">
      <c r="B63">
        <v>0.38292945859147731</v>
      </c>
      <c r="C63">
        <v>0.878</v>
      </c>
    </row>
    <row r="64" spans="2:3" x14ac:dyDescent="0.2">
      <c r="B64">
        <v>0.38261164632753603</v>
      </c>
      <c r="C64">
        <v>0.876</v>
      </c>
    </row>
    <row r="65" spans="2:3" x14ac:dyDescent="0.2">
      <c r="B65">
        <v>0.38230736537578902</v>
      </c>
      <c r="C65">
        <v>0.874</v>
      </c>
    </row>
    <row r="66" spans="2:3" x14ac:dyDescent="0.2">
      <c r="B66">
        <v>0.37991301900759999</v>
      </c>
      <c r="C66">
        <v>0.872</v>
      </c>
    </row>
    <row r="67" spans="2:3" x14ac:dyDescent="0.2">
      <c r="B67">
        <v>0.37715257539460006</v>
      </c>
      <c r="C67">
        <v>0.87</v>
      </c>
    </row>
    <row r="68" spans="2:3" x14ac:dyDescent="0.2">
      <c r="B68">
        <v>0.37483526164511399</v>
      </c>
      <c r="C68">
        <v>0.86799999999999999</v>
      </c>
    </row>
    <row r="69" spans="2:3" x14ac:dyDescent="0.2">
      <c r="B69">
        <v>0.37479833806122398</v>
      </c>
      <c r="C69">
        <v>0.86599999999999999</v>
      </c>
    </row>
    <row r="70" spans="2:3" x14ac:dyDescent="0.2">
      <c r="B70">
        <v>0.37333439720030231</v>
      </c>
      <c r="C70">
        <v>0.86399999999999999</v>
      </c>
    </row>
    <row r="71" spans="2:3" x14ac:dyDescent="0.2">
      <c r="B71">
        <v>0.37254445920005097</v>
      </c>
      <c r="C71">
        <v>0.86199999999999999</v>
      </c>
    </row>
    <row r="72" spans="2:3" x14ac:dyDescent="0.2">
      <c r="B72">
        <v>0.36842295617663601</v>
      </c>
      <c r="C72">
        <v>0.86</v>
      </c>
    </row>
    <row r="73" spans="2:3" x14ac:dyDescent="0.2">
      <c r="B73">
        <v>0.36222935949295398</v>
      </c>
      <c r="C73">
        <v>0.85799999999999998</v>
      </c>
    </row>
    <row r="74" spans="2:3" x14ac:dyDescent="0.2">
      <c r="B74">
        <v>0.36048274631222699</v>
      </c>
      <c r="C74">
        <v>0.85599999999999998</v>
      </c>
    </row>
    <row r="75" spans="2:3" x14ac:dyDescent="0.2">
      <c r="B75">
        <v>0.359953222596198</v>
      </c>
      <c r="C75">
        <v>0.85399999999999998</v>
      </c>
    </row>
    <row r="76" spans="2:3" x14ac:dyDescent="0.2">
      <c r="B76">
        <v>0.35951969798435102</v>
      </c>
      <c r="C76">
        <v>0.85199999999999998</v>
      </c>
    </row>
    <row r="77" spans="2:3" x14ac:dyDescent="0.2">
      <c r="B77">
        <v>0.35831603988339122</v>
      </c>
      <c r="C77">
        <v>0.85</v>
      </c>
    </row>
    <row r="78" spans="2:3" x14ac:dyDescent="0.2">
      <c r="B78">
        <v>0.35801304319870542</v>
      </c>
      <c r="C78">
        <v>0.84799999999999998</v>
      </c>
    </row>
    <row r="79" spans="2:3" x14ac:dyDescent="0.2">
      <c r="B79">
        <v>0.35777921371458193</v>
      </c>
      <c r="C79">
        <v>0.84599999999999997</v>
      </c>
    </row>
    <row r="80" spans="2:3" x14ac:dyDescent="0.2">
      <c r="B80">
        <v>0.35698168202536018</v>
      </c>
      <c r="C80">
        <v>0.84399999999999997</v>
      </c>
    </row>
    <row r="81" spans="2:3" x14ac:dyDescent="0.2">
      <c r="B81">
        <v>0.35504949805546604</v>
      </c>
      <c r="C81">
        <v>0.84199999999999997</v>
      </c>
    </row>
    <row r="82" spans="2:3" x14ac:dyDescent="0.2">
      <c r="B82">
        <v>0.35448175121283299</v>
      </c>
      <c r="C82">
        <v>0.84</v>
      </c>
    </row>
    <row r="83" spans="2:3" x14ac:dyDescent="0.2">
      <c r="B83">
        <v>0.35134375805145501</v>
      </c>
      <c r="C83">
        <v>0.83799999999999997</v>
      </c>
    </row>
    <row r="84" spans="2:3" x14ac:dyDescent="0.2">
      <c r="B84">
        <v>0.35097404404080201</v>
      </c>
      <c r="C84">
        <v>0.83599999999999997</v>
      </c>
    </row>
    <row r="85" spans="2:3" x14ac:dyDescent="0.2">
      <c r="B85">
        <v>0.35060674755469601</v>
      </c>
      <c r="C85">
        <v>0.83399999999999996</v>
      </c>
    </row>
    <row r="86" spans="2:3" x14ac:dyDescent="0.2">
      <c r="B86">
        <v>0.34666574106228398</v>
      </c>
      <c r="C86">
        <v>0.83199999999999996</v>
      </c>
    </row>
    <row r="87" spans="2:3" x14ac:dyDescent="0.2">
      <c r="B87">
        <v>0.34053709819421729</v>
      </c>
      <c r="C87">
        <v>0.83</v>
      </c>
    </row>
    <row r="88" spans="2:3" x14ac:dyDescent="0.2">
      <c r="B88">
        <v>0.34006313979795999</v>
      </c>
      <c r="C88">
        <v>0.82799999999999996</v>
      </c>
    </row>
    <row r="89" spans="2:3" x14ac:dyDescent="0.2">
      <c r="B89">
        <v>0.33967632483870452</v>
      </c>
      <c r="C89">
        <v>0.82599999999999996</v>
      </c>
    </row>
    <row r="90" spans="2:3" x14ac:dyDescent="0.2">
      <c r="B90">
        <v>0.33957218635974801</v>
      </c>
      <c r="C90">
        <v>0.82399999999999995</v>
      </c>
    </row>
    <row r="91" spans="2:3" x14ac:dyDescent="0.2">
      <c r="B91">
        <v>0.33814577663555173</v>
      </c>
      <c r="C91">
        <v>0.82199999999999995</v>
      </c>
    </row>
    <row r="92" spans="2:3" x14ac:dyDescent="0.2">
      <c r="B92">
        <v>0.33665048317262503</v>
      </c>
      <c r="C92">
        <v>0.82</v>
      </c>
    </row>
    <row r="93" spans="2:3" x14ac:dyDescent="0.2">
      <c r="B93">
        <v>0.33658991224957258</v>
      </c>
      <c r="C93">
        <v>0.81799999999999995</v>
      </c>
    </row>
    <row r="94" spans="2:3" x14ac:dyDescent="0.2">
      <c r="B94">
        <v>0.335966170596259</v>
      </c>
      <c r="C94">
        <v>0.81599999999999995</v>
      </c>
    </row>
    <row r="95" spans="2:3" x14ac:dyDescent="0.2">
      <c r="B95">
        <v>0.32515442531356598</v>
      </c>
      <c r="C95">
        <v>0.81399999999999995</v>
      </c>
    </row>
    <row r="96" spans="2:3" x14ac:dyDescent="0.2">
      <c r="B96">
        <v>0.32443432188320898</v>
      </c>
      <c r="C96">
        <v>0.81200000000000006</v>
      </c>
    </row>
    <row r="97" spans="2:3" x14ac:dyDescent="0.2">
      <c r="B97">
        <v>0.32419145983855802</v>
      </c>
      <c r="C97">
        <v>0.81</v>
      </c>
    </row>
    <row r="98" spans="2:3" x14ac:dyDescent="0.2">
      <c r="B98">
        <v>0.32305121523611802</v>
      </c>
      <c r="C98">
        <v>0.80800000000000005</v>
      </c>
    </row>
    <row r="99" spans="2:3" x14ac:dyDescent="0.2">
      <c r="B99">
        <v>0.32266042188710198</v>
      </c>
      <c r="C99">
        <v>0.80600000000000005</v>
      </c>
    </row>
    <row r="100" spans="2:3" x14ac:dyDescent="0.2">
      <c r="B100">
        <v>0.32173915805461395</v>
      </c>
      <c r="C100">
        <v>0.80400000000000005</v>
      </c>
    </row>
    <row r="101" spans="2:3" x14ac:dyDescent="0.2">
      <c r="B101">
        <v>0.32007320186148691</v>
      </c>
      <c r="C101">
        <v>0.80200000000000005</v>
      </c>
    </row>
    <row r="102" spans="2:3" x14ac:dyDescent="0.2">
      <c r="B102">
        <v>0.31847462604212901</v>
      </c>
      <c r="C102">
        <v>0.8</v>
      </c>
    </row>
    <row r="103" spans="2:3" x14ac:dyDescent="0.2">
      <c r="B103">
        <v>0.31799862772646681</v>
      </c>
      <c r="C103">
        <v>0.79800000000000004</v>
      </c>
    </row>
    <row r="104" spans="2:3" x14ac:dyDescent="0.2">
      <c r="B104">
        <v>0.3179748305915765</v>
      </c>
      <c r="C104">
        <v>0.79600000000000004</v>
      </c>
    </row>
    <row r="105" spans="2:3" x14ac:dyDescent="0.2">
      <c r="B105">
        <v>0.31784653979517102</v>
      </c>
      <c r="C105">
        <v>0.79400000000000004</v>
      </c>
    </row>
    <row r="106" spans="2:3" x14ac:dyDescent="0.2">
      <c r="B106">
        <v>0.31745481799855202</v>
      </c>
      <c r="C106">
        <v>0.79200000000000004</v>
      </c>
    </row>
    <row r="107" spans="2:3" x14ac:dyDescent="0.2">
      <c r="B107">
        <v>0.31377814500589796</v>
      </c>
      <c r="C107">
        <v>0.79</v>
      </c>
    </row>
    <row r="108" spans="2:3" x14ac:dyDescent="0.2">
      <c r="B108">
        <v>0.31269678658335798</v>
      </c>
      <c r="C108">
        <v>0.78800000000000003</v>
      </c>
    </row>
    <row r="109" spans="2:3" x14ac:dyDescent="0.2">
      <c r="B109">
        <v>0.30998028874206801</v>
      </c>
      <c r="C109">
        <v>0.78600000000000003</v>
      </c>
    </row>
    <row r="110" spans="2:3" x14ac:dyDescent="0.2">
      <c r="B110">
        <v>0.30983819670691543</v>
      </c>
      <c r="C110">
        <v>0.78400000000000003</v>
      </c>
    </row>
    <row r="111" spans="2:3" x14ac:dyDescent="0.2">
      <c r="B111">
        <v>0.30927760708272301</v>
      </c>
      <c r="C111">
        <v>0.78200000000000003</v>
      </c>
    </row>
    <row r="112" spans="2:3" x14ac:dyDescent="0.2">
      <c r="B112">
        <v>0.30892252047166302</v>
      </c>
      <c r="C112">
        <v>0.78</v>
      </c>
    </row>
    <row r="113" spans="2:3" x14ac:dyDescent="0.2">
      <c r="B113">
        <v>0.30885785260446502</v>
      </c>
      <c r="C113">
        <v>0.77800000000000002</v>
      </c>
    </row>
    <row r="114" spans="2:3" x14ac:dyDescent="0.2">
      <c r="B114">
        <v>0.30881388302581902</v>
      </c>
      <c r="C114">
        <v>0.77600000000000002</v>
      </c>
    </row>
    <row r="115" spans="2:3" x14ac:dyDescent="0.2">
      <c r="B115">
        <v>0.30411544779027411</v>
      </c>
      <c r="C115">
        <v>0.77400000000000002</v>
      </c>
    </row>
    <row r="116" spans="2:3" x14ac:dyDescent="0.2">
      <c r="B116">
        <v>0.30406397220303399</v>
      </c>
      <c r="C116">
        <v>0.77200000000000002</v>
      </c>
    </row>
    <row r="117" spans="2:3" x14ac:dyDescent="0.2">
      <c r="B117">
        <v>0.303595296925044</v>
      </c>
      <c r="C117">
        <v>0.77</v>
      </c>
    </row>
    <row r="118" spans="2:3" x14ac:dyDescent="0.2">
      <c r="B118">
        <v>0.30357807734499198</v>
      </c>
      <c r="C118">
        <v>0.76800000000000002</v>
      </c>
    </row>
    <row r="119" spans="2:3" x14ac:dyDescent="0.2">
      <c r="B119">
        <v>0.30291650179358398</v>
      </c>
      <c r="C119">
        <v>0.76600000000000001</v>
      </c>
    </row>
    <row r="120" spans="2:3" x14ac:dyDescent="0.2">
      <c r="B120">
        <v>0.3023979609428929</v>
      </c>
      <c r="C120">
        <v>0.76400000000000001</v>
      </c>
    </row>
    <row r="121" spans="2:3" x14ac:dyDescent="0.2">
      <c r="B121">
        <v>0.302020883837891</v>
      </c>
      <c r="C121">
        <v>0.76200000000000001</v>
      </c>
    </row>
    <row r="122" spans="2:3" x14ac:dyDescent="0.2">
      <c r="B122">
        <v>0.30130781255732603</v>
      </c>
      <c r="C122">
        <v>0.76</v>
      </c>
    </row>
    <row r="123" spans="2:3" x14ac:dyDescent="0.2">
      <c r="B123">
        <v>0.30089122849355698</v>
      </c>
      <c r="C123">
        <v>0.75800000000000001</v>
      </c>
    </row>
    <row r="124" spans="2:3" x14ac:dyDescent="0.2">
      <c r="B124">
        <v>0.29941564099263718</v>
      </c>
      <c r="C124">
        <v>0.75600000000000001</v>
      </c>
    </row>
    <row r="125" spans="2:3" x14ac:dyDescent="0.2">
      <c r="B125">
        <v>0.29790973079457039</v>
      </c>
      <c r="C125">
        <v>0.754</v>
      </c>
    </row>
    <row r="126" spans="2:3" x14ac:dyDescent="0.2">
      <c r="B126">
        <v>0.29749466321301499</v>
      </c>
      <c r="C126">
        <v>0.752</v>
      </c>
    </row>
    <row r="127" spans="2:3" x14ac:dyDescent="0.2">
      <c r="B127">
        <v>0.29696290717306001</v>
      </c>
      <c r="C127">
        <v>0.75</v>
      </c>
    </row>
    <row r="128" spans="2:3" x14ac:dyDescent="0.2">
      <c r="B128">
        <v>0.286502315520127</v>
      </c>
      <c r="C128">
        <v>0.748</v>
      </c>
    </row>
    <row r="129" spans="2:3" x14ac:dyDescent="0.2">
      <c r="B129">
        <v>0.28593028984899799</v>
      </c>
      <c r="C129">
        <v>0.746</v>
      </c>
    </row>
    <row r="130" spans="2:3" x14ac:dyDescent="0.2">
      <c r="B130">
        <v>0.28579976319780298</v>
      </c>
      <c r="C130">
        <v>0.74399999999999999</v>
      </c>
    </row>
    <row r="131" spans="2:3" x14ac:dyDescent="0.2">
      <c r="B131">
        <v>0.28550977972983499</v>
      </c>
      <c r="C131">
        <v>0.74199999999999999</v>
      </c>
    </row>
    <row r="132" spans="2:3" x14ac:dyDescent="0.2">
      <c r="B132">
        <v>0.28406105138922599</v>
      </c>
      <c r="C132">
        <v>0.74</v>
      </c>
    </row>
    <row r="133" spans="2:3" x14ac:dyDescent="0.2">
      <c r="B133">
        <v>0.28216059921827802</v>
      </c>
      <c r="C133">
        <v>0.73799999999999999</v>
      </c>
    </row>
    <row r="134" spans="2:3" x14ac:dyDescent="0.2">
      <c r="B134">
        <v>0.2818383978911595</v>
      </c>
      <c r="C134">
        <v>0.73599999999999999</v>
      </c>
    </row>
    <row r="135" spans="2:3" x14ac:dyDescent="0.2">
      <c r="B135">
        <v>0.28137792731399913</v>
      </c>
      <c r="C135">
        <v>0.73399999999999999</v>
      </c>
    </row>
    <row r="136" spans="2:3" x14ac:dyDescent="0.2">
      <c r="B136">
        <v>0.27904505022917847</v>
      </c>
      <c r="C136">
        <v>0.73199999999999998</v>
      </c>
    </row>
    <row r="137" spans="2:3" x14ac:dyDescent="0.2">
      <c r="B137">
        <v>0.27649220954902098</v>
      </c>
      <c r="C137">
        <v>0.73</v>
      </c>
    </row>
    <row r="138" spans="2:3" x14ac:dyDescent="0.2">
      <c r="B138">
        <v>0.27464741993581399</v>
      </c>
      <c r="C138">
        <v>0.72799999999999998</v>
      </c>
    </row>
    <row r="139" spans="2:3" x14ac:dyDescent="0.2">
      <c r="B139">
        <v>0.27428250186789099</v>
      </c>
      <c r="C139">
        <v>0.72599999999999998</v>
      </c>
    </row>
    <row r="140" spans="2:3" x14ac:dyDescent="0.2">
      <c r="B140">
        <v>0.27399165155164101</v>
      </c>
      <c r="C140">
        <v>0.72399999999999998</v>
      </c>
    </row>
    <row r="141" spans="2:3" x14ac:dyDescent="0.2">
      <c r="B141">
        <v>0.27369764750991199</v>
      </c>
      <c r="C141">
        <v>0.72199999999999998</v>
      </c>
    </row>
    <row r="142" spans="2:3" x14ac:dyDescent="0.2">
      <c r="B142">
        <v>0.27277944150422201</v>
      </c>
      <c r="C142">
        <v>0.72</v>
      </c>
    </row>
    <row r="143" spans="2:3" x14ac:dyDescent="0.2">
      <c r="B143">
        <v>0.27271410573104499</v>
      </c>
      <c r="C143">
        <v>0.71799999999999997</v>
      </c>
    </row>
    <row r="144" spans="2:3" x14ac:dyDescent="0.2">
      <c r="B144">
        <v>0.27072505084597398</v>
      </c>
      <c r="C144">
        <v>0.71599999999999997</v>
      </c>
    </row>
    <row r="145" spans="2:3" x14ac:dyDescent="0.2">
      <c r="B145">
        <v>0.27013548905218498</v>
      </c>
      <c r="C145">
        <v>0.71399999999999997</v>
      </c>
    </row>
    <row r="146" spans="2:3" x14ac:dyDescent="0.2">
      <c r="B146">
        <v>0.26857239638567654</v>
      </c>
      <c r="C146">
        <v>0.71199999999999997</v>
      </c>
    </row>
    <row r="147" spans="2:3" x14ac:dyDescent="0.2">
      <c r="B147">
        <v>0.26835649846117104</v>
      </c>
      <c r="C147">
        <v>0.71</v>
      </c>
    </row>
    <row r="148" spans="2:3" x14ac:dyDescent="0.2">
      <c r="B148">
        <v>0.26724652356194012</v>
      </c>
      <c r="C148">
        <v>0.70799999999999996</v>
      </c>
    </row>
    <row r="149" spans="2:3" x14ac:dyDescent="0.2">
      <c r="B149">
        <v>0.26496828975687248</v>
      </c>
      <c r="C149">
        <v>0.70599999999999996</v>
      </c>
    </row>
    <row r="150" spans="2:3" x14ac:dyDescent="0.2">
      <c r="B150">
        <v>0.26463638384661198</v>
      </c>
      <c r="C150">
        <v>0.70399999999999996</v>
      </c>
    </row>
    <row r="151" spans="2:3" x14ac:dyDescent="0.2">
      <c r="B151">
        <v>0.26194944800436498</v>
      </c>
      <c r="C151">
        <v>0.70199999999999996</v>
      </c>
    </row>
    <row r="152" spans="2:3" x14ac:dyDescent="0.2">
      <c r="B152">
        <v>0.25947922774422</v>
      </c>
      <c r="C152">
        <v>0.7</v>
      </c>
    </row>
    <row r="153" spans="2:3" x14ac:dyDescent="0.2">
      <c r="B153">
        <v>0.25763498184978617</v>
      </c>
      <c r="C153">
        <v>0.69799999999999995</v>
      </c>
    </row>
    <row r="154" spans="2:3" x14ac:dyDescent="0.2">
      <c r="B154">
        <v>0.25741972161364401</v>
      </c>
      <c r="C154">
        <v>0.69599999999999995</v>
      </c>
    </row>
    <row r="155" spans="2:3" x14ac:dyDescent="0.2">
      <c r="B155">
        <v>0.25544767354590903</v>
      </c>
      <c r="C155">
        <v>0.69399999999999995</v>
      </c>
    </row>
    <row r="156" spans="2:3" x14ac:dyDescent="0.2">
      <c r="B156">
        <v>0.25494409228111209</v>
      </c>
      <c r="C156">
        <v>0.69199999999999995</v>
      </c>
    </row>
    <row r="157" spans="2:3" x14ac:dyDescent="0.2">
      <c r="B157">
        <v>0.25291602268996699</v>
      </c>
      <c r="C157">
        <v>0.69</v>
      </c>
    </row>
    <row r="158" spans="2:3" x14ac:dyDescent="0.2">
      <c r="B158">
        <v>0.25275112668659699</v>
      </c>
      <c r="C158">
        <v>0.68799999999999994</v>
      </c>
    </row>
    <row r="159" spans="2:3" x14ac:dyDescent="0.2">
      <c r="B159">
        <v>0.25212165912138201</v>
      </c>
      <c r="C159">
        <v>0.68600000000000005</v>
      </c>
    </row>
    <row r="160" spans="2:3" x14ac:dyDescent="0.2">
      <c r="B160">
        <v>0.25185821688823112</v>
      </c>
      <c r="C160">
        <v>0.68400000000000005</v>
      </c>
    </row>
    <row r="161" spans="2:3" x14ac:dyDescent="0.2">
      <c r="B161">
        <v>0.25145788687490939</v>
      </c>
      <c r="C161">
        <v>0.68200000000000005</v>
      </c>
    </row>
    <row r="162" spans="2:3" x14ac:dyDescent="0.2">
      <c r="B162">
        <v>0.24947464953417001</v>
      </c>
      <c r="C162">
        <v>0.68</v>
      </c>
    </row>
    <row r="163" spans="2:3" x14ac:dyDescent="0.2">
      <c r="B163">
        <v>0.24716175163210399</v>
      </c>
      <c r="C163">
        <v>0.67800000000000005</v>
      </c>
    </row>
    <row r="164" spans="2:3" x14ac:dyDescent="0.2">
      <c r="B164">
        <v>0.24678371144897199</v>
      </c>
      <c r="C164">
        <v>0.67600000000000005</v>
      </c>
    </row>
    <row r="165" spans="2:3" x14ac:dyDescent="0.2">
      <c r="B165">
        <v>0.24465908953593099</v>
      </c>
      <c r="C165">
        <v>0.67400000000000004</v>
      </c>
    </row>
    <row r="166" spans="2:3" x14ac:dyDescent="0.2">
      <c r="B166">
        <v>0.243744793938763</v>
      </c>
      <c r="C166">
        <v>0.67200000000000004</v>
      </c>
    </row>
    <row r="167" spans="2:3" x14ac:dyDescent="0.2">
      <c r="B167">
        <v>0.242596905095704</v>
      </c>
      <c r="C167">
        <v>0.67</v>
      </c>
    </row>
    <row r="168" spans="2:3" x14ac:dyDescent="0.2">
      <c r="B168">
        <v>0.24189612394257401</v>
      </c>
      <c r="C168">
        <v>0.66800000000000004</v>
      </c>
    </row>
    <row r="169" spans="2:3" x14ac:dyDescent="0.2">
      <c r="B169">
        <v>0.24079472563189111</v>
      </c>
      <c r="C169">
        <v>0.66600000000000004</v>
      </c>
    </row>
    <row r="170" spans="2:3" x14ac:dyDescent="0.2">
      <c r="B170">
        <v>0.24041420564037219</v>
      </c>
      <c r="C170">
        <v>0.66400000000000003</v>
      </c>
    </row>
    <row r="171" spans="2:3" x14ac:dyDescent="0.2">
      <c r="B171">
        <v>0.23965572273935309</v>
      </c>
      <c r="C171">
        <v>0.66200000000000003</v>
      </c>
    </row>
    <row r="172" spans="2:3" x14ac:dyDescent="0.2">
      <c r="B172">
        <v>0.23882890772545701</v>
      </c>
      <c r="C172">
        <v>0.66</v>
      </c>
    </row>
    <row r="173" spans="2:3" x14ac:dyDescent="0.2">
      <c r="B173">
        <v>0.238353186852029</v>
      </c>
      <c r="C173">
        <v>0.65800000000000003</v>
      </c>
    </row>
    <row r="174" spans="2:3" x14ac:dyDescent="0.2">
      <c r="B174">
        <v>0.237407602266657</v>
      </c>
      <c r="C174">
        <v>0.65600000000000003</v>
      </c>
    </row>
    <row r="175" spans="2:3" x14ac:dyDescent="0.2">
      <c r="B175">
        <v>0.23546889788567471</v>
      </c>
      <c r="C175">
        <v>0.65400000000000003</v>
      </c>
    </row>
    <row r="176" spans="2:3" x14ac:dyDescent="0.2">
      <c r="B176">
        <v>0.234707516598987</v>
      </c>
      <c r="C176">
        <v>0.65200000000000002</v>
      </c>
    </row>
    <row r="177" spans="2:3" x14ac:dyDescent="0.2">
      <c r="B177">
        <v>0.234090705129675</v>
      </c>
      <c r="C177">
        <v>0.65</v>
      </c>
    </row>
    <row r="178" spans="2:3" x14ac:dyDescent="0.2">
      <c r="B178">
        <v>0.23153415376824699</v>
      </c>
      <c r="C178">
        <v>0.64800000000000002</v>
      </c>
    </row>
    <row r="179" spans="2:3" x14ac:dyDescent="0.2">
      <c r="B179">
        <v>0.23138624576780101</v>
      </c>
      <c r="C179">
        <v>0.64600000000000002</v>
      </c>
    </row>
    <row r="180" spans="2:3" x14ac:dyDescent="0.2">
      <c r="B180">
        <v>0.23133151779079</v>
      </c>
      <c r="C180">
        <v>0.64400000000000002</v>
      </c>
    </row>
    <row r="181" spans="2:3" x14ac:dyDescent="0.2">
      <c r="B181">
        <v>0.230153470216789</v>
      </c>
      <c r="C181">
        <v>0.64200000000000002</v>
      </c>
    </row>
    <row r="182" spans="2:3" x14ac:dyDescent="0.2">
      <c r="B182">
        <v>0.22968999004761001</v>
      </c>
      <c r="C182">
        <v>0.64</v>
      </c>
    </row>
    <row r="183" spans="2:3" x14ac:dyDescent="0.2">
      <c r="B183">
        <v>0.22964913720531599</v>
      </c>
      <c r="C183">
        <v>0.63800000000000001</v>
      </c>
    </row>
    <row r="184" spans="2:3" x14ac:dyDescent="0.2">
      <c r="B184">
        <v>0.22898476020757899</v>
      </c>
      <c r="C184">
        <v>0.63600000000000001</v>
      </c>
    </row>
    <row r="185" spans="2:3" x14ac:dyDescent="0.2">
      <c r="B185">
        <v>0.22812319918304971</v>
      </c>
      <c r="C185">
        <v>0.63400000000000001</v>
      </c>
    </row>
    <row r="186" spans="2:3" x14ac:dyDescent="0.2">
      <c r="B186">
        <v>0.22778238404279499</v>
      </c>
      <c r="C186">
        <v>0.63200000000000001</v>
      </c>
    </row>
    <row r="187" spans="2:3" x14ac:dyDescent="0.2">
      <c r="B187">
        <v>0.22523490315536099</v>
      </c>
      <c r="C187">
        <v>0.63</v>
      </c>
    </row>
    <row r="188" spans="2:3" x14ac:dyDescent="0.2">
      <c r="B188">
        <v>0.22523145902718039</v>
      </c>
      <c r="C188">
        <v>0.628</v>
      </c>
    </row>
    <row r="189" spans="2:3" x14ac:dyDescent="0.2">
      <c r="B189">
        <v>0.22508674050020011</v>
      </c>
      <c r="C189">
        <v>0.626</v>
      </c>
    </row>
    <row r="190" spans="2:3" x14ac:dyDescent="0.2">
      <c r="B190">
        <v>0.22289749356091801</v>
      </c>
      <c r="C190">
        <v>0.624</v>
      </c>
    </row>
    <row r="191" spans="2:3" x14ac:dyDescent="0.2">
      <c r="B191">
        <v>0.22098699593295401</v>
      </c>
      <c r="C191">
        <v>0.622</v>
      </c>
    </row>
    <row r="192" spans="2:3" x14ac:dyDescent="0.2">
      <c r="B192">
        <v>0.219708186385217</v>
      </c>
      <c r="C192">
        <v>0.62</v>
      </c>
    </row>
    <row r="193" spans="2:3" x14ac:dyDescent="0.2">
      <c r="B193">
        <v>0.21944240756459499</v>
      </c>
      <c r="C193">
        <v>0.61799999999999999</v>
      </c>
    </row>
    <row r="194" spans="2:3" x14ac:dyDescent="0.2">
      <c r="B194">
        <v>0.21870148608706191</v>
      </c>
      <c r="C194">
        <v>0.61599999999999999</v>
      </c>
    </row>
    <row r="195" spans="2:3" x14ac:dyDescent="0.2">
      <c r="B195">
        <v>0.21685927714266801</v>
      </c>
      <c r="C195">
        <v>0.61399999999999999</v>
      </c>
    </row>
    <row r="196" spans="2:3" x14ac:dyDescent="0.2">
      <c r="B196">
        <v>0.21592706381149809</v>
      </c>
      <c r="C196">
        <v>0.61199999999999999</v>
      </c>
    </row>
    <row r="197" spans="2:3" x14ac:dyDescent="0.2">
      <c r="B197">
        <v>0.21511845720799999</v>
      </c>
      <c r="C197">
        <v>0.61</v>
      </c>
    </row>
    <row r="198" spans="2:3" x14ac:dyDescent="0.2">
      <c r="B198">
        <v>0.21314463897289299</v>
      </c>
      <c r="C198">
        <v>0.60799999999999998</v>
      </c>
    </row>
    <row r="199" spans="2:3" x14ac:dyDescent="0.2">
      <c r="B199">
        <v>0.213027965488893</v>
      </c>
      <c r="C199">
        <v>0.60599999999999998</v>
      </c>
    </row>
    <row r="200" spans="2:3" x14ac:dyDescent="0.2">
      <c r="B200">
        <v>0.2090444567738835</v>
      </c>
      <c r="C200">
        <v>0.60399999999999998</v>
      </c>
    </row>
    <row r="201" spans="2:3" x14ac:dyDescent="0.2">
      <c r="B201">
        <v>0.208410650635589</v>
      </c>
      <c r="C201">
        <v>0.60199999999999998</v>
      </c>
    </row>
    <row r="202" spans="2:3" x14ac:dyDescent="0.2">
      <c r="B202">
        <v>0.208198706472737</v>
      </c>
      <c r="C202">
        <v>0.6</v>
      </c>
    </row>
    <row r="203" spans="2:3" x14ac:dyDescent="0.2">
      <c r="B203">
        <v>0.206012633015145</v>
      </c>
      <c r="C203">
        <v>0.59799999999999998</v>
      </c>
    </row>
    <row r="204" spans="2:3" x14ac:dyDescent="0.2">
      <c r="B204">
        <v>0.20514132009935082</v>
      </c>
      <c r="C204">
        <v>0.59599999999999997</v>
      </c>
    </row>
    <row r="205" spans="2:3" x14ac:dyDescent="0.2">
      <c r="B205">
        <v>0.20477016945738599</v>
      </c>
      <c r="C205">
        <v>0.59399999999999997</v>
      </c>
    </row>
    <row r="206" spans="2:3" x14ac:dyDescent="0.2">
      <c r="B206">
        <v>0.20462238616769901</v>
      </c>
      <c r="C206">
        <v>0.59199999999999997</v>
      </c>
    </row>
    <row r="207" spans="2:3" x14ac:dyDescent="0.2">
      <c r="B207">
        <v>0.20251121424479801</v>
      </c>
      <c r="C207">
        <v>0.59</v>
      </c>
    </row>
    <row r="208" spans="2:3" x14ac:dyDescent="0.2">
      <c r="B208">
        <v>0.2005805093779725</v>
      </c>
      <c r="C208">
        <v>0.58799999999999997</v>
      </c>
    </row>
    <row r="209" spans="2:3" x14ac:dyDescent="0.2">
      <c r="B209">
        <v>0.19977638669063599</v>
      </c>
      <c r="C209">
        <v>0.58599999999999997</v>
      </c>
    </row>
    <row r="210" spans="2:3" x14ac:dyDescent="0.2">
      <c r="B210">
        <v>0.19897917048161801</v>
      </c>
      <c r="C210">
        <v>0.58399999999999996</v>
      </c>
    </row>
    <row r="211" spans="2:3" x14ac:dyDescent="0.2">
      <c r="B211">
        <v>0.197535803902539</v>
      </c>
      <c r="C211">
        <v>0.58199999999999996</v>
      </c>
    </row>
    <row r="212" spans="2:3" x14ac:dyDescent="0.2">
      <c r="B212">
        <v>0.19715536174666648</v>
      </c>
      <c r="C212">
        <v>0.57999999999999996</v>
      </c>
    </row>
    <row r="213" spans="2:3" x14ac:dyDescent="0.2">
      <c r="B213">
        <v>0.19650221573607068</v>
      </c>
      <c r="C213">
        <v>0.57799999999999996</v>
      </c>
    </row>
    <row r="214" spans="2:3" x14ac:dyDescent="0.2">
      <c r="B214">
        <v>0.1956955844510736</v>
      </c>
      <c r="C214">
        <v>0.57599999999999996</v>
      </c>
    </row>
    <row r="215" spans="2:3" x14ac:dyDescent="0.2">
      <c r="B215">
        <v>0.19508093395569501</v>
      </c>
      <c r="C215">
        <v>0.57399999999999995</v>
      </c>
    </row>
    <row r="216" spans="2:3" x14ac:dyDescent="0.2">
      <c r="B216">
        <v>0.19441042301571931</v>
      </c>
      <c r="C216">
        <v>0.57199999999999995</v>
      </c>
    </row>
    <row r="217" spans="2:3" x14ac:dyDescent="0.2">
      <c r="B217">
        <v>0.19360577133177609</v>
      </c>
      <c r="C217">
        <v>0.56999999999999995</v>
      </c>
    </row>
    <row r="218" spans="2:3" x14ac:dyDescent="0.2">
      <c r="B218">
        <v>0.19132647418577001</v>
      </c>
      <c r="C218">
        <v>0.56799999999999995</v>
      </c>
    </row>
    <row r="219" spans="2:3" x14ac:dyDescent="0.2">
      <c r="B219">
        <v>0.19073436750445499</v>
      </c>
      <c r="C219">
        <v>0.56599999999999995</v>
      </c>
    </row>
    <row r="220" spans="2:3" x14ac:dyDescent="0.2">
      <c r="B220">
        <v>0.18880737642926601</v>
      </c>
      <c r="C220">
        <v>0.56399999999999995</v>
      </c>
    </row>
    <row r="221" spans="2:3" x14ac:dyDescent="0.2">
      <c r="B221">
        <v>0.18820243128675301</v>
      </c>
      <c r="C221">
        <v>0.56200000000000006</v>
      </c>
    </row>
    <row r="222" spans="2:3" x14ac:dyDescent="0.2">
      <c r="B222">
        <v>0.18735024376918599</v>
      </c>
      <c r="C222">
        <v>0.56000000000000005</v>
      </c>
    </row>
    <row r="223" spans="2:3" x14ac:dyDescent="0.2">
      <c r="B223">
        <v>0.18687125439215591</v>
      </c>
      <c r="C223">
        <v>0.55800000000000005</v>
      </c>
    </row>
    <row r="224" spans="2:3" x14ac:dyDescent="0.2">
      <c r="B224">
        <v>0.1866192983687367</v>
      </c>
      <c r="C224">
        <v>0.55600000000000005</v>
      </c>
    </row>
    <row r="225" spans="2:3" x14ac:dyDescent="0.2">
      <c r="B225">
        <v>0.185869430362399</v>
      </c>
      <c r="C225">
        <v>0.55400000000000005</v>
      </c>
    </row>
    <row r="226" spans="2:3" x14ac:dyDescent="0.2">
      <c r="B226">
        <v>0.185302296636253</v>
      </c>
      <c r="C226">
        <v>0.55200000000000005</v>
      </c>
    </row>
    <row r="227" spans="2:3" x14ac:dyDescent="0.2">
      <c r="B227">
        <v>0.18407446965122701</v>
      </c>
      <c r="C227">
        <v>0.55000000000000004</v>
      </c>
    </row>
    <row r="228" spans="2:3" x14ac:dyDescent="0.2">
      <c r="B228">
        <v>0.1833059390967231</v>
      </c>
      <c r="C228">
        <v>0.54800000000000004</v>
      </c>
    </row>
    <row r="229" spans="2:3" x14ac:dyDescent="0.2">
      <c r="B229">
        <v>0.18270553924785901</v>
      </c>
      <c r="C229">
        <v>0.54600000000000004</v>
      </c>
    </row>
    <row r="230" spans="2:3" x14ac:dyDescent="0.2">
      <c r="B230">
        <v>0.18126656720689399</v>
      </c>
      <c r="C230">
        <v>0.54400000000000004</v>
      </c>
    </row>
    <row r="231" spans="2:3" x14ac:dyDescent="0.2">
      <c r="B231">
        <v>0.18050978370474299</v>
      </c>
      <c r="C231">
        <v>0.54200000000000004</v>
      </c>
    </row>
    <row r="232" spans="2:3" x14ac:dyDescent="0.2">
      <c r="B232">
        <v>0.179921512107793</v>
      </c>
      <c r="C232">
        <v>0.54</v>
      </c>
    </row>
    <row r="233" spans="2:3" x14ac:dyDescent="0.2">
      <c r="B233">
        <v>0.17838524452836299</v>
      </c>
      <c r="C233">
        <v>0.53800000000000003</v>
      </c>
    </row>
    <row r="234" spans="2:3" x14ac:dyDescent="0.2">
      <c r="B234">
        <v>0.1782325123516646</v>
      </c>
      <c r="C234">
        <v>0.53600000000000003</v>
      </c>
    </row>
    <row r="235" spans="2:3" x14ac:dyDescent="0.2">
      <c r="B235">
        <v>0.17655947315892101</v>
      </c>
      <c r="C235">
        <v>0.53400000000000003</v>
      </c>
    </row>
    <row r="236" spans="2:3" x14ac:dyDescent="0.2">
      <c r="B236">
        <v>0.17555401129989601</v>
      </c>
      <c r="C236">
        <v>0.53200000000000003</v>
      </c>
    </row>
    <row r="237" spans="2:3" x14ac:dyDescent="0.2">
      <c r="B237">
        <v>0.17528185828339601</v>
      </c>
      <c r="C237">
        <v>0.53</v>
      </c>
    </row>
    <row r="238" spans="2:3" x14ac:dyDescent="0.2">
      <c r="B238">
        <v>0.17456056673878501</v>
      </c>
      <c r="C238">
        <v>0.52800000000000002</v>
      </c>
    </row>
    <row r="239" spans="2:3" x14ac:dyDescent="0.2">
      <c r="B239">
        <v>0.17421221396761538</v>
      </c>
      <c r="C239">
        <v>0.52600000000000002</v>
      </c>
    </row>
    <row r="240" spans="2:3" x14ac:dyDescent="0.2">
      <c r="B240">
        <v>0.17400033854712699</v>
      </c>
      <c r="C240">
        <v>0.52400000000000002</v>
      </c>
    </row>
    <row r="241" spans="2:3" x14ac:dyDescent="0.2">
      <c r="B241">
        <v>0.1722860377403316</v>
      </c>
      <c r="C241">
        <v>0.52200000000000002</v>
      </c>
    </row>
    <row r="242" spans="2:3" x14ac:dyDescent="0.2">
      <c r="B242">
        <v>0.17099281629590901</v>
      </c>
      <c r="C242">
        <v>0.52</v>
      </c>
    </row>
    <row r="243" spans="2:3" x14ac:dyDescent="0.2">
      <c r="B243">
        <v>0.17071688261944201</v>
      </c>
      <c r="C243">
        <v>0.51800000000000002</v>
      </c>
    </row>
    <row r="244" spans="2:3" x14ac:dyDescent="0.2">
      <c r="B244">
        <v>0.17056801049679299</v>
      </c>
      <c r="C244">
        <v>0.51600000000000001</v>
      </c>
    </row>
    <row r="245" spans="2:3" x14ac:dyDescent="0.2">
      <c r="B245">
        <v>0.16638835745984301</v>
      </c>
      <c r="C245">
        <v>0.51400000000000001</v>
      </c>
    </row>
    <row r="246" spans="2:3" x14ac:dyDescent="0.2">
      <c r="B246">
        <v>0.16574923834984001</v>
      </c>
      <c r="C246">
        <v>0.51200000000000001</v>
      </c>
    </row>
    <row r="247" spans="2:3" x14ac:dyDescent="0.2">
      <c r="B247">
        <v>0.16564961170869799</v>
      </c>
      <c r="C247">
        <v>0.51</v>
      </c>
    </row>
    <row r="248" spans="2:3" x14ac:dyDescent="0.2">
      <c r="B248">
        <v>0.165017364881582</v>
      </c>
      <c r="C248">
        <v>0.50800000000000001</v>
      </c>
    </row>
    <row r="249" spans="2:3" x14ac:dyDescent="0.2">
      <c r="B249">
        <v>0.16408938955420199</v>
      </c>
      <c r="C249">
        <v>0.50600000000000001</v>
      </c>
    </row>
    <row r="250" spans="2:3" x14ac:dyDescent="0.2">
      <c r="B250">
        <v>0.16361706700449299</v>
      </c>
      <c r="C250">
        <v>0.504</v>
      </c>
    </row>
    <row r="251" spans="2:3" x14ac:dyDescent="0.2">
      <c r="B251">
        <v>0.163310032623493</v>
      </c>
      <c r="C251">
        <v>0.502</v>
      </c>
    </row>
    <row r="252" spans="2:3" x14ac:dyDescent="0.2">
      <c r="B252">
        <v>0.16177819505434701</v>
      </c>
      <c r="C252">
        <v>0.5</v>
      </c>
    </row>
    <row r="253" spans="2:3" x14ac:dyDescent="0.2">
      <c r="B253">
        <v>0.157985178662431</v>
      </c>
      <c r="C253">
        <v>0.498</v>
      </c>
    </row>
    <row r="254" spans="2:3" x14ac:dyDescent="0.2">
      <c r="B254">
        <v>0.15653910249819</v>
      </c>
      <c r="C254">
        <v>0.496</v>
      </c>
    </row>
    <row r="255" spans="2:3" x14ac:dyDescent="0.2">
      <c r="B255">
        <v>0.15652070059307399</v>
      </c>
      <c r="C255">
        <v>0.49399999999999999</v>
      </c>
    </row>
    <row r="256" spans="2:3" x14ac:dyDescent="0.2">
      <c r="B256">
        <v>0.15641937081797599</v>
      </c>
      <c r="C256">
        <v>0.49199999999999999</v>
      </c>
    </row>
    <row r="257" spans="2:3" x14ac:dyDescent="0.2">
      <c r="B257">
        <v>0.154792847051134</v>
      </c>
      <c r="C257">
        <v>0.49</v>
      </c>
    </row>
    <row r="258" spans="2:3" x14ac:dyDescent="0.2">
      <c r="B258">
        <v>0.1539865898029508</v>
      </c>
      <c r="C258">
        <v>0.48799999999999999</v>
      </c>
    </row>
    <row r="259" spans="2:3" x14ac:dyDescent="0.2">
      <c r="B259">
        <v>0.15359026129202699</v>
      </c>
      <c r="C259">
        <v>0.48599999999999999</v>
      </c>
    </row>
    <row r="260" spans="2:3" x14ac:dyDescent="0.2">
      <c r="B260">
        <v>0.15054701752117899</v>
      </c>
      <c r="C260">
        <v>0.48399999999999999</v>
      </c>
    </row>
    <row r="261" spans="2:3" x14ac:dyDescent="0.2">
      <c r="B261">
        <v>0.15027158269803242</v>
      </c>
      <c r="C261">
        <v>0.48199999999999998</v>
      </c>
    </row>
    <row r="262" spans="2:3" x14ac:dyDescent="0.2">
      <c r="B262">
        <v>0.150121320569233</v>
      </c>
      <c r="C262">
        <v>0.48</v>
      </c>
    </row>
    <row r="263" spans="2:3" x14ac:dyDescent="0.2">
      <c r="B263">
        <v>0.149755201124807</v>
      </c>
      <c r="C263">
        <v>0.47799999999999998</v>
      </c>
    </row>
    <row r="264" spans="2:3" x14ac:dyDescent="0.2">
      <c r="B264">
        <v>0.14953038808651201</v>
      </c>
      <c r="C264">
        <v>0.47599999999999998</v>
      </c>
    </row>
    <row r="265" spans="2:3" x14ac:dyDescent="0.2">
      <c r="B265">
        <v>0.14855939519040701</v>
      </c>
      <c r="C265">
        <v>0.47399999999999998</v>
      </c>
    </row>
    <row r="266" spans="2:3" x14ac:dyDescent="0.2">
      <c r="B266">
        <v>0.14696667492530099</v>
      </c>
      <c r="C266">
        <v>0.47199999999999998</v>
      </c>
    </row>
    <row r="267" spans="2:3" x14ac:dyDescent="0.2">
      <c r="B267">
        <v>0.1469468997333872</v>
      </c>
      <c r="C267">
        <v>0.47</v>
      </c>
    </row>
    <row r="268" spans="2:3" x14ac:dyDescent="0.2">
      <c r="B268">
        <v>0.14451707908577099</v>
      </c>
      <c r="C268">
        <v>0.46800000000000003</v>
      </c>
    </row>
    <row r="269" spans="2:3" x14ac:dyDescent="0.2">
      <c r="B269">
        <v>0.14269444325458799</v>
      </c>
      <c r="C269">
        <v>0.46600000000000003</v>
      </c>
    </row>
    <row r="270" spans="2:3" x14ac:dyDescent="0.2">
      <c r="B270">
        <v>0.142526118194156</v>
      </c>
      <c r="C270">
        <v>0.46400000000000002</v>
      </c>
    </row>
    <row r="271" spans="2:3" x14ac:dyDescent="0.2">
      <c r="B271">
        <v>0.14163807632139611</v>
      </c>
      <c r="C271">
        <v>0.46200000000000002</v>
      </c>
    </row>
    <row r="272" spans="2:3" x14ac:dyDescent="0.2">
      <c r="B272">
        <v>0.14161660489075301</v>
      </c>
      <c r="C272">
        <v>0.46</v>
      </c>
    </row>
    <row r="273" spans="2:3" x14ac:dyDescent="0.2">
      <c r="B273">
        <v>0.141568221614669</v>
      </c>
      <c r="C273">
        <v>0.45800000000000002</v>
      </c>
    </row>
    <row r="274" spans="2:3" x14ac:dyDescent="0.2">
      <c r="B274">
        <v>0.14095942055435301</v>
      </c>
      <c r="C274">
        <v>0.45600000000000002</v>
      </c>
    </row>
    <row r="275" spans="2:3" x14ac:dyDescent="0.2">
      <c r="B275">
        <v>0.139741087606466</v>
      </c>
      <c r="C275">
        <v>0.45400000000000001</v>
      </c>
    </row>
    <row r="276" spans="2:3" x14ac:dyDescent="0.2">
      <c r="B276">
        <v>0.1391869750646226</v>
      </c>
      <c r="C276">
        <v>0.45200000000000001</v>
      </c>
    </row>
    <row r="277" spans="2:3" x14ac:dyDescent="0.2">
      <c r="B277">
        <v>0.13913234259287999</v>
      </c>
      <c r="C277">
        <v>0.45</v>
      </c>
    </row>
    <row r="278" spans="2:3" x14ac:dyDescent="0.2">
      <c r="B278">
        <v>0.13865013256837699</v>
      </c>
      <c r="C278">
        <v>0.44800000000000001</v>
      </c>
    </row>
    <row r="279" spans="2:3" x14ac:dyDescent="0.2">
      <c r="B279">
        <v>0.1380561239832076</v>
      </c>
      <c r="C279">
        <v>0.44600000000000001</v>
      </c>
    </row>
    <row r="280" spans="2:3" x14ac:dyDescent="0.2">
      <c r="B280">
        <v>0.13728199813692199</v>
      </c>
      <c r="C280">
        <v>0.44400000000000001</v>
      </c>
    </row>
    <row r="281" spans="2:3" x14ac:dyDescent="0.2">
      <c r="B281">
        <v>0.13578001707481152</v>
      </c>
      <c r="C281">
        <v>0.442</v>
      </c>
    </row>
    <row r="282" spans="2:3" x14ac:dyDescent="0.2">
      <c r="B282">
        <v>0.13524167443708601</v>
      </c>
      <c r="C282">
        <v>0.44</v>
      </c>
    </row>
    <row r="283" spans="2:3" x14ac:dyDescent="0.2">
      <c r="B283">
        <v>0.13478802681232499</v>
      </c>
      <c r="C283">
        <v>0.438</v>
      </c>
    </row>
    <row r="284" spans="2:3" x14ac:dyDescent="0.2">
      <c r="B284">
        <v>0.13458772791745399</v>
      </c>
      <c r="C284">
        <v>0.436</v>
      </c>
    </row>
    <row r="285" spans="2:3" x14ac:dyDescent="0.2">
      <c r="B285">
        <v>0.13260750309296801</v>
      </c>
      <c r="C285">
        <v>0.434</v>
      </c>
    </row>
    <row r="286" spans="2:3" x14ac:dyDescent="0.2">
      <c r="B286">
        <v>0.13225808695208879</v>
      </c>
      <c r="C286">
        <v>0.432</v>
      </c>
    </row>
    <row r="287" spans="2:3" x14ac:dyDescent="0.2">
      <c r="B287">
        <v>0.13087129270335801</v>
      </c>
      <c r="C287">
        <v>0.43</v>
      </c>
    </row>
    <row r="288" spans="2:3" x14ac:dyDescent="0.2">
      <c r="B288">
        <v>0.13039070358205601</v>
      </c>
      <c r="C288">
        <v>0.42799999999999999</v>
      </c>
    </row>
    <row r="289" spans="2:3" x14ac:dyDescent="0.2">
      <c r="B289">
        <v>0.12887659675629171</v>
      </c>
      <c r="C289">
        <v>0.42599999999999999</v>
      </c>
    </row>
    <row r="290" spans="2:3" x14ac:dyDescent="0.2">
      <c r="B290">
        <v>0.12881471005916201</v>
      </c>
      <c r="C290">
        <v>0.42399999999999999</v>
      </c>
    </row>
    <row r="291" spans="2:3" x14ac:dyDescent="0.2">
      <c r="B291">
        <v>0.12833446115462899</v>
      </c>
      <c r="C291">
        <v>0.42199999999999999</v>
      </c>
    </row>
    <row r="292" spans="2:3" x14ac:dyDescent="0.2">
      <c r="B292">
        <v>0.12793963424486801</v>
      </c>
      <c r="C292">
        <v>0.42</v>
      </c>
    </row>
    <row r="293" spans="2:3" x14ac:dyDescent="0.2">
      <c r="B293">
        <v>0.12738644534510429</v>
      </c>
      <c r="C293">
        <v>0.41799999999999998</v>
      </c>
    </row>
    <row r="294" spans="2:3" x14ac:dyDescent="0.2">
      <c r="B294">
        <v>0.126373308785173</v>
      </c>
      <c r="C294">
        <v>0.41599999999999998</v>
      </c>
    </row>
    <row r="295" spans="2:3" x14ac:dyDescent="0.2">
      <c r="B295">
        <v>0.125939230300291</v>
      </c>
      <c r="C295">
        <v>0.41399999999999998</v>
      </c>
    </row>
    <row r="296" spans="2:3" x14ac:dyDescent="0.2">
      <c r="B296">
        <v>0.12457415073874401</v>
      </c>
      <c r="C296">
        <v>0.41199999999999998</v>
      </c>
    </row>
    <row r="297" spans="2:3" x14ac:dyDescent="0.2">
      <c r="B297">
        <v>0.12449356040519299</v>
      </c>
      <c r="C297">
        <v>0.41</v>
      </c>
    </row>
    <row r="298" spans="2:3" x14ac:dyDescent="0.2">
      <c r="B298">
        <v>0.124119152702706</v>
      </c>
      <c r="C298">
        <v>0.40799999999999997</v>
      </c>
    </row>
    <row r="299" spans="2:3" x14ac:dyDescent="0.2">
      <c r="B299">
        <v>0.12328835899983499</v>
      </c>
      <c r="C299">
        <v>0.40600000000000003</v>
      </c>
    </row>
    <row r="300" spans="2:3" x14ac:dyDescent="0.2">
      <c r="B300">
        <v>0.123064284019373</v>
      </c>
      <c r="C300">
        <v>0.40400000000000003</v>
      </c>
    </row>
    <row r="301" spans="2:3" x14ac:dyDescent="0.2">
      <c r="B301">
        <v>0.11970900086445699</v>
      </c>
      <c r="C301">
        <v>0.40200000000000002</v>
      </c>
    </row>
    <row r="302" spans="2:3" x14ac:dyDescent="0.2">
      <c r="B302">
        <v>0.119615875182746</v>
      </c>
      <c r="C302">
        <v>0.4</v>
      </c>
    </row>
    <row r="303" spans="2:3" x14ac:dyDescent="0.2">
      <c r="B303">
        <v>0.11945465058044499</v>
      </c>
      <c r="C303">
        <v>0.39800000000000002</v>
      </c>
    </row>
    <row r="304" spans="2:3" x14ac:dyDescent="0.2">
      <c r="B304">
        <v>0.118686942494478</v>
      </c>
      <c r="C304">
        <v>0.39600000000000002</v>
      </c>
    </row>
    <row r="305" spans="2:3" x14ac:dyDescent="0.2">
      <c r="B305">
        <v>0.118150298756105</v>
      </c>
      <c r="C305">
        <v>0.39400000000000002</v>
      </c>
    </row>
    <row r="306" spans="2:3" x14ac:dyDescent="0.2">
      <c r="B306">
        <v>0.11661464526516301</v>
      </c>
      <c r="C306">
        <v>0.39200000000000002</v>
      </c>
    </row>
    <row r="307" spans="2:3" x14ac:dyDescent="0.2">
      <c r="B307">
        <v>0.116045158237533</v>
      </c>
      <c r="C307">
        <v>0.39</v>
      </c>
    </row>
    <row r="308" spans="2:3" x14ac:dyDescent="0.2">
      <c r="B308">
        <v>0.114631734814273</v>
      </c>
      <c r="C308">
        <v>0.38800000000000001</v>
      </c>
    </row>
    <row r="309" spans="2:3" x14ac:dyDescent="0.2">
      <c r="B309">
        <v>0.114610654308564</v>
      </c>
      <c r="C309">
        <v>0.38600000000000001</v>
      </c>
    </row>
    <row r="310" spans="2:3" x14ac:dyDescent="0.2">
      <c r="B310">
        <v>0.11390969242716301</v>
      </c>
      <c r="C310">
        <v>0.38400000000000001</v>
      </c>
    </row>
    <row r="311" spans="2:3" x14ac:dyDescent="0.2">
      <c r="B311">
        <v>0.11369465997944</v>
      </c>
      <c r="C311">
        <v>0.38200000000000001</v>
      </c>
    </row>
    <row r="312" spans="2:3" x14ac:dyDescent="0.2">
      <c r="B312">
        <v>0.112466520944948</v>
      </c>
      <c r="C312">
        <v>0.38</v>
      </c>
    </row>
    <row r="313" spans="2:3" x14ac:dyDescent="0.2">
      <c r="B313">
        <v>0.111016153532811</v>
      </c>
      <c r="C313">
        <v>0.378</v>
      </c>
    </row>
    <row r="314" spans="2:3" x14ac:dyDescent="0.2">
      <c r="B314">
        <v>0.10989516733746001</v>
      </c>
      <c r="C314">
        <v>0.376</v>
      </c>
    </row>
    <row r="315" spans="2:3" x14ac:dyDescent="0.2">
      <c r="B315">
        <v>0.109688290168286</v>
      </c>
      <c r="C315">
        <v>0.374</v>
      </c>
    </row>
    <row r="316" spans="2:3" x14ac:dyDescent="0.2">
      <c r="B316">
        <v>0.107636992230337</v>
      </c>
      <c r="C316">
        <v>0.372</v>
      </c>
    </row>
    <row r="317" spans="2:3" x14ac:dyDescent="0.2">
      <c r="B317">
        <v>0.107370364016353</v>
      </c>
      <c r="C317">
        <v>0.37</v>
      </c>
    </row>
    <row r="318" spans="2:3" x14ac:dyDescent="0.2">
      <c r="B318">
        <v>0.10675910172451711</v>
      </c>
      <c r="C318">
        <v>0.36799999999999999</v>
      </c>
    </row>
    <row r="319" spans="2:3" x14ac:dyDescent="0.2">
      <c r="B319">
        <v>0.105166657501407</v>
      </c>
      <c r="C319">
        <v>0.36599999999999999</v>
      </c>
    </row>
    <row r="320" spans="2:3" x14ac:dyDescent="0.2">
      <c r="B320">
        <v>0.105091304511717</v>
      </c>
      <c r="C320">
        <v>0.36399999999999999</v>
      </c>
    </row>
    <row r="321" spans="2:3" x14ac:dyDescent="0.2">
      <c r="B321">
        <v>0.104879167374598</v>
      </c>
      <c r="C321">
        <v>0.36199999999999999</v>
      </c>
    </row>
    <row r="322" spans="2:3" x14ac:dyDescent="0.2">
      <c r="B322">
        <v>0.104162111072632</v>
      </c>
      <c r="C322">
        <v>0.36</v>
      </c>
    </row>
    <row r="323" spans="2:3" x14ac:dyDescent="0.2">
      <c r="B323">
        <v>0.10365784292392501</v>
      </c>
      <c r="C323">
        <v>0.35799999999999998</v>
      </c>
    </row>
    <row r="324" spans="2:3" x14ac:dyDescent="0.2">
      <c r="B324">
        <v>0.102933769186563</v>
      </c>
      <c r="C324">
        <v>0.35599999999999998</v>
      </c>
    </row>
    <row r="325" spans="2:3" x14ac:dyDescent="0.2">
      <c r="B325">
        <v>0.102871657469762</v>
      </c>
      <c r="C325">
        <v>0.35399999999999998</v>
      </c>
    </row>
    <row r="326" spans="2:3" x14ac:dyDescent="0.2">
      <c r="B326">
        <v>0.10182762369765</v>
      </c>
      <c r="C326">
        <v>0.35199999999999998</v>
      </c>
    </row>
    <row r="327" spans="2:3" x14ac:dyDescent="0.2">
      <c r="B327">
        <v>0.1017087795777184</v>
      </c>
      <c r="C327">
        <v>0.35</v>
      </c>
    </row>
    <row r="328" spans="2:3" x14ac:dyDescent="0.2">
      <c r="B328">
        <v>0.100859476501755</v>
      </c>
      <c r="C328">
        <v>0.34799999999999998</v>
      </c>
    </row>
    <row r="329" spans="2:3" x14ac:dyDescent="0.2">
      <c r="B329">
        <v>0.1007113564993922</v>
      </c>
      <c r="C329">
        <v>0.34599999999999997</v>
      </c>
    </row>
    <row r="330" spans="2:3" x14ac:dyDescent="0.2">
      <c r="B330">
        <v>9.8638169089498795E-2</v>
      </c>
      <c r="C330">
        <v>0.34399999999999997</v>
      </c>
    </row>
    <row r="331" spans="2:3" x14ac:dyDescent="0.2">
      <c r="B331">
        <v>9.6974253795365895E-2</v>
      </c>
      <c r="C331">
        <v>0.34200000000000003</v>
      </c>
    </row>
    <row r="332" spans="2:3" x14ac:dyDescent="0.2">
      <c r="B332">
        <v>9.2333884137743003E-2</v>
      </c>
      <c r="C332">
        <v>0.34</v>
      </c>
    </row>
    <row r="333" spans="2:3" x14ac:dyDescent="0.2">
      <c r="B333">
        <v>9.1508515772285901E-2</v>
      </c>
      <c r="C333">
        <v>0.33800000000000002</v>
      </c>
    </row>
    <row r="334" spans="2:3" x14ac:dyDescent="0.2">
      <c r="B334">
        <v>9.1431697186675598E-2</v>
      </c>
      <c r="C334">
        <v>0.33600000000000002</v>
      </c>
    </row>
    <row r="335" spans="2:3" x14ac:dyDescent="0.2">
      <c r="B335">
        <v>8.9240794773876295E-2</v>
      </c>
      <c r="C335">
        <v>0.33400000000000002</v>
      </c>
    </row>
    <row r="336" spans="2:3" x14ac:dyDescent="0.2">
      <c r="B336">
        <v>8.8288394589453298E-2</v>
      </c>
      <c r="C336">
        <v>0.33200000000000002</v>
      </c>
    </row>
    <row r="337" spans="2:3" x14ac:dyDescent="0.2">
      <c r="B337">
        <v>8.6690028115251894E-2</v>
      </c>
      <c r="C337">
        <v>0.33</v>
      </c>
    </row>
    <row r="338" spans="2:3" x14ac:dyDescent="0.2">
      <c r="B338">
        <v>8.5063396468561397E-2</v>
      </c>
      <c r="C338">
        <v>0.32800000000000001</v>
      </c>
    </row>
    <row r="339" spans="2:3" x14ac:dyDescent="0.2">
      <c r="B339">
        <v>8.4315692771114004E-2</v>
      </c>
      <c r="C339">
        <v>0.32600000000000001</v>
      </c>
    </row>
    <row r="340" spans="2:3" x14ac:dyDescent="0.2">
      <c r="B340">
        <v>8.0808322370647806E-2</v>
      </c>
      <c r="C340">
        <v>0.32400000000000001</v>
      </c>
    </row>
    <row r="341" spans="2:3" x14ac:dyDescent="0.2">
      <c r="B341">
        <v>8.0423912839763897E-2</v>
      </c>
      <c r="C341">
        <v>0.32200000000000001</v>
      </c>
    </row>
    <row r="342" spans="2:3" x14ac:dyDescent="0.2">
      <c r="B342">
        <v>7.9946959613307306E-2</v>
      </c>
      <c r="C342">
        <v>0.32</v>
      </c>
    </row>
    <row r="343" spans="2:3" x14ac:dyDescent="0.2">
      <c r="B343">
        <v>7.9332805058895506E-2</v>
      </c>
      <c r="C343">
        <v>0.318</v>
      </c>
    </row>
    <row r="344" spans="2:3" x14ac:dyDescent="0.2">
      <c r="B344">
        <v>7.9122667052408904E-2</v>
      </c>
      <c r="C344">
        <v>0.316</v>
      </c>
    </row>
    <row r="345" spans="2:3" x14ac:dyDescent="0.2">
      <c r="B345">
        <v>7.8575251918691594E-2</v>
      </c>
      <c r="C345">
        <v>0.314</v>
      </c>
    </row>
    <row r="346" spans="2:3" x14ac:dyDescent="0.2">
      <c r="B346">
        <v>7.7144930376835702E-2</v>
      </c>
      <c r="C346">
        <v>0.312</v>
      </c>
    </row>
    <row r="347" spans="2:3" x14ac:dyDescent="0.2">
      <c r="B347">
        <v>7.70234706117017E-2</v>
      </c>
      <c r="C347">
        <v>0.31</v>
      </c>
    </row>
    <row r="348" spans="2:3" x14ac:dyDescent="0.2">
      <c r="B348">
        <v>7.4595530042164307E-2</v>
      </c>
      <c r="C348">
        <v>0.308</v>
      </c>
    </row>
    <row r="349" spans="2:3" x14ac:dyDescent="0.2">
      <c r="B349">
        <v>7.4050355837289E-2</v>
      </c>
      <c r="C349">
        <v>0.30599999999999999</v>
      </c>
    </row>
    <row r="350" spans="2:3" x14ac:dyDescent="0.2">
      <c r="B350">
        <v>7.0452577761015295E-2</v>
      </c>
      <c r="C350">
        <v>0.30399999999999999</v>
      </c>
    </row>
    <row r="351" spans="2:3" x14ac:dyDescent="0.2">
      <c r="B351">
        <v>6.9059898845113807E-2</v>
      </c>
      <c r="C351">
        <v>0.30199999999999999</v>
      </c>
    </row>
    <row r="352" spans="2:3" x14ac:dyDescent="0.2">
      <c r="B352">
        <v>6.77421582973146E-2</v>
      </c>
      <c r="C352">
        <v>0.3</v>
      </c>
    </row>
    <row r="353" spans="2:3" x14ac:dyDescent="0.2">
      <c r="B353">
        <v>6.7156647294828606E-2</v>
      </c>
      <c r="C353">
        <v>0.29799999999999999</v>
      </c>
    </row>
    <row r="354" spans="2:3" x14ac:dyDescent="0.2">
      <c r="B354">
        <v>6.50635205954639E-2</v>
      </c>
      <c r="C354">
        <v>0.29599999999999999</v>
      </c>
    </row>
    <row r="355" spans="2:3" x14ac:dyDescent="0.2">
      <c r="B355">
        <v>6.4518935917016407E-2</v>
      </c>
      <c r="C355">
        <v>0.29399999999999998</v>
      </c>
    </row>
    <row r="356" spans="2:3" x14ac:dyDescent="0.2">
      <c r="B356">
        <v>6.4411205530750804E-2</v>
      </c>
      <c r="C356">
        <v>0.29199999999999998</v>
      </c>
    </row>
    <row r="357" spans="2:3" x14ac:dyDescent="0.2">
      <c r="B357">
        <v>6.3525991187566105E-2</v>
      </c>
      <c r="C357">
        <v>0.28999999999999998</v>
      </c>
    </row>
    <row r="358" spans="2:3" x14ac:dyDescent="0.2">
      <c r="B358">
        <v>6.2804768355944299E-2</v>
      </c>
      <c r="C358">
        <v>0.28799999999999998</v>
      </c>
    </row>
    <row r="359" spans="2:3" x14ac:dyDescent="0.2">
      <c r="B359">
        <v>6.0696454287813097E-2</v>
      </c>
      <c r="C359">
        <v>0.28599999999999998</v>
      </c>
    </row>
    <row r="360" spans="2:3" x14ac:dyDescent="0.2">
      <c r="B360">
        <v>5.9599894744330299E-2</v>
      </c>
      <c r="C360">
        <v>0.28399999999999997</v>
      </c>
    </row>
    <row r="361" spans="2:3" x14ac:dyDescent="0.2">
      <c r="B361">
        <v>5.9037460126752601E-2</v>
      </c>
      <c r="C361">
        <v>0.28199999999999997</v>
      </c>
    </row>
    <row r="362" spans="2:3" x14ac:dyDescent="0.2">
      <c r="B362">
        <v>5.86154682651992E-2</v>
      </c>
      <c r="C362">
        <v>0.28000000000000003</v>
      </c>
    </row>
    <row r="363" spans="2:3" x14ac:dyDescent="0.2">
      <c r="B363">
        <v>5.82129938308482E-2</v>
      </c>
      <c r="C363">
        <v>0.27800000000000002</v>
      </c>
    </row>
    <row r="364" spans="2:3" x14ac:dyDescent="0.2">
      <c r="B364">
        <v>5.8010199441356602E-2</v>
      </c>
      <c r="C364">
        <v>0.27600000000000002</v>
      </c>
    </row>
    <row r="365" spans="2:3" x14ac:dyDescent="0.2">
      <c r="B365">
        <v>5.7961232926266801E-2</v>
      </c>
      <c r="C365">
        <v>0.27400000000000002</v>
      </c>
    </row>
    <row r="366" spans="2:3" x14ac:dyDescent="0.2">
      <c r="B366">
        <v>5.4524454404450202E-2</v>
      </c>
      <c r="C366">
        <v>0.27200000000000002</v>
      </c>
    </row>
    <row r="367" spans="2:3" x14ac:dyDescent="0.2">
      <c r="B367">
        <v>5.3788894377506599E-2</v>
      </c>
      <c r="C367">
        <v>0.27</v>
      </c>
    </row>
    <row r="368" spans="2:3" x14ac:dyDescent="0.2">
      <c r="B368">
        <v>5.3183497418120403E-2</v>
      </c>
      <c r="C368">
        <v>0.26800000000000002</v>
      </c>
    </row>
    <row r="369" spans="2:3" x14ac:dyDescent="0.2">
      <c r="B369">
        <v>5.2097274284924902E-2</v>
      </c>
      <c r="C369">
        <v>0.26600000000000001</v>
      </c>
    </row>
    <row r="370" spans="2:3" x14ac:dyDescent="0.2">
      <c r="B370">
        <v>5.2021115242138802E-2</v>
      </c>
      <c r="C370">
        <v>0.26400000000000001</v>
      </c>
    </row>
    <row r="371" spans="2:3" x14ac:dyDescent="0.2">
      <c r="B371">
        <v>5.1285890770752803E-2</v>
      </c>
      <c r="C371">
        <v>0.26200000000000001</v>
      </c>
    </row>
    <row r="372" spans="2:3" x14ac:dyDescent="0.2">
      <c r="B372">
        <v>4.9608757785879899E-2</v>
      </c>
      <c r="C372">
        <v>0.26</v>
      </c>
    </row>
    <row r="373" spans="2:3" x14ac:dyDescent="0.2">
      <c r="B373">
        <v>4.9478220511179803E-2</v>
      </c>
      <c r="C373">
        <v>0.25800000000000001</v>
      </c>
    </row>
    <row r="374" spans="2:3" x14ac:dyDescent="0.2">
      <c r="B374">
        <v>4.7958959811493798E-2</v>
      </c>
      <c r="C374">
        <v>0.25600000000000001</v>
      </c>
    </row>
    <row r="375" spans="2:3" x14ac:dyDescent="0.2">
      <c r="B375">
        <v>4.7571044183350598E-2</v>
      </c>
      <c r="C375">
        <v>0.254</v>
      </c>
    </row>
    <row r="376" spans="2:3" x14ac:dyDescent="0.2">
      <c r="B376">
        <v>4.7396816684003903E-2</v>
      </c>
      <c r="C376">
        <v>0.252</v>
      </c>
    </row>
    <row r="377" spans="2:3" x14ac:dyDescent="0.2">
      <c r="B377">
        <v>4.6817543681079002E-2</v>
      </c>
      <c r="C377">
        <v>0.25</v>
      </c>
    </row>
    <row r="378" spans="2:3" x14ac:dyDescent="0.2">
      <c r="B378">
        <v>4.6415813741994202E-2</v>
      </c>
      <c r="C378">
        <v>0.248</v>
      </c>
    </row>
    <row r="379" spans="2:3" x14ac:dyDescent="0.2">
      <c r="B379">
        <v>4.6179269064626799E-2</v>
      </c>
      <c r="C379">
        <v>0.246</v>
      </c>
    </row>
    <row r="380" spans="2:3" x14ac:dyDescent="0.2">
      <c r="B380">
        <v>4.58369451488315E-2</v>
      </c>
      <c r="C380">
        <v>0.24399999999999999</v>
      </c>
    </row>
    <row r="381" spans="2:3" x14ac:dyDescent="0.2">
      <c r="B381">
        <v>4.2497878109347603E-2</v>
      </c>
      <c r="C381">
        <v>0.24199999999999999</v>
      </c>
    </row>
    <row r="382" spans="2:3" x14ac:dyDescent="0.2">
      <c r="B382">
        <v>4.1445267045987097E-2</v>
      </c>
      <c r="C382">
        <v>0.24</v>
      </c>
    </row>
    <row r="383" spans="2:3" x14ac:dyDescent="0.2">
      <c r="B383">
        <v>4.0879887655396401E-2</v>
      </c>
      <c r="C383">
        <v>0.23799999999999999</v>
      </c>
    </row>
    <row r="384" spans="2:3" x14ac:dyDescent="0.2">
      <c r="B384">
        <v>3.43661861886344E-2</v>
      </c>
      <c r="C384">
        <v>0.23599999999999999</v>
      </c>
    </row>
    <row r="385" spans="2:3" x14ac:dyDescent="0.2">
      <c r="B385">
        <v>3.4192231252337703E-2</v>
      </c>
      <c r="C385">
        <v>0.23400000000000001</v>
      </c>
    </row>
    <row r="386" spans="2:3" x14ac:dyDescent="0.2">
      <c r="B386">
        <v>3.2193157060950897E-2</v>
      </c>
      <c r="C386">
        <v>0.23200000000000001</v>
      </c>
    </row>
    <row r="387" spans="2:3" x14ac:dyDescent="0.2">
      <c r="B387">
        <v>2.9979301203309799E-2</v>
      </c>
      <c r="C387">
        <v>0.23</v>
      </c>
    </row>
    <row r="388" spans="2:3" x14ac:dyDescent="0.2">
      <c r="B388">
        <v>2.8631274353765199E-2</v>
      </c>
      <c r="C388">
        <v>0.22800000000000001</v>
      </c>
    </row>
    <row r="389" spans="2:3" x14ac:dyDescent="0.2">
      <c r="B389">
        <v>2.7863524362831599E-2</v>
      </c>
      <c r="C389">
        <v>0.22600000000000001</v>
      </c>
    </row>
    <row r="390" spans="2:3" x14ac:dyDescent="0.2">
      <c r="B390">
        <v>2.5835750892507101E-2</v>
      </c>
      <c r="C390">
        <v>0.224</v>
      </c>
    </row>
    <row r="391" spans="2:3" x14ac:dyDescent="0.2">
      <c r="B391">
        <v>2.5596358888877201E-2</v>
      </c>
      <c r="C391">
        <v>0.222</v>
      </c>
    </row>
    <row r="392" spans="2:3" x14ac:dyDescent="0.2">
      <c r="B392">
        <v>2.4462078359288601E-2</v>
      </c>
      <c r="C392">
        <v>0.22</v>
      </c>
    </row>
    <row r="393" spans="2:3" x14ac:dyDescent="0.2">
      <c r="B393">
        <v>2.4007438671223E-2</v>
      </c>
      <c r="C393">
        <v>0.218</v>
      </c>
    </row>
    <row r="394" spans="2:3" x14ac:dyDescent="0.2">
      <c r="B394">
        <v>1.9801746668600999E-2</v>
      </c>
      <c r="C394">
        <v>0.216</v>
      </c>
    </row>
    <row r="395" spans="2:3" x14ac:dyDescent="0.2">
      <c r="B395">
        <v>1.9243858669678902E-2</v>
      </c>
      <c r="C395">
        <v>0.214</v>
      </c>
    </row>
    <row r="396" spans="2:3" x14ac:dyDescent="0.2">
      <c r="B396">
        <v>1.5567588016898601E-2</v>
      </c>
      <c r="C396">
        <v>0.21199999999999999</v>
      </c>
    </row>
    <row r="397" spans="2:3" x14ac:dyDescent="0.2">
      <c r="B397">
        <v>1.48488017568041E-2</v>
      </c>
      <c r="C397">
        <v>0.21</v>
      </c>
    </row>
    <row r="398" spans="2:3" x14ac:dyDescent="0.2">
      <c r="B398">
        <v>1.45816561117635E-2</v>
      </c>
      <c r="C398">
        <v>0.20799999999999999</v>
      </c>
    </row>
    <row r="399" spans="2:3" x14ac:dyDescent="0.2">
      <c r="B399">
        <v>1.2615023854811599E-2</v>
      </c>
      <c r="C399">
        <v>0.20599999999999999</v>
      </c>
    </row>
    <row r="400" spans="2:3" x14ac:dyDescent="0.2">
      <c r="B400">
        <v>1.18206393706828E-2</v>
      </c>
      <c r="C400">
        <v>0.20399999999999999</v>
      </c>
    </row>
    <row r="401" spans="2:3" x14ac:dyDescent="0.2">
      <c r="B401">
        <v>1.1803321686785301E-2</v>
      </c>
      <c r="C401">
        <v>0.20200000000000001</v>
      </c>
    </row>
    <row r="402" spans="2:3" x14ac:dyDescent="0.2">
      <c r="B402">
        <v>3.54031277641409E-3</v>
      </c>
      <c r="C402">
        <v>0.2</v>
      </c>
    </row>
    <row r="403" spans="2:3" x14ac:dyDescent="0.2">
      <c r="B403">
        <v>2.1710237067861901E-3</v>
      </c>
      <c r="C403">
        <v>0.19800000000000001</v>
      </c>
    </row>
    <row r="404" spans="2:3" x14ac:dyDescent="0.2">
      <c r="B404">
        <v>0</v>
      </c>
      <c r="C404">
        <v>0.19600000000000001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Dashboard</vt:lpstr>
      <vt:lpstr>Settings</vt:lpstr>
      <vt:lpstr>PolicyLosses</vt:lpstr>
      <vt:lpstr>claimSimResults</vt:lpstr>
      <vt:lpstr>SeverityCDF</vt:lpstr>
      <vt:lpstr>PolicyLossCDF</vt:lpstr>
      <vt:lpstr>ClaimsByPolicy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Rscript_path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2025-02-15T09:51:15Z</dcterms:modified>
</cp:coreProperties>
</file>